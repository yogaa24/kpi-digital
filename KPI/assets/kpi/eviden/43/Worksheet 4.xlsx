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7500"/>
  </bookViews>
  <sheets>
    <sheet name="Lampiran 1" sheetId="1" r:id="rId1"/>
  </sheets>
  <externalReferences>
    <externalReference r:id="rId2"/>
    <externalReference r:id="rId3"/>
  </externalReferences>
  <definedNames>
    <definedName name="a" localSheetId="0">[1]TAGPD!#REF!</definedName>
    <definedName name="a">[1]TAGPD!#REF!</definedName>
    <definedName name="B" localSheetId="0">[1]TAGPD!#REF!</definedName>
    <definedName name="B">[1]TAGPD!#REF!</definedName>
    <definedName name="d" localSheetId="0">[1]TAGPD!#REF!</definedName>
    <definedName name="d">[1]TAGPD!#REF!</definedName>
    <definedName name="GRUPF" localSheetId="0">[1]TAGPD!#REF!</definedName>
    <definedName name="GRUPF">[1]TAGPD!#REF!</definedName>
    <definedName name="Progresit">'[2]PROGRES TUGAS IT 2020'!$B$3:$L$215</definedName>
    <definedName name="sortsummary">#REF!</definedName>
    <definedName name="vloocku">#REF!</definedName>
    <definedName name="VLOOCKUP">#REF!</definedName>
  </definedNames>
  <calcPr calcId="145621"/>
</workbook>
</file>

<file path=xl/calcChain.xml><?xml version="1.0" encoding="utf-8"?>
<calcChain xmlns="http://schemas.openxmlformats.org/spreadsheetml/2006/main">
  <c r="N41" i="1" l="1"/>
  <c r="M41" i="1"/>
  <c r="L41" i="1"/>
  <c r="K41" i="1"/>
  <c r="J41" i="1"/>
  <c r="I41" i="1"/>
  <c r="H41" i="1"/>
  <c r="G41" i="1"/>
  <c r="F41" i="1"/>
  <c r="E41" i="1"/>
  <c r="D41" i="1"/>
  <c r="C41" i="1"/>
  <c r="R36" i="1" l="1"/>
  <c r="K36" i="1" l="1"/>
  <c r="J36" i="1"/>
  <c r="F36" i="1"/>
  <c r="E36" i="1"/>
</calcChain>
</file>

<file path=xl/sharedStrings.xml><?xml version="1.0" encoding="utf-8"?>
<sst xmlns="http://schemas.openxmlformats.org/spreadsheetml/2006/main" count="140" uniqueCount="33">
  <si>
    <t>BULAN</t>
  </si>
  <si>
    <t>TGL</t>
  </si>
  <si>
    <t>KET</t>
  </si>
  <si>
    <t>Tgl Terima</t>
  </si>
  <si>
    <t>Tgl Selesai</t>
  </si>
  <si>
    <t>Waktu Penyelesaian</t>
  </si>
  <si>
    <t>Nol Koreksi</t>
  </si>
  <si>
    <t>Jam</t>
  </si>
  <si>
    <t>REG</t>
  </si>
  <si>
    <t>ü</t>
  </si>
  <si>
    <t>Rata2</t>
  </si>
  <si>
    <t>TUGAS HARIAN ADMINISTRASI FAKTUR PUTIH</t>
  </si>
  <si>
    <t>Cek register dari kasir</t>
  </si>
  <si>
    <t>Administasi Faktur Lunas</t>
  </si>
  <si>
    <t>Administrasi Faktur dari Kasir</t>
  </si>
  <si>
    <t>Pengiriman Faktur Lunas</t>
  </si>
  <si>
    <t xml:space="preserve"> Terima</t>
  </si>
  <si>
    <t>Selesai</t>
  </si>
  <si>
    <t>Cek Faktur YTD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</si>
  <si>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</si>
  <si>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</si>
  <si>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</si>
  <si>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</si>
  <si>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</si>
  <si>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</si>
  <si>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</si>
  <si>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</si>
  <si>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</si>
  <si>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</si>
  <si>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</si>
  <si>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</si>
  <si>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 Input</t>
  </si>
  <si>
    <t>Missing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</si>
</sst>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0.0%"/>
    <numFmt numFmtId="167" formatCode="[$-409]h:mm\ AM/PM;@"/>
    <numFmt numFmtId="168" formatCode="[$-409]d/mmm/yy;@"/>
    <numFmt numFmtId="169" formatCode="[$-409]d\-mmm;@"/>
  </numFmts>
  <fonts count="5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Wingdings"/>
      <charset val="2"/>
    </font>
    <font>
      <b/>
      <sz val="9"/>
      <color theme="1"/>
      <name val="Wingdings"/>
      <charset val="2"/>
    </font>
    <font>
      <sz val="10"/>
      <name val="Arial"/>
      <family val="2"/>
    </font>
    <font>
      <sz val="11"/>
      <color indexed="8"/>
      <name val="Calibri"/>
      <family val="2"/>
    </font>
    <font>
      <sz val="1"/>
      <color theme="1"/>
      <name val="Calibri"/>
      <family val="2"/>
      <scheme val="minor"/>
    </font>
    <font>
      <sz val="9"/>
      <color theme="1"/>
      <name val="Arial Narrow"/>
      <family val="2"/>
      <charset val="1"/>
    </font>
    <font>
      <sz val="11"/>
      <color theme="1"/>
      <name val="Calibri"/>
      <family val="2"/>
      <charset val="1"/>
      <scheme val="minor"/>
    </font>
    <font>
      <sz val="8"/>
      <color rgb="FF000000"/>
      <name val="Arial"/>
      <family val="2"/>
    </font>
    <font>
      <sz val="1"/>
      <color rgb="FF0000A0"/>
      <name val="Calibri"/>
      <family val="2"/>
      <scheme val="minor"/>
    </font>
    <font>
      <b/>
      <i/>
      <sz val="16"/>
      <color rgb="FF0000A0"/>
      <name val="Tahoma"/>
      <family val="2"/>
    </font>
    <font>
      <sz val="8"/>
      <color indexed="8"/>
      <name val="Arial"/>
      <family val="2"/>
    </font>
    <font>
      <sz val="1"/>
      <color rgb="FF000000"/>
      <name val="Calibri"/>
      <family val="2"/>
      <scheme val="minor"/>
    </font>
    <font>
      <b/>
      <sz val="14"/>
      <color rgb="FF000000"/>
      <name val="Arial"/>
      <family val="2"/>
    </font>
    <font>
      <b/>
      <sz val="12"/>
      <color rgb="FF0000A0"/>
      <name val="Tahoma"/>
      <family val="2"/>
    </font>
    <font>
      <b/>
      <sz val="12"/>
      <color indexed="18"/>
      <name val="Tahoma"/>
      <family val="2"/>
    </font>
    <font>
      <sz val="8"/>
      <color rgb="FF000000"/>
      <name val="Segoe UI"/>
      <family val="2"/>
    </font>
    <font>
      <sz val="10"/>
      <color rgb="FF000000"/>
      <name val="Arial"/>
      <family val="2"/>
    </font>
    <font>
      <sz val="8"/>
      <color rgb="FF000000"/>
      <name val="Tahoma"/>
      <family val="2"/>
    </font>
    <font>
      <b/>
      <sz val="9"/>
      <color rgb="FF000080"/>
      <name val="Arial"/>
      <family val="2"/>
    </font>
    <font>
      <b/>
      <sz val="8"/>
      <color rgb="FF000000"/>
      <name val="Arial"/>
      <family val="2"/>
    </font>
    <font>
      <b/>
      <sz val="8"/>
      <color rgb="FF000080"/>
      <name val="Arial"/>
      <family val="2"/>
    </font>
    <font>
      <sz val="8"/>
      <color rgb="FF080000"/>
      <name val="Tahoma"/>
      <family val="2"/>
    </font>
    <font>
      <sz val="8"/>
      <color rgb="FF000000"/>
      <name val="Wingdings"/>
      <charset val="2"/>
    </font>
    <font>
      <b/>
      <sz val="8"/>
      <color rgb="FF000000"/>
      <name val="Segoe UI"/>
      <family val="2"/>
    </font>
    <font>
      <b/>
      <sz val="8"/>
      <color indexed="8"/>
      <name val="Arial"/>
      <family val="2"/>
    </font>
    <font>
      <b/>
      <sz val="9"/>
      <color rgb="FF000000"/>
      <name val="Arial"/>
      <family val="2"/>
    </font>
    <font>
      <sz val="1"/>
      <color rgb="FF000000"/>
      <name val="Arial"/>
      <family val="2"/>
    </font>
    <font>
      <b/>
      <sz val="20"/>
      <color rgb="FF434889"/>
      <name val="Arial"/>
      <family val="2"/>
    </font>
    <font>
      <sz val="1"/>
      <color rgb="FF800000"/>
      <name val="Calibri"/>
      <family val="2"/>
      <scheme val="minor"/>
    </font>
    <font>
      <b/>
      <sz val="9"/>
      <color rgb="FF800000"/>
      <name val="Arial"/>
      <family val="2"/>
    </font>
    <font>
      <b/>
      <sz val="10"/>
      <color rgb="FF000000"/>
      <name val="Tahoma"/>
      <family val="2"/>
    </font>
    <font>
      <b/>
      <sz val="10"/>
      <color indexed="8"/>
      <name val="Tahoma"/>
      <family val="2"/>
    </font>
    <font>
      <b/>
      <sz val="16"/>
      <color rgb="FF1079AE"/>
      <name val="Segoe UI"/>
      <family val="2"/>
    </font>
    <font>
      <b/>
      <sz val="12"/>
      <color rgb="FF000000"/>
      <name val="Arial"/>
      <family val="2"/>
    </font>
    <font>
      <b/>
      <sz val="8"/>
      <color rgb="FF000000"/>
      <name val="Tahoma"/>
      <family val="2"/>
    </font>
    <font>
      <b/>
      <sz val="18"/>
      <color rgb="FF0000A0"/>
      <name val="Arial"/>
      <family val="2"/>
    </font>
    <font>
      <b/>
      <sz val="9"/>
      <color indexed="16"/>
      <name val="Arial"/>
      <family val="2"/>
    </font>
    <font>
      <b/>
      <sz val="13"/>
      <color rgb="FF000000"/>
      <name val="Segoe UI"/>
      <family val="2"/>
    </font>
    <font>
      <b/>
      <sz val="11"/>
      <color rgb="FF000080"/>
      <name val="Arial"/>
      <family val="2"/>
    </font>
    <font>
      <b/>
      <sz val="8"/>
      <color rgb="FF800000"/>
      <name val="Arial"/>
      <family val="2"/>
    </font>
    <font>
      <b/>
      <sz val="8"/>
      <color rgb="FF800000"/>
      <name val="Segoe UI"/>
      <family val="2"/>
    </font>
    <font>
      <sz val="8"/>
      <color indexed="8"/>
      <name val="Tahoma"/>
      <family val="2"/>
    </font>
    <font>
      <sz val="10"/>
      <color rgb="FF000000"/>
      <name val="Tahoma"/>
      <family val="2"/>
    </font>
    <font>
      <sz val="9"/>
      <color rgb="FF000000"/>
      <name val="Tahoma"/>
      <family val="2"/>
    </font>
    <font>
      <sz val="10"/>
      <color rgb="FF080000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</patternFill>
    </fill>
    <fill>
      <patternFill patternType="solid">
        <fgColor rgb="FFFFFFFF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2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hair">
        <color theme="0" tint="-4.9989318521683403E-2"/>
      </left>
      <right/>
      <top style="hair">
        <color theme="0" tint="-4.9989318521683403E-2"/>
      </top>
      <bottom/>
      <diagonal/>
    </border>
    <border>
      <left/>
      <right/>
      <top style="hair">
        <color theme="0" tint="-4.9989318521683403E-2"/>
      </top>
      <bottom/>
      <diagonal/>
    </border>
    <border>
      <left style="hair">
        <color theme="0" tint="-4.9989318521683403E-2"/>
      </left>
      <right/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indexed="64"/>
      </bottom>
      <diagonal/>
    </border>
    <border>
      <left/>
      <right/>
      <top style="thin">
        <color theme="1" tint="0.499984740745262"/>
      </top>
      <bottom style="thin">
        <color indexed="64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indexed="64"/>
      </top>
      <bottom style="thin">
        <color theme="1" tint="0.499984740745262"/>
      </bottom>
      <diagonal/>
    </border>
    <border>
      <left/>
      <right/>
      <top style="thin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/>
      <top/>
      <bottom/>
      <diagonal/>
    </border>
    <border>
      <left style="thin">
        <color theme="1" tint="0.499984740745262"/>
      </left>
      <right/>
      <top style="thin">
        <color theme="1" tint="0.499984740745262"/>
      </top>
      <bottom style="double">
        <color indexed="64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double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890">
    <xf numFmtId="0" fontId="0" fillId="0" borderId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164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/>
    <xf numFmtId="0" fontId="14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4" fillId="0" borderId="0"/>
    <xf numFmtId="0" fontId="11" fillId="0" borderId="0"/>
    <xf numFmtId="0" fontId="11" fillId="0" borderId="0"/>
    <xf numFmtId="0" fontId="15" fillId="0" borderId="0"/>
    <xf numFmtId="0" fontId="14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4" fillId="0" borderId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6" fillId="0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6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center" vertical="top"/>
    </xf>
    <xf numFmtId="0" fontId="13" fillId="0" borderId="0">
      <alignment horizontal="center" vertical="top"/>
    </xf>
    <xf numFmtId="0" fontId="13" fillId="0" borderId="0">
      <alignment horizontal="left" vertical="top"/>
    </xf>
    <xf numFmtId="0" fontId="17" fillId="0" borderId="0">
      <alignment horizontal="left" vertical="top"/>
    </xf>
    <xf numFmtId="0" fontId="18" fillId="0" borderId="0">
      <alignment horizontal="left" vertical="top"/>
    </xf>
    <xf numFmtId="0" fontId="13" fillId="21" borderId="0">
      <alignment horizontal="center" vertical="top"/>
    </xf>
    <xf numFmtId="0" fontId="16" fillId="0" borderId="0">
      <alignment horizontal="left" vertical="top"/>
    </xf>
    <xf numFmtId="0" fontId="16" fillId="0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6" fillId="21" borderId="0">
      <alignment horizontal="righ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9" fillId="20" borderId="0">
      <alignment horizontal="right" vertical="top"/>
    </xf>
    <xf numFmtId="0" fontId="16" fillId="0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6" fillId="21" borderId="0">
      <alignment horizontal="righ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center" vertical="top"/>
    </xf>
    <xf numFmtId="0" fontId="13" fillId="0" borderId="0">
      <alignment horizontal="center" vertical="top"/>
    </xf>
    <xf numFmtId="0" fontId="13" fillId="0" borderId="0">
      <alignment horizontal="left" vertical="top"/>
    </xf>
    <xf numFmtId="0" fontId="20" fillId="0" borderId="0">
      <alignment horizontal="left" vertical="top"/>
    </xf>
    <xf numFmtId="0" fontId="21" fillId="0" borderId="0">
      <alignment horizontal="left" vertical="top"/>
    </xf>
    <xf numFmtId="0" fontId="13" fillId="21" borderId="0">
      <alignment horizontal="center" vertical="top"/>
    </xf>
    <xf numFmtId="0" fontId="16" fillId="0" borderId="0">
      <alignment horizontal="left" vertical="top"/>
    </xf>
    <xf numFmtId="0" fontId="16" fillId="0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22" fillId="21" borderId="0">
      <alignment horizontal="center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23" fillId="20" borderId="0">
      <alignment horizontal="center" vertical="top"/>
    </xf>
    <xf numFmtId="0" fontId="24" fillId="0" borderId="0">
      <alignment horizontal="right" vertical="top"/>
    </xf>
    <xf numFmtId="0" fontId="20" fillId="0" borderId="0">
      <alignment horizontal="left" vertical="top"/>
    </xf>
    <xf numFmtId="0" fontId="25" fillId="0" borderId="0">
      <alignment horizontal="left" vertical="top"/>
    </xf>
    <xf numFmtId="0" fontId="26" fillId="0" borderId="0">
      <alignment horizontal="left" vertical="top"/>
    </xf>
    <xf numFmtId="0" fontId="13" fillId="21" borderId="0">
      <alignment horizontal="left" vertical="top"/>
    </xf>
    <xf numFmtId="0" fontId="27" fillId="0" borderId="0">
      <alignment horizontal="left" vertical="top"/>
    </xf>
    <xf numFmtId="0" fontId="28" fillId="0" borderId="0">
      <alignment horizontal="right" vertical="top"/>
    </xf>
    <xf numFmtId="0" fontId="29" fillId="0" borderId="0">
      <alignment horizontal="right" vertical="center"/>
    </xf>
    <xf numFmtId="0" fontId="24" fillId="0" borderId="0">
      <alignment horizontal="lef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30" fillId="21" borderId="0">
      <alignment horizontal="left" vertical="top"/>
    </xf>
    <xf numFmtId="0" fontId="13" fillId="21" borderId="0">
      <alignment horizontal="left" vertical="top"/>
    </xf>
    <xf numFmtId="0" fontId="30" fillId="21" borderId="0">
      <alignment horizontal="left" vertical="top"/>
    </xf>
    <xf numFmtId="0" fontId="13" fillId="21" borderId="0">
      <alignment horizontal="left" vertical="top"/>
    </xf>
    <xf numFmtId="0" fontId="16" fillId="0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right" vertical="top"/>
    </xf>
    <xf numFmtId="0" fontId="13" fillId="0" borderId="0">
      <alignment horizontal="left" vertical="top"/>
    </xf>
    <xf numFmtId="0" fontId="13" fillId="0" borderId="0">
      <alignment horizontal="right" vertical="top"/>
    </xf>
    <xf numFmtId="0" fontId="20" fillId="0" borderId="0">
      <alignment horizontal="right" vertical="top"/>
    </xf>
    <xf numFmtId="0" fontId="13" fillId="20" borderId="0">
      <alignment horizontal="left" vertical="top"/>
    </xf>
    <xf numFmtId="0" fontId="31" fillId="0" borderId="0">
      <alignment horizontal="left" vertical="top"/>
    </xf>
    <xf numFmtId="0" fontId="13" fillId="21" borderId="0">
      <alignment horizontal="left" vertical="top"/>
    </xf>
    <xf numFmtId="0" fontId="27" fillId="0" borderId="0">
      <alignment horizontal="left" vertical="top"/>
    </xf>
    <xf numFmtId="0" fontId="28" fillId="0" borderId="0">
      <alignment horizontal="left" vertical="top"/>
    </xf>
    <xf numFmtId="0" fontId="27" fillId="0" borderId="0">
      <alignment horizontal="right" vertical="top"/>
    </xf>
    <xf numFmtId="0" fontId="16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8" fillId="21" borderId="0">
      <alignment horizontal="right" vertical="top"/>
    </xf>
    <xf numFmtId="0" fontId="13" fillId="21" borderId="0">
      <alignment horizontal="left" vertical="top"/>
    </xf>
    <xf numFmtId="0" fontId="28" fillId="21" borderId="0">
      <alignment horizontal="right" vertical="top"/>
    </xf>
    <xf numFmtId="0" fontId="13" fillId="0" borderId="0">
      <alignment horizontal="left" vertical="top"/>
    </xf>
    <xf numFmtId="0" fontId="13" fillId="0" borderId="0">
      <alignment horizontal="right" vertical="top"/>
    </xf>
    <xf numFmtId="0" fontId="13" fillId="0" borderId="0">
      <alignment horizontal="left" vertical="top"/>
    </xf>
    <xf numFmtId="0" fontId="20" fillId="0" borderId="0">
      <alignment horizontal="left" vertical="top"/>
    </xf>
    <xf numFmtId="0" fontId="20" fillId="0" borderId="0">
      <alignment horizontal="right" vertical="top"/>
    </xf>
    <xf numFmtId="0" fontId="28" fillId="0" borderId="0">
      <alignment horizontal="right" vertical="top"/>
    </xf>
    <xf numFmtId="0" fontId="25" fillId="0" borderId="0">
      <alignment horizontal="left" vertical="top"/>
    </xf>
    <xf numFmtId="0" fontId="16" fillId="0" borderId="0">
      <alignment horizontal="left" vertical="top"/>
    </xf>
    <xf numFmtId="0" fontId="24" fillId="0" borderId="0">
      <alignment horizontal="right" vertical="top"/>
    </xf>
    <xf numFmtId="0" fontId="13" fillId="0" borderId="0">
      <alignment horizontal="left" vertical="top"/>
    </xf>
    <xf numFmtId="0" fontId="20" fillId="0" borderId="0">
      <alignment horizontal="left" vertical="top"/>
    </xf>
    <xf numFmtId="0" fontId="28" fillId="0" borderId="0">
      <alignment horizontal="left" vertical="top"/>
    </xf>
    <xf numFmtId="0" fontId="28" fillId="0" borderId="0">
      <alignment horizontal="right" vertical="top"/>
    </xf>
    <xf numFmtId="0" fontId="13" fillId="0" borderId="0">
      <alignment horizontal="right" vertical="top"/>
    </xf>
    <xf numFmtId="0" fontId="27" fillId="0" borderId="0">
      <alignment horizontal="right" vertical="top"/>
    </xf>
    <xf numFmtId="0" fontId="16" fillId="0" borderId="0">
      <alignment horizontal="right" vertical="top"/>
    </xf>
    <xf numFmtId="0" fontId="24" fillId="0" borderId="0">
      <alignment horizontal="right" vertical="top"/>
    </xf>
    <xf numFmtId="0" fontId="32" fillId="0" borderId="0">
      <alignment horizontal="right" vertical="center"/>
    </xf>
    <xf numFmtId="0" fontId="31" fillId="0" borderId="0">
      <alignment horizontal="left" vertical="top"/>
    </xf>
    <xf numFmtId="0" fontId="33" fillId="20" borderId="0">
      <alignment horizontal="left" vertical="top"/>
    </xf>
    <xf numFmtId="0" fontId="13" fillId="0" borderId="0">
      <alignment horizontal="left" vertical="top"/>
    </xf>
    <xf numFmtId="0" fontId="33" fillId="20" borderId="0">
      <alignment horizontal="left" vertical="top"/>
    </xf>
    <xf numFmtId="0" fontId="28" fillId="0" borderId="0">
      <alignment horizontal="left" vertical="top"/>
    </xf>
    <xf numFmtId="0" fontId="13" fillId="0" borderId="0">
      <alignment horizontal="left" vertical="top"/>
    </xf>
    <xf numFmtId="0" fontId="27" fillId="0" borderId="0">
      <alignment horizontal="right" vertical="top"/>
    </xf>
    <xf numFmtId="0" fontId="34" fillId="0" borderId="0">
      <alignment horizontal="left" vertical="top"/>
    </xf>
    <xf numFmtId="0" fontId="16" fillId="0" borderId="0">
      <alignment horizontal="right" vertical="top"/>
    </xf>
    <xf numFmtId="0" fontId="31" fillId="0" borderId="0">
      <alignment horizontal="left" vertical="center"/>
    </xf>
    <xf numFmtId="0" fontId="35" fillId="22" borderId="0">
      <alignment horizontal="left" vertical="top"/>
    </xf>
    <xf numFmtId="0" fontId="35" fillId="0" borderId="0">
      <alignment horizontal="left" vertical="top"/>
    </xf>
    <xf numFmtId="0" fontId="13" fillId="0" borderId="0">
      <alignment horizontal="left" vertical="top"/>
    </xf>
    <xf numFmtId="0" fontId="16" fillId="0" borderId="0">
      <alignment horizontal="left" vertical="top"/>
    </xf>
    <xf numFmtId="0" fontId="16" fillId="0" borderId="0">
      <alignment horizontal="left" vertical="top"/>
    </xf>
    <xf numFmtId="0" fontId="16" fillId="0" borderId="0">
      <alignment horizontal="left" vertical="top"/>
    </xf>
    <xf numFmtId="0" fontId="16" fillId="0" borderId="0">
      <alignment horizontal="right" vertical="top"/>
    </xf>
    <xf numFmtId="0" fontId="32" fillId="0" borderId="0">
      <alignment horizontal="right" vertical="top"/>
    </xf>
    <xf numFmtId="0" fontId="35" fillId="0" borderId="0">
      <alignment horizontal="left" vertical="top"/>
    </xf>
    <xf numFmtId="0" fontId="16" fillId="0" borderId="0">
      <alignment horizontal="left" vertical="top"/>
    </xf>
    <xf numFmtId="0" fontId="32" fillId="0" borderId="0">
      <alignment horizontal="left" vertical="top"/>
    </xf>
    <xf numFmtId="0" fontId="32" fillId="0" borderId="0">
      <alignment horizontal="right" vertical="center"/>
    </xf>
    <xf numFmtId="0" fontId="32" fillId="23" borderId="0">
      <alignment horizontal="left" vertical="center"/>
    </xf>
    <xf numFmtId="0" fontId="32" fillId="23" borderId="0">
      <alignment horizontal="right" vertical="center"/>
    </xf>
    <xf numFmtId="0" fontId="16" fillId="0" borderId="0">
      <alignment horizontal="righ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36" fillId="21" borderId="0">
      <alignment horizontal="center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center" vertical="top"/>
    </xf>
    <xf numFmtId="0" fontId="13" fillId="0" borderId="0">
      <alignment horizontal="center" vertical="top"/>
    </xf>
    <xf numFmtId="0" fontId="13" fillId="0" borderId="0">
      <alignment horizontal="left" vertical="top"/>
    </xf>
    <xf numFmtId="0" fontId="37" fillId="0" borderId="0">
      <alignment horizontal="left" vertical="top"/>
    </xf>
    <xf numFmtId="0" fontId="38" fillId="0" borderId="0">
      <alignment horizontal="left" vertical="top"/>
    </xf>
    <xf numFmtId="0" fontId="13" fillId="21" borderId="0">
      <alignment horizontal="center" vertical="top"/>
    </xf>
    <xf numFmtId="0" fontId="16" fillId="0" borderId="0">
      <alignment horizontal="right" vertical="top"/>
    </xf>
    <xf numFmtId="0" fontId="16" fillId="0" borderId="0">
      <alignment horizontal="righ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39" fillId="21" borderId="0">
      <alignment horizontal="center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40" fillId="20" borderId="0">
      <alignment horizontal="center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31" fillId="0" borderId="0">
      <alignment horizontal="left" vertical="top"/>
    </xf>
    <xf numFmtId="0" fontId="24" fillId="22" borderId="0">
      <alignment horizontal="left" vertical="top"/>
    </xf>
    <xf numFmtId="0" fontId="24" fillId="22" borderId="0">
      <alignment horizontal="left" vertical="top"/>
    </xf>
    <xf numFmtId="0" fontId="24" fillId="22" borderId="0">
      <alignment horizontal="right" vertical="top"/>
    </xf>
    <xf numFmtId="0" fontId="31" fillId="22" borderId="0">
      <alignment horizontal="left" vertical="top"/>
    </xf>
    <xf numFmtId="0" fontId="32" fillId="23" borderId="0">
      <alignment horizontal="right" vertical="center"/>
    </xf>
    <xf numFmtId="0" fontId="35" fillId="23" borderId="0">
      <alignment horizontal="left" vertical="top"/>
    </xf>
    <xf numFmtId="0" fontId="41" fillId="0" borderId="0">
      <alignment horizontal="center" vertical="top"/>
    </xf>
    <xf numFmtId="0" fontId="41" fillId="0" borderId="0">
      <alignment horizontal="center" vertical="top"/>
    </xf>
    <xf numFmtId="0" fontId="42" fillId="21" borderId="0">
      <alignment horizontal="center" vertical="top"/>
    </xf>
    <xf numFmtId="0" fontId="13" fillId="21" borderId="0">
      <alignment horizontal="left" vertical="top"/>
    </xf>
    <xf numFmtId="0" fontId="38" fillId="21" borderId="0">
      <alignment horizontal="center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0" borderId="0">
      <alignment horizontal="left" vertical="top"/>
    </xf>
    <xf numFmtId="0" fontId="20" fillId="0" borderId="0">
      <alignment horizontal="left" vertical="top"/>
    </xf>
    <xf numFmtId="0" fontId="43" fillId="0" borderId="0">
      <alignment horizontal="left" vertical="top"/>
    </xf>
    <xf numFmtId="0" fontId="13" fillId="21" borderId="0">
      <alignment horizontal="left" vertical="top"/>
    </xf>
    <xf numFmtId="0" fontId="44" fillId="0" borderId="0">
      <alignment horizontal="center" vertical="top"/>
    </xf>
    <xf numFmtId="0" fontId="45" fillId="20" borderId="0">
      <alignment horizontal="center" vertical="top"/>
    </xf>
    <xf numFmtId="0" fontId="35" fillId="23" borderId="0">
      <alignment horizontal="left" vertical="top"/>
    </xf>
    <xf numFmtId="0" fontId="35" fillId="0" borderId="0">
      <alignment horizontal="left" vertical="top"/>
    </xf>
    <xf numFmtId="0" fontId="35" fillId="22" borderId="0">
      <alignment horizontal="left" vertical="top"/>
    </xf>
    <xf numFmtId="0" fontId="35" fillId="22" borderId="0">
      <alignment horizontal="left" vertical="top"/>
    </xf>
    <xf numFmtId="0" fontId="35" fillId="0" borderId="0">
      <alignment horizontal="left" vertical="top"/>
    </xf>
    <xf numFmtId="0" fontId="35" fillId="23" borderId="0">
      <alignment horizontal="left" vertical="top"/>
    </xf>
    <xf numFmtId="0" fontId="35" fillId="23" borderId="0">
      <alignment horizontal="left" vertical="top"/>
    </xf>
    <xf numFmtId="0" fontId="46" fillId="0" borderId="0">
      <alignment horizontal="center" vertical="top"/>
    </xf>
    <xf numFmtId="0" fontId="13" fillId="21" borderId="0">
      <alignment horizontal="left" vertical="top"/>
    </xf>
    <xf numFmtId="0" fontId="35" fillId="0" borderId="0">
      <alignment horizontal="left" vertical="top"/>
    </xf>
    <xf numFmtId="0" fontId="13" fillId="21" borderId="0">
      <alignment horizontal="left" vertical="top"/>
    </xf>
    <xf numFmtId="0" fontId="21" fillId="0" borderId="0">
      <alignment horizontal="center" vertical="top"/>
    </xf>
    <xf numFmtId="0" fontId="46" fillId="0" borderId="0">
      <alignment horizontal="center" vertical="top"/>
    </xf>
    <xf numFmtId="0" fontId="46" fillId="0" borderId="0">
      <alignment horizontal="center" vertical="top"/>
    </xf>
    <xf numFmtId="0" fontId="13" fillId="21" borderId="0">
      <alignment horizontal="left" vertical="top"/>
    </xf>
    <xf numFmtId="0" fontId="26" fillId="0" borderId="0">
      <alignment horizontal="left" vertical="top"/>
    </xf>
    <xf numFmtId="0" fontId="47" fillId="21" borderId="0">
      <alignment horizontal="center" vertical="top"/>
    </xf>
    <xf numFmtId="0" fontId="13" fillId="21" borderId="0">
      <alignment horizontal="left" vertical="top"/>
    </xf>
    <xf numFmtId="0" fontId="48" fillId="21" borderId="0">
      <alignment horizontal="left" vertical="top"/>
    </xf>
    <xf numFmtId="0" fontId="13" fillId="21" borderId="0">
      <alignment horizontal="left" vertical="top"/>
    </xf>
    <xf numFmtId="0" fontId="16" fillId="21" borderId="0">
      <alignment horizontal="left" vertical="top"/>
    </xf>
    <xf numFmtId="0" fontId="13" fillId="21" borderId="0">
      <alignment horizontal="left" vertical="top"/>
    </xf>
    <xf numFmtId="0" fontId="30" fillId="21" borderId="0">
      <alignment horizontal="left" vertical="top"/>
    </xf>
    <xf numFmtId="0" fontId="13" fillId="21" borderId="0">
      <alignment horizontal="left" vertical="top"/>
    </xf>
    <xf numFmtId="0" fontId="13" fillId="0" borderId="0">
      <alignment horizontal="left" vertical="top"/>
    </xf>
    <xf numFmtId="0" fontId="13" fillId="0" borderId="0">
      <alignment horizontal="left" vertical="top"/>
    </xf>
    <xf numFmtId="0" fontId="20" fillId="0" borderId="0">
      <alignment horizontal="left" vertical="top"/>
    </xf>
    <xf numFmtId="0" fontId="26" fillId="0" borderId="0">
      <alignment horizontal="left" vertical="top"/>
    </xf>
    <xf numFmtId="0" fontId="19" fillId="20" borderId="0">
      <alignment horizontal="left" vertical="top"/>
    </xf>
    <xf numFmtId="0" fontId="49" fillId="0" borderId="0">
      <alignment horizontal="center" vertical="top"/>
    </xf>
    <xf numFmtId="0" fontId="13" fillId="21" borderId="0">
      <alignment horizontal="left" vertical="top"/>
    </xf>
    <xf numFmtId="0" fontId="38" fillId="0" borderId="0">
      <alignment horizontal="center" vertical="top"/>
    </xf>
    <xf numFmtId="0" fontId="26" fillId="21" borderId="0">
      <alignment horizontal="left" vertical="top"/>
    </xf>
    <xf numFmtId="0" fontId="26" fillId="0" borderId="0">
      <alignment horizontal="left" vertical="top"/>
    </xf>
    <xf numFmtId="0" fontId="26" fillId="0" borderId="0">
      <alignment horizontal="left" vertical="top"/>
    </xf>
    <xf numFmtId="0" fontId="28" fillId="21" borderId="0">
      <alignment horizontal="left" vertical="center"/>
    </xf>
    <xf numFmtId="0" fontId="13" fillId="21" borderId="0">
      <alignment horizontal="left" vertical="top"/>
    </xf>
    <xf numFmtId="0" fontId="49" fillId="0" borderId="0">
      <alignment horizontal="center" vertical="top"/>
    </xf>
    <xf numFmtId="0" fontId="48" fillId="21" borderId="0">
      <alignment horizontal="right" vertical="top"/>
    </xf>
    <xf numFmtId="0" fontId="13" fillId="21" borderId="0">
      <alignment horizontal="left" vertical="top"/>
    </xf>
    <xf numFmtId="0" fontId="13" fillId="21" borderId="0">
      <alignment horizontal="right" vertical="top"/>
    </xf>
    <xf numFmtId="0" fontId="26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26" fillId="21" borderId="0">
      <alignment horizontal="left" vertical="top"/>
    </xf>
    <xf numFmtId="0" fontId="13" fillId="21" borderId="0">
      <alignment horizontal="left" vertical="top"/>
    </xf>
    <xf numFmtId="0" fontId="13" fillId="0" borderId="0">
      <alignment horizontal="left" vertical="top"/>
    </xf>
    <xf numFmtId="0" fontId="20" fillId="0" borderId="0">
      <alignment horizontal="left" vertical="top"/>
    </xf>
    <xf numFmtId="0" fontId="1" fillId="0" borderId="0">
      <alignment horizontal="left" vertical="top"/>
    </xf>
    <xf numFmtId="0" fontId="26" fillId="0" borderId="0">
      <alignment horizontal="left" vertical="top"/>
    </xf>
    <xf numFmtId="0" fontId="1" fillId="0" borderId="0">
      <alignment horizontal="left" vertical="top"/>
    </xf>
    <xf numFmtId="0" fontId="50" fillId="20" borderId="0">
      <alignment horizontal="left" vertical="top"/>
    </xf>
    <xf numFmtId="0" fontId="32" fillId="0" borderId="0">
      <alignment horizontal="left" vertical="center"/>
    </xf>
    <xf numFmtId="0" fontId="20" fillId="0" borderId="0">
      <alignment horizontal="right" vertical="top"/>
    </xf>
    <xf numFmtId="0" fontId="1" fillId="0" borderId="0">
      <alignment horizontal="right" vertical="top"/>
    </xf>
    <xf numFmtId="0" fontId="26" fillId="0" borderId="0">
      <alignment horizontal="right" vertical="top"/>
    </xf>
    <xf numFmtId="0" fontId="1" fillId="0" borderId="0">
      <alignment horizontal="right" vertical="top"/>
    </xf>
    <xf numFmtId="0" fontId="26" fillId="0" borderId="0">
      <alignment horizontal="left" vertical="top"/>
    </xf>
    <xf numFmtId="0" fontId="13" fillId="21" borderId="0">
      <alignment horizontal="right" vertical="top"/>
    </xf>
    <xf numFmtId="0" fontId="28" fillId="0" borderId="0">
      <alignment horizontal="left" vertical="top"/>
    </xf>
    <xf numFmtId="0" fontId="28" fillId="0" borderId="0">
      <alignment horizontal="center" vertical="center"/>
    </xf>
    <xf numFmtId="0" fontId="32" fillId="0" borderId="0">
      <alignment horizontal="left" vertical="center"/>
    </xf>
    <xf numFmtId="0" fontId="26" fillId="0" borderId="0">
      <alignment horizontal="right" vertical="top"/>
    </xf>
    <xf numFmtId="0" fontId="26" fillId="0" borderId="0">
      <alignment horizontal="right" vertical="top"/>
    </xf>
    <xf numFmtId="0" fontId="35" fillId="23" borderId="0">
      <alignment horizontal="left" vertical="top"/>
    </xf>
    <xf numFmtId="0" fontId="51" fillId="21" borderId="0">
      <alignment horizontal="left" vertical="top"/>
    </xf>
    <xf numFmtId="0" fontId="13" fillId="21" borderId="0">
      <alignment horizontal="right" vertical="top"/>
    </xf>
    <xf numFmtId="0" fontId="29" fillId="21" borderId="0">
      <alignment horizontal="left" vertical="top"/>
    </xf>
    <xf numFmtId="0" fontId="13" fillId="21" borderId="0">
      <alignment horizontal="left" vertical="top"/>
    </xf>
    <xf numFmtId="0" fontId="26" fillId="21" borderId="0">
      <alignment horizontal="left" vertical="top"/>
    </xf>
    <xf numFmtId="0" fontId="13" fillId="21" borderId="0">
      <alignment horizontal="left" vertical="top"/>
    </xf>
    <xf numFmtId="0" fontId="26" fillId="21" borderId="0">
      <alignment horizontal="right" vertical="top"/>
    </xf>
    <xf numFmtId="0" fontId="13" fillId="21" borderId="0">
      <alignment horizontal="right" vertical="top"/>
    </xf>
    <xf numFmtId="0" fontId="13" fillId="21" borderId="0">
      <alignment horizontal="right" vertical="top"/>
    </xf>
    <xf numFmtId="0" fontId="13" fillId="21" borderId="0">
      <alignment horizontal="right" vertical="top"/>
    </xf>
    <xf numFmtId="0" fontId="13" fillId="0" borderId="0">
      <alignment horizontal="left" vertical="top"/>
    </xf>
    <xf numFmtId="0" fontId="13" fillId="0" borderId="0">
      <alignment horizontal="right" vertical="top"/>
    </xf>
    <xf numFmtId="0" fontId="50" fillId="20" borderId="0">
      <alignment horizontal="left" vertical="top"/>
    </xf>
    <xf numFmtId="0" fontId="32" fillId="0" borderId="0">
      <alignment horizontal="right" vertical="center"/>
    </xf>
    <xf numFmtId="0" fontId="1" fillId="0" borderId="0">
      <alignment horizontal="left" vertical="top"/>
    </xf>
    <xf numFmtId="0" fontId="26" fillId="0" borderId="0">
      <alignment horizontal="left" vertical="top"/>
    </xf>
    <xf numFmtId="0" fontId="26" fillId="0" borderId="0">
      <alignment horizontal="left" vertical="top"/>
    </xf>
    <xf numFmtId="0" fontId="26" fillId="0" borderId="0">
      <alignment horizontal="right" vertical="top"/>
    </xf>
    <xf numFmtId="0" fontId="13" fillId="21" borderId="0">
      <alignment horizontal="left" vertical="top"/>
    </xf>
    <xf numFmtId="0" fontId="28" fillId="0" borderId="0">
      <alignment horizontal="left" vertical="top"/>
    </xf>
    <xf numFmtId="0" fontId="29" fillId="0" borderId="0">
      <alignment horizontal="left" vertical="center"/>
    </xf>
    <xf numFmtId="0" fontId="32" fillId="0" borderId="0">
      <alignment horizontal="left" vertical="center"/>
    </xf>
    <xf numFmtId="0" fontId="26" fillId="0" borderId="0">
      <alignment horizontal="left" vertical="top"/>
    </xf>
    <xf numFmtId="0" fontId="52" fillId="0" borderId="0">
      <alignment horizontal="left" vertical="top"/>
    </xf>
    <xf numFmtId="0" fontId="26" fillId="0" borderId="0">
      <alignment horizontal="left" vertical="top"/>
    </xf>
    <xf numFmtId="0" fontId="52" fillId="0" borderId="0">
      <alignment horizontal="left" vertical="top"/>
    </xf>
    <xf numFmtId="0" fontId="32" fillId="0" borderId="0">
      <alignment horizontal="left" vertical="center"/>
    </xf>
    <xf numFmtId="0" fontId="53" fillId="21" borderId="0">
      <alignment horizontal="left" vertical="top"/>
    </xf>
    <xf numFmtId="0" fontId="26" fillId="0" borderId="0">
      <alignment horizontal="left" vertical="top"/>
    </xf>
    <xf numFmtId="0" fontId="13" fillId="21" borderId="0">
      <alignment horizontal="left" vertical="top"/>
    </xf>
    <xf numFmtId="0" fontId="26" fillId="21" borderId="0">
      <alignment horizontal="right" vertical="top"/>
    </xf>
    <xf numFmtId="0" fontId="13" fillId="21" borderId="0">
      <alignment horizontal="righ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26" fillId="21" borderId="0">
      <alignment horizontal="left" vertical="top"/>
    </xf>
    <xf numFmtId="0" fontId="13" fillId="21" borderId="0">
      <alignment horizontal="left" vertical="top"/>
    </xf>
    <xf numFmtId="0" fontId="13" fillId="0" borderId="0">
      <alignment horizontal="right" vertical="top"/>
    </xf>
    <xf numFmtId="0" fontId="13" fillId="0" borderId="0">
      <alignment horizontal="left" vertical="top"/>
    </xf>
    <xf numFmtId="0" fontId="20" fillId="0" borderId="0">
      <alignment horizontal="left" vertical="top"/>
    </xf>
    <xf numFmtId="0" fontId="50" fillId="20" borderId="0">
      <alignment horizontal="right" vertical="top"/>
    </xf>
    <xf numFmtId="0" fontId="24" fillId="0" borderId="0">
      <alignment horizontal="left" vertical="top"/>
    </xf>
    <xf numFmtId="0" fontId="29" fillId="0" borderId="0">
      <alignment horizontal="left" vertical="center"/>
    </xf>
    <xf numFmtId="0" fontId="32" fillId="0" borderId="0">
      <alignment horizontal="right" vertical="center"/>
    </xf>
    <xf numFmtId="0" fontId="32" fillId="0" borderId="0">
      <alignment horizontal="right" vertical="center"/>
    </xf>
    <xf numFmtId="0" fontId="51" fillId="21" borderId="0">
      <alignment horizontal="left" vertical="top"/>
    </xf>
    <xf numFmtId="0" fontId="13" fillId="21" borderId="0">
      <alignment horizontal="left" vertical="top"/>
    </xf>
    <xf numFmtId="0" fontId="16" fillId="21" borderId="0">
      <alignment horizontal="right" vertical="top"/>
    </xf>
    <xf numFmtId="0" fontId="13" fillId="21" borderId="0">
      <alignment horizontal="left" vertical="top"/>
    </xf>
    <xf numFmtId="0" fontId="26" fillId="0" borderId="0">
      <alignment horizontal="left" vertical="top"/>
    </xf>
    <xf numFmtId="0" fontId="26" fillId="21" borderId="0">
      <alignment horizontal="left" vertical="top"/>
    </xf>
    <xf numFmtId="0" fontId="13" fillId="21" borderId="0">
      <alignment horizontal="left" vertical="top"/>
    </xf>
    <xf numFmtId="0" fontId="26" fillId="21" borderId="0">
      <alignment horizontal="left" vertical="top"/>
    </xf>
    <xf numFmtId="0" fontId="13" fillId="21" borderId="0">
      <alignment horizontal="left" vertical="top"/>
    </xf>
    <xf numFmtId="0" fontId="13" fillId="0" borderId="0">
      <alignment horizontal="left" vertical="top"/>
    </xf>
    <xf numFmtId="0" fontId="20" fillId="0" borderId="0">
      <alignment horizontal="left" vertical="top"/>
    </xf>
    <xf numFmtId="0" fontId="43" fillId="0" borderId="0">
      <alignment horizontal="left" vertical="top"/>
    </xf>
    <xf numFmtId="0" fontId="26" fillId="0" borderId="0">
      <alignment horizontal="left" vertical="top"/>
    </xf>
    <xf numFmtId="0" fontId="13" fillId="21" borderId="0">
      <alignment horizontal="left" vertical="top"/>
    </xf>
    <xf numFmtId="0" fontId="28" fillId="0" borderId="0">
      <alignment horizontal="right" vertical="top"/>
    </xf>
    <xf numFmtId="0" fontId="19" fillId="20" borderId="0">
      <alignment horizontal="right" vertical="top"/>
    </xf>
    <xf numFmtId="0" fontId="24" fillId="0" borderId="0">
      <alignment horizontal="left" vertical="top"/>
    </xf>
    <xf numFmtId="0" fontId="26" fillId="0" borderId="0">
      <alignment horizontal="left" vertical="top"/>
    </xf>
    <xf numFmtId="0" fontId="24" fillId="0" borderId="0">
      <alignment horizontal="left" vertical="top"/>
    </xf>
    <xf numFmtId="0" fontId="27" fillId="0" borderId="0">
      <alignment horizontal="left" vertical="top"/>
    </xf>
    <xf numFmtId="0" fontId="13" fillId="21" borderId="0">
      <alignment horizontal="right" vertical="top"/>
    </xf>
    <xf numFmtId="0" fontId="16" fillId="0" borderId="0">
      <alignment horizontal="left" vertical="top"/>
    </xf>
    <xf numFmtId="0" fontId="29" fillId="0" borderId="0">
      <alignment horizontal="center" vertical="center"/>
    </xf>
    <xf numFmtId="0" fontId="24" fillId="0" borderId="0">
      <alignment horizontal="left" vertical="top"/>
    </xf>
    <xf numFmtId="0" fontId="35" fillId="0" borderId="0">
      <alignment horizontal="left" vertical="top"/>
    </xf>
    <xf numFmtId="0" fontId="51" fillId="21" borderId="0">
      <alignment horizontal="right" vertical="top"/>
    </xf>
    <xf numFmtId="0" fontId="13" fillId="21" borderId="0">
      <alignment horizontal="right" vertical="top"/>
    </xf>
    <xf numFmtId="0" fontId="26" fillId="21" borderId="0">
      <alignment horizontal="right" vertical="top"/>
    </xf>
    <xf numFmtId="0" fontId="13" fillId="21" borderId="0">
      <alignment horizontal="left" vertical="top"/>
    </xf>
    <xf numFmtId="0" fontId="13" fillId="21" borderId="0">
      <alignment horizontal="right" vertical="top"/>
    </xf>
    <xf numFmtId="0" fontId="13" fillId="21" borderId="0">
      <alignment horizontal="right" vertical="top"/>
    </xf>
    <xf numFmtId="0" fontId="13" fillId="21" borderId="0">
      <alignment horizontal="right" vertical="top"/>
    </xf>
    <xf numFmtId="0" fontId="13" fillId="21" borderId="0">
      <alignment horizontal="left" vertical="top"/>
    </xf>
    <xf numFmtId="0" fontId="13" fillId="0" borderId="0">
      <alignment horizontal="left" vertical="top"/>
    </xf>
    <xf numFmtId="0" fontId="20" fillId="0" borderId="0">
      <alignment horizontal="left" vertical="top"/>
    </xf>
    <xf numFmtId="0" fontId="50" fillId="20" borderId="0">
      <alignment horizontal="right" vertical="top"/>
    </xf>
  </cellStyleXfs>
  <cellXfs count="55">
    <xf numFmtId="0" fontId="0" fillId="0" borderId="0" xfId="0"/>
    <xf numFmtId="0" fontId="2" fillId="0" borderId="0" xfId="0" applyFont="1"/>
    <xf numFmtId="0" fontId="5" fillId="16" borderId="11" xfId="0" applyFont="1" applyFill="1" applyBorder="1" applyAlignment="1">
      <alignment vertical="center"/>
    </xf>
    <xf numFmtId="0" fontId="4" fillId="16" borderId="13" xfId="0" applyNumberFormat="1" applyFont="1" applyFill="1" applyBorder="1" applyAlignment="1">
      <alignment horizontal="center" vertical="center"/>
    </xf>
    <xf numFmtId="0" fontId="4" fillId="16" borderId="11" xfId="0" applyFont="1" applyFill="1" applyBorder="1" applyAlignment="1">
      <alignment horizontal="center" vertical="center"/>
    </xf>
    <xf numFmtId="0" fontId="4" fillId="16" borderId="11" xfId="0" applyNumberFormat="1" applyFont="1" applyFill="1" applyBorder="1" applyAlignment="1">
      <alignment horizontal="center" vertical="center"/>
    </xf>
    <xf numFmtId="168" fontId="4" fillId="16" borderId="11" xfId="0" applyNumberFormat="1" applyFont="1" applyFill="1" applyBorder="1" applyAlignment="1">
      <alignment horizontal="center" vertical="center"/>
    </xf>
    <xf numFmtId="169" fontId="7" fillId="0" borderId="15" xfId="0" applyNumberFormat="1" applyFont="1" applyFill="1" applyBorder="1" applyAlignment="1">
      <alignment horizontal="center" vertical="center"/>
    </xf>
    <xf numFmtId="167" fontId="8" fillId="17" borderId="15" xfId="0" applyNumberFormat="1" applyFont="1" applyFill="1" applyBorder="1" applyAlignment="1">
      <alignment horizontal="center" vertical="center"/>
    </xf>
    <xf numFmtId="167" fontId="9" fillId="0" borderId="15" xfId="2" applyNumberFormat="1" applyFont="1" applyFill="1" applyBorder="1" applyAlignment="1">
      <alignment horizontal="center" vertical="center"/>
    </xf>
    <xf numFmtId="167" fontId="7" fillId="17" borderId="15" xfId="0" applyNumberFormat="1" applyFont="1" applyFill="1" applyBorder="1" applyAlignment="1">
      <alignment horizontal="center" vertical="center"/>
    </xf>
    <xf numFmtId="169" fontId="7" fillId="18" borderId="15" xfId="0" applyNumberFormat="1" applyFont="1" applyFill="1" applyBorder="1" applyAlignment="1">
      <alignment horizontal="center" vertical="center"/>
    </xf>
    <xf numFmtId="167" fontId="7" fillId="18" borderId="15" xfId="0" applyNumberFormat="1" applyFont="1" applyFill="1" applyBorder="1" applyAlignment="1">
      <alignment horizontal="center" vertical="center"/>
    </xf>
    <xf numFmtId="167" fontId="9" fillId="18" borderId="15" xfId="2" applyNumberFormat="1" applyFont="1" applyFill="1" applyBorder="1" applyAlignment="1">
      <alignment horizontal="center" vertical="center"/>
    </xf>
    <xf numFmtId="0" fontId="6" fillId="16" borderId="17" xfId="0" applyFont="1" applyFill="1" applyBorder="1" applyAlignment="1">
      <alignment horizontal="center" vertical="center" textRotation="180"/>
    </xf>
    <xf numFmtId="169" fontId="7" fillId="0" borderId="6" xfId="0" applyNumberFormat="1" applyFont="1" applyFill="1" applyBorder="1" applyAlignment="1">
      <alignment horizontal="center" vertical="center"/>
    </xf>
    <xf numFmtId="169" fontId="8" fillId="0" borderId="18" xfId="0" applyNumberFormat="1" applyFont="1" applyFill="1" applyBorder="1" applyAlignment="1">
      <alignment vertical="center"/>
    </xf>
    <xf numFmtId="169" fontId="8" fillId="0" borderId="19" xfId="0" applyNumberFormat="1" applyFont="1" applyFill="1" applyBorder="1" applyAlignment="1">
      <alignment vertical="center"/>
    </xf>
    <xf numFmtId="167" fontId="4" fillId="19" borderId="18" xfId="0" applyNumberFormat="1" applyFont="1" applyFill="1" applyBorder="1" applyAlignment="1">
      <alignment horizontal="center" vertical="center"/>
    </xf>
    <xf numFmtId="167" fontId="4" fillId="0" borderId="18" xfId="0" applyNumberFormat="1" applyFont="1" applyFill="1" applyBorder="1" applyAlignment="1">
      <alignment horizontal="center" vertical="center"/>
    </xf>
    <xf numFmtId="167" fontId="10" fillId="0" borderId="18" xfId="0" applyNumberFormat="1" applyFont="1" applyFill="1" applyBorder="1" applyAlignment="1">
      <alignment horizontal="center" vertical="center"/>
    </xf>
    <xf numFmtId="167" fontId="4" fillId="0" borderId="20" xfId="0" applyNumberFormat="1" applyFont="1" applyFill="1" applyBorder="1" applyAlignment="1">
      <alignment horizontal="center" vertical="center"/>
    </xf>
    <xf numFmtId="0" fontId="8" fillId="0" borderId="20" xfId="0" applyNumberFormat="1" applyFont="1" applyFill="1" applyBorder="1" applyAlignment="1">
      <alignment horizontal="center" vertical="center"/>
    </xf>
    <xf numFmtId="16" fontId="0" fillId="0" borderId="0" xfId="0" applyNumberFormat="1"/>
    <xf numFmtId="167" fontId="4" fillId="16" borderId="21" xfId="0" applyNumberFormat="1" applyFont="1" applyFill="1" applyBorder="1" applyAlignment="1">
      <alignment horizontal="center" vertical="center"/>
    </xf>
    <xf numFmtId="169" fontId="7" fillId="0" borderId="15" xfId="0" applyNumberFormat="1" applyFont="1" applyFill="1" applyBorder="1" applyAlignment="1">
      <alignment horizontal="center" vertical="center" wrapText="1"/>
    </xf>
    <xf numFmtId="167" fontId="8" fillId="18" borderId="15" xfId="0" applyNumberFormat="1" applyFont="1" applyFill="1" applyBorder="1" applyAlignment="1">
      <alignment horizontal="center" vertical="center"/>
    </xf>
    <xf numFmtId="0" fontId="0" fillId="24" borderId="21" xfId="0" applyFill="1" applyBorder="1"/>
    <xf numFmtId="0" fontId="0" fillId="25" borderId="21" xfId="0" applyFill="1" applyBorder="1"/>
    <xf numFmtId="0" fontId="0" fillId="26" borderId="21" xfId="0" applyFill="1" applyBorder="1"/>
    <xf numFmtId="10" fontId="0" fillId="16" borderId="21" xfId="0" applyNumberFormat="1" applyFill="1" applyBorder="1"/>
    <xf numFmtId="0" fontId="2" fillId="25" borderId="21" xfId="0" applyFont="1" applyFill="1" applyBorder="1" applyAlignment="1">
      <alignment vertical="center"/>
    </xf>
    <xf numFmtId="0" fontId="2" fillId="25" borderId="21" xfId="0" applyFont="1" applyFill="1" applyBorder="1" applyAlignment="1">
      <alignment vertical="center" wrapText="1"/>
    </xf>
    <xf numFmtId="0" fontId="4" fillId="16" borderId="6" xfId="0" applyNumberFormat="1" applyFont="1" applyFill="1" applyBorder="1" applyAlignment="1">
      <alignment horizontal="center" vertical="center"/>
    </xf>
    <xf numFmtId="0" fontId="4" fillId="16" borderId="10" xfId="0" applyNumberFormat="1" applyFont="1" applyFill="1" applyBorder="1" applyAlignment="1">
      <alignment horizontal="center" vertical="center"/>
    </xf>
    <xf numFmtId="0" fontId="4" fillId="16" borderId="8" xfId="0" applyFont="1" applyFill="1" applyBorder="1" applyAlignment="1">
      <alignment horizontal="center" vertical="center"/>
    </xf>
    <xf numFmtId="0" fontId="4" fillId="16" borderId="9" xfId="0" applyFont="1" applyFill="1" applyBorder="1" applyAlignment="1">
      <alignment horizontal="center" vertical="center"/>
    </xf>
    <xf numFmtId="0" fontId="2" fillId="25" borderId="22" xfId="0" applyFont="1" applyFill="1" applyBorder="1" applyAlignment="1">
      <alignment horizontal="center" vertical="center" wrapText="1"/>
    </xf>
    <xf numFmtId="0" fontId="2" fillId="25" borderId="23" xfId="0" applyFont="1" applyFill="1" applyBorder="1" applyAlignment="1">
      <alignment horizontal="center" vertical="center" wrapText="1"/>
    </xf>
    <xf numFmtId="0" fontId="2" fillId="25" borderId="24" xfId="0" applyFont="1" applyFill="1" applyBorder="1" applyAlignment="1">
      <alignment horizontal="center" vertical="center" wrapText="1"/>
    </xf>
    <xf numFmtId="0" fontId="6" fillId="16" borderId="6" xfId="0" applyFont="1" applyFill="1" applyBorder="1" applyAlignment="1">
      <alignment horizontal="center" vertical="center" textRotation="180"/>
    </xf>
    <xf numFmtId="0" fontId="6" fillId="16" borderId="16" xfId="0" applyFont="1" applyFill="1" applyBorder="1" applyAlignment="1">
      <alignment horizontal="center" vertical="center" textRotation="180"/>
    </xf>
    <xf numFmtId="169" fontId="4" fillId="0" borderId="18" xfId="0" applyNumberFormat="1" applyFont="1" applyFill="1" applyBorder="1" applyAlignment="1">
      <alignment horizontal="left" vertical="center" wrapText="1"/>
    </xf>
    <xf numFmtId="169" fontId="4" fillId="0" borderId="19" xfId="0" applyNumberFormat="1" applyFont="1" applyFill="1" applyBorder="1" applyAlignment="1">
      <alignment horizontal="left" vertical="center" wrapText="1"/>
    </xf>
    <xf numFmtId="166" fontId="3" fillId="15" borderId="2" xfId="1" applyNumberFormat="1" applyFont="1" applyFill="1" applyBorder="1" applyAlignment="1">
      <alignment horizontal="center" vertical="center"/>
    </xf>
    <xf numFmtId="166" fontId="3" fillId="15" borderId="3" xfId="1" applyNumberFormat="1" applyFont="1" applyFill="1" applyBorder="1" applyAlignment="1">
      <alignment horizontal="center" vertical="center"/>
    </xf>
    <xf numFmtId="166" fontId="3" fillId="15" borderId="4" xfId="1" applyNumberFormat="1" applyFont="1" applyFill="1" applyBorder="1" applyAlignment="1">
      <alignment horizontal="center" vertical="center"/>
    </xf>
    <xf numFmtId="166" fontId="3" fillId="15" borderId="5" xfId="1" applyNumberFormat="1" applyFont="1" applyFill="1" applyBorder="1" applyAlignment="1">
      <alignment horizontal="center" vertical="center"/>
    </xf>
    <xf numFmtId="0" fontId="4" fillId="16" borderId="6" xfId="0" applyFont="1" applyFill="1" applyBorder="1" applyAlignment="1">
      <alignment horizontal="center" vertical="center"/>
    </xf>
    <xf numFmtId="0" fontId="4" fillId="16" borderId="10" xfId="0" applyFont="1" applyFill="1" applyBorder="1" applyAlignment="1">
      <alignment horizontal="center" vertical="center"/>
    </xf>
    <xf numFmtId="167" fontId="5" fillId="16" borderId="12" xfId="0" applyNumberFormat="1" applyFont="1" applyFill="1" applyBorder="1" applyAlignment="1">
      <alignment horizontal="center" vertical="center"/>
    </xf>
    <xf numFmtId="167" fontId="5" fillId="16" borderId="14" xfId="0" applyNumberFormat="1" applyFont="1" applyFill="1" applyBorder="1" applyAlignment="1">
      <alignment horizontal="center" vertical="center"/>
    </xf>
    <xf numFmtId="167" fontId="5" fillId="16" borderId="13" xfId="0" applyNumberFormat="1" applyFont="1" applyFill="1" applyBorder="1" applyAlignment="1">
      <alignment horizontal="center" vertical="center"/>
    </xf>
    <xf numFmtId="0" fontId="5" fillId="16" borderId="7" xfId="0" applyFont="1" applyFill="1" applyBorder="1" applyAlignment="1">
      <alignment horizontal="center" vertical="center"/>
    </xf>
    <xf numFmtId="0" fontId="5" fillId="16" borderId="8" xfId="0" applyFont="1" applyFill="1" applyBorder="1" applyAlignment="1">
      <alignment horizontal="center" vertical="center"/>
    </xf>
  </cellXfs>
  <cellStyles count="1890">
    <cellStyle name="20% - Accent1 2" xfId="3"/>
    <cellStyle name="20% - Accent2 2" xfId="4"/>
    <cellStyle name="20% - Accent3 2" xfId="5"/>
    <cellStyle name="20% - Accent4 2" xfId="6"/>
    <cellStyle name="20% - Accent5 2" xfId="7"/>
    <cellStyle name="20% - Accent6 2" xfId="8"/>
    <cellStyle name="40% - Accent1 2" xfId="9"/>
    <cellStyle name="40% - Accent2 2" xfId="10"/>
    <cellStyle name="40% - Accent3 2" xfId="11"/>
    <cellStyle name="40% - Accent4 2" xfId="12"/>
    <cellStyle name="40% - Accent5 2" xfId="13"/>
    <cellStyle name="40% - Accent6 2" xfId="14"/>
    <cellStyle name="Comma [0] 10" xfId="15"/>
    <cellStyle name="Comma [0] 11" xfId="16"/>
    <cellStyle name="Comma [0] 2" xfId="17"/>
    <cellStyle name="Comma [0] 2 2" xfId="18"/>
    <cellStyle name="Comma [0] 2 2 2" xfId="19"/>
    <cellStyle name="Comma [0] 2 2 2 2" xfId="20"/>
    <cellStyle name="Comma [0] 2 3" xfId="21"/>
    <cellStyle name="Comma [0] 2 4" xfId="22"/>
    <cellStyle name="Comma [0] 3" xfId="23"/>
    <cellStyle name="Comma [0] 3 2" xfId="24"/>
    <cellStyle name="Comma [0] 4" xfId="25"/>
    <cellStyle name="Comma [0] 5" xfId="26"/>
    <cellStyle name="Comma [0] 6" xfId="27"/>
    <cellStyle name="Comma [0] 7" xfId="28"/>
    <cellStyle name="Comma [0] 8" xfId="29"/>
    <cellStyle name="Comma [0] 9" xfId="30"/>
    <cellStyle name="Comma 10" xfId="2"/>
    <cellStyle name="Comma 10 2" xfId="31"/>
    <cellStyle name="Comma 101 2" xfId="32"/>
    <cellStyle name="Comma 101 3" xfId="33"/>
    <cellStyle name="Comma 101 4" xfId="34"/>
    <cellStyle name="Comma 101 5" xfId="35"/>
    <cellStyle name="Comma 101 6" xfId="36"/>
    <cellStyle name="Comma 102 2" xfId="37"/>
    <cellStyle name="Comma 102 3" xfId="38"/>
    <cellStyle name="Comma 102 4" xfId="39"/>
    <cellStyle name="Comma 102 5" xfId="40"/>
    <cellStyle name="Comma 102 6" xfId="41"/>
    <cellStyle name="Comma 103 2" xfId="42"/>
    <cellStyle name="Comma 103 3" xfId="43"/>
    <cellStyle name="Comma 103 4" xfId="44"/>
    <cellStyle name="Comma 103 5" xfId="45"/>
    <cellStyle name="Comma 103 6" xfId="46"/>
    <cellStyle name="Comma 104" xfId="47"/>
    <cellStyle name="Comma 104 2" xfId="48"/>
    <cellStyle name="Comma 104 3" xfId="49"/>
    <cellStyle name="Comma 104 4" xfId="50"/>
    <cellStyle name="Comma 107 2" xfId="51"/>
    <cellStyle name="Comma 11" xfId="52"/>
    <cellStyle name="Comma 11 2" xfId="53"/>
    <cellStyle name="Comma 11 2 2" xfId="54"/>
    <cellStyle name="Comma 11 3" xfId="55"/>
    <cellStyle name="Comma 11 4" xfId="56"/>
    <cellStyle name="Comma 11 5" xfId="57"/>
    <cellStyle name="Comma 11 6" xfId="58"/>
    <cellStyle name="Comma 111 2" xfId="59"/>
    <cellStyle name="Comma 113 2" xfId="60"/>
    <cellStyle name="Comma 117 2" xfId="61"/>
    <cellStyle name="Comma 119 2" xfId="62"/>
    <cellStyle name="Comma 12" xfId="63"/>
    <cellStyle name="Comma 12 2" xfId="64"/>
    <cellStyle name="Comma 121 2" xfId="65"/>
    <cellStyle name="Comma 13" xfId="66"/>
    <cellStyle name="Comma 13 2" xfId="67"/>
    <cellStyle name="Comma 13 3" xfId="68"/>
    <cellStyle name="Comma 14" xfId="69"/>
    <cellStyle name="Comma 14 2" xfId="70"/>
    <cellStyle name="Comma 14 3" xfId="71"/>
    <cellStyle name="Comma 15" xfId="72"/>
    <cellStyle name="Comma 15 2" xfId="73"/>
    <cellStyle name="Comma 16" xfId="74"/>
    <cellStyle name="Comma 16 2" xfId="75"/>
    <cellStyle name="Comma 16 3" xfId="76"/>
    <cellStyle name="Comma 16 4" xfId="77"/>
    <cellStyle name="Comma 16 5" xfId="78"/>
    <cellStyle name="Comma 16 6" xfId="79"/>
    <cellStyle name="Comma 17" xfId="80"/>
    <cellStyle name="Comma 17 2" xfId="81"/>
    <cellStyle name="Comma 17 3" xfId="82"/>
    <cellStyle name="Comma 17 4" xfId="83"/>
    <cellStyle name="Comma 17 5" xfId="84"/>
    <cellStyle name="Comma 17 6" xfId="85"/>
    <cellStyle name="Comma 18" xfId="86"/>
    <cellStyle name="Comma 18 2" xfId="87"/>
    <cellStyle name="Comma 18 3" xfId="88"/>
    <cellStyle name="Comma 18 4" xfId="89"/>
    <cellStyle name="Comma 18 5" xfId="90"/>
    <cellStyle name="Comma 19" xfId="91"/>
    <cellStyle name="Comma 19 2" xfId="92"/>
    <cellStyle name="Comma 19 3" xfId="93"/>
    <cellStyle name="Comma 19 4" xfId="94"/>
    <cellStyle name="Comma 19 5" xfId="95"/>
    <cellStyle name="Comma 2" xfId="96"/>
    <cellStyle name="Comma 2 10" xfId="97"/>
    <cellStyle name="Comma 2 2" xfId="98"/>
    <cellStyle name="Comma 2 2 2" xfId="99"/>
    <cellStyle name="Comma 2 3" xfId="100"/>
    <cellStyle name="Comma 2 4" xfId="101"/>
    <cellStyle name="Comma 2 5" xfId="102"/>
    <cellStyle name="Comma 2 6" xfId="103"/>
    <cellStyle name="Comma 2 7" xfId="104"/>
    <cellStyle name="Comma 2 8" xfId="105"/>
    <cellStyle name="Comma 2 9" xfId="106"/>
    <cellStyle name="Comma 20" xfId="107"/>
    <cellStyle name="Comma 20 2" xfId="108"/>
    <cellStyle name="Comma 20 3" xfId="109"/>
    <cellStyle name="Comma 20 4" xfId="110"/>
    <cellStyle name="Comma 20 5" xfId="111"/>
    <cellStyle name="Comma 21" xfId="112"/>
    <cellStyle name="Comma 21 2" xfId="113"/>
    <cellStyle name="Comma 21 3" xfId="114"/>
    <cellStyle name="Comma 21 4" xfId="115"/>
    <cellStyle name="Comma 21 5" xfId="116"/>
    <cellStyle name="Comma 22" xfId="117"/>
    <cellStyle name="Comma 23" xfId="118"/>
    <cellStyle name="Comma 24" xfId="119"/>
    <cellStyle name="Comma 24 2" xfId="120"/>
    <cellStyle name="Comma 24 2 2" xfId="121"/>
    <cellStyle name="Comma 24 3" xfId="122"/>
    <cellStyle name="Comma 24 4" xfId="123"/>
    <cellStyle name="Comma 24 6" xfId="124"/>
    <cellStyle name="Comma 25" xfId="125"/>
    <cellStyle name="Comma 26" xfId="126"/>
    <cellStyle name="Comma 27" xfId="127"/>
    <cellStyle name="Comma 28" xfId="128"/>
    <cellStyle name="Comma 29" xfId="129"/>
    <cellStyle name="Comma 29 2" xfId="130"/>
    <cellStyle name="Comma 29 3" xfId="131"/>
    <cellStyle name="Comma 294" xfId="132"/>
    <cellStyle name="Comma 3" xfId="133"/>
    <cellStyle name="Comma 3 2" xfId="134"/>
    <cellStyle name="Comma 3 2 2" xfId="135"/>
    <cellStyle name="Comma 3 3" xfId="136"/>
    <cellStyle name="Comma 30" xfId="137"/>
    <cellStyle name="Comma 31" xfId="138"/>
    <cellStyle name="Comma 32" xfId="139"/>
    <cellStyle name="Comma 33" xfId="140"/>
    <cellStyle name="Comma 33 2" xfId="141"/>
    <cellStyle name="Comma 34" xfId="142"/>
    <cellStyle name="Comma 34 2" xfId="143"/>
    <cellStyle name="Comma 35" xfId="144"/>
    <cellStyle name="Comma 35 2" xfId="145"/>
    <cellStyle name="Comma 36" xfId="146"/>
    <cellStyle name="Comma 36 2" xfId="147"/>
    <cellStyle name="Comma 37" xfId="148"/>
    <cellStyle name="Comma 38" xfId="149"/>
    <cellStyle name="Comma 39" xfId="150"/>
    <cellStyle name="Comma 4" xfId="151"/>
    <cellStyle name="Comma 4 2" xfId="152"/>
    <cellStyle name="Comma 40" xfId="153"/>
    <cellStyle name="Comma 41" xfId="154"/>
    <cellStyle name="Comma 42" xfId="155"/>
    <cellStyle name="Comma 42 2" xfId="156"/>
    <cellStyle name="Comma 42 3" xfId="157"/>
    <cellStyle name="Comma 42 4" xfId="158"/>
    <cellStyle name="Comma 42 5" xfId="159"/>
    <cellStyle name="Comma 43" xfId="160"/>
    <cellStyle name="Comma 44" xfId="161"/>
    <cellStyle name="Comma 45" xfId="162"/>
    <cellStyle name="Comma 46" xfId="163"/>
    <cellStyle name="Comma 47" xfId="164"/>
    <cellStyle name="Comma 48" xfId="165"/>
    <cellStyle name="Comma 49" xfId="166"/>
    <cellStyle name="Comma 5" xfId="167"/>
    <cellStyle name="Comma 5 2" xfId="168"/>
    <cellStyle name="Comma 5 3" xfId="169"/>
    <cellStyle name="Comma 50" xfId="170"/>
    <cellStyle name="Comma 51" xfId="171"/>
    <cellStyle name="Comma 52" xfId="172"/>
    <cellStyle name="Comma 53" xfId="173"/>
    <cellStyle name="Comma 54" xfId="174"/>
    <cellStyle name="Comma 55" xfId="175"/>
    <cellStyle name="Comma 55 2" xfId="176"/>
    <cellStyle name="Comma 55 3" xfId="177"/>
    <cellStyle name="Comma 55 4" xfId="178"/>
    <cellStyle name="Comma 55 5" xfId="179"/>
    <cellStyle name="Comma 56" xfId="180"/>
    <cellStyle name="Comma 57" xfId="181"/>
    <cellStyle name="Comma 57 2" xfId="182"/>
    <cellStyle name="Comma 57 3" xfId="183"/>
    <cellStyle name="Comma 57 4" xfId="184"/>
    <cellStyle name="Comma 57 5" xfId="185"/>
    <cellStyle name="Comma 58" xfId="186"/>
    <cellStyle name="Comma 58 2" xfId="187"/>
    <cellStyle name="Comma 58 3" xfId="188"/>
    <cellStyle name="Comma 58 4" xfId="189"/>
    <cellStyle name="Comma 58 5" xfId="190"/>
    <cellStyle name="Comma 59" xfId="191"/>
    <cellStyle name="Comma 6" xfId="192"/>
    <cellStyle name="Comma 6 2" xfId="193"/>
    <cellStyle name="Comma 60" xfId="194"/>
    <cellStyle name="Comma 60 2" xfId="195"/>
    <cellStyle name="Comma 60 3" xfId="196"/>
    <cellStyle name="Comma 60 4" xfId="197"/>
    <cellStyle name="Comma 60 5" xfId="198"/>
    <cellStyle name="Comma 61" xfId="199"/>
    <cellStyle name="Comma 61 2" xfId="200"/>
    <cellStyle name="Comma 61 3" xfId="201"/>
    <cellStyle name="Comma 61 4" xfId="202"/>
    <cellStyle name="Comma 61 5" xfId="203"/>
    <cellStyle name="Comma 62" xfId="204"/>
    <cellStyle name="Comma 62 2" xfId="205"/>
    <cellStyle name="Comma 62 3" xfId="206"/>
    <cellStyle name="Comma 62 4" xfId="207"/>
    <cellStyle name="Comma 62 5" xfId="208"/>
    <cellStyle name="Comma 63" xfId="209"/>
    <cellStyle name="Comma 63 2" xfId="210"/>
    <cellStyle name="Comma 63 3" xfId="211"/>
    <cellStyle name="Comma 63 4" xfId="212"/>
    <cellStyle name="Comma 63 5" xfId="213"/>
    <cellStyle name="Comma 64" xfId="214"/>
    <cellStyle name="Comma 64 2" xfId="215"/>
    <cellStyle name="Comma 64 3" xfId="216"/>
    <cellStyle name="Comma 64 4" xfId="217"/>
    <cellStyle name="Comma 64 5" xfId="218"/>
    <cellStyle name="Comma 65" xfId="219"/>
    <cellStyle name="Comma 65 2" xfId="220"/>
    <cellStyle name="Comma 65 3" xfId="221"/>
    <cellStyle name="Comma 65 4" xfId="222"/>
    <cellStyle name="Comma 65 5" xfId="223"/>
    <cellStyle name="Comma 65 6" xfId="224"/>
    <cellStyle name="Comma 65 7" xfId="225"/>
    <cellStyle name="Comma 66" xfId="226"/>
    <cellStyle name="Comma 66 2" xfId="227"/>
    <cellStyle name="Comma 66 3" xfId="228"/>
    <cellStyle name="Comma 66 4" xfId="229"/>
    <cellStyle name="Comma 66 5" xfId="230"/>
    <cellStyle name="Comma 66 6" xfId="231"/>
    <cellStyle name="Comma 67" xfId="232"/>
    <cellStyle name="Comma 67 2" xfId="233"/>
    <cellStyle name="Comma 67 3" xfId="234"/>
    <cellStyle name="Comma 67 4" xfId="235"/>
    <cellStyle name="Comma 67 5" xfId="236"/>
    <cellStyle name="Comma 67 6" xfId="237"/>
    <cellStyle name="Comma 68" xfId="238"/>
    <cellStyle name="Comma 68 2" xfId="239"/>
    <cellStyle name="Comma 68 3" xfId="240"/>
    <cellStyle name="Comma 68 4" xfId="241"/>
    <cellStyle name="Comma 68 5" xfId="242"/>
    <cellStyle name="Comma 68 6" xfId="243"/>
    <cellStyle name="Comma 69" xfId="244"/>
    <cellStyle name="Comma 69 2" xfId="245"/>
    <cellStyle name="Comma 69 3" xfId="246"/>
    <cellStyle name="Comma 69 4" xfId="247"/>
    <cellStyle name="Comma 69 5" xfId="248"/>
    <cellStyle name="Comma 7" xfId="249"/>
    <cellStyle name="Comma 7 2" xfId="250"/>
    <cellStyle name="Comma 7 3" xfId="251"/>
    <cellStyle name="Comma 70" xfId="252"/>
    <cellStyle name="Comma 70 2" xfId="253"/>
    <cellStyle name="Comma 70 3" xfId="254"/>
    <cellStyle name="Comma 70 4" xfId="255"/>
    <cellStyle name="Comma 70 5" xfId="256"/>
    <cellStyle name="Comma 71" xfId="257"/>
    <cellStyle name="Comma 71 2" xfId="258"/>
    <cellStyle name="Comma 71 3" xfId="259"/>
    <cellStyle name="Comma 71 4" xfId="260"/>
    <cellStyle name="Comma 71 5" xfId="261"/>
    <cellStyle name="Comma 72" xfId="262"/>
    <cellStyle name="Comma 72 2" xfId="263"/>
    <cellStyle name="Comma 72 3" xfId="264"/>
    <cellStyle name="Comma 72 4" xfId="265"/>
    <cellStyle name="Comma 72 5" xfId="266"/>
    <cellStyle name="Comma 73" xfId="267"/>
    <cellStyle name="Comma 73 2" xfId="268"/>
    <cellStyle name="Comma 73 3" xfId="269"/>
    <cellStyle name="Comma 73 4" xfId="270"/>
    <cellStyle name="Comma 73 5" xfId="271"/>
    <cellStyle name="Comma 74" xfId="272"/>
    <cellStyle name="Comma 74 2" xfId="273"/>
    <cellStyle name="Comma 74 3" xfId="274"/>
    <cellStyle name="Comma 74 4" xfId="275"/>
    <cellStyle name="Comma 74 5" xfId="276"/>
    <cellStyle name="Comma 74 6" xfId="277"/>
    <cellStyle name="Comma 75" xfId="278"/>
    <cellStyle name="Comma 75 2" xfId="279"/>
    <cellStyle name="Comma 75 3" xfId="280"/>
    <cellStyle name="Comma 75 4" xfId="281"/>
    <cellStyle name="Comma 75 5" xfId="282"/>
    <cellStyle name="Comma 76" xfId="283"/>
    <cellStyle name="Comma 76 2" xfId="284"/>
    <cellStyle name="Comma 76 3" xfId="285"/>
    <cellStyle name="Comma 76 4" xfId="286"/>
    <cellStyle name="Comma 76 5" xfId="287"/>
    <cellStyle name="Comma 76 6" xfId="288"/>
    <cellStyle name="Comma 77" xfId="289"/>
    <cellStyle name="Comma 77 2" xfId="290"/>
    <cellStyle name="Comma 77 3" xfId="291"/>
    <cellStyle name="Comma 77 4" xfId="292"/>
    <cellStyle name="Comma 77 5" xfId="293"/>
    <cellStyle name="Comma 78" xfId="294"/>
    <cellStyle name="Comma 78 2" xfId="295"/>
    <cellStyle name="Comma 78 3" xfId="296"/>
    <cellStyle name="Comma 78 4" xfId="297"/>
    <cellStyle name="Comma 78 5" xfId="298"/>
    <cellStyle name="Comma 78 6" xfId="299"/>
    <cellStyle name="Comma 79" xfId="300"/>
    <cellStyle name="Comma 79 2" xfId="301"/>
    <cellStyle name="Comma 79 3" xfId="302"/>
    <cellStyle name="Comma 79 4" xfId="303"/>
    <cellStyle name="Comma 79 5" xfId="304"/>
    <cellStyle name="Comma 8" xfId="305"/>
    <cellStyle name="Comma 8 2" xfId="306"/>
    <cellStyle name="Comma 8 3" xfId="307"/>
    <cellStyle name="Comma 8 4" xfId="308"/>
    <cellStyle name="Comma 8 5" xfId="309"/>
    <cellStyle name="Comma 8 6" xfId="310"/>
    <cellStyle name="Comma 80" xfId="311"/>
    <cellStyle name="Comma 80 2" xfId="312"/>
    <cellStyle name="Comma 80 3" xfId="313"/>
    <cellStyle name="Comma 80 4" xfId="314"/>
    <cellStyle name="Comma 80 5" xfId="315"/>
    <cellStyle name="Comma 82 2" xfId="316"/>
    <cellStyle name="Comma 82 3" xfId="317"/>
    <cellStyle name="Comma 82 4" xfId="318"/>
    <cellStyle name="Comma 82 5" xfId="319"/>
    <cellStyle name="Comma 85 2" xfId="320"/>
    <cellStyle name="Comma 85 3" xfId="321"/>
    <cellStyle name="Comma 85 4" xfId="322"/>
    <cellStyle name="Comma 85 5" xfId="323"/>
    <cellStyle name="Comma 85 6" xfId="324"/>
    <cellStyle name="Comma 86 2" xfId="325"/>
    <cellStyle name="Comma 86 3" xfId="326"/>
    <cellStyle name="Comma 86 4" xfId="327"/>
    <cellStyle name="Comma 86 5" xfId="328"/>
    <cellStyle name="Comma 87 2" xfId="329"/>
    <cellStyle name="Comma 87 3" xfId="330"/>
    <cellStyle name="Comma 87 4" xfId="331"/>
    <cellStyle name="Comma 87 5" xfId="332"/>
    <cellStyle name="Comma 88 2" xfId="333"/>
    <cellStyle name="Comma 88 3" xfId="334"/>
    <cellStyle name="Comma 88 4" xfId="335"/>
    <cellStyle name="Comma 88 5" xfId="336"/>
    <cellStyle name="Comma 89 2" xfId="337"/>
    <cellStyle name="Comma 89 3" xfId="338"/>
    <cellStyle name="Comma 89 4" xfId="339"/>
    <cellStyle name="Comma 89 5" xfId="340"/>
    <cellStyle name="Comma 89 6" xfId="341"/>
    <cellStyle name="Comma 9" xfId="342"/>
    <cellStyle name="Comma 9 2" xfId="343"/>
    <cellStyle name="Comma 9 3" xfId="344"/>
    <cellStyle name="Comma 9 4" xfId="345"/>
    <cellStyle name="Comma 9 5" xfId="346"/>
    <cellStyle name="Comma 9 6" xfId="347"/>
    <cellStyle name="Comma 90 2" xfId="348"/>
    <cellStyle name="Comma 90 3" xfId="349"/>
    <cellStyle name="Comma 90 4" xfId="350"/>
    <cellStyle name="Comma 90 5" xfId="351"/>
    <cellStyle name="Comma 90 6" xfId="352"/>
    <cellStyle name="Comma 91 2" xfId="353"/>
    <cellStyle name="Comma 91 3" xfId="354"/>
    <cellStyle name="Comma 91 4" xfId="355"/>
    <cellStyle name="Comma 91 5" xfId="356"/>
    <cellStyle name="Comma 91 6" xfId="357"/>
    <cellStyle name="Comma 92 2" xfId="358"/>
    <cellStyle name="Comma 92 3" xfId="359"/>
    <cellStyle name="Comma 92 4" xfId="360"/>
    <cellStyle name="Comma 92 5" xfId="361"/>
    <cellStyle name="Comma 92 6" xfId="362"/>
    <cellStyle name="Comma 93 2" xfId="363"/>
    <cellStyle name="Comma 93 3" xfId="364"/>
    <cellStyle name="Comma 93 4" xfId="365"/>
    <cellStyle name="Comma 93 5" xfId="366"/>
    <cellStyle name="Comma 93 6" xfId="367"/>
    <cellStyle name="Comma 94 2" xfId="368"/>
    <cellStyle name="Comma 94 3" xfId="369"/>
    <cellStyle name="Comma 94 4" xfId="370"/>
    <cellStyle name="Comma 94 5" xfId="371"/>
    <cellStyle name="Comma 94 6" xfId="372"/>
    <cellStyle name="Comma 95 2" xfId="373"/>
    <cellStyle name="Comma 95 3" xfId="374"/>
    <cellStyle name="Comma 95 4" xfId="375"/>
    <cellStyle name="Comma 95 5" xfId="376"/>
    <cellStyle name="Comma 95 6" xfId="377"/>
    <cellStyle name="Comma 96 2" xfId="378"/>
    <cellStyle name="Comma 96 3" xfId="379"/>
    <cellStyle name="Comma 96 4" xfId="380"/>
    <cellStyle name="Comma 96 5" xfId="381"/>
    <cellStyle name="Comma 96 6" xfId="382"/>
    <cellStyle name="Comma 97 2" xfId="383"/>
    <cellStyle name="Comma 97 3" xfId="384"/>
    <cellStyle name="Comma 97 4" xfId="385"/>
    <cellStyle name="Comma 97 5" xfId="386"/>
    <cellStyle name="Comma 97 6" xfId="387"/>
    <cellStyle name="Comma 98 2" xfId="388"/>
    <cellStyle name="Comma 98 3" xfId="389"/>
    <cellStyle name="Comma 98 4" xfId="390"/>
    <cellStyle name="Comma 98 5" xfId="391"/>
    <cellStyle name="Comma 98 6" xfId="392"/>
    <cellStyle name="Comma 99 2" xfId="393"/>
    <cellStyle name="Comma 99 3" xfId="394"/>
    <cellStyle name="Comma 99 4" xfId="395"/>
    <cellStyle name="Comma 99 5" xfId="396"/>
    <cellStyle name="Comma 99 6" xfId="397"/>
    <cellStyle name="Hyperlink 2" xfId="398"/>
    <cellStyle name="Normal" xfId="0" builtinId="0"/>
    <cellStyle name="Normal 10" xfId="399"/>
    <cellStyle name="Normal 11" xfId="400"/>
    <cellStyle name="Normal 12" xfId="401"/>
    <cellStyle name="Normal 13" xfId="402"/>
    <cellStyle name="Normal 16" xfId="403"/>
    <cellStyle name="Normal 18" xfId="404"/>
    <cellStyle name="Normal 18 2" xfId="405"/>
    <cellStyle name="Normal 18 3" xfId="406"/>
    <cellStyle name="Normal 19" xfId="407"/>
    <cellStyle name="Normal 19 2" xfId="408"/>
    <cellStyle name="Normal 19 3" xfId="409"/>
    <cellStyle name="Normal 2" xfId="410"/>
    <cellStyle name="Normal 2 2" xfId="411"/>
    <cellStyle name="Normal 2 2 2" xfId="412"/>
    <cellStyle name="Normal 2 2 2 2" xfId="413"/>
    <cellStyle name="Normal 2 3" xfId="414"/>
    <cellStyle name="Normal 2 4" xfId="415"/>
    <cellStyle name="Normal 2 5" xfId="416"/>
    <cellStyle name="Normal 20" xfId="417"/>
    <cellStyle name="Normal 20 2" xfId="418"/>
    <cellStyle name="Normal 20 3" xfId="419"/>
    <cellStyle name="Normal 21" xfId="420"/>
    <cellStyle name="Normal 21 2" xfId="421"/>
    <cellStyle name="Normal 21 3" xfId="422"/>
    <cellStyle name="Normal 22" xfId="423"/>
    <cellStyle name="Normal 22 2" xfId="424"/>
    <cellStyle name="Normal 22 3" xfId="425"/>
    <cellStyle name="Normal 23" xfId="426"/>
    <cellStyle name="Normal 23 2" xfId="427"/>
    <cellStyle name="Normal 23 3" xfId="428"/>
    <cellStyle name="Normal 3" xfId="429"/>
    <cellStyle name="Normal 3 2" xfId="430"/>
    <cellStyle name="Normal 3 2 2" xfId="431"/>
    <cellStyle name="Normal 3 3" xfId="432"/>
    <cellStyle name="Normal 3 4" xfId="433"/>
    <cellStyle name="Normal 3 4 2" xfId="434"/>
    <cellStyle name="Normal 3 4 3" xfId="435"/>
    <cellStyle name="Normal 3 5" xfId="436"/>
    <cellStyle name="Normal 4" xfId="437"/>
    <cellStyle name="Normal 4 2" xfId="438"/>
    <cellStyle name="Normal 4 3" xfId="439"/>
    <cellStyle name="Normal 4 4" xfId="440"/>
    <cellStyle name="Normal 5" xfId="441"/>
    <cellStyle name="Normal 5 2" xfId="442"/>
    <cellStyle name="Normal 5 3" xfId="443"/>
    <cellStyle name="Normal 6" xfId="444"/>
    <cellStyle name="Normal 6 2" xfId="445"/>
    <cellStyle name="Normal 7" xfId="446"/>
    <cellStyle name="Normal 8" xfId="447"/>
    <cellStyle name="Normal 9" xfId="448"/>
    <cellStyle name="Note 10" xfId="449"/>
    <cellStyle name="Note 10 2" xfId="450"/>
    <cellStyle name="Note 10 3" xfId="451"/>
    <cellStyle name="Note 10 4" xfId="452"/>
    <cellStyle name="Note 10 5" xfId="453"/>
    <cellStyle name="Note 11" xfId="454"/>
    <cellStyle name="Note 11 2" xfId="455"/>
    <cellStyle name="Note 11 3" xfId="456"/>
    <cellStyle name="Note 11 4" xfId="457"/>
    <cellStyle name="Note 11 5" xfId="458"/>
    <cellStyle name="Note 12" xfId="459"/>
    <cellStyle name="Note 12 2" xfId="460"/>
    <cellStyle name="Note 12 3" xfId="461"/>
    <cellStyle name="Note 12 4" xfId="462"/>
    <cellStyle name="Note 12 5" xfId="463"/>
    <cellStyle name="Note 13" xfId="464"/>
    <cellStyle name="Note 13 2" xfId="465"/>
    <cellStyle name="Note 13 3" xfId="466"/>
    <cellStyle name="Note 13 4" xfId="467"/>
    <cellStyle name="Note 13 5" xfId="468"/>
    <cellStyle name="Note 14" xfId="469"/>
    <cellStyle name="Note 14 2" xfId="470"/>
    <cellStyle name="Note 14 3" xfId="471"/>
    <cellStyle name="Note 14 4" xfId="472"/>
    <cellStyle name="Note 14 5" xfId="473"/>
    <cellStyle name="Note 15" xfId="474"/>
    <cellStyle name="Note 15 2" xfId="475"/>
    <cellStyle name="Note 15 3" xfId="476"/>
    <cellStyle name="Note 15 4" xfId="477"/>
    <cellStyle name="Note 15 5" xfId="478"/>
    <cellStyle name="Note 16" xfId="479"/>
    <cellStyle name="Note 16 2" xfId="480"/>
    <cellStyle name="Note 16 3" xfId="481"/>
    <cellStyle name="Note 16 4" xfId="482"/>
    <cellStyle name="Note 16 5" xfId="483"/>
    <cellStyle name="Note 17" xfId="484"/>
    <cellStyle name="Note 17 2" xfId="485"/>
    <cellStyle name="Note 17 3" xfId="486"/>
    <cellStyle name="Note 17 4" xfId="487"/>
    <cellStyle name="Note 17 5" xfId="488"/>
    <cellStyle name="Note 18" xfId="489"/>
    <cellStyle name="Note 18 2" xfId="490"/>
    <cellStyle name="Note 18 3" xfId="491"/>
    <cellStyle name="Note 18 4" xfId="492"/>
    <cellStyle name="Note 18 5" xfId="493"/>
    <cellStyle name="Note 19" xfId="494"/>
    <cellStyle name="Note 19 2" xfId="495"/>
    <cellStyle name="Note 19 3" xfId="496"/>
    <cellStyle name="Note 19 4" xfId="497"/>
    <cellStyle name="Note 19 5" xfId="498"/>
    <cellStyle name="Note 2" xfId="499"/>
    <cellStyle name="Note 2 2" xfId="500"/>
    <cellStyle name="Note 2 3" xfId="501"/>
    <cellStyle name="Note 2 4" xfId="502"/>
    <cellStyle name="Note 2 5" xfId="503"/>
    <cellStyle name="Note 20" xfId="504"/>
    <cellStyle name="Note 20 2" xfId="505"/>
    <cellStyle name="Note 20 3" xfId="506"/>
    <cellStyle name="Note 20 4" xfId="507"/>
    <cellStyle name="Note 20 5" xfId="508"/>
    <cellStyle name="Note 21" xfId="509"/>
    <cellStyle name="Note 21 2" xfId="510"/>
    <cellStyle name="Note 21 3" xfId="511"/>
    <cellStyle name="Note 21 4" xfId="512"/>
    <cellStyle name="Note 21 5" xfId="513"/>
    <cellStyle name="Note 22" xfId="514"/>
    <cellStyle name="Note 22 2" xfId="515"/>
    <cellStyle name="Note 22 3" xfId="516"/>
    <cellStyle name="Note 22 4" xfId="517"/>
    <cellStyle name="Note 22 5" xfId="518"/>
    <cellStyle name="Note 23" xfId="519"/>
    <cellStyle name="Note 23 2" xfId="520"/>
    <cellStyle name="Note 23 3" xfId="521"/>
    <cellStyle name="Note 23 4" xfId="522"/>
    <cellStyle name="Note 23 5" xfId="523"/>
    <cellStyle name="Note 24" xfId="524"/>
    <cellStyle name="Note 24 2" xfId="525"/>
    <cellStyle name="Note 24 3" xfId="526"/>
    <cellStyle name="Note 24 4" xfId="527"/>
    <cellStyle name="Note 24 5" xfId="528"/>
    <cellStyle name="Note 25" xfId="529"/>
    <cellStyle name="Note 25 2" xfId="530"/>
    <cellStyle name="Note 25 3" xfId="531"/>
    <cellStyle name="Note 25 4" xfId="532"/>
    <cellStyle name="Note 25 5" xfId="533"/>
    <cellStyle name="Note 26" xfId="534"/>
    <cellStyle name="Note 26 2" xfId="535"/>
    <cellStyle name="Note 26 3" xfId="536"/>
    <cellStyle name="Note 26 4" xfId="537"/>
    <cellStyle name="Note 26 5" xfId="538"/>
    <cellStyle name="Note 27" xfId="539"/>
    <cellStyle name="Note 27 2" xfId="540"/>
    <cellStyle name="Note 27 3" xfId="541"/>
    <cellStyle name="Note 27 4" xfId="542"/>
    <cellStyle name="Note 27 5" xfId="543"/>
    <cellStyle name="Note 28" xfId="544"/>
    <cellStyle name="Note 28 2" xfId="545"/>
    <cellStyle name="Note 28 3" xfId="546"/>
    <cellStyle name="Note 28 4" xfId="547"/>
    <cellStyle name="Note 28 5" xfId="548"/>
    <cellStyle name="Note 29" xfId="549"/>
    <cellStyle name="Note 29 2" xfId="550"/>
    <cellStyle name="Note 29 3" xfId="551"/>
    <cellStyle name="Note 29 4" xfId="552"/>
    <cellStyle name="Note 29 5" xfId="553"/>
    <cellStyle name="Note 3" xfId="554"/>
    <cellStyle name="Note 3 2" xfId="555"/>
    <cellStyle name="Note 3 3" xfId="556"/>
    <cellStyle name="Note 3 4" xfId="557"/>
    <cellStyle name="Note 3 5" xfId="558"/>
    <cellStyle name="Note 30" xfId="559"/>
    <cellStyle name="Note 30 2" xfId="560"/>
    <cellStyle name="Note 30 3" xfId="561"/>
    <cellStyle name="Note 30 4" xfId="562"/>
    <cellStyle name="Note 30 5" xfId="563"/>
    <cellStyle name="Note 31" xfId="564"/>
    <cellStyle name="Note 31 2" xfId="565"/>
    <cellStyle name="Note 31 3" xfId="566"/>
    <cellStyle name="Note 31 4" xfId="567"/>
    <cellStyle name="Note 31 5" xfId="568"/>
    <cellStyle name="Note 32" xfId="569"/>
    <cellStyle name="Note 32 2" xfId="570"/>
    <cellStyle name="Note 32 3" xfId="571"/>
    <cellStyle name="Note 32 4" xfId="572"/>
    <cellStyle name="Note 32 5" xfId="573"/>
    <cellStyle name="Note 33" xfId="574"/>
    <cellStyle name="Note 33 2" xfId="575"/>
    <cellStyle name="Note 33 3" xfId="576"/>
    <cellStyle name="Note 33 4" xfId="577"/>
    <cellStyle name="Note 33 5" xfId="578"/>
    <cellStyle name="Note 34" xfId="579"/>
    <cellStyle name="Note 34 2" xfId="580"/>
    <cellStyle name="Note 34 3" xfId="581"/>
    <cellStyle name="Note 34 4" xfId="582"/>
    <cellStyle name="Note 34 5" xfId="583"/>
    <cellStyle name="Note 35" xfId="584"/>
    <cellStyle name="Note 35 2" xfId="585"/>
    <cellStyle name="Note 35 3" xfId="586"/>
    <cellStyle name="Note 35 4" xfId="587"/>
    <cellStyle name="Note 35 5" xfId="588"/>
    <cellStyle name="Note 36" xfId="589"/>
    <cellStyle name="Note 36 2" xfId="590"/>
    <cellStyle name="Note 36 3" xfId="591"/>
    <cellStyle name="Note 36 4" xfId="592"/>
    <cellStyle name="Note 36 5" xfId="593"/>
    <cellStyle name="Note 37" xfId="594"/>
    <cellStyle name="Note 37 2" xfId="595"/>
    <cellStyle name="Note 37 3" xfId="596"/>
    <cellStyle name="Note 37 4" xfId="597"/>
    <cellStyle name="Note 37 5" xfId="598"/>
    <cellStyle name="Note 38" xfId="599"/>
    <cellStyle name="Note 38 2" xfId="600"/>
    <cellStyle name="Note 38 3" xfId="601"/>
    <cellStyle name="Note 38 4" xfId="602"/>
    <cellStyle name="Note 38 5" xfId="603"/>
    <cellStyle name="Note 39" xfId="604"/>
    <cellStyle name="Note 39 2" xfId="605"/>
    <cellStyle name="Note 39 3" xfId="606"/>
    <cellStyle name="Note 39 4" xfId="607"/>
    <cellStyle name="Note 39 5" xfId="608"/>
    <cellStyle name="Note 4" xfId="609"/>
    <cellStyle name="Note 4 2" xfId="610"/>
    <cellStyle name="Note 4 3" xfId="611"/>
    <cellStyle name="Note 4 4" xfId="612"/>
    <cellStyle name="Note 4 5" xfId="613"/>
    <cellStyle name="Note 40" xfId="614"/>
    <cellStyle name="Note 40 2" xfId="615"/>
    <cellStyle name="Note 40 3" xfId="616"/>
    <cellStyle name="Note 40 4" xfId="617"/>
    <cellStyle name="Note 40 5" xfId="618"/>
    <cellStyle name="Note 41" xfId="619"/>
    <cellStyle name="Note 41 2" xfId="620"/>
    <cellStyle name="Note 41 3" xfId="621"/>
    <cellStyle name="Note 41 4" xfId="622"/>
    <cellStyle name="Note 41 5" xfId="623"/>
    <cellStyle name="Note 42" xfId="624"/>
    <cellStyle name="Note 42 2" xfId="625"/>
    <cellStyle name="Note 42 3" xfId="626"/>
    <cellStyle name="Note 42 4" xfId="627"/>
    <cellStyle name="Note 42 5" xfId="628"/>
    <cellStyle name="Note 43" xfId="629"/>
    <cellStyle name="Note 43 2" xfId="630"/>
    <cellStyle name="Note 43 3" xfId="631"/>
    <cellStyle name="Note 43 4" xfId="632"/>
    <cellStyle name="Note 43 5" xfId="633"/>
    <cellStyle name="Note 44" xfId="634"/>
    <cellStyle name="Note 44 2" xfId="635"/>
    <cellStyle name="Note 44 3" xfId="636"/>
    <cellStyle name="Note 44 4" xfId="637"/>
    <cellStyle name="Note 44 5" xfId="638"/>
    <cellStyle name="Note 45" xfId="639"/>
    <cellStyle name="Note 45 2" xfId="640"/>
    <cellStyle name="Note 45 3" xfId="641"/>
    <cellStyle name="Note 45 4" xfId="642"/>
    <cellStyle name="Note 45 5" xfId="643"/>
    <cellStyle name="Note 46" xfId="644"/>
    <cellStyle name="Note 46 2" xfId="645"/>
    <cellStyle name="Note 46 3" xfId="646"/>
    <cellStyle name="Note 46 4" xfId="647"/>
    <cellStyle name="Note 46 5" xfId="648"/>
    <cellStyle name="Note 47" xfId="649"/>
    <cellStyle name="Note 47 2" xfId="650"/>
    <cellStyle name="Note 47 3" xfId="651"/>
    <cellStyle name="Note 47 4" xfId="652"/>
    <cellStyle name="Note 47 5" xfId="653"/>
    <cellStyle name="Note 48" xfId="654"/>
    <cellStyle name="Note 48 2" xfId="655"/>
    <cellStyle name="Note 48 3" xfId="656"/>
    <cellStyle name="Note 48 4" xfId="657"/>
    <cellStyle name="Note 48 5" xfId="658"/>
    <cellStyle name="Note 49" xfId="659"/>
    <cellStyle name="Note 49 2" xfId="660"/>
    <cellStyle name="Note 49 3" xfId="661"/>
    <cellStyle name="Note 49 4" xfId="662"/>
    <cellStyle name="Note 49 5" xfId="663"/>
    <cellStyle name="Note 5" xfId="664"/>
    <cellStyle name="Note 5 2" xfId="665"/>
    <cellStyle name="Note 5 3" xfId="666"/>
    <cellStyle name="Note 5 4" xfId="667"/>
    <cellStyle name="Note 5 5" xfId="668"/>
    <cellStyle name="Note 50" xfId="669"/>
    <cellStyle name="Note 50 2" xfId="670"/>
    <cellStyle name="Note 50 3" xfId="671"/>
    <cellStyle name="Note 50 4" xfId="672"/>
    <cellStyle name="Note 50 5" xfId="673"/>
    <cellStyle name="Note 51" xfId="674"/>
    <cellStyle name="Note 51 2" xfId="675"/>
    <cellStyle name="Note 51 3" xfId="676"/>
    <cellStyle name="Note 51 4" xfId="677"/>
    <cellStyle name="Note 51 5" xfId="678"/>
    <cellStyle name="Note 52" xfId="679"/>
    <cellStyle name="Note 52 2" xfId="680"/>
    <cellStyle name="Note 52 3" xfId="681"/>
    <cellStyle name="Note 52 4" xfId="682"/>
    <cellStyle name="Note 52 5" xfId="683"/>
    <cellStyle name="Note 53" xfId="684"/>
    <cellStyle name="Note 53 2" xfId="685"/>
    <cellStyle name="Note 53 3" xfId="686"/>
    <cellStyle name="Note 53 4" xfId="687"/>
    <cellStyle name="Note 53 5" xfId="688"/>
    <cellStyle name="Note 54" xfId="689"/>
    <cellStyle name="Note 54 2" xfId="690"/>
    <cellStyle name="Note 54 3" xfId="691"/>
    <cellStyle name="Note 54 4" xfId="692"/>
    <cellStyle name="Note 54 5" xfId="693"/>
    <cellStyle name="Note 55" xfId="694"/>
    <cellStyle name="Note 55 2" xfId="695"/>
    <cellStyle name="Note 55 3" xfId="696"/>
    <cellStyle name="Note 55 4" xfId="697"/>
    <cellStyle name="Note 55 5" xfId="698"/>
    <cellStyle name="Note 56" xfId="699"/>
    <cellStyle name="Note 56 2" xfId="700"/>
    <cellStyle name="Note 56 3" xfId="701"/>
    <cellStyle name="Note 56 4" xfId="702"/>
    <cellStyle name="Note 56 5" xfId="703"/>
    <cellStyle name="Note 57" xfId="704"/>
    <cellStyle name="Note 57 2" xfId="705"/>
    <cellStyle name="Note 57 3" xfId="706"/>
    <cellStyle name="Note 57 4" xfId="707"/>
    <cellStyle name="Note 57 5" xfId="708"/>
    <cellStyle name="Note 58" xfId="709"/>
    <cellStyle name="Note 58 2" xfId="710"/>
    <cellStyle name="Note 58 3" xfId="711"/>
    <cellStyle name="Note 58 4" xfId="712"/>
    <cellStyle name="Note 58 5" xfId="713"/>
    <cellStyle name="Note 59" xfId="714"/>
    <cellStyle name="Note 59 2" xfId="715"/>
    <cellStyle name="Note 59 3" xfId="716"/>
    <cellStyle name="Note 59 4" xfId="717"/>
    <cellStyle name="Note 59 5" xfId="718"/>
    <cellStyle name="Note 6" xfId="719"/>
    <cellStyle name="Note 6 2" xfId="720"/>
    <cellStyle name="Note 6 3" xfId="721"/>
    <cellStyle name="Note 6 4" xfId="722"/>
    <cellStyle name="Note 6 5" xfId="723"/>
    <cellStyle name="Note 60" xfId="724"/>
    <cellStyle name="Note 60 2" xfId="725"/>
    <cellStyle name="Note 60 3" xfId="726"/>
    <cellStyle name="Note 60 4" xfId="727"/>
    <cellStyle name="Note 60 5" xfId="728"/>
    <cellStyle name="Note 61" xfId="729"/>
    <cellStyle name="Note 61 2" xfId="730"/>
    <cellStyle name="Note 61 3" xfId="731"/>
    <cellStyle name="Note 61 4" xfId="732"/>
    <cellStyle name="Note 61 5" xfId="733"/>
    <cellStyle name="Note 62" xfId="734"/>
    <cellStyle name="Note 62 2" xfId="735"/>
    <cellStyle name="Note 62 3" xfId="736"/>
    <cellStyle name="Note 62 4" xfId="737"/>
    <cellStyle name="Note 62 5" xfId="738"/>
    <cellStyle name="Note 63" xfId="739"/>
    <cellStyle name="Note 63 2" xfId="740"/>
    <cellStyle name="Note 63 3" xfId="741"/>
    <cellStyle name="Note 63 4" xfId="742"/>
    <cellStyle name="Note 63 5" xfId="743"/>
    <cellStyle name="Note 64" xfId="744"/>
    <cellStyle name="Note 64 2" xfId="745"/>
    <cellStyle name="Note 64 3" xfId="746"/>
    <cellStyle name="Note 64 4" xfId="747"/>
    <cellStyle name="Note 64 5" xfId="748"/>
    <cellStyle name="Note 65" xfId="749"/>
    <cellStyle name="Note 65 2" xfId="750"/>
    <cellStyle name="Note 65 3" xfId="751"/>
    <cellStyle name="Note 65 4" xfId="752"/>
    <cellStyle name="Note 65 5" xfId="753"/>
    <cellStyle name="Note 66" xfId="754"/>
    <cellStyle name="Note 66 2" xfId="755"/>
    <cellStyle name="Note 66 3" xfId="756"/>
    <cellStyle name="Note 66 4" xfId="757"/>
    <cellStyle name="Note 66 5" xfId="758"/>
    <cellStyle name="Note 67" xfId="759"/>
    <cellStyle name="Note 67 2" xfId="760"/>
    <cellStyle name="Note 67 3" xfId="761"/>
    <cellStyle name="Note 67 4" xfId="762"/>
    <cellStyle name="Note 67 5" xfId="763"/>
    <cellStyle name="Note 68" xfId="764"/>
    <cellStyle name="Note 68 2" xfId="765"/>
    <cellStyle name="Note 68 3" xfId="766"/>
    <cellStyle name="Note 68 4" xfId="767"/>
    <cellStyle name="Note 68 5" xfId="768"/>
    <cellStyle name="Note 69" xfId="769"/>
    <cellStyle name="Note 69 2" xfId="770"/>
    <cellStyle name="Note 69 3" xfId="771"/>
    <cellStyle name="Note 69 4" xfId="772"/>
    <cellStyle name="Note 69 5" xfId="773"/>
    <cellStyle name="Note 7" xfId="774"/>
    <cellStyle name="Note 7 2" xfId="775"/>
    <cellStyle name="Note 7 3" xfId="776"/>
    <cellStyle name="Note 7 4" xfId="777"/>
    <cellStyle name="Note 7 5" xfId="778"/>
    <cellStyle name="Note 70" xfId="779"/>
    <cellStyle name="Note 70 2" xfId="780"/>
    <cellStyle name="Note 70 3" xfId="781"/>
    <cellStyle name="Note 70 4" xfId="782"/>
    <cellStyle name="Note 70 5" xfId="783"/>
    <cellStyle name="Note 71" xfId="784"/>
    <cellStyle name="Note 71 2" xfId="785"/>
    <cellStyle name="Note 71 3" xfId="786"/>
    <cellStyle name="Note 71 4" xfId="787"/>
    <cellStyle name="Note 71 5" xfId="788"/>
    <cellStyle name="Note 72" xfId="789"/>
    <cellStyle name="Note 72 2" xfId="790"/>
    <cellStyle name="Note 72 3" xfId="791"/>
    <cellStyle name="Note 72 4" xfId="792"/>
    <cellStyle name="Note 72 5" xfId="793"/>
    <cellStyle name="Note 73" xfId="794"/>
    <cellStyle name="Note 73 2" xfId="795"/>
    <cellStyle name="Note 73 3" xfId="796"/>
    <cellStyle name="Note 73 4" xfId="797"/>
    <cellStyle name="Note 73 5" xfId="798"/>
    <cellStyle name="Note 74" xfId="799"/>
    <cellStyle name="Note 74 2" xfId="800"/>
    <cellStyle name="Note 74 3" xfId="801"/>
    <cellStyle name="Note 74 4" xfId="802"/>
    <cellStyle name="Note 74 5" xfId="803"/>
    <cellStyle name="Note 75" xfId="804"/>
    <cellStyle name="Note 75 2" xfId="805"/>
    <cellStyle name="Note 75 3" xfId="806"/>
    <cellStyle name="Note 75 4" xfId="807"/>
    <cellStyle name="Note 75 5" xfId="808"/>
    <cellStyle name="Note 76" xfId="809"/>
    <cellStyle name="Note 77" xfId="810"/>
    <cellStyle name="Note 78" xfId="811"/>
    <cellStyle name="Note 79" xfId="812"/>
    <cellStyle name="Note 8" xfId="813"/>
    <cellStyle name="Note 8 2" xfId="814"/>
    <cellStyle name="Note 8 3" xfId="815"/>
    <cellStyle name="Note 8 4" xfId="816"/>
    <cellStyle name="Note 8 5" xfId="817"/>
    <cellStyle name="Note 80" xfId="818"/>
    <cellStyle name="Note 81" xfId="819"/>
    <cellStyle name="Note 82" xfId="820"/>
    <cellStyle name="Note 83" xfId="821"/>
    <cellStyle name="Note 84" xfId="822"/>
    <cellStyle name="Note 85" xfId="823"/>
    <cellStyle name="Note 86" xfId="824"/>
    <cellStyle name="Note 87" xfId="825"/>
    <cellStyle name="Note 9" xfId="826"/>
    <cellStyle name="Note 9 2" xfId="827"/>
    <cellStyle name="Note 9 3" xfId="828"/>
    <cellStyle name="Note 9 4" xfId="829"/>
    <cellStyle name="Note 9 5" xfId="830"/>
    <cellStyle name="Percent" xfId="1" builtinId="5"/>
    <cellStyle name="Percent 2" xfId="831"/>
    <cellStyle name="Percent 2 2" xfId="832"/>
    <cellStyle name="Percent 3" xfId="833"/>
    <cellStyle name="S0" xfId="834"/>
    <cellStyle name="S0 10" xfId="835"/>
    <cellStyle name="S0 100" xfId="836"/>
    <cellStyle name="S0 101" xfId="837"/>
    <cellStyle name="S0 102" xfId="838"/>
    <cellStyle name="S0 103" xfId="839"/>
    <cellStyle name="S0 104" xfId="840"/>
    <cellStyle name="S0 105" xfId="841"/>
    <cellStyle name="S0 106" xfId="842"/>
    <cellStyle name="S0 107" xfId="843"/>
    <cellStyle name="S0 108" xfId="844"/>
    <cellStyle name="S0 109" xfId="845"/>
    <cellStyle name="S0 11" xfId="846"/>
    <cellStyle name="S0 110" xfId="847"/>
    <cellStyle name="S0 111" xfId="848"/>
    <cellStyle name="S0 112" xfId="849"/>
    <cellStyle name="S0 113" xfId="850"/>
    <cellStyle name="S0 114" xfId="851"/>
    <cellStyle name="S0 115" xfId="852"/>
    <cellStyle name="S0 116" xfId="853"/>
    <cellStyle name="S0 117" xfId="854"/>
    <cellStyle name="S0 118" xfId="855"/>
    <cellStyle name="S0 119" xfId="856"/>
    <cellStyle name="S0 12" xfId="857"/>
    <cellStyle name="S0 120" xfId="858"/>
    <cellStyle name="S0 121" xfId="859"/>
    <cellStyle name="S0 122" xfId="860"/>
    <cellStyle name="S0 123" xfId="861"/>
    <cellStyle name="S0 124" xfId="862"/>
    <cellStyle name="S0 125" xfId="863"/>
    <cellStyle name="S0 126" xfId="864"/>
    <cellStyle name="S0 127" xfId="865"/>
    <cellStyle name="S0 128" xfId="866"/>
    <cellStyle name="S0 129" xfId="867"/>
    <cellStyle name="S0 13" xfId="868"/>
    <cellStyle name="S0 130" xfId="869"/>
    <cellStyle name="S0 131" xfId="870"/>
    <cellStyle name="S0 132" xfId="871"/>
    <cellStyle name="S0 133" xfId="872"/>
    <cellStyle name="S0 134" xfId="873"/>
    <cellStyle name="S0 135" xfId="874"/>
    <cellStyle name="S0 136" xfId="875"/>
    <cellStyle name="S0 137" xfId="876"/>
    <cellStyle name="S0 138" xfId="877"/>
    <cellStyle name="S0 139" xfId="878"/>
    <cellStyle name="S0 14" xfId="879"/>
    <cellStyle name="S0 140" xfId="880"/>
    <cellStyle name="S0 141" xfId="881"/>
    <cellStyle name="S0 142" xfId="882"/>
    <cellStyle name="S0 143" xfId="883"/>
    <cellStyle name="S0 144" xfId="884"/>
    <cellStyle name="S0 145" xfId="885"/>
    <cellStyle name="S0 146" xfId="886"/>
    <cellStyle name="S0 147" xfId="887"/>
    <cellStyle name="S0 148" xfId="888"/>
    <cellStyle name="S0 149" xfId="889"/>
    <cellStyle name="S0 15" xfId="890"/>
    <cellStyle name="S0 150" xfId="891"/>
    <cellStyle name="S0 151" xfId="892"/>
    <cellStyle name="S0 152" xfId="893"/>
    <cellStyle name="S0 153" xfId="894"/>
    <cellStyle name="S0 154" xfId="895"/>
    <cellStyle name="S0 155" xfId="896"/>
    <cellStyle name="S0 156" xfId="897"/>
    <cellStyle name="S0 157" xfId="898"/>
    <cellStyle name="S0 158" xfId="899"/>
    <cellStyle name="S0 159" xfId="900"/>
    <cellStyle name="S0 16" xfId="901"/>
    <cellStyle name="S0 160" xfId="902"/>
    <cellStyle name="S0 161" xfId="903"/>
    <cellStyle name="S0 162" xfId="904"/>
    <cellStyle name="S0 163" xfId="905"/>
    <cellStyle name="S0 164" xfId="906"/>
    <cellStyle name="S0 165" xfId="907"/>
    <cellStyle name="S0 166" xfId="908"/>
    <cellStyle name="S0 167" xfId="909"/>
    <cellStyle name="S0 168" xfId="910"/>
    <cellStyle name="S0 169" xfId="911"/>
    <cellStyle name="S0 17" xfId="912"/>
    <cellStyle name="S0 170" xfId="913"/>
    <cellStyle name="S0 171" xfId="914"/>
    <cellStyle name="S0 172" xfId="915"/>
    <cellStyle name="S0 173" xfId="916"/>
    <cellStyle name="S0 174" xfId="917"/>
    <cellStyle name="S0 175" xfId="918"/>
    <cellStyle name="S0 176" xfId="919"/>
    <cellStyle name="S0 177" xfId="920"/>
    <cellStyle name="S0 178" xfId="921"/>
    <cellStyle name="S0 179" xfId="922"/>
    <cellStyle name="S0 18" xfId="923"/>
    <cellStyle name="S0 180" xfId="924"/>
    <cellStyle name="S0 181" xfId="925"/>
    <cellStyle name="S0 182" xfId="926"/>
    <cellStyle name="S0 183" xfId="927"/>
    <cellStyle name="S0 184" xfId="928"/>
    <cellStyle name="S0 185" xfId="929"/>
    <cellStyle name="S0 186" xfId="930"/>
    <cellStyle name="S0 187" xfId="931"/>
    <cellStyle name="S0 188" xfId="932"/>
    <cellStyle name="S0 189" xfId="933"/>
    <cellStyle name="S0 19" xfId="934"/>
    <cellStyle name="S0 190" xfId="935"/>
    <cellStyle name="S0 191" xfId="936"/>
    <cellStyle name="S0 192" xfId="937"/>
    <cellStyle name="S0 193" xfId="938"/>
    <cellStyle name="S0 194" xfId="939"/>
    <cellStyle name="S0 195" xfId="940"/>
    <cellStyle name="S0 196" xfId="941"/>
    <cellStyle name="S0 197" xfId="942"/>
    <cellStyle name="S0 198" xfId="943"/>
    <cellStyle name="S0 199" xfId="944"/>
    <cellStyle name="S0 2" xfId="945"/>
    <cellStyle name="S0 2 2" xfId="946"/>
    <cellStyle name="S0 20" xfId="947"/>
    <cellStyle name="S0 200" xfId="948"/>
    <cellStyle name="S0 201" xfId="949"/>
    <cellStyle name="S0 202" xfId="950"/>
    <cellStyle name="S0 203" xfId="951"/>
    <cellStyle name="S0 204" xfId="952"/>
    <cellStyle name="S0 205" xfId="953"/>
    <cellStyle name="S0 206" xfId="954"/>
    <cellStyle name="S0 207" xfId="955"/>
    <cellStyle name="S0 208" xfId="956"/>
    <cellStyle name="S0 209" xfId="957"/>
    <cellStyle name="S0 21" xfId="958"/>
    <cellStyle name="S0 210" xfId="959"/>
    <cellStyle name="S0 211" xfId="960"/>
    <cellStyle name="S0 212" xfId="961"/>
    <cellStyle name="S0 213" xfId="962"/>
    <cellStyle name="S0 214" xfId="963"/>
    <cellStyle name="S0 215" xfId="964"/>
    <cellStyle name="S0 216" xfId="965"/>
    <cellStyle name="S0 217" xfId="966"/>
    <cellStyle name="S0 218" xfId="967"/>
    <cellStyle name="S0 219" xfId="968"/>
    <cellStyle name="S0 22" xfId="969"/>
    <cellStyle name="S0 220" xfId="970"/>
    <cellStyle name="S0 221" xfId="971"/>
    <cellStyle name="S0 222" xfId="972"/>
    <cellStyle name="S0 223" xfId="973"/>
    <cellStyle name="S0 224" xfId="974"/>
    <cellStyle name="S0 225" xfId="975"/>
    <cellStyle name="S0 226" xfId="976"/>
    <cellStyle name="S0 227" xfId="977"/>
    <cellStyle name="S0 228" xfId="978"/>
    <cellStyle name="S0 229" xfId="979"/>
    <cellStyle name="S0 23" xfId="980"/>
    <cellStyle name="S0 230" xfId="981"/>
    <cellStyle name="S0 231" xfId="982"/>
    <cellStyle name="S0 232" xfId="983"/>
    <cellStyle name="S0 233" xfId="984"/>
    <cellStyle name="S0 234" xfId="985"/>
    <cellStyle name="S0 235" xfId="986"/>
    <cellStyle name="S0 236" xfId="987"/>
    <cellStyle name="S0 237" xfId="988"/>
    <cellStyle name="S0 238" xfId="989"/>
    <cellStyle name="S0 239" xfId="990"/>
    <cellStyle name="S0 24" xfId="991"/>
    <cellStyle name="S0 240" xfId="992"/>
    <cellStyle name="S0 241" xfId="993"/>
    <cellStyle name="S0 242" xfId="994"/>
    <cellStyle name="S0 243" xfId="995"/>
    <cellStyle name="S0 244" xfId="996"/>
    <cellStyle name="S0 245" xfId="997"/>
    <cellStyle name="S0 246" xfId="998"/>
    <cellStyle name="S0 247" xfId="999"/>
    <cellStyle name="S0 248" xfId="1000"/>
    <cellStyle name="S0 249" xfId="1001"/>
    <cellStyle name="S0 25" xfId="1002"/>
    <cellStyle name="S0 250" xfId="1003"/>
    <cellStyle name="S0 251" xfId="1004"/>
    <cellStyle name="S0 252" xfId="1005"/>
    <cellStyle name="S0 253" xfId="1006"/>
    <cellStyle name="S0 254" xfId="1007"/>
    <cellStyle name="S0 255" xfId="1008"/>
    <cellStyle name="S0 256" xfId="1009"/>
    <cellStyle name="S0 257" xfId="1010"/>
    <cellStyle name="S0 258" xfId="1011"/>
    <cellStyle name="S0 259" xfId="1012"/>
    <cellStyle name="S0 26" xfId="1013"/>
    <cellStyle name="S0 260" xfId="1014"/>
    <cellStyle name="S0 261" xfId="1015"/>
    <cellStyle name="S0 262" xfId="1016"/>
    <cellStyle name="S0 263" xfId="1017"/>
    <cellStyle name="S0 264" xfId="1018"/>
    <cellStyle name="S0 265" xfId="1019"/>
    <cellStyle name="S0 266" xfId="1020"/>
    <cellStyle name="S0 266 2" xfId="1021"/>
    <cellStyle name="S0 267" xfId="1022"/>
    <cellStyle name="S0 27" xfId="1023"/>
    <cellStyle name="S0 28" xfId="1024"/>
    <cellStyle name="S0 29" xfId="1025"/>
    <cellStyle name="S0 3" xfId="1026"/>
    <cellStyle name="S0 3 2" xfId="1027"/>
    <cellStyle name="S0 30" xfId="1028"/>
    <cellStyle name="S0 31" xfId="1029"/>
    <cellStyle name="S0 32" xfId="1030"/>
    <cellStyle name="S0 33" xfId="1031"/>
    <cellStyle name="S0 34" xfId="1032"/>
    <cellStyle name="S0 35" xfId="1033"/>
    <cellStyle name="S0 36" xfId="1034"/>
    <cellStyle name="S0 37" xfId="1035"/>
    <cellStyle name="S0 38" xfId="1036"/>
    <cellStyle name="S0 39" xfId="1037"/>
    <cellStyle name="S0 4" xfId="1038"/>
    <cellStyle name="S0 40" xfId="1039"/>
    <cellStyle name="S0 41" xfId="1040"/>
    <cellStyle name="S0 42" xfId="1041"/>
    <cellStyle name="S0 43" xfId="1042"/>
    <cellStyle name="S0 44" xfId="1043"/>
    <cellStyle name="S0 45" xfId="1044"/>
    <cellStyle name="S0 46" xfId="1045"/>
    <cellStyle name="S0 47" xfId="1046"/>
    <cellStyle name="S0 48" xfId="1047"/>
    <cellStyle name="S0 49" xfId="1048"/>
    <cellStyle name="S0 5" xfId="1049"/>
    <cellStyle name="S0 50" xfId="1050"/>
    <cellStyle name="S0 51" xfId="1051"/>
    <cellStyle name="S0 52" xfId="1052"/>
    <cellStyle name="S0 53" xfId="1053"/>
    <cellStyle name="S0 54" xfId="1054"/>
    <cellStyle name="S0 55" xfId="1055"/>
    <cellStyle name="S0 56" xfId="1056"/>
    <cellStyle name="S0 57" xfId="1057"/>
    <cellStyle name="S0 58" xfId="1058"/>
    <cellStyle name="S0 59" xfId="1059"/>
    <cellStyle name="S0 6" xfId="1060"/>
    <cellStyle name="S0 60" xfId="1061"/>
    <cellStyle name="S0 61" xfId="1062"/>
    <cellStyle name="S0 62" xfId="1063"/>
    <cellStyle name="S0 63" xfId="1064"/>
    <cellStyle name="S0 64" xfId="1065"/>
    <cellStyle name="S0 65" xfId="1066"/>
    <cellStyle name="S0 66" xfId="1067"/>
    <cellStyle name="S0 67" xfId="1068"/>
    <cellStyle name="S0 68" xfId="1069"/>
    <cellStyle name="S0 69" xfId="1070"/>
    <cellStyle name="S0 7" xfId="1071"/>
    <cellStyle name="S0 70" xfId="1072"/>
    <cellStyle name="S0 71" xfId="1073"/>
    <cellStyle name="S0 72" xfId="1074"/>
    <cellStyle name="S0 73" xfId="1075"/>
    <cellStyle name="S0 74" xfId="1076"/>
    <cellStyle name="S0 75" xfId="1077"/>
    <cellStyle name="S0 76" xfId="1078"/>
    <cellStyle name="S0 77" xfId="1079"/>
    <cellStyle name="S0 78" xfId="1080"/>
    <cellStyle name="S0 79" xfId="1081"/>
    <cellStyle name="S0 8" xfId="1082"/>
    <cellStyle name="S0 80" xfId="1083"/>
    <cellStyle name="S0 81" xfId="1084"/>
    <cellStyle name="S0 82" xfId="1085"/>
    <cellStyle name="S0 83" xfId="1086"/>
    <cellStyle name="S0 84" xfId="1087"/>
    <cellStyle name="S0 85" xfId="1088"/>
    <cellStyle name="S0 86" xfId="1089"/>
    <cellStyle name="S0 87" xfId="1090"/>
    <cellStyle name="S0 88" xfId="1091"/>
    <cellStyle name="S0 89" xfId="1092"/>
    <cellStyle name="S0 9" xfId="1093"/>
    <cellStyle name="S0 90" xfId="1094"/>
    <cellStyle name="S0 91" xfId="1095"/>
    <cellStyle name="S0 92" xfId="1096"/>
    <cellStyle name="S0 93" xfId="1097"/>
    <cellStyle name="S0 94" xfId="1098"/>
    <cellStyle name="S0 95" xfId="1099"/>
    <cellStyle name="S0 96" xfId="1100"/>
    <cellStyle name="S0 97" xfId="1101"/>
    <cellStyle name="S0 98" xfId="1102"/>
    <cellStyle name="S0 99" xfId="1103"/>
    <cellStyle name="S0_PENJKIU02" xfId="1104"/>
    <cellStyle name="S1" xfId="1105"/>
    <cellStyle name="S1 10" xfId="1106"/>
    <cellStyle name="S1 100" xfId="1107"/>
    <cellStyle name="S1 101" xfId="1108"/>
    <cellStyle name="S1 102" xfId="1109"/>
    <cellStyle name="S1 103" xfId="1110"/>
    <cellStyle name="S1 104" xfId="1111"/>
    <cellStyle name="S1 105" xfId="1112"/>
    <cellStyle name="S1 106" xfId="1113"/>
    <cellStyle name="S1 107" xfId="1114"/>
    <cellStyle name="S1 108" xfId="1115"/>
    <cellStyle name="S1 109" xfId="1116"/>
    <cellStyle name="S1 11" xfId="1117"/>
    <cellStyle name="S1 110" xfId="1118"/>
    <cellStyle name="S1 111" xfId="1119"/>
    <cellStyle name="S1 112" xfId="1120"/>
    <cellStyle name="S1 113" xfId="1121"/>
    <cellStyle name="S1 114" xfId="1122"/>
    <cellStyle name="S1 115" xfId="1123"/>
    <cellStyle name="S1 116" xfId="1124"/>
    <cellStyle name="S1 117" xfId="1125"/>
    <cellStyle name="S1 118" xfId="1126"/>
    <cellStyle name="S1 119" xfId="1127"/>
    <cellStyle name="S1 12" xfId="1128"/>
    <cellStyle name="S1 120" xfId="1129"/>
    <cellStyle name="S1 121" xfId="1130"/>
    <cellStyle name="S1 122" xfId="1131"/>
    <cellStyle name="S1 123" xfId="1132"/>
    <cellStyle name="S1 124" xfId="1133"/>
    <cellStyle name="S1 125" xfId="1134"/>
    <cellStyle name="S1 126" xfId="1135"/>
    <cellStyle name="S1 127" xfId="1136"/>
    <cellStyle name="S1 128" xfId="1137"/>
    <cellStyle name="S1 129" xfId="1138"/>
    <cellStyle name="S1 13" xfId="1139"/>
    <cellStyle name="S1 130" xfId="1140"/>
    <cellStyle name="S1 131" xfId="1141"/>
    <cellStyle name="S1 132" xfId="1142"/>
    <cellStyle name="S1 133" xfId="1143"/>
    <cellStyle name="S1 134" xfId="1144"/>
    <cellStyle name="S1 135" xfId="1145"/>
    <cellStyle name="S1 136" xfId="1146"/>
    <cellStyle name="S1 137" xfId="1147"/>
    <cellStyle name="S1 138" xfId="1148"/>
    <cellStyle name="S1 139" xfId="1149"/>
    <cellStyle name="S1 14" xfId="1150"/>
    <cellStyle name="S1 140" xfId="1151"/>
    <cellStyle name="S1 141" xfId="1152"/>
    <cellStyle name="S1 142" xfId="1153"/>
    <cellStyle name="S1 143" xfId="1154"/>
    <cellStyle name="S1 144" xfId="1155"/>
    <cellStyle name="S1 145" xfId="1156"/>
    <cellStyle name="S1 146" xfId="1157"/>
    <cellStyle name="S1 147" xfId="1158"/>
    <cellStyle name="S1 148" xfId="1159"/>
    <cellStyle name="S1 149" xfId="1160"/>
    <cellStyle name="S1 15" xfId="1161"/>
    <cellStyle name="S1 150" xfId="1162"/>
    <cellStyle name="S1 151" xfId="1163"/>
    <cellStyle name="S1 152" xfId="1164"/>
    <cellStyle name="S1 153" xfId="1165"/>
    <cellStyle name="S1 154" xfId="1166"/>
    <cellStyle name="S1 155" xfId="1167"/>
    <cellStyle name="S1 156" xfId="1168"/>
    <cellStyle name="S1 157" xfId="1169"/>
    <cellStyle name="S1 158" xfId="1170"/>
    <cellStyle name="S1 159" xfId="1171"/>
    <cellStyle name="S1 16" xfId="1172"/>
    <cellStyle name="S1 160" xfId="1173"/>
    <cellStyle name="S1 161" xfId="1174"/>
    <cellStyle name="S1 162" xfId="1175"/>
    <cellStyle name="S1 163" xfId="1176"/>
    <cellStyle name="S1 164" xfId="1177"/>
    <cellStyle name="S1 165" xfId="1178"/>
    <cellStyle name="S1 166" xfId="1179"/>
    <cellStyle name="S1 167" xfId="1180"/>
    <cellStyle name="S1 168" xfId="1181"/>
    <cellStyle name="S1 169" xfId="1182"/>
    <cellStyle name="S1 17" xfId="1183"/>
    <cellStyle name="S1 170" xfId="1184"/>
    <cellStyle name="S1 171" xfId="1185"/>
    <cellStyle name="S1 172" xfId="1186"/>
    <cellStyle name="S1 173" xfId="1187"/>
    <cellStyle name="S1 174" xfId="1188"/>
    <cellStyle name="S1 175" xfId="1189"/>
    <cellStyle name="S1 176" xfId="1190"/>
    <cellStyle name="S1 177" xfId="1191"/>
    <cellStyle name="S1 178" xfId="1192"/>
    <cellStyle name="S1 179" xfId="1193"/>
    <cellStyle name="S1 18" xfId="1194"/>
    <cellStyle name="S1 180" xfId="1195"/>
    <cellStyle name="S1 181" xfId="1196"/>
    <cellStyle name="S1 182" xfId="1197"/>
    <cellStyle name="S1 183" xfId="1198"/>
    <cellStyle name="S1 184" xfId="1199"/>
    <cellStyle name="S1 185" xfId="1200"/>
    <cellStyle name="S1 186" xfId="1201"/>
    <cellStyle name="S1 187" xfId="1202"/>
    <cellStyle name="S1 188" xfId="1203"/>
    <cellStyle name="S1 189" xfId="1204"/>
    <cellStyle name="S1 19" xfId="1205"/>
    <cellStyle name="S1 190" xfId="1206"/>
    <cellStyle name="S1 191" xfId="1207"/>
    <cellStyle name="S1 192" xfId="1208"/>
    <cellStyle name="S1 193" xfId="1209"/>
    <cellStyle name="S1 194" xfId="1210"/>
    <cellStyle name="S1 195" xfId="1211"/>
    <cellStyle name="S1 196" xfId="1212"/>
    <cellStyle name="S1 197" xfId="1213"/>
    <cellStyle name="S1 198" xfId="1214"/>
    <cellStyle name="S1 199" xfId="1215"/>
    <cellStyle name="S1 2" xfId="1216"/>
    <cellStyle name="S1 2 2" xfId="1217"/>
    <cellStyle name="S1 20" xfId="1218"/>
    <cellStyle name="S1 200" xfId="1219"/>
    <cellStyle name="S1 201" xfId="1220"/>
    <cellStyle name="S1 202" xfId="1221"/>
    <cellStyle name="S1 203" xfId="1222"/>
    <cellStyle name="S1 204" xfId="1223"/>
    <cellStyle name="S1 205" xfId="1224"/>
    <cellStyle name="S1 206" xfId="1225"/>
    <cellStyle name="S1 207" xfId="1226"/>
    <cellStyle name="S1 208" xfId="1227"/>
    <cellStyle name="S1 209" xfId="1228"/>
    <cellStyle name="S1 21" xfId="1229"/>
    <cellStyle name="S1 210" xfId="1230"/>
    <cellStyle name="S1 211" xfId="1231"/>
    <cellStyle name="S1 212" xfId="1232"/>
    <cellStyle name="S1 213" xfId="1233"/>
    <cellStyle name="S1 214" xfId="1234"/>
    <cellStyle name="S1 215" xfId="1235"/>
    <cellStyle name="S1 216" xfId="1236"/>
    <cellStyle name="S1 217" xfId="1237"/>
    <cellStyle name="S1 218" xfId="1238"/>
    <cellStyle name="S1 219" xfId="1239"/>
    <cellStyle name="S1 22" xfId="1240"/>
    <cellStyle name="S1 220" xfId="1241"/>
    <cellStyle name="S1 221" xfId="1242"/>
    <cellStyle name="S1 222" xfId="1243"/>
    <cellStyle name="S1 223" xfId="1244"/>
    <cellStyle name="S1 224" xfId="1245"/>
    <cellStyle name="S1 225" xfId="1246"/>
    <cellStyle name="S1 226" xfId="1247"/>
    <cellStyle name="S1 227" xfId="1248"/>
    <cellStyle name="S1 228" xfId="1249"/>
    <cellStyle name="S1 229" xfId="1250"/>
    <cellStyle name="S1 23" xfId="1251"/>
    <cellStyle name="S1 230" xfId="1252"/>
    <cellStyle name="S1 231" xfId="1253"/>
    <cellStyle name="S1 232" xfId="1254"/>
    <cellStyle name="S1 233" xfId="1255"/>
    <cellStyle name="S1 234" xfId="1256"/>
    <cellStyle name="S1 235" xfId="1257"/>
    <cellStyle name="S1 236" xfId="1258"/>
    <cellStyle name="S1 237" xfId="1259"/>
    <cellStyle name="S1 238" xfId="1260"/>
    <cellStyle name="S1 239" xfId="1261"/>
    <cellStyle name="S1 24" xfId="1262"/>
    <cellStyle name="S1 240" xfId="1263"/>
    <cellStyle name="S1 241" xfId="1264"/>
    <cellStyle name="S1 242" xfId="1265"/>
    <cellStyle name="S1 243" xfId="1266"/>
    <cellStyle name="S1 244" xfId="1267"/>
    <cellStyle name="S1 245" xfId="1268"/>
    <cellStyle name="S1 246" xfId="1269"/>
    <cellStyle name="S1 247" xfId="1270"/>
    <cellStyle name="S1 248" xfId="1271"/>
    <cellStyle name="S1 249" xfId="1272"/>
    <cellStyle name="S1 25" xfId="1273"/>
    <cellStyle name="S1 250" xfId="1274"/>
    <cellStyle name="S1 251" xfId="1275"/>
    <cellStyle name="S1 252" xfId="1276"/>
    <cellStyle name="S1 253" xfId="1277"/>
    <cellStyle name="S1 254" xfId="1278"/>
    <cellStyle name="S1 255" xfId="1279"/>
    <cellStyle name="S1 256" xfId="1280"/>
    <cellStyle name="S1 257" xfId="1281"/>
    <cellStyle name="S1 258" xfId="1282"/>
    <cellStyle name="S1 259" xfId="1283"/>
    <cellStyle name="S1 26" xfId="1284"/>
    <cellStyle name="S1 260" xfId="1285"/>
    <cellStyle name="S1 261" xfId="1286"/>
    <cellStyle name="S1 262" xfId="1287"/>
    <cellStyle name="S1 263" xfId="1288"/>
    <cellStyle name="S1 264" xfId="1289"/>
    <cellStyle name="S1 265" xfId="1290"/>
    <cellStyle name="S1 265 2" xfId="1291"/>
    <cellStyle name="S1 266" xfId="1292"/>
    <cellStyle name="S1 27" xfId="1293"/>
    <cellStyle name="S1 28" xfId="1294"/>
    <cellStyle name="S1 29" xfId="1295"/>
    <cellStyle name="S1 3" xfId="1296"/>
    <cellStyle name="S1 3 2" xfId="1297"/>
    <cellStyle name="S1 30" xfId="1298"/>
    <cellStyle name="S1 31" xfId="1299"/>
    <cellStyle name="S1 32" xfId="1300"/>
    <cellStyle name="S1 33" xfId="1301"/>
    <cellStyle name="S1 34" xfId="1302"/>
    <cellStyle name="S1 35" xfId="1303"/>
    <cellStyle name="S1 36" xfId="1304"/>
    <cellStyle name="S1 37" xfId="1305"/>
    <cellStyle name="S1 38" xfId="1306"/>
    <cellStyle name="S1 39" xfId="1307"/>
    <cellStyle name="S1 4" xfId="1308"/>
    <cellStyle name="S1 40" xfId="1309"/>
    <cellStyle name="S1 41" xfId="1310"/>
    <cellStyle name="S1 42" xfId="1311"/>
    <cellStyle name="S1 43" xfId="1312"/>
    <cellStyle name="S1 44" xfId="1313"/>
    <cellStyle name="S1 45" xfId="1314"/>
    <cellStyle name="S1 46" xfId="1315"/>
    <cellStyle name="S1 47" xfId="1316"/>
    <cellStyle name="S1 48" xfId="1317"/>
    <cellStyle name="S1 49" xfId="1318"/>
    <cellStyle name="S1 5" xfId="1319"/>
    <cellStyle name="S1 50" xfId="1320"/>
    <cellStyle name="S1 51" xfId="1321"/>
    <cellStyle name="S1 52" xfId="1322"/>
    <cellStyle name="S1 53" xfId="1323"/>
    <cellStyle name="S1 54" xfId="1324"/>
    <cellStyle name="S1 55" xfId="1325"/>
    <cellStyle name="S1 56" xfId="1326"/>
    <cellStyle name="S1 57" xfId="1327"/>
    <cellStyle name="S1 58" xfId="1328"/>
    <cellStyle name="S1 59" xfId="1329"/>
    <cellStyle name="S1 6" xfId="1330"/>
    <cellStyle name="S1 60" xfId="1331"/>
    <cellStyle name="S1 61" xfId="1332"/>
    <cellStyle name="S1 62" xfId="1333"/>
    <cellStyle name="S1 63" xfId="1334"/>
    <cellStyle name="S1 64" xfId="1335"/>
    <cellStyle name="S1 65" xfId="1336"/>
    <cellStyle name="S1 66" xfId="1337"/>
    <cellStyle name="S1 67" xfId="1338"/>
    <cellStyle name="S1 68" xfId="1339"/>
    <cellStyle name="S1 69" xfId="1340"/>
    <cellStyle name="S1 7" xfId="1341"/>
    <cellStyle name="S1 70" xfId="1342"/>
    <cellStyle name="S1 71" xfId="1343"/>
    <cellStyle name="S1 72" xfId="1344"/>
    <cellStyle name="S1 73" xfId="1345"/>
    <cellStyle name="S1 74" xfId="1346"/>
    <cellStyle name="S1 75" xfId="1347"/>
    <cellStyle name="S1 76" xfId="1348"/>
    <cellStyle name="S1 77" xfId="1349"/>
    <cellStyle name="S1 78" xfId="1350"/>
    <cellStyle name="S1 79" xfId="1351"/>
    <cellStyle name="S1 8" xfId="1352"/>
    <cellStyle name="S1 80" xfId="1353"/>
    <cellStyle name="S1 81" xfId="1354"/>
    <cellStyle name="S1 82" xfId="1355"/>
    <cellStyle name="S1 83" xfId="1356"/>
    <cellStyle name="S1 84" xfId="1357"/>
    <cellStyle name="S1 85" xfId="1358"/>
    <cellStyle name="S1 86" xfId="1359"/>
    <cellStyle name="S1 87" xfId="1360"/>
    <cellStyle name="S1 88" xfId="1361"/>
    <cellStyle name="S1 89" xfId="1362"/>
    <cellStyle name="S1 9" xfId="1363"/>
    <cellStyle name="S1 90" xfId="1364"/>
    <cellStyle name="S1 91" xfId="1365"/>
    <cellStyle name="S1 92" xfId="1366"/>
    <cellStyle name="S1 93" xfId="1367"/>
    <cellStyle name="S1 94" xfId="1368"/>
    <cellStyle name="S1 95" xfId="1369"/>
    <cellStyle name="S1 96" xfId="1370"/>
    <cellStyle name="S1 97" xfId="1371"/>
    <cellStyle name="S1 98" xfId="1372"/>
    <cellStyle name="S1 99" xfId="1373"/>
    <cellStyle name="S1_PENJKIU02" xfId="1374"/>
    <cellStyle name="S10" xfId="1375"/>
    <cellStyle name="S10 10" xfId="1376"/>
    <cellStyle name="S10 11" xfId="1377"/>
    <cellStyle name="S10 12" xfId="1378"/>
    <cellStyle name="S10 13" xfId="1379"/>
    <cellStyle name="S10 13 2" xfId="1380"/>
    <cellStyle name="S10 14" xfId="1381"/>
    <cellStyle name="S10 15" xfId="1382"/>
    <cellStyle name="S10 16" xfId="1383"/>
    <cellStyle name="S10 19" xfId="1384"/>
    <cellStyle name="S10 2" xfId="1385"/>
    <cellStyle name="S10 2 2" xfId="1386"/>
    <cellStyle name="S10 2 3" xfId="1387"/>
    <cellStyle name="S10 3" xfId="1388"/>
    <cellStyle name="S10 3 2" xfId="1389"/>
    <cellStyle name="S10 4" xfId="1390"/>
    <cellStyle name="S10 4 2" xfId="1391"/>
    <cellStyle name="S10 5" xfId="1392"/>
    <cellStyle name="S10 6" xfId="1393"/>
    <cellStyle name="S10 7" xfId="1394"/>
    <cellStyle name="S10 8" xfId="1395"/>
    <cellStyle name="S10 9" xfId="1396"/>
    <cellStyle name="S10_Sheet1" xfId="1397"/>
    <cellStyle name="S11" xfId="1398"/>
    <cellStyle name="S11 10" xfId="1399"/>
    <cellStyle name="S11 10 2" xfId="1400"/>
    <cellStyle name="S11 11" xfId="1401"/>
    <cellStyle name="S11 12" xfId="1402"/>
    <cellStyle name="S11 13" xfId="1403"/>
    <cellStyle name="S11 14" xfId="1404"/>
    <cellStyle name="S11 2" xfId="1405"/>
    <cellStyle name="S11 2 2" xfId="1406"/>
    <cellStyle name="S11 2 3" xfId="1407"/>
    <cellStyle name="S11 3" xfId="1408"/>
    <cellStyle name="S11 3 2" xfId="1409"/>
    <cellStyle name="S11 4" xfId="1410"/>
    <cellStyle name="S11 5" xfId="1411"/>
    <cellStyle name="S11 6" xfId="1412"/>
    <cellStyle name="S11 7" xfId="1413"/>
    <cellStyle name="S11 8" xfId="1414"/>
    <cellStyle name="S11 9" xfId="1415"/>
    <cellStyle name="S12" xfId="1416"/>
    <cellStyle name="S12 2" xfId="1417"/>
    <cellStyle name="S12 2 2" xfId="1418"/>
    <cellStyle name="S12 3" xfId="1419"/>
    <cellStyle name="S12 4" xfId="1420"/>
    <cellStyle name="S12 5" xfId="1421"/>
    <cellStyle name="S12 6" xfId="1422"/>
    <cellStyle name="S12 6 2" xfId="1423"/>
    <cellStyle name="S12 7" xfId="1424"/>
    <cellStyle name="S12 8" xfId="1425"/>
    <cellStyle name="S13" xfId="1426"/>
    <cellStyle name="S13 2" xfId="1427"/>
    <cellStyle name="S13 2 2" xfId="1428"/>
    <cellStyle name="S13 2 3" xfId="1429"/>
    <cellStyle name="S13 3" xfId="1430"/>
    <cellStyle name="S13 3 2" xfId="1431"/>
    <cellStyle name="S13 4" xfId="1432"/>
    <cellStyle name="S13 4 2" xfId="1433"/>
    <cellStyle name="S13 5" xfId="1434"/>
    <cellStyle name="S13 6" xfId="1435"/>
    <cellStyle name="S13 7" xfId="1436"/>
    <cellStyle name="S14" xfId="1437"/>
    <cellStyle name="S14 2" xfId="1438"/>
    <cellStyle name="S14 3" xfId="1439"/>
    <cellStyle name="S14 3 2" xfId="1440"/>
    <cellStyle name="S14 4" xfId="1441"/>
    <cellStyle name="S15" xfId="1442"/>
    <cellStyle name="S15 2" xfId="1443"/>
    <cellStyle name="S15 3" xfId="1444"/>
    <cellStyle name="S16" xfId="1445"/>
    <cellStyle name="S16 2" xfId="1446"/>
    <cellStyle name="S16 3" xfId="1447"/>
    <cellStyle name="S17" xfId="1448"/>
    <cellStyle name="S18" xfId="1449"/>
    <cellStyle name="S19" xfId="1450"/>
    <cellStyle name="S2" xfId="1451"/>
    <cellStyle name="S2 10" xfId="1452"/>
    <cellStyle name="S2 100" xfId="1453"/>
    <cellStyle name="S2 101" xfId="1454"/>
    <cellStyle name="S2 102" xfId="1455"/>
    <cellStyle name="S2 103" xfId="1456"/>
    <cellStyle name="S2 104" xfId="1457"/>
    <cellStyle name="S2 105" xfId="1458"/>
    <cellStyle name="S2 106" xfId="1459"/>
    <cellStyle name="S2 107" xfId="1460"/>
    <cellStyle name="S2 108" xfId="1461"/>
    <cellStyle name="S2 109" xfId="1462"/>
    <cellStyle name="S2 11" xfId="1463"/>
    <cellStyle name="S2 110" xfId="1464"/>
    <cellStyle name="S2 111" xfId="1465"/>
    <cellStyle name="S2 112" xfId="1466"/>
    <cellStyle name="S2 113" xfId="1467"/>
    <cellStyle name="S2 114" xfId="1468"/>
    <cellStyle name="S2 115" xfId="1469"/>
    <cellStyle name="S2 116" xfId="1470"/>
    <cellStyle name="S2 117" xfId="1471"/>
    <cellStyle name="S2 118" xfId="1472"/>
    <cellStyle name="S2 119" xfId="1473"/>
    <cellStyle name="S2 12" xfId="1474"/>
    <cellStyle name="S2 120" xfId="1475"/>
    <cellStyle name="S2 121" xfId="1476"/>
    <cellStyle name="S2 122" xfId="1477"/>
    <cellStyle name="S2 123" xfId="1478"/>
    <cellStyle name="S2 124" xfId="1479"/>
    <cellStyle name="S2 125" xfId="1480"/>
    <cellStyle name="S2 126" xfId="1481"/>
    <cellStyle name="S2 127" xfId="1482"/>
    <cellStyle name="S2 128" xfId="1483"/>
    <cellStyle name="S2 129" xfId="1484"/>
    <cellStyle name="S2 13" xfId="1485"/>
    <cellStyle name="S2 130" xfId="1486"/>
    <cellStyle name="S2 131" xfId="1487"/>
    <cellStyle name="S2 132" xfId="1488"/>
    <cellStyle name="S2 133" xfId="1489"/>
    <cellStyle name="S2 134" xfId="1490"/>
    <cellStyle name="S2 135" xfId="1491"/>
    <cellStyle name="S2 136" xfId="1492"/>
    <cellStyle name="S2 137" xfId="1493"/>
    <cellStyle name="S2 138" xfId="1494"/>
    <cellStyle name="S2 139" xfId="1495"/>
    <cellStyle name="S2 14" xfId="1496"/>
    <cellStyle name="S2 140" xfId="1497"/>
    <cellStyle name="S2 141" xfId="1498"/>
    <cellStyle name="S2 142" xfId="1499"/>
    <cellStyle name="S2 143" xfId="1500"/>
    <cellStyle name="S2 144" xfId="1501"/>
    <cellStyle name="S2 145" xfId="1502"/>
    <cellStyle name="S2 146" xfId="1503"/>
    <cellStyle name="S2 147" xfId="1504"/>
    <cellStyle name="S2 148" xfId="1505"/>
    <cellStyle name="S2 149" xfId="1506"/>
    <cellStyle name="S2 15" xfId="1507"/>
    <cellStyle name="S2 150" xfId="1508"/>
    <cellStyle name="S2 151" xfId="1509"/>
    <cellStyle name="S2 152" xfId="1510"/>
    <cellStyle name="S2 153" xfId="1511"/>
    <cellStyle name="S2 154" xfId="1512"/>
    <cellStyle name="S2 155" xfId="1513"/>
    <cellStyle name="S2 156" xfId="1514"/>
    <cellStyle name="S2 157" xfId="1515"/>
    <cellStyle name="S2 158" xfId="1516"/>
    <cellStyle name="S2 159" xfId="1517"/>
    <cellStyle name="S2 16" xfId="1518"/>
    <cellStyle name="S2 160" xfId="1519"/>
    <cellStyle name="S2 161" xfId="1520"/>
    <cellStyle name="S2 162" xfId="1521"/>
    <cellStyle name="S2 163" xfId="1522"/>
    <cellStyle name="S2 164" xfId="1523"/>
    <cellStyle name="S2 165" xfId="1524"/>
    <cellStyle name="S2 166" xfId="1525"/>
    <cellStyle name="S2 167" xfId="1526"/>
    <cellStyle name="S2 168" xfId="1527"/>
    <cellStyle name="S2 169" xfId="1528"/>
    <cellStyle name="S2 17" xfId="1529"/>
    <cellStyle name="S2 170" xfId="1530"/>
    <cellStyle name="S2 171" xfId="1531"/>
    <cellStyle name="S2 172" xfId="1532"/>
    <cellStyle name="S2 173" xfId="1533"/>
    <cellStyle name="S2 174" xfId="1534"/>
    <cellStyle name="S2 175" xfId="1535"/>
    <cellStyle name="S2 176" xfId="1536"/>
    <cellStyle name="S2 177" xfId="1537"/>
    <cellStyle name="S2 178" xfId="1538"/>
    <cellStyle name="S2 179" xfId="1539"/>
    <cellStyle name="S2 18" xfId="1540"/>
    <cellStyle name="S2 180" xfId="1541"/>
    <cellStyle name="S2 181" xfId="1542"/>
    <cellStyle name="S2 182" xfId="1543"/>
    <cellStyle name="S2 183" xfId="1544"/>
    <cellStyle name="S2 184" xfId="1545"/>
    <cellStyle name="S2 185" xfId="1546"/>
    <cellStyle name="S2 186" xfId="1547"/>
    <cellStyle name="S2 187" xfId="1548"/>
    <cellStyle name="S2 188" xfId="1549"/>
    <cellStyle name="S2 189" xfId="1550"/>
    <cellStyle name="S2 19" xfId="1551"/>
    <cellStyle name="S2 190" xfId="1552"/>
    <cellStyle name="S2 191" xfId="1553"/>
    <cellStyle name="S2 192" xfId="1554"/>
    <cellStyle name="S2 193" xfId="1555"/>
    <cellStyle name="S2 194" xfId="1556"/>
    <cellStyle name="S2 195" xfId="1557"/>
    <cellStyle name="S2 196" xfId="1558"/>
    <cellStyle name="S2 197" xfId="1559"/>
    <cellStyle name="S2 198" xfId="1560"/>
    <cellStyle name="S2 199" xfId="1561"/>
    <cellStyle name="S2 2" xfId="1562"/>
    <cellStyle name="S2 2 2" xfId="1563"/>
    <cellStyle name="S2 20" xfId="1564"/>
    <cellStyle name="S2 200" xfId="1565"/>
    <cellStyle name="S2 201" xfId="1566"/>
    <cellStyle name="S2 202" xfId="1567"/>
    <cellStyle name="S2 203" xfId="1568"/>
    <cellStyle name="S2 204" xfId="1569"/>
    <cellStyle name="S2 205" xfId="1570"/>
    <cellStyle name="S2 206" xfId="1571"/>
    <cellStyle name="S2 207" xfId="1572"/>
    <cellStyle name="S2 208" xfId="1573"/>
    <cellStyle name="S2 209" xfId="1574"/>
    <cellStyle name="S2 21" xfId="1575"/>
    <cellStyle name="S2 210" xfId="1576"/>
    <cellStyle name="S2 211" xfId="1577"/>
    <cellStyle name="S2 212" xfId="1578"/>
    <cellStyle name="S2 213" xfId="1579"/>
    <cellStyle name="S2 214" xfId="1580"/>
    <cellStyle name="S2 215" xfId="1581"/>
    <cellStyle name="S2 216" xfId="1582"/>
    <cellStyle name="S2 217" xfId="1583"/>
    <cellStyle name="S2 218" xfId="1584"/>
    <cellStyle name="S2 219" xfId="1585"/>
    <cellStyle name="S2 22" xfId="1586"/>
    <cellStyle name="S2 220" xfId="1587"/>
    <cellStyle name="S2 221" xfId="1588"/>
    <cellStyle name="S2 222" xfId="1589"/>
    <cellStyle name="S2 223" xfId="1590"/>
    <cellStyle name="S2 224" xfId="1591"/>
    <cellStyle name="S2 225" xfId="1592"/>
    <cellStyle name="S2 226" xfId="1593"/>
    <cellStyle name="S2 227" xfId="1594"/>
    <cellStyle name="S2 228" xfId="1595"/>
    <cellStyle name="S2 229" xfId="1596"/>
    <cellStyle name="S2 23" xfId="1597"/>
    <cellStyle name="S2 230" xfId="1598"/>
    <cellStyle name="S2 231" xfId="1599"/>
    <cellStyle name="S2 232" xfId="1600"/>
    <cellStyle name="S2 233" xfId="1601"/>
    <cellStyle name="S2 234" xfId="1602"/>
    <cellStyle name="S2 235" xfId="1603"/>
    <cellStyle name="S2 236" xfId="1604"/>
    <cellStyle name="S2 237" xfId="1605"/>
    <cellStyle name="S2 238" xfId="1606"/>
    <cellStyle name="S2 239" xfId="1607"/>
    <cellStyle name="S2 24" xfId="1608"/>
    <cellStyle name="S2 240" xfId="1609"/>
    <cellStyle name="S2 241" xfId="1610"/>
    <cellStyle name="S2 242" xfId="1611"/>
    <cellStyle name="S2 243" xfId="1612"/>
    <cellStyle name="S2 244" xfId="1613"/>
    <cellStyle name="S2 245" xfId="1614"/>
    <cellStyle name="S2 246" xfId="1615"/>
    <cellStyle name="S2 247" xfId="1616"/>
    <cellStyle name="S2 248" xfId="1617"/>
    <cellStyle name="S2 249" xfId="1618"/>
    <cellStyle name="S2 25" xfId="1619"/>
    <cellStyle name="S2 250" xfId="1620"/>
    <cellStyle name="S2 251" xfId="1621"/>
    <cellStyle name="S2 252" xfId="1622"/>
    <cellStyle name="S2 253" xfId="1623"/>
    <cellStyle name="S2 254" xfId="1624"/>
    <cellStyle name="S2 255" xfId="1625"/>
    <cellStyle name="S2 256" xfId="1626"/>
    <cellStyle name="S2 257" xfId="1627"/>
    <cellStyle name="S2 258" xfId="1628"/>
    <cellStyle name="S2 259" xfId="1629"/>
    <cellStyle name="S2 26" xfId="1630"/>
    <cellStyle name="S2 260" xfId="1631"/>
    <cellStyle name="S2 261" xfId="1632"/>
    <cellStyle name="S2 262" xfId="1633"/>
    <cellStyle name="S2 263" xfId="1634"/>
    <cellStyle name="S2 264" xfId="1635"/>
    <cellStyle name="S2 265" xfId="1636"/>
    <cellStyle name="S2 265 2" xfId="1637"/>
    <cellStyle name="S2 266" xfId="1638"/>
    <cellStyle name="S2 27" xfId="1639"/>
    <cellStyle name="S2 28" xfId="1640"/>
    <cellStyle name="S2 29" xfId="1641"/>
    <cellStyle name="S2 3" xfId="1642"/>
    <cellStyle name="S2 3 2" xfId="1643"/>
    <cellStyle name="S2 30" xfId="1644"/>
    <cellStyle name="S2 31" xfId="1645"/>
    <cellStyle name="S2 32" xfId="1646"/>
    <cellStyle name="S2 33" xfId="1647"/>
    <cellStyle name="S2 34" xfId="1648"/>
    <cellStyle name="S2 35" xfId="1649"/>
    <cellStyle name="S2 36" xfId="1650"/>
    <cellStyle name="S2 37" xfId="1651"/>
    <cellStyle name="S2 38" xfId="1652"/>
    <cellStyle name="S2 39" xfId="1653"/>
    <cellStyle name="S2 4" xfId="1654"/>
    <cellStyle name="S2 40" xfId="1655"/>
    <cellStyle name="S2 41" xfId="1656"/>
    <cellStyle name="S2 42" xfId="1657"/>
    <cellStyle name="S2 43" xfId="1658"/>
    <cellStyle name="S2 44" xfId="1659"/>
    <cellStyle name="S2 45" xfId="1660"/>
    <cellStyle name="S2 46" xfId="1661"/>
    <cellStyle name="S2 47" xfId="1662"/>
    <cellStyle name="S2 48" xfId="1663"/>
    <cellStyle name="S2 49" xfId="1664"/>
    <cellStyle name="S2 5" xfId="1665"/>
    <cellStyle name="S2 50" xfId="1666"/>
    <cellStyle name="S2 51" xfId="1667"/>
    <cellStyle name="S2 52" xfId="1668"/>
    <cellStyle name="S2 53" xfId="1669"/>
    <cellStyle name="S2 54" xfId="1670"/>
    <cellStyle name="S2 55" xfId="1671"/>
    <cellStyle name="S2 56" xfId="1672"/>
    <cellStyle name="S2 57" xfId="1673"/>
    <cellStyle name="S2 58" xfId="1674"/>
    <cellStyle name="S2 59" xfId="1675"/>
    <cellStyle name="S2 6" xfId="1676"/>
    <cellStyle name="S2 60" xfId="1677"/>
    <cellStyle name="S2 61" xfId="1678"/>
    <cellStyle name="S2 62" xfId="1679"/>
    <cellStyle name="S2 63" xfId="1680"/>
    <cellStyle name="S2 64" xfId="1681"/>
    <cellStyle name="S2 65" xfId="1682"/>
    <cellStyle name="S2 66" xfId="1683"/>
    <cellStyle name="S2 67" xfId="1684"/>
    <cellStyle name="S2 68" xfId="1685"/>
    <cellStyle name="S2 69" xfId="1686"/>
    <cellStyle name="S2 7" xfId="1687"/>
    <cellStyle name="S2 70" xfId="1688"/>
    <cellStyle name="S2 71" xfId="1689"/>
    <cellStyle name="S2 72" xfId="1690"/>
    <cellStyle name="S2 73" xfId="1691"/>
    <cellStyle name="S2 74" xfId="1692"/>
    <cellStyle name="S2 75" xfId="1693"/>
    <cellStyle name="S2 76" xfId="1694"/>
    <cellStyle name="S2 77" xfId="1695"/>
    <cellStyle name="S2 78" xfId="1696"/>
    <cellStyle name="S2 79" xfId="1697"/>
    <cellStyle name="S2 8" xfId="1698"/>
    <cellStyle name="S2 80" xfId="1699"/>
    <cellStyle name="S2 81" xfId="1700"/>
    <cellStyle name="S2 82" xfId="1701"/>
    <cellStyle name="S2 83" xfId="1702"/>
    <cellStyle name="S2 84" xfId="1703"/>
    <cellStyle name="S2 85" xfId="1704"/>
    <cellStyle name="S2 86" xfId="1705"/>
    <cellStyle name="S2 87" xfId="1706"/>
    <cellStyle name="S2 88" xfId="1707"/>
    <cellStyle name="S2 89" xfId="1708"/>
    <cellStyle name="S2 9" xfId="1709"/>
    <cellStyle name="S2 90" xfId="1710"/>
    <cellStyle name="S2 91" xfId="1711"/>
    <cellStyle name="S2 92" xfId="1712"/>
    <cellStyle name="S2 93" xfId="1713"/>
    <cellStyle name="S2 94" xfId="1714"/>
    <cellStyle name="S2 95" xfId="1715"/>
    <cellStyle name="S2 96" xfId="1716"/>
    <cellStyle name="S2 97" xfId="1717"/>
    <cellStyle name="S2 98" xfId="1718"/>
    <cellStyle name="S2 99" xfId="1719"/>
    <cellStyle name="S2_PENJKIU02" xfId="1720"/>
    <cellStyle name="S20" xfId="1721"/>
    <cellStyle name="S21" xfId="1722"/>
    <cellStyle name="S22" xfId="1723"/>
    <cellStyle name="S23" xfId="1724"/>
    <cellStyle name="S24" xfId="1725"/>
    <cellStyle name="S25" xfId="1726"/>
    <cellStyle name="S26" xfId="1727"/>
    <cellStyle name="S27" xfId="1728"/>
    <cellStyle name="S28" xfId="1729"/>
    <cellStyle name="S29" xfId="1730"/>
    <cellStyle name="S3" xfId="1731"/>
    <cellStyle name="S3 10" xfId="1732"/>
    <cellStyle name="S3 2" xfId="1733"/>
    <cellStyle name="S3 2 2" xfId="1734"/>
    <cellStyle name="S3 3" xfId="1735"/>
    <cellStyle name="S3 3 2" xfId="1736"/>
    <cellStyle name="S3 4" xfId="1737"/>
    <cellStyle name="S3 5" xfId="1738"/>
    <cellStyle name="S3 6" xfId="1739"/>
    <cellStyle name="S3 7" xfId="1740"/>
    <cellStyle name="S3 8" xfId="1741"/>
    <cellStyle name="S3 9" xfId="1742"/>
    <cellStyle name="S3 9 2" xfId="1743"/>
    <cellStyle name="S3_PENJKIU02" xfId="1744"/>
    <cellStyle name="S30" xfId="1745"/>
    <cellStyle name="S31" xfId="1746"/>
    <cellStyle name="S32" xfId="1747"/>
    <cellStyle name="S33" xfId="1748"/>
    <cellStyle name="S34" xfId="1749"/>
    <cellStyle name="S35" xfId="1750"/>
    <cellStyle name="S36" xfId="1751"/>
    <cellStyle name="S4" xfId="1752"/>
    <cellStyle name="S4 10" xfId="1753"/>
    <cellStyle name="S4 11" xfId="1754"/>
    <cellStyle name="S4 12" xfId="1755"/>
    <cellStyle name="S4 12 2" xfId="1756"/>
    <cellStyle name="S4 13" xfId="1757"/>
    <cellStyle name="S4 14" xfId="1758"/>
    <cellStyle name="S4 14 2" xfId="1759"/>
    <cellStyle name="S4 19" xfId="1760"/>
    <cellStyle name="S4 2" xfId="1761"/>
    <cellStyle name="S4 2 2" xfId="1762"/>
    <cellStyle name="S4 3" xfId="1763"/>
    <cellStyle name="S4 3 2" xfId="1764"/>
    <cellStyle name="S4 4" xfId="1765"/>
    <cellStyle name="S4 4 2" xfId="1766"/>
    <cellStyle name="S4 5" xfId="1767"/>
    <cellStyle name="S4 5 2" xfId="1768"/>
    <cellStyle name="S4 6" xfId="1769"/>
    <cellStyle name="S4 7" xfId="1770"/>
    <cellStyle name="S4 8" xfId="1771"/>
    <cellStyle name="S4 9" xfId="1772"/>
    <cellStyle name="S4_PENJKIU02" xfId="1773"/>
    <cellStyle name="S5" xfId="1774"/>
    <cellStyle name="S5 10" xfId="1775"/>
    <cellStyle name="S5 10 2" xfId="1776"/>
    <cellStyle name="S5 11" xfId="1777"/>
    <cellStyle name="S5 19" xfId="1778"/>
    <cellStyle name="S5 19 2" xfId="1779"/>
    <cellStyle name="S5 2" xfId="1780"/>
    <cellStyle name="S5 2 2" xfId="1781"/>
    <cellStyle name="S5 2 3" xfId="1782"/>
    <cellStyle name="S5 3" xfId="1783"/>
    <cellStyle name="S5 3 2" xfId="1784"/>
    <cellStyle name="S5 3 3" xfId="1785"/>
    <cellStyle name="S5 4" xfId="1786"/>
    <cellStyle name="S5 4 2" xfId="1787"/>
    <cellStyle name="S5 5" xfId="1788"/>
    <cellStyle name="S5 6" xfId="1789"/>
    <cellStyle name="S5 6 2" xfId="1790"/>
    <cellStyle name="S5 7" xfId="1791"/>
    <cellStyle name="S5 8" xfId="1792"/>
    <cellStyle name="S5 9" xfId="1793"/>
    <cellStyle name="S5 9 2" xfId="1794"/>
    <cellStyle name="S5 9 3" xfId="1795"/>
    <cellStyle name="S5_PENJKIU02" xfId="1796"/>
    <cellStyle name="S6" xfId="1797"/>
    <cellStyle name="S6 10" xfId="1798"/>
    <cellStyle name="S6 11" xfId="1799"/>
    <cellStyle name="S6 11 2" xfId="1800"/>
    <cellStyle name="S6 11 3" xfId="1801"/>
    <cellStyle name="S6 12" xfId="1802"/>
    <cellStyle name="S6 13" xfId="1803"/>
    <cellStyle name="S6 13 2" xfId="1804"/>
    <cellStyle name="S6 14" xfId="1805"/>
    <cellStyle name="S6 15" xfId="1806"/>
    <cellStyle name="S6 18" xfId="1807"/>
    <cellStyle name="S6 18 2" xfId="1808"/>
    <cellStyle name="S6 2" xfId="1809"/>
    <cellStyle name="S6 2 2" xfId="1810"/>
    <cellStyle name="S6 2 3" xfId="1811"/>
    <cellStyle name="S6 3" xfId="1812"/>
    <cellStyle name="S6 3 2" xfId="1813"/>
    <cellStyle name="S6 4" xfId="1814"/>
    <cellStyle name="S6 4 2" xfId="1815"/>
    <cellStyle name="S6 5" xfId="1816"/>
    <cellStyle name="S6 5 2" xfId="1817"/>
    <cellStyle name="S6 6" xfId="1818"/>
    <cellStyle name="S6 7" xfId="1819"/>
    <cellStyle name="S6 8" xfId="1820"/>
    <cellStyle name="S6 9" xfId="1821"/>
    <cellStyle name="S6_PENJKIU02" xfId="1822"/>
    <cellStyle name="S7" xfId="1823"/>
    <cellStyle name="S7 10" xfId="1824"/>
    <cellStyle name="S7 10 2" xfId="1825"/>
    <cellStyle name="S7 10 3" xfId="1826"/>
    <cellStyle name="S7 11" xfId="1827"/>
    <cellStyle name="S7 12" xfId="1828"/>
    <cellStyle name="S7 12 2" xfId="1829"/>
    <cellStyle name="S7 13" xfId="1830"/>
    <cellStyle name="S7 14" xfId="1831"/>
    <cellStyle name="S7 19" xfId="1832"/>
    <cellStyle name="S7 19 2" xfId="1833"/>
    <cellStyle name="S7 19 2 2" xfId="1834"/>
    <cellStyle name="S7 19 3" xfId="1835"/>
    <cellStyle name="S7 2" xfId="1836"/>
    <cellStyle name="S7 2 2" xfId="1837"/>
    <cellStyle name="S7 2 3" xfId="1838"/>
    <cellStyle name="S7 2 4" xfId="1839"/>
    <cellStyle name="S7 3" xfId="1840"/>
    <cellStyle name="S7 3 2" xfId="1841"/>
    <cellStyle name="S7 4" xfId="1842"/>
    <cellStyle name="S7 5" xfId="1843"/>
    <cellStyle name="S7 6" xfId="1844"/>
    <cellStyle name="S7 6 2" xfId="1845"/>
    <cellStyle name="S7 7" xfId="1846"/>
    <cellStyle name="S7 8" xfId="1847"/>
    <cellStyle name="S7 9" xfId="1848"/>
    <cellStyle name="S7_PENJKIU02" xfId="1849"/>
    <cellStyle name="S8" xfId="1850"/>
    <cellStyle name="S8 10" xfId="1851"/>
    <cellStyle name="S8 11" xfId="1852"/>
    <cellStyle name="S8 2" xfId="1853"/>
    <cellStyle name="S8 2 2" xfId="1854"/>
    <cellStyle name="S8 2 3" xfId="1855"/>
    <cellStyle name="S8 3" xfId="1856"/>
    <cellStyle name="S8 3 2" xfId="1857"/>
    <cellStyle name="S8 3 3" xfId="1858"/>
    <cellStyle name="S8 4" xfId="1859"/>
    <cellStyle name="S8 4 2" xfId="1860"/>
    <cellStyle name="S8 5" xfId="1861"/>
    <cellStyle name="S8 5 2" xfId="1862"/>
    <cellStyle name="S8 6" xfId="1863"/>
    <cellStyle name="S8 7" xfId="1864"/>
    <cellStyle name="S8 8" xfId="1865"/>
    <cellStyle name="S8 8 2" xfId="1866"/>
    <cellStyle name="S8 9" xfId="1867"/>
    <cellStyle name="S8 9 2" xfId="1868"/>
    <cellStyle name="S8_PENJKIU02" xfId="1869"/>
    <cellStyle name="S9" xfId="1870"/>
    <cellStyle name="S9 10" xfId="1871"/>
    <cellStyle name="S9 11" xfId="1872"/>
    <cellStyle name="S9 11 2" xfId="1873"/>
    <cellStyle name="S9 11 3" xfId="1874"/>
    <cellStyle name="S9 12" xfId="1875"/>
    <cellStyle name="S9 13" xfId="1876"/>
    <cellStyle name="S9 14" xfId="1877"/>
    <cellStyle name="S9 2" xfId="1878"/>
    <cellStyle name="S9 2 2" xfId="1879"/>
    <cellStyle name="S9 2 3" xfId="1880"/>
    <cellStyle name="S9 3" xfId="1881"/>
    <cellStyle name="S9 3 2" xfId="1882"/>
    <cellStyle name="S9 4" xfId="1883"/>
    <cellStyle name="S9 5" xfId="1884"/>
    <cellStyle name="S9 6" xfId="1885"/>
    <cellStyle name="S9 7" xfId="1886"/>
    <cellStyle name="S9 8" xfId="1887"/>
    <cellStyle name="S9 9" xfId="1888"/>
    <cellStyle name="S9_PENJKIU02" xfId="188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enjualan2\BACKUP%20TAGPD\1.%20SENIN\TAGPD%2005%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wahyu\1Pribadi\KPI%20EXC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ak"/>
      <sheetName val="Cust 2021"/>
      <sheetName val="TAGPD"/>
      <sheetName val="Jagung Mei"/>
      <sheetName val="GROUP Q"/>
      <sheetName val="GROUP A"/>
      <sheetName val="GROUP"/>
      <sheetName val="Grup Desember"/>
      <sheetName val="BG MEI"/>
      <sheetName val="Grup Feb"/>
      <sheetName val="COVER PLAFON"/>
      <sheetName val="Grup Maret"/>
      <sheetName val="Grup April"/>
    </sheetNames>
    <sheetDataSet>
      <sheetData sheetId="0"/>
      <sheetData sheetId="1">
        <row r="2">
          <cell r="B2" t="str">
            <v>ABAT01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"/>
      <sheetName val="PROGRES TUGAS IT 2020"/>
      <sheetName val="Lampiran 1.1"/>
      <sheetName val="Lampiran 1.2"/>
      <sheetName val="Lampiran 1.3"/>
      <sheetName val="Lampiran 1.4"/>
      <sheetName val="Lampiran 1.41"/>
      <sheetName val="Lampiran 1.5"/>
      <sheetName val="Lampiran 1.6"/>
      <sheetName val="NILAIKPI"/>
      <sheetName val="BUKTI"/>
    </sheetNames>
    <sheetDataSet>
      <sheetData sheetId="0"/>
      <sheetData sheetId="1">
        <row r="3">
          <cell r="B3">
            <v>1</v>
          </cell>
          <cell r="C3" t="str">
            <v>B</v>
          </cell>
          <cell r="D3" t="str">
            <v>Backup pc gudang (hardisk penuh)</v>
          </cell>
          <cell r="E3">
            <v>0</v>
          </cell>
          <cell r="F3">
            <v>0</v>
          </cell>
          <cell r="G3">
            <v>0</v>
          </cell>
          <cell r="H3">
            <v>44037</v>
          </cell>
          <cell r="I3">
            <v>44030</v>
          </cell>
          <cell r="J3" t="str">
            <v>Done</v>
          </cell>
          <cell r="K3" t="str">
            <v>sudah ada</v>
          </cell>
          <cell r="L3" t="str">
            <v>sudah ada</v>
          </cell>
        </row>
        <row r="4">
          <cell r="B4">
            <v>2</v>
          </cell>
          <cell r="C4" t="str">
            <v>Up</v>
          </cell>
          <cell r="D4" t="str">
            <v>Update fasilitas dongle lot dan exp cabang</v>
          </cell>
          <cell r="E4">
            <v>0</v>
          </cell>
          <cell r="F4">
            <v>0</v>
          </cell>
          <cell r="G4">
            <v>0</v>
          </cell>
          <cell r="H4">
            <v>44054</v>
          </cell>
          <cell r="I4">
            <v>44033</v>
          </cell>
          <cell r="J4" t="str">
            <v>Done</v>
          </cell>
          <cell r="K4" t="str">
            <v>sudah ada</v>
          </cell>
          <cell r="L4" t="str">
            <v>sudah ada</v>
          </cell>
        </row>
        <row r="5">
          <cell r="B5">
            <v>3</v>
          </cell>
          <cell r="C5">
            <v>4</v>
          </cell>
          <cell r="D5" t="str">
            <v>Input lot dan exp Cabang</v>
          </cell>
          <cell r="E5">
            <v>0</v>
          </cell>
          <cell r="F5">
            <v>0</v>
          </cell>
          <cell r="G5">
            <v>0</v>
          </cell>
          <cell r="H5">
            <v>44083</v>
          </cell>
          <cell r="I5">
            <v>44044</v>
          </cell>
          <cell r="J5" t="str">
            <v>Done</v>
          </cell>
          <cell r="K5" t="str">
            <v>sudah ada</v>
          </cell>
          <cell r="L5" t="str">
            <v>sudah ada</v>
          </cell>
        </row>
        <row r="6">
          <cell r="B6">
            <v>4</v>
          </cell>
          <cell r="C6">
            <v>5</v>
          </cell>
          <cell r="D6" t="str">
            <v>Membuat SOP Perawatan Perangkat</v>
          </cell>
          <cell r="E6">
            <v>0</v>
          </cell>
          <cell r="F6">
            <v>0</v>
          </cell>
          <cell r="G6">
            <v>0</v>
          </cell>
          <cell r="H6">
            <v>44054</v>
          </cell>
          <cell r="I6">
            <v>44044</v>
          </cell>
          <cell r="J6" t="str">
            <v>Done</v>
          </cell>
          <cell r="K6" t="str">
            <v>sudah ada</v>
          </cell>
          <cell r="L6" t="str">
            <v>sudah ada</v>
          </cell>
        </row>
        <row r="7">
          <cell r="B7">
            <v>5</v>
          </cell>
          <cell r="C7">
            <v>6</v>
          </cell>
          <cell r="D7" t="str">
            <v>Perbaikan surat jalan ekspedisi digital</v>
          </cell>
          <cell r="E7">
            <v>0</v>
          </cell>
          <cell r="F7">
            <v>0</v>
          </cell>
          <cell r="G7">
            <v>0</v>
          </cell>
          <cell r="H7">
            <v>44019</v>
          </cell>
          <cell r="I7">
            <v>44013</v>
          </cell>
          <cell r="J7" t="str">
            <v>Done</v>
          </cell>
          <cell r="K7" t="str">
            <v>sudah ada</v>
          </cell>
          <cell r="L7" t="str">
            <v>sudah ada</v>
          </cell>
        </row>
        <row r="8">
          <cell r="B8">
            <v>6</v>
          </cell>
          <cell r="C8">
            <v>7</v>
          </cell>
          <cell r="D8" t="str">
            <v>Perbaikan Sales Tracking</v>
          </cell>
          <cell r="E8">
            <v>0</v>
          </cell>
          <cell r="F8">
            <v>0</v>
          </cell>
          <cell r="G8">
            <v>0</v>
          </cell>
          <cell r="H8">
            <v>44054</v>
          </cell>
          <cell r="I8">
            <v>44083</v>
          </cell>
          <cell r="J8" t="str">
            <v>Done</v>
          </cell>
          <cell r="K8" t="str">
            <v>sudah ada</v>
          </cell>
          <cell r="L8" t="str">
            <v>sudah ada</v>
          </cell>
        </row>
        <row r="9">
          <cell r="B9">
            <v>7</v>
          </cell>
          <cell r="C9">
            <v>8</v>
          </cell>
          <cell r="D9" t="str">
            <v>Pembuatan Design Laporan Zahir penjualan</v>
          </cell>
          <cell r="E9">
            <v>0</v>
          </cell>
          <cell r="F9">
            <v>0</v>
          </cell>
          <cell r="G9">
            <v>0</v>
          </cell>
          <cell r="H9">
            <v>43934</v>
          </cell>
          <cell r="I9">
            <v>43922</v>
          </cell>
          <cell r="J9" t="str">
            <v>Done</v>
          </cell>
          <cell r="K9" t="str">
            <v>sudah ada</v>
          </cell>
          <cell r="L9" t="str">
            <v>sudah ada</v>
          </cell>
        </row>
        <row r="10">
          <cell r="B10">
            <v>8</v>
          </cell>
          <cell r="C10">
            <v>9</v>
          </cell>
          <cell r="D10" t="str">
            <v>Pembuatan Design Laporan Zahir Lot Penjualan</v>
          </cell>
          <cell r="E10">
            <v>0</v>
          </cell>
          <cell r="F10">
            <v>0</v>
          </cell>
          <cell r="G10">
            <v>0</v>
          </cell>
          <cell r="H10">
            <v>43934</v>
          </cell>
          <cell r="I10">
            <v>43922</v>
          </cell>
          <cell r="J10" t="str">
            <v>Done</v>
          </cell>
          <cell r="K10" t="str">
            <v>sudah ada</v>
          </cell>
          <cell r="L10" t="str">
            <v>sudah ada</v>
          </cell>
        </row>
        <row r="11">
          <cell r="B11">
            <v>9</v>
          </cell>
          <cell r="C11">
            <v>10</v>
          </cell>
          <cell r="D11" t="str">
            <v>Pembuatan Design Laporan Zahir Lot Mutasi</v>
          </cell>
          <cell r="E11">
            <v>0</v>
          </cell>
          <cell r="F11">
            <v>0</v>
          </cell>
          <cell r="G11">
            <v>0</v>
          </cell>
          <cell r="H11">
            <v>44054</v>
          </cell>
          <cell r="I11">
            <v>44044</v>
          </cell>
          <cell r="J11" t="str">
            <v>Done</v>
          </cell>
          <cell r="K11" t="str">
            <v>sudah ada</v>
          </cell>
          <cell r="L11" t="str">
            <v>sudah ada</v>
          </cell>
        </row>
        <row r="12">
          <cell r="B12">
            <v>10</v>
          </cell>
          <cell r="C12">
            <v>11</v>
          </cell>
          <cell r="D12" t="str">
            <v>Pembuatan Program Pendukung ACC (mitra)</v>
          </cell>
          <cell r="E12">
            <v>0</v>
          </cell>
          <cell r="F12">
            <v>0</v>
          </cell>
          <cell r="G12">
            <v>0</v>
          </cell>
          <cell r="H12">
            <v>44026</v>
          </cell>
          <cell r="I12">
            <v>44003</v>
          </cell>
          <cell r="J12" t="str">
            <v>Done</v>
          </cell>
          <cell r="K12" t="str">
            <v>sudah ada</v>
          </cell>
          <cell r="L12" t="str">
            <v>sudah ada</v>
          </cell>
        </row>
        <row r="13">
          <cell r="B13">
            <v>11</v>
          </cell>
          <cell r="C13">
            <v>12</v>
          </cell>
          <cell r="D13" t="str">
            <v>Pembuatan Program Pendukung ACC (Fairin)</v>
          </cell>
          <cell r="E13">
            <v>0</v>
          </cell>
          <cell r="F13">
            <v>0</v>
          </cell>
          <cell r="G13">
            <v>0</v>
          </cell>
          <cell r="H13">
            <v>44026</v>
          </cell>
          <cell r="I13">
            <v>44003</v>
          </cell>
          <cell r="J13" t="str">
            <v>Done</v>
          </cell>
          <cell r="K13" t="str">
            <v>sudah ada</v>
          </cell>
          <cell r="L13" t="str">
            <v>sudah ada</v>
          </cell>
        </row>
        <row r="14">
          <cell r="B14">
            <v>12</v>
          </cell>
          <cell r="C14">
            <v>13</v>
          </cell>
          <cell r="D14" t="str">
            <v>Pembuatan Laporan Pemeblian Lot (pak supri)</v>
          </cell>
          <cell r="E14">
            <v>0</v>
          </cell>
          <cell r="F14">
            <v>0</v>
          </cell>
          <cell r="G14">
            <v>0</v>
          </cell>
          <cell r="H14">
            <v>43934</v>
          </cell>
          <cell r="I14">
            <v>43923</v>
          </cell>
          <cell r="J14" t="str">
            <v>Done</v>
          </cell>
          <cell r="K14" t="str">
            <v>sudah ada</v>
          </cell>
          <cell r="L14" t="str">
            <v>sudah ada</v>
          </cell>
        </row>
        <row r="15">
          <cell r="B15">
            <v>13</v>
          </cell>
          <cell r="C15">
            <v>14</v>
          </cell>
          <cell r="D15" t="str">
            <v>Perubahan Jalur Jaringan untuk Ruang Direktur</v>
          </cell>
          <cell r="E15">
            <v>0</v>
          </cell>
          <cell r="F15">
            <v>0</v>
          </cell>
          <cell r="G15">
            <v>0</v>
          </cell>
          <cell r="H15">
            <v>44054</v>
          </cell>
          <cell r="I15">
            <v>44013</v>
          </cell>
          <cell r="J15" t="str">
            <v>Done</v>
          </cell>
          <cell r="K15" t="str">
            <v>sudah ada</v>
          </cell>
          <cell r="L15" t="str">
            <v>sudah ada</v>
          </cell>
        </row>
        <row r="16">
          <cell r="B16">
            <v>14</v>
          </cell>
          <cell r="C16">
            <v>15</v>
          </cell>
          <cell r="D16" t="str">
            <v>Perbaikan Jalur CCTV Belakang Gudang</v>
          </cell>
          <cell r="E16">
            <v>0</v>
          </cell>
          <cell r="F16">
            <v>0</v>
          </cell>
          <cell r="G16">
            <v>0</v>
          </cell>
          <cell r="H16">
            <v>44054</v>
          </cell>
          <cell r="I16">
            <v>44013</v>
          </cell>
          <cell r="J16" t="str">
            <v>Done</v>
          </cell>
          <cell r="K16" t="str">
            <v>sudah ada</v>
          </cell>
          <cell r="L16" t="str">
            <v>sudah ada</v>
          </cell>
        </row>
        <row r="17">
          <cell r="B17">
            <v>15</v>
          </cell>
          <cell r="C17">
            <v>16</v>
          </cell>
          <cell r="D17" t="str">
            <v>Pembuatan Script untuk penjualan (lot)</v>
          </cell>
          <cell r="E17">
            <v>0</v>
          </cell>
          <cell r="F17">
            <v>0</v>
          </cell>
          <cell r="G17">
            <v>0</v>
          </cell>
          <cell r="H17">
            <v>44054</v>
          </cell>
          <cell r="I17">
            <v>44039</v>
          </cell>
          <cell r="J17" t="str">
            <v>Done</v>
          </cell>
          <cell r="K17" t="str">
            <v>sudah ada</v>
          </cell>
          <cell r="L17" t="str">
            <v>sudah ada</v>
          </cell>
        </row>
        <row r="18">
          <cell r="B18">
            <v>16</v>
          </cell>
          <cell r="C18">
            <v>17</v>
          </cell>
          <cell r="D18" t="str">
            <v>Pembuatan Script untuk pembelian (lot)</v>
          </cell>
          <cell r="E18">
            <v>0</v>
          </cell>
          <cell r="F18">
            <v>0</v>
          </cell>
          <cell r="G18">
            <v>0</v>
          </cell>
          <cell r="H18">
            <v>44054</v>
          </cell>
          <cell r="I18">
            <v>44039</v>
          </cell>
          <cell r="J18" t="str">
            <v>Done</v>
          </cell>
          <cell r="K18" t="str">
            <v>sudah ada</v>
          </cell>
          <cell r="L18" t="str">
            <v>sudah ada</v>
          </cell>
        </row>
        <row r="19">
          <cell r="B19">
            <v>17</v>
          </cell>
          <cell r="C19">
            <v>18</v>
          </cell>
          <cell r="D19" t="str">
            <v>Pembuatan Script untuk Mutasi (lot)</v>
          </cell>
          <cell r="E19">
            <v>0</v>
          </cell>
          <cell r="F19">
            <v>0</v>
          </cell>
          <cell r="G19">
            <v>0</v>
          </cell>
          <cell r="H19">
            <v>44054</v>
          </cell>
          <cell r="I19">
            <v>44038</v>
          </cell>
          <cell r="J19" t="str">
            <v>Done</v>
          </cell>
          <cell r="K19" t="str">
            <v>sudah ada</v>
          </cell>
          <cell r="L19" t="str">
            <v>sudah ada</v>
          </cell>
        </row>
        <row r="20">
          <cell r="B20">
            <v>29</v>
          </cell>
          <cell r="C20">
            <v>0</v>
          </cell>
          <cell r="D20" t="str">
            <v>log call hp kantor</v>
          </cell>
          <cell r="E20">
            <v>0</v>
          </cell>
          <cell r="F20">
            <v>0</v>
          </cell>
          <cell r="G20">
            <v>0</v>
          </cell>
          <cell r="H20">
            <v>44136</v>
          </cell>
          <cell r="I20">
            <v>44129</v>
          </cell>
          <cell r="J20" t="str">
            <v>Done</v>
          </cell>
          <cell r="K20" t="str">
            <v>sudah ada</v>
          </cell>
          <cell r="L20" t="str">
            <v>sudah ada</v>
          </cell>
        </row>
        <row r="21">
          <cell r="B21">
            <v>19</v>
          </cell>
          <cell r="C21">
            <v>20</v>
          </cell>
          <cell r="D21" t="str">
            <v>Pembuatan Jalur Jaringan untuk Team Keuangan 2</v>
          </cell>
          <cell r="E21">
            <v>0</v>
          </cell>
          <cell r="F21">
            <v>0</v>
          </cell>
          <cell r="G21">
            <v>0</v>
          </cell>
          <cell r="H21">
            <v>44083</v>
          </cell>
          <cell r="I21">
            <v>44075</v>
          </cell>
          <cell r="J21" t="str">
            <v>Done</v>
          </cell>
          <cell r="K21" t="str">
            <v>sudah ada</v>
          </cell>
          <cell r="L21" t="str">
            <v>sudah ada</v>
          </cell>
        </row>
        <row r="22">
          <cell r="B22">
            <v>22</v>
          </cell>
          <cell r="C22">
            <v>23</v>
          </cell>
          <cell r="D22" t="str">
            <v>Pembuatan Multiprice / trial multiprice</v>
          </cell>
          <cell r="E22">
            <v>0</v>
          </cell>
          <cell r="F22">
            <v>0</v>
          </cell>
          <cell r="G22">
            <v>0</v>
          </cell>
          <cell r="H22">
            <v>44151</v>
          </cell>
          <cell r="I22">
            <v>44134</v>
          </cell>
          <cell r="J22" t="str">
            <v>Done</v>
          </cell>
          <cell r="K22" t="str">
            <v>sudah ada</v>
          </cell>
          <cell r="L22" t="str">
            <v>sudah ada</v>
          </cell>
        </row>
        <row r="23">
          <cell r="B23">
            <v>74</v>
          </cell>
          <cell r="C23">
            <v>0</v>
          </cell>
          <cell r="D23" t="str">
            <v>AJAGU51Jagung DK 959 20 X 1 Kg (Bisi) Maintenance LOTSUPPLIER</v>
          </cell>
          <cell r="E23">
            <v>0</v>
          </cell>
          <cell r="F23">
            <v>0</v>
          </cell>
          <cell r="G23">
            <v>0</v>
          </cell>
          <cell r="H23">
            <v>44137</v>
          </cell>
          <cell r="I23">
            <v>44137</v>
          </cell>
          <cell r="J23" t="str">
            <v>Done</v>
          </cell>
          <cell r="K23" t="str">
            <v>sudah ada</v>
          </cell>
          <cell r="L23" t="str">
            <v>sudah ada</v>
          </cell>
        </row>
        <row r="24">
          <cell r="B24">
            <v>75</v>
          </cell>
          <cell r="C24">
            <v>0</v>
          </cell>
          <cell r="D24" t="str">
            <v>QJAGU40Jagung DK 959 20 X 1 Kg (Bisi) Maintenance LOTTITIPAN</v>
          </cell>
          <cell r="E24">
            <v>0</v>
          </cell>
          <cell r="F24">
            <v>0</v>
          </cell>
          <cell r="G24">
            <v>0</v>
          </cell>
          <cell r="H24">
            <v>44137</v>
          </cell>
          <cell r="I24">
            <v>44137</v>
          </cell>
          <cell r="J24" t="str">
            <v>Done</v>
          </cell>
          <cell r="K24" t="str">
            <v>sudah ada</v>
          </cell>
          <cell r="L24" t="str">
            <v>sudah ada</v>
          </cell>
        </row>
        <row r="25">
          <cell r="B25">
            <v>76</v>
          </cell>
          <cell r="C25">
            <v>0</v>
          </cell>
          <cell r="D25" t="str">
            <v>AJAGU51Jagung DK 959 20 X 1 Kg (Bisi) Maintenance LOTSUPPLIER</v>
          </cell>
          <cell r="E25">
            <v>0</v>
          </cell>
          <cell r="F25">
            <v>0</v>
          </cell>
          <cell r="G25">
            <v>0</v>
          </cell>
          <cell r="H25">
            <v>44137</v>
          </cell>
          <cell r="I25">
            <v>44137</v>
          </cell>
          <cell r="J25" t="str">
            <v>Done</v>
          </cell>
          <cell r="K25" t="str">
            <v>sudah ada</v>
          </cell>
          <cell r="L25" t="str">
            <v>sudah ada</v>
          </cell>
        </row>
        <row r="26">
          <cell r="B26">
            <v>77</v>
          </cell>
          <cell r="C26">
            <v>0</v>
          </cell>
          <cell r="D26" t="str">
            <v>QJAGU40Jagung DK 959 20 X 1 Kg (Bisi) Maintenance LOTAJUNG BISI 2</v>
          </cell>
          <cell r="E26">
            <v>0</v>
          </cell>
          <cell r="F26">
            <v>0</v>
          </cell>
          <cell r="G26">
            <v>0</v>
          </cell>
          <cell r="H26">
            <v>44137</v>
          </cell>
          <cell r="I26">
            <v>44137</v>
          </cell>
          <cell r="J26" t="str">
            <v>Done</v>
          </cell>
          <cell r="K26" t="str">
            <v>sudah ada</v>
          </cell>
          <cell r="L26" t="str">
            <v>sudah ada</v>
          </cell>
        </row>
        <row r="27">
          <cell r="B27">
            <v>28</v>
          </cell>
          <cell r="C27">
            <v>0</v>
          </cell>
          <cell r="D27" t="str">
            <v>INSTALL ULANG OS DAN PENATAAN ULANG HD LOW SPACE . SETTING ULANG JARINGAN DAN DATABASE . PENGGANTIAN NAMA PC (BARCODE MENJADI KIUGUDANG)</v>
          </cell>
          <cell r="E27">
            <v>0</v>
          </cell>
          <cell r="F27">
            <v>0</v>
          </cell>
          <cell r="G27">
            <v>0</v>
          </cell>
          <cell r="H27">
            <v>44142</v>
          </cell>
          <cell r="I27">
            <v>44139</v>
          </cell>
          <cell r="J27" t="str">
            <v>Done</v>
          </cell>
          <cell r="K27" t="str">
            <v>sudah ada</v>
          </cell>
          <cell r="L27" t="str">
            <v>sudah ada</v>
          </cell>
        </row>
        <row r="28">
          <cell r="B28">
            <v>30</v>
          </cell>
          <cell r="C28">
            <v>0</v>
          </cell>
          <cell r="D28" t="str">
            <v>Install ulang OS Dan Install applikasi Standart Karisma untuk Sales Analys</v>
          </cell>
          <cell r="E28">
            <v>0</v>
          </cell>
          <cell r="F28">
            <v>0</v>
          </cell>
          <cell r="G28">
            <v>0</v>
          </cell>
          <cell r="H28">
            <v>44141</v>
          </cell>
          <cell r="I28">
            <v>44139</v>
          </cell>
          <cell r="J28" t="str">
            <v>Done</v>
          </cell>
          <cell r="K28" t="str">
            <v>sudah ada</v>
          </cell>
          <cell r="L28" t="str">
            <v>sudah ada</v>
          </cell>
        </row>
        <row r="29">
          <cell r="B29">
            <v>78</v>
          </cell>
          <cell r="C29">
            <v>0</v>
          </cell>
          <cell r="D29" t="str">
            <v>AJAGU39Jagung Pertiwi 6 20 X 1 Kg Maintenance LOTSUPPLIER</v>
          </cell>
          <cell r="E29">
            <v>0</v>
          </cell>
          <cell r="F29">
            <v>0</v>
          </cell>
          <cell r="G29">
            <v>0</v>
          </cell>
          <cell r="H29">
            <v>44139</v>
          </cell>
          <cell r="I29">
            <v>44139</v>
          </cell>
          <cell r="J29" t="str">
            <v>Done</v>
          </cell>
          <cell r="K29" t="str">
            <v>sudah ada</v>
          </cell>
          <cell r="L29" t="str">
            <v>sudah ada</v>
          </cell>
        </row>
        <row r="30">
          <cell r="B30">
            <v>79</v>
          </cell>
          <cell r="C30">
            <v>0</v>
          </cell>
          <cell r="D30" t="str">
            <v>QJAGU25Jagung Pertiwi 6 20 X 1 Kg Maintenance LOTINDUK</v>
          </cell>
          <cell r="E30">
            <v>0</v>
          </cell>
          <cell r="F30">
            <v>0</v>
          </cell>
          <cell r="G30">
            <v>0</v>
          </cell>
          <cell r="H30">
            <v>44139</v>
          </cell>
          <cell r="I30">
            <v>44139</v>
          </cell>
          <cell r="J30" t="str">
            <v>Done</v>
          </cell>
          <cell r="K30" t="str">
            <v>sudah ada</v>
          </cell>
          <cell r="L30" t="str">
            <v>sudah ada</v>
          </cell>
        </row>
        <row r="31">
          <cell r="B31">
            <v>80</v>
          </cell>
          <cell r="C31">
            <v>0</v>
          </cell>
          <cell r="D31" t="str">
            <v>QAKAL02Akalis 550 SC 20 X 500 ml Maintenance LOTINDUK</v>
          </cell>
          <cell r="E31">
            <v>0</v>
          </cell>
          <cell r="F31">
            <v>0</v>
          </cell>
          <cell r="G31">
            <v>0</v>
          </cell>
          <cell r="H31">
            <v>44139</v>
          </cell>
          <cell r="I31">
            <v>44139</v>
          </cell>
          <cell r="J31" t="str">
            <v>Done</v>
          </cell>
          <cell r="K31" t="str">
            <v>sudah ada</v>
          </cell>
          <cell r="L31" t="str">
            <v>sudah ada</v>
          </cell>
        </row>
        <row r="32">
          <cell r="B32">
            <v>81</v>
          </cell>
          <cell r="C32">
            <v>0</v>
          </cell>
          <cell r="D32" t="str">
            <v>QATHO01Athos 240 SC 100 X 100 ml Maintenance LOTINDUK</v>
          </cell>
          <cell r="E32">
            <v>0</v>
          </cell>
          <cell r="F32">
            <v>0</v>
          </cell>
          <cell r="G32">
            <v>0</v>
          </cell>
          <cell r="H32">
            <v>44139</v>
          </cell>
          <cell r="I32">
            <v>44139</v>
          </cell>
          <cell r="J32" t="str">
            <v>Done</v>
          </cell>
          <cell r="K32" t="str">
            <v>sudah ada</v>
          </cell>
          <cell r="L32" t="str">
            <v>sudah ada</v>
          </cell>
        </row>
        <row r="33">
          <cell r="B33">
            <v>82</v>
          </cell>
          <cell r="C33">
            <v>0</v>
          </cell>
          <cell r="D33" t="str">
            <v>QRIMO01 Rimon Fast 100 SC 100 X 100 ml Maintenance LOT SUPPLIER</v>
          </cell>
          <cell r="E33">
            <v>0</v>
          </cell>
          <cell r="F33">
            <v>0</v>
          </cell>
          <cell r="G33">
            <v>0</v>
          </cell>
          <cell r="H33">
            <v>44139</v>
          </cell>
          <cell r="I33">
            <v>44139</v>
          </cell>
          <cell r="J33" t="str">
            <v>Done</v>
          </cell>
          <cell r="K33" t="str">
            <v>sudah ada</v>
          </cell>
          <cell r="L33" t="str">
            <v>sudah ada</v>
          </cell>
        </row>
        <row r="34">
          <cell r="B34">
            <v>31</v>
          </cell>
          <cell r="C34">
            <v>0</v>
          </cell>
          <cell r="D34" t="str">
            <v>Topida 25 WP 100 X 100 gr (GDG Suplier) ATOPI01 Maintenance LOT</v>
          </cell>
          <cell r="E34">
            <v>0</v>
          </cell>
          <cell r="F34">
            <v>0</v>
          </cell>
          <cell r="G34">
            <v>0</v>
          </cell>
          <cell r="H34">
            <v>44105</v>
          </cell>
          <cell r="I34">
            <v>44105</v>
          </cell>
          <cell r="J34" t="str">
            <v>Done</v>
          </cell>
          <cell r="K34" t="str">
            <v>sudah ada</v>
          </cell>
          <cell r="L34">
            <v>0</v>
          </cell>
        </row>
        <row r="35">
          <cell r="B35">
            <v>32</v>
          </cell>
          <cell r="C35">
            <v>0</v>
          </cell>
          <cell r="D35" t="str">
            <v>Karimazu 590 EC 25 X 400 ml (GDG Suplier) QKARI06 AKARI08 Maintenance LOT</v>
          </cell>
          <cell r="E35">
            <v>0</v>
          </cell>
          <cell r="F35">
            <v>0</v>
          </cell>
          <cell r="G35">
            <v>0</v>
          </cell>
          <cell r="H35">
            <v>44107</v>
          </cell>
          <cell r="I35">
            <v>44107</v>
          </cell>
          <cell r="J35" t="str">
            <v>Done</v>
          </cell>
          <cell r="K35" t="str">
            <v>sudah ada</v>
          </cell>
          <cell r="L35">
            <v>0</v>
          </cell>
        </row>
        <row r="36">
          <cell r="B36">
            <v>33</v>
          </cell>
          <cell r="C36">
            <v>0</v>
          </cell>
          <cell r="D36" t="str">
            <v>Jagung DK 771 20 X 1 kg (Bisi)  Gdg. Supplier  AJAGU52 QJAGU42 Maintenance LOT</v>
          </cell>
          <cell r="E36">
            <v>0</v>
          </cell>
          <cell r="F36">
            <v>0</v>
          </cell>
          <cell r="G36">
            <v>0</v>
          </cell>
          <cell r="H36">
            <v>44110</v>
          </cell>
          <cell r="I36">
            <v>44110</v>
          </cell>
          <cell r="J36" t="str">
            <v>Done</v>
          </cell>
          <cell r="K36" t="str">
            <v>sudah ada</v>
          </cell>
          <cell r="L36">
            <v>0</v>
          </cell>
        </row>
        <row r="37">
          <cell r="B37">
            <v>34</v>
          </cell>
          <cell r="C37">
            <v>0</v>
          </cell>
          <cell r="D37" t="str">
            <v>Jagung Bisi 18 20 X 1 kg Gdg. Supplier AJAGU03 Maintenance LOT</v>
          </cell>
          <cell r="E37">
            <v>0</v>
          </cell>
          <cell r="F37">
            <v>0</v>
          </cell>
          <cell r="G37">
            <v>0</v>
          </cell>
          <cell r="H37">
            <v>44110</v>
          </cell>
          <cell r="I37">
            <v>44110</v>
          </cell>
          <cell r="J37" t="str">
            <v>Done</v>
          </cell>
          <cell r="K37" t="str">
            <v>sudah ada</v>
          </cell>
          <cell r="L37">
            <v>0</v>
          </cell>
        </row>
        <row r="38">
          <cell r="B38">
            <v>35</v>
          </cell>
          <cell r="C38">
            <v>0</v>
          </cell>
          <cell r="D38" t="str">
            <v>Jagung Bisi 18 20 X 1 kg Gdg. Expired QJAGU03 Maintenance LOT</v>
          </cell>
          <cell r="E38">
            <v>0</v>
          </cell>
          <cell r="F38">
            <v>0</v>
          </cell>
          <cell r="G38">
            <v>0</v>
          </cell>
          <cell r="H38">
            <v>44110</v>
          </cell>
          <cell r="I38">
            <v>44110</v>
          </cell>
          <cell r="J38" t="str">
            <v>Done</v>
          </cell>
          <cell r="K38" t="str">
            <v>sudah ada</v>
          </cell>
          <cell r="L38">
            <v>0</v>
          </cell>
        </row>
        <row r="39">
          <cell r="B39">
            <v>36</v>
          </cell>
          <cell r="C39">
            <v>0</v>
          </cell>
          <cell r="D39" t="str">
            <v>Emacel 30 EC 20 X 500 ml (GDG Supplier) QEMAC03 Maintenance LOT</v>
          </cell>
          <cell r="E39">
            <v>0</v>
          </cell>
          <cell r="F39">
            <v>0</v>
          </cell>
          <cell r="G39">
            <v>0</v>
          </cell>
          <cell r="H39">
            <v>44113</v>
          </cell>
          <cell r="I39">
            <v>44113</v>
          </cell>
          <cell r="J39" t="str">
            <v>Done</v>
          </cell>
          <cell r="K39" t="str">
            <v>sudah ada</v>
          </cell>
          <cell r="L39">
            <v>0</v>
          </cell>
        </row>
        <row r="40">
          <cell r="B40">
            <v>37</v>
          </cell>
          <cell r="C40">
            <v>0</v>
          </cell>
          <cell r="D40" t="str">
            <v>Padi Janger Inpari-32 4 x 5 kg (GDG Supplier) Maintenance LOT</v>
          </cell>
          <cell r="E40">
            <v>0</v>
          </cell>
          <cell r="F40">
            <v>0</v>
          </cell>
          <cell r="G40">
            <v>0</v>
          </cell>
          <cell r="H40">
            <v>44117</v>
          </cell>
          <cell r="I40">
            <v>44117</v>
          </cell>
          <cell r="J40" t="str">
            <v>Done</v>
          </cell>
          <cell r="K40" t="str">
            <v>sudah ada</v>
          </cell>
          <cell r="L40">
            <v>0</v>
          </cell>
        </row>
        <row r="41">
          <cell r="B41">
            <v>38</v>
          </cell>
          <cell r="C41">
            <v>0</v>
          </cell>
          <cell r="D41" t="str">
            <v>Padi Janger Ciherang 4 x 5 kg (GDG Supplier) Maintenance LOT</v>
          </cell>
          <cell r="E41">
            <v>0</v>
          </cell>
          <cell r="F41">
            <v>0</v>
          </cell>
          <cell r="G41">
            <v>0</v>
          </cell>
          <cell r="H41">
            <v>44117</v>
          </cell>
          <cell r="I41">
            <v>44117</v>
          </cell>
          <cell r="J41" t="str">
            <v>Done</v>
          </cell>
          <cell r="K41" t="str">
            <v>sudah ada</v>
          </cell>
          <cell r="L41">
            <v>0</v>
          </cell>
        </row>
        <row r="42">
          <cell r="B42">
            <v>39</v>
          </cell>
          <cell r="C42">
            <v>0</v>
          </cell>
          <cell r="D42" t="str">
            <v>Padi Janger Logawa 4 x 5 kg (GDG Supplier) Maintenance LOT</v>
          </cell>
          <cell r="E42">
            <v>0</v>
          </cell>
          <cell r="F42">
            <v>0</v>
          </cell>
          <cell r="G42">
            <v>0</v>
          </cell>
          <cell r="H42">
            <v>44117</v>
          </cell>
          <cell r="I42">
            <v>44117</v>
          </cell>
          <cell r="J42" t="str">
            <v>Done</v>
          </cell>
          <cell r="K42" t="str">
            <v>sudah ada</v>
          </cell>
          <cell r="L42">
            <v>0</v>
          </cell>
        </row>
        <row r="43">
          <cell r="B43">
            <v>40</v>
          </cell>
          <cell r="C43">
            <v>0</v>
          </cell>
          <cell r="D43" t="str">
            <v>Jagung DK 959 20 X 1 Kg (Bisi) AJAGU51 Maintenance LOT</v>
          </cell>
          <cell r="E43">
            <v>0</v>
          </cell>
          <cell r="F43">
            <v>0</v>
          </cell>
          <cell r="G43">
            <v>0</v>
          </cell>
          <cell r="H43">
            <v>44118</v>
          </cell>
          <cell r="I43">
            <v>44118</v>
          </cell>
          <cell r="J43" t="str">
            <v>Done</v>
          </cell>
          <cell r="K43" t="str">
            <v>sudah ada</v>
          </cell>
          <cell r="L43">
            <v>0</v>
          </cell>
        </row>
        <row r="44">
          <cell r="B44">
            <v>41</v>
          </cell>
          <cell r="C44">
            <v>0</v>
          </cell>
          <cell r="D44" t="str">
            <v>Jagung DK 959 20 X 1 Kg (Bisi) QJAGU40 Maintenance LOT</v>
          </cell>
          <cell r="E44">
            <v>0</v>
          </cell>
          <cell r="F44">
            <v>0</v>
          </cell>
          <cell r="G44">
            <v>0</v>
          </cell>
          <cell r="H44">
            <v>44118</v>
          </cell>
          <cell r="I44">
            <v>44118</v>
          </cell>
          <cell r="J44" t="str">
            <v>Done</v>
          </cell>
          <cell r="K44" t="str">
            <v>sudah ada</v>
          </cell>
          <cell r="L44">
            <v>0</v>
          </cell>
        </row>
        <row r="45">
          <cell r="B45">
            <v>42</v>
          </cell>
          <cell r="C45">
            <v>0</v>
          </cell>
          <cell r="D45" t="str">
            <v>Ludes 50 EC 30 X 250 ml QLUDE02 Maintenance LOT</v>
          </cell>
          <cell r="E45">
            <v>0</v>
          </cell>
          <cell r="F45">
            <v>0</v>
          </cell>
          <cell r="G45">
            <v>0</v>
          </cell>
          <cell r="H45">
            <v>44120</v>
          </cell>
          <cell r="I45">
            <v>44120</v>
          </cell>
          <cell r="J45" t="str">
            <v>Done</v>
          </cell>
          <cell r="K45" t="str">
            <v>sudah ada</v>
          </cell>
          <cell r="L45">
            <v>0</v>
          </cell>
        </row>
        <row r="46">
          <cell r="B46">
            <v>43</v>
          </cell>
          <cell r="C46">
            <v>0</v>
          </cell>
          <cell r="D46" t="str">
            <v>GG Bunga 50 X 100 ml QGOLD09 (GDG SUPPLIER) Maintenance LOT</v>
          </cell>
          <cell r="E46">
            <v>0</v>
          </cell>
          <cell r="F46">
            <v>0</v>
          </cell>
          <cell r="G46">
            <v>0</v>
          </cell>
          <cell r="H46">
            <v>44120</v>
          </cell>
          <cell r="I46">
            <v>44120</v>
          </cell>
          <cell r="J46" t="str">
            <v>Done</v>
          </cell>
          <cell r="K46" t="str">
            <v>sudah ada</v>
          </cell>
          <cell r="L46">
            <v>0</v>
          </cell>
        </row>
        <row r="47">
          <cell r="B47">
            <v>44</v>
          </cell>
          <cell r="C47">
            <v>0</v>
          </cell>
          <cell r="D47" t="str">
            <v>GG Daun 50 X 100 ml (M2U) QGOLD10 (GDG SUPPLIER) Maintenance LOT</v>
          </cell>
          <cell r="E47">
            <v>0</v>
          </cell>
          <cell r="F47">
            <v>0</v>
          </cell>
          <cell r="G47">
            <v>0</v>
          </cell>
          <cell r="H47">
            <v>44120</v>
          </cell>
          <cell r="I47">
            <v>44120</v>
          </cell>
          <cell r="J47" t="str">
            <v>Done</v>
          </cell>
          <cell r="K47" t="str">
            <v>sudah ada</v>
          </cell>
          <cell r="L47">
            <v>0</v>
          </cell>
        </row>
        <row r="48">
          <cell r="B48">
            <v>45</v>
          </cell>
          <cell r="C48">
            <v>0</v>
          </cell>
          <cell r="D48" t="str">
            <v>Aneto 50 EC 30 X 500 ml + Neptune 8 gr (M2U) QANET07  (GDG SUPPLIER) Maintenance LOT</v>
          </cell>
          <cell r="E48">
            <v>0</v>
          </cell>
          <cell r="F48">
            <v>0</v>
          </cell>
          <cell r="G48">
            <v>0</v>
          </cell>
          <cell r="H48">
            <v>44120</v>
          </cell>
          <cell r="I48">
            <v>44120</v>
          </cell>
          <cell r="J48" t="str">
            <v>Done</v>
          </cell>
          <cell r="K48" t="str">
            <v>sudah ada</v>
          </cell>
          <cell r="L48">
            <v>0</v>
          </cell>
        </row>
        <row r="49">
          <cell r="B49">
            <v>46</v>
          </cell>
          <cell r="C49">
            <v>0</v>
          </cell>
          <cell r="D49" t="str">
            <v>SG.05 200 X 100 gr (M2U) QSG0502 (GDG Supplier)</v>
          </cell>
          <cell r="E49">
            <v>0</v>
          </cell>
          <cell r="F49">
            <v>0</v>
          </cell>
          <cell r="G49">
            <v>0</v>
          </cell>
          <cell r="H49">
            <v>44123</v>
          </cell>
          <cell r="I49">
            <v>44123</v>
          </cell>
          <cell r="J49" t="str">
            <v>Done</v>
          </cell>
          <cell r="K49" t="str">
            <v>sudah ada</v>
          </cell>
          <cell r="L49">
            <v>0</v>
          </cell>
        </row>
        <row r="50">
          <cell r="B50">
            <v>47</v>
          </cell>
          <cell r="C50">
            <v>0</v>
          </cell>
          <cell r="D50" t="str">
            <v>Japra 400 SE 20 X 1 ltr (M2U) QJAPR03 (GDG Supplier)</v>
          </cell>
          <cell r="E50">
            <v>0</v>
          </cell>
          <cell r="F50">
            <v>0</v>
          </cell>
          <cell r="G50">
            <v>0</v>
          </cell>
          <cell r="H50">
            <v>44123</v>
          </cell>
          <cell r="I50">
            <v>44123</v>
          </cell>
          <cell r="J50" t="str">
            <v>Done</v>
          </cell>
          <cell r="K50" t="str">
            <v>sudah ada</v>
          </cell>
          <cell r="L50">
            <v>0</v>
          </cell>
        </row>
        <row r="51">
          <cell r="B51">
            <v>48</v>
          </cell>
          <cell r="C51">
            <v>0</v>
          </cell>
          <cell r="D51" t="str">
            <v>Neptune 25 WP 50 X 50 gr QNEPT01 (GDG Supplier)</v>
          </cell>
          <cell r="E51">
            <v>0</v>
          </cell>
          <cell r="F51">
            <v>0</v>
          </cell>
          <cell r="G51">
            <v>0</v>
          </cell>
          <cell r="H51">
            <v>44123</v>
          </cell>
          <cell r="I51">
            <v>44123</v>
          </cell>
          <cell r="J51" t="str">
            <v>Done</v>
          </cell>
          <cell r="K51" t="str">
            <v>sudah ada</v>
          </cell>
          <cell r="L51">
            <v>0</v>
          </cell>
        </row>
        <row r="52">
          <cell r="B52">
            <v>49</v>
          </cell>
          <cell r="C52">
            <v>0</v>
          </cell>
          <cell r="D52" t="str">
            <v>Gerbera 100 EC 40 X 200 ml QGERB01 (GDG Supplier)</v>
          </cell>
          <cell r="E52">
            <v>0</v>
          </cell>
          <cell r="F52">
            <v>0</v>
          </cell>
          <cell r="G52">
            <v>0</v>
          </cell>
          <cell r="H52">
            <v>44123</v>
          </cell>
          <cell r="I52">
            <v>44123</v>
          </cell>
          <cell r="J52" t="str">
            <v>Done</v>
          </cell>
          <cell r="K52" t="str">
            <v>sudah ada</v>
          </cell>
          <cell r="L52">
            <v>0</v>
          </cell>
        </row>
        <row r="53">
          <cell r="B53">
            <v>50</v>
          </cell>
          <cell r="C53">
            <v>0</v>
          </cell>
          <cell r="D53" t="str">
            <v>Gerbera 100 EC 20 X 500 ml QGERB02 (GDG Supplier)</v>
          </cell>
          <cell r="E53">
            <v>0</v>
          </cell>
          <cell r="F53">
            <v>0</v>
          </cell>
          <cell r="G53">
            <v>0</v>
          </cell>
          <cell r="H53">
            <v>44123</v>
          </cell>
          <cell r="I53">
            <v>44123</v>
          </cell>
          <cell r="J53" t="str">
            <v>Done</v>
          </cell>
          <cell r="K53" t="str">
            <v>sudah ada</v>
          </cell>
          <cell r="L53">
            <v>0</v>
          </cell>
        </row>
        <row r="54">
          <cell r="B54">
            <v>51</v>
          </cell>
          <cell r="C54">
            <v>0</v>
          </cell>
          <cell r="D54" t="str">
            <v>Bernas 250 EC 50 X 250 ml (M2U) QBERN03 (GDG Supplier)</v>
          </cell>
          <cell r="E54">
            <v>0</v>
          </cell>
          <cell r="F54">
            <v>0</v>
          </cell>
          <cell r="G54">
            <v>0</v>
          </cell>
          <cell r="H54">
            <v>44123</v>
          </cell>
          <cell r="I54">
            <v>44123</v>
          </cell>
          <cell r="J54" t="str">
            <v>Done</v>
          </cell>
          <cell r="K54" t="str">
            <v>sudah ada</v>
          </cell>
          <cell r="L54">
            <v>0</v>
          </cell>
        </row>
        <row r="55">
          <cell r="B55">
            <v>52</v>
          </cell>
          <cell r="C55">
            <v>0</v>
          </cell>
          <cell r="D55" t="str">
            <v>Bernas 250 EC 50 X 100 ml (M2U) QBERN04 (GDG Supplier)</v>
          </cell>
          <cell r="E55">
            <v>0</v>
          </cell>
          <cell r="F55">
            <v>0</v>
          </cell>
          <cell r="G55">
            <v>0</v>
          </cell>
          <cell r="H55">
            <v>44123</v>
          </cell>
          <cell r="I55">
            <v>44123</v>
          </cell>
          <cell r="J55" t="str">
            <v>Done</v>
          </cell>
          <cell r="K55" t="str">
            <v>sudah ada</v>
          </cell>
          <cell r="L55">
            <v>0</v>
          </cell>
        </row>
        <row r="56">
          <cell r="B56">
            <v>53</v>
          </cell>
          <cell r="C56">
            <v>0</v>
          </cell>
          <cell r="D56" t="str">
            <v>Aneto 50 EC 50 X 100 ml (M2U) QANET04 (GDG Supplier)</v>
          </cell>
          <cell r="E56">
            <v>0</v>
          </cell>
          <cell r="F56">
            <v>0</v>
          </cell>
          <cell r="G56">
            <v>0</v>
          </cell>
          <cell r="H56">
            <v>44123</v>
          </cell>
          <cell r="I56">
            <v>44123</v>
          </cell>
          <cell r="J56" t="str">
            <v>Done</v>
          </cell>
          <cell r="K56" t="str">
            <v>sudah ada</v>
          </cell>
          <cell r="L56">
            <v>0</v>
          </cell>
        </row>
        <row r="57">
          <cell r="B57">
            <v>54</v>
          </cell>
          <cell r="C57">
            <v>0</v>
          </cell>
          <cell r="D57" t="str">
            <v>Aneto 50 EC 50 X 250 ml + Neptune 8 gr (M2U)  QANET08 (GDG Supplier)</v>
          </cell>
          <cell r="E57">
            <v>0</v>
          </cell>
          <cell r="F57">
            <v>0</v>
          </cell>
          <cell r="G57">
            <v>0</v>
          </cell>
          <cell r="H57">
            <v>44123</v>
          </cell>
          <cell r="I57">
            <v>44123</v>
          </cell>
          <cell r="J57" t="str">
            <v>Done</v>
          </cell>
          <cell r="K57" t="str">
            <v>sudah ada</v>
          </cell>
          <cell r="L57">
            <v>0</v>
          </cell>
        </row>
        <row r="58">
          <cell r="B58">
            <v>55</v>
          </cell>
          <cell r="C58">
            <v>0</v>
          </cell>
          <cell r="D58" t="str">
            <v>Jagung Bisi 18 20 X 1 kg QJAGU03  Gdg. Ajung Bisi 2</v>
          </cell>
          <cell r="E58">
            <v>0</v>
          </cell>
          <cell r="F58">
            <v>0</v>
          </cell>
          <cell r="G58">
            <v>0</v>
          </cell>
          <cell r="H58">
            <v>44124</v>
          </cell>
          <cell r="I58">
            <v>44124</v>
          </cell>
          <cell r="J58" t="str">
            <v>Done</v>
          </cell>
          <cell r="K58" t="str">
            <v>sudah ada</v>
          </cell>
          <cell r="L58">
            <v>0</v>
          </cell>
        </row>
        <row r="59">
          <cell r="B59">
            <v>56</v>
          </cell>
          <cell r="C59">
            <v>0</v>
          </cell>
          <cell r="D59" t="str">
            <v>Jagung Bisi 18 20 X 1 kg AJAGU03 Gdg. Supplier</v>
          </cell>
          <cell r="E59">
            <v>0</v>
          </cell>
          <cell r="F59">
            <v>0</v>
          </cell>
          <cell r="G59">
            <v>0</v>
          </cell>
          <cell r="H59">
            <v>44124</v>
          </cell>
          <cell r="I59">
            <v>44124</v>
          </cell>
          <cell r="J59" t="str">
            <v>Done</v>
          </cell>
          <cell r="K59" t="str">
            <v>sudah ada</v>
          </cell>
          <cell r="L59">
            <v>0</v>
          </cell>
        </row>
        <row r="60">
          <cell r="B60">
            <v>57</v>
          </cell>
          <cell r="C60">
            <v>0</v>
          </cell>
          <cell r="D60" t="str">
            <v>Jagung Bisi 18 20 X 1 kg QJAGU03 Gdg. Expired</v>
          </cell>
          <cell r="E60">
            <v>0</v>
          </cell>
          <cell r="F60">
            <v>0</v>
          </cell>
          <cell r="G60">
            <v>0</v>
          </cell>
          <cell r="H60">
            <v>44124</v>
          </cell>
          <cell r="I60">
            <v>44124</v>
          </cell>
          <cell r="J60" t="str">
            <v>Done</v>
          </cell>
          <cell r="K60" t="str">
            <v>sudah ada</v>
          </cell>
          <cell r="L60">
            <v>0</v>
          </cell>
        </row>
        <row r="61">
          <cell r="B61">
            <v>58</v>
          </cell>
          <cell r="C61">
            <v>0</v>
          </cell>
          <cell r="D61" t="str">
            <v>Jagung Bisi 2 20 X 1 kg (gdg Induk)</v>
          </cell>
          <cell r="E61">
            <v>0</v>
          </cell>
          <cell r="F61">
            <v>0</v>
          </cell>
          <cell r="G61">
            <v>0</v>
          </cell>
          <cell r="H61">
            <v>44128</v>
          </cell>
          <cell r="I61">
            <v>44128</v>
          </cell>
          <cell r="J61" t="str">
            <v>Done</v>
          </cell>
          <cell r="K61" t="str">
            <v>sudah ada</v>
          </cell>
          <cell r="L61">
            <v>0</v>
          </cell>
        </row>
        <row r="62">
          <cell r="B62">
            <v>59</v>
          </cell>
          <cell r="C62">
            <v>0</v>
          </cell>
          <cell r="D62" t="str">
            <v>Jagung Bisi 2 20 X 1 kg AJAGU05 Gdg. Supplier</v>
          </cell>
          <cell r="E62">
            <v>0</v>
          </cell>
          <cell r="F62">
            <v>0</v>
          </cell>
          <cell r="G62">
            <v>0</v>
          </cell>
          <cell r="H62">
            <v>44128</v>
          </cell>
          <cell r="I62">
            <v>44128</v>
          </cell>
          <cell r="J62" t="str">
            <v>Done</v>
          </cell>
          <cell r="K62" t="str">
            <v>sudah ada</v>
          </cell>
          <cell r="L62">
            <v>0</v>
          </cell>
        </row>
        <row r="63">
          <cell r="B63">
            <v>60</v>
          </cell>
          <cell r="C63">
            <v>0</v>
          </cell>
          <cell r="D63" t="str">
            <v>Jagung Bisi 2 20 X 1 kg QJAGU04Gdg. Titipan</v>
          </cell>
          <cell r="E63">
            <v>0</v>
          </cell>
          <cell r="F63">
            <v>0</v>
          </cell>
          <cell r="G63">
            <v>0</v>
          </cell>
          <cell r="H63">
            <v>44128</v>
          </cell>
          <cell r="I63">
            <v>44128</v>
          </cell>
          <cell r="J63" t="str">
            <v>Done</v>
          </cell>
          <cell r="K63" t="str">
            <v>sudah ada</v>
          </cell>
          <cell r="L63">
            <v>0</v>
          </cell>
        </row>
        <row r="64">
          <cell r="B64">
            <v>61</v>
          </cell>
          <cell r="C64">
            <v>0</v>
          </cell>
          <cell r="D64" t="str">
            <v>Padi Q-989 Inpari 32 4 X 5 kg APADI23 (GDG SUPPLIER)</v>
          </cell>
          <cell r="E64">
            <v>0</v>
          </cell>
          <cell r="F64">
            <v>0</v>
          </cell>
          <cell r="G64">
            <v>0</v>
          </cell>
          <cell r="H64">
            <v>44128</v>
          </cell>
          <cell r="I64">
            <v>44128</v>
          </cell>
          <cell r="J64" t="str">
            <v>Done</v>
          </cell>
          <cell r="K64" t="str">
            <v>sudah ada</v>
          </cell>
          <cell r="L64">
            <v>0</v>
          </cell>
        </row>
        <row r="65">
          <cell r="B65">
            <v>62</v>
          </cell>
          <cell r="C65">
            <v>0</v>
          </cell>
          <cell r="D65" t="str">
            <v>Padi Q-989 Inpari 32 4 X 5 kg QPADI23 (GDG SUPPLIER)</v>
          </cell>
          <cell r="E65">
            <v>0</v>
          </cell>
          <cell r="F65">
            <v>0</v>
          </cell>
          <cell r="G65">
            <v>0</v>
          </cell>
          <cell r="H65">
            <v>44128</v>
          </cell>
          <cell r="I65">
            <v>44128</v>
          </cell>
          <cell r="J65" t="str">
            <v>Done</v>
          </cell>
          <cell r="K65" t="str">
            <v>sudah ada</v>
          </cell>
          <cell r="L65">
            <v>0</v>
          </cell>
        </row>
        <row r="66">
          <cell r="B66">
            <v>63</v>
          </cell>
          <cell r="C66">
            <v>0</v>
          </cell>
          <cell r="D66" t="str">
            <v>Cabe Imperial 20 X 12 X 10 gr QCABE09 (GDG INDUK)</v>
          </cell>
          <cell r="E66">
            <v>0</v>
          </cell>
          <cell r="F66">
            <v>0</v>
          </cell>
          <cell r="G66">
            <v>0</v>
          </cell>
          <cell r="H66">
            <v>44130</v>
          </cell>
          <cell r="I66">
            <v>44130</v>
          </cell>
          <cell r="J66" t="str">
            <v>Done</v>
          </cell>
          <cell r="K66" t="str">
            <v>sudah ada</v>
          </cell>
          <cell r="L66">
            <v>0</v>
          </cell>
        </row>
        <row r="67">
          <cell r="B67">
            <v>64</v>
          </cell>
          <cell r="C67">
            <v>0</v>
          </cell>
          <cell r="D67" t="str">
            <v>Cabe Imperial 20 X 12 X 10 gr QCABE09 (GDG INDUK)</v>
          </cell>
          <cell r="E67">
            <v>0</v>
          </cell>
          <cell r="F67">
            <v>0</v>
          </cell>
          <cell r="G67">
            <v>0</v>
          </cell>
          <cell r="H67">
            <v>44130</v>
          </cell>
          <cell r="I67">
            <v>44130</v>
          </cell>
          <cell r="J67" t="str">
            <v>Done</v>
          </cell>
          <cell r="K67" t="str">
            <v>sudah ada</v>
          </cell>
          <cell r="L67">
            <v>0</v>
          </cell>
        </row>
        <row r="68">
          <cell r="B68">
            <v>65</v>
          </cell>
          <cell r="C68">
            <v>0</v>
          </cell>
          <cell r="D68" t="str">
            <v>Edit Surat Asuransi MAG Ke Ecel</v>
          </cell>
          <cell r="E68">
            <v>0</v>
          </cell>
          <cell r="F68">
            <v>0</v>
          </cell>
          <cell r="G68">
            <v>0</v>
          </cell>
          <cell r="H68">
            <v>44130</v>
          </cell>
          <cell r="I68">
            <v>44130</v>
          </cell>
          <cell r="J68" t="str">
            <v>Done</v>
          </cell>
          <cell r="K68" t="str">
            <v>sudah ada</v>
          </cell>
          <cell r="L68">
            <v>0</v>
          </cell>
        </row>
        <row r="69">
          <cell r="B69">
            <v>66</v>
          </cell>
          <cell r="C69">
            <v>0</v>
          </cell>
          <cell r="D69" t="str">
            <v>Gibgro 20 T 10 X 10 X 5 gr QGIBG02</v>
          </cell>
          <cell r="E69">
            <v>0</v>
          </cell>
          <cell r="F69">
            <v>0</v>
          </cell>
          <cell r="G69">
            <v>0</v>
          </cell>
          <cell r="H69">
            <v>44134</v>
          </cell>
          <cell r="I69">
            <v>44134</v>
          </cell>
          <cell r="J69" t="str">
            <v>Done</v>
          </cell>
          <cell r="K69" t="str">
            <v>sudah ada</v>
          </cell>
          <cell r="L69">
            <v>0</v>
          </cell>
        </row>
        <row r="70">
          <cell r="B70">
            <v>67</v>
          </cell>
          <cell r="C70">
            <v>0</v>
          </cell>
          <cell r="D70" t="str">
            <v>Jagung Bisi 18 20 X 1 kg AJAGU03 Gdg. Supplier</v>
          </cell>
          <cell r="E70">
            <v>0</v>
          </cell>
          <cell r="F70">
            <v>0</v>
          </cell>
          <cell r="G70">
            <v>0</v>
          </cell>
          <cell r="H70">
            <v>44134</v>
          </cell>
          <cell r="I70">
            <v>44134</v>
          </cell>
          <cell r="J70" t="str">
            <v>Done</v>
          </cell>
          <cell r="K70" t="str">
            <v>sudah ada</v>
          </cell>
          <cell r="L70">
            <v>0</v>
          </cell>
        </row>
        <row r="71">
          <cell r="B71">
            <v>68</v>
          </cell>
          <cell r="C71">
            <v>0</v>
          </cell>
          <cell r="D71" t="str">
            <v xml:space="preserve">Jagung Bisi 18 20 X 1 kg QJAGU03 Gdg. Ajung Bisi 2 </v>
          </cell>
          <cell r="E71">
            <v>0</v>
          </cell>
          <cell r="F71">
            <v>0</v>
          </cell>
          <cell r="G71">
            <v>0</v>
          </cell>
          <cell r="H71">
            <v>44134</v>
          </cell>
          <cell r="I71">
            <v>44134</v>
          </cell>
          <cell r="J71" t="str">
            <v>Done</v>
          </cell>
          <cell r="K71" t="str">
            <v>sudah ada</v>
          </cell>
          <cell r="L71">
            <v>0</v>
          </cell>
        </row>
        <row r="72">
          <cell r="B72">
            <v>83</v>
          </cell>
          <cell r="C72">
            <v>0</v>
          </cell>
          <cell r="D72" t="str">
            <v>ARIMO01 Rimon Fast 100 SC 100 X 100 ml Maintenance LOT SUPPLIER</v>
          </cell>
          <cell r="E72">
            <v>0</v>
          </cell>
          <cell r="F72">
            <v>0</v>
          </cell>
          <cell r="G72">
            <v>0</v>
          </cell>
          <cell r="H72">
            <v>44139</v>
          </cell>
          <cell r="I72">
            <v>44139</v>
          </cell>
          <cell r="J72" t="str">
            <v>Done</v>
          </cell>
          <cell r="K72" t="str">
            <v>sudah ada</v>
          </cell>
          <cell r="L72" t="str">
            <v>sudah ada</v>
          </cell>
        </row>
        <row r="73">
          <cell r="B73">
            <v>24</v>
          </cell>
          <cell r="C73">
            <v>25</v>
          </cell>
          <cell r="D73" t="str">
            <v>Penyelesaian kontrak program</v>
          </cell>
          <cell r="E73">
            <v>0</v>
          </cell>
          <cell r="F73">
            <v>0</v>
          </cell>
          <cell r="G73">
            <v>0</v>
          </cell>
          <cell r="H73">
            <v>44148</v>
          </cell>
          <cell r="I73">
            <v>44140</v>
          </cell>
          <cell r="J73" t="str">
            <v>Done</v>
          </cell>
          <cell r="K73" t="str">
            <v>sudah ada</v>
          </cell>
          <cell r="L73" t="str">
            <v>sudah ada</v>
          </cell>
        </row>
        <row r="74">
          <cell r="B74">
            <v>117</v>
          </cell>
          <cell r="C74">
            <v>0</v>
          </cell>
          <cell r="D74" t="str">
            <v>tambah ram pc (jaya)</v>
          </cell>
          <cell r="E74">
            <v>0</v>
          </cell>
          <cell r="F74">
            <v>0</v>
          </cell>
          <cell r="G74">
            <v>0</v>
          </cell>
          <cell r="H74">
            <v>44140</v>
          </cell>
          <cell r="I74">
            <v>44140</v>
          </cell>
          <cell r="J74" t="str">
            <v>Done</v>
          </cell>
          <cell r="K74" t="str">
            <v>sudah ada</v>
          </cell>
          <cell r="L74" t="str">
            <v>sudah ada</v>
          </cell>
        </row>
        <row r="75">
          <cell r="B75">
            <v>84</v>
          </cell>
          <cell r="C75">
            <v>0</v>
          </cell>
          <cell r="D75" t="str">
            <v>AJAGU62 Jagung Bisi 220 4 X 1 paket Maintenance LOT SUPPLIER</v>
          </cell>
          <cell r="E75">
            <v>0</v>
          </cell>
          <cell r="F75">
            <v>0</v>
          </cell>
          <cell r="G75">
            <v>0</v>
          </cell>
          <cell r="H75">
            <v>44142</v>
          </cell>
          <cell r="I75">
            <v>44142</v>
          </cell>
          <cell r="J75" t="str">
            <v>Done</v>
          </cell>
          <cell r="K75" t="str">
            <v>sudah ada</v>
          </cell>
          <cell r="L75" t="str">
            <v>sudah ada</v>
          </cell>
        </row>
        <row r="76">
          <cell r="B76">
            <v>85</v>
          </cell>
          <cell r="C76">
            <v>0</v>
          </cell>
          <cell r="D76" t="str">
            <v>QJAGU53 Jagung Bisi 220 4 X 1 paket Maintenance  LOT EXPIRED</v>
          </cell>
          <cell r="E76">
            <v>0</v>
          </cell>
          <cell r="F76">
            <v>0</v>
          </cell>
          <cell r="G76">
            <v>0</v>
          </cell>
          <cell r="H76">
            <v>44142</v>
          </cell>
          <cell r="I76">
            <v>44142</v>
          </cell>
          <cell r="J76" t="str">
            <v>Done</v>
          </cell>
          <cell r="K76" t="str">
            <v>sudah ada</v>
          </cell>
          <cell r="L76" t="str">
            <v>sudah ada</v>
          </cell>
        </row>
        <row r="77">
          <cell r="B77">
            <v>86</v>
          </cell>
          <cell r="C77">
            <v>0</v>
          </cell>
          <cell r="D77" t="str">
            <v>AJAGU60 Jagung Bisi 99 20 X 1 kg Maintenance LOTSUPPLIER</v>
          </cell>
          <cell r="E77">
            <v>0</v>
          </cell>
          <cell r="F77">
            <v>0</v>
          </cell>
          <cell r="G77">
            <v>0</v>
          </cell>
          <cell r="H77">
            <v>44142</v>
          </cell>
          <cell r="I77">
            <v>44142</v>
          </cell>
          <cell r="J77" t="str">
            <v>Done</v>
          </cell>
          <cell r="K77" t="str">
            <v>sudah ada</v>
          </cell>
          <cell r="L77" t="str">
            <v>sudah ada</v>
          </cell>
        </row>
        <row r="78">
          <cell r="B78">
            <v>87</v>
          </cell>
          <cell r="C78">
            <v>0</v>
          </cell>
          <cell r="D78" t="str">
            <v>QJAGU53Jagung Bisi 99 20 X 1 kg Maintenance LOTEXPIRED</v>
          </cell>
          <cell r="E78">
            <v>0</v>
          </cell>
          <cell r="F78">
            <v>0</v>
          </cell>
          <cell r="G78">
            <v>0</v>
          </cell>
          <cell r="H78">
            <v>44142</v>
          </cell>
          <cell r="I78">
            <v>44142</v>
          </cell>
          <cell r="J78" t="str">
            <v>Done</v>
          </cell>
          <cell r="K78" t="str">
            <v>sudah ada</v>
          </cell>
          <cell r="L78" t="str">
            <v>sudah ada</v>
          </cell>
        </row>
        <row r="79">
          <cell r="B79">
            <v>107</v>
          </cell>
          <cell r="C79">
            <v>0</v>
          </cell>
          <cell r="D79" t="str">
            <v>zahir kode barang QRATO01 mengalami minus saldo barang (NITA)</v>
          </cell>
          <cell r="E79">
            <v>0</v>
          </cell>
          <cell r="F79">
            <v>0</v>
          </cell>
          <cell r="G79">
            <v>0</v>
          </cell>
          <cell r="H79">
            <v>44142</v>
          </cell>
          <cell r="I79">
            <v>44142</v>
          </cell>
          <cell r="J79" t="str">
            <v>Done</v>
          </cell>
          <cell r="K79" t="str">
            <v>sudah ada</v>
          </cell>
          <cell r="L79" t="str">
            <v>sudah ada</v>
          </cell>
        </row>
        <row r="80">
          <cell r="B80">
            <v>116</v>
          </cell>
          <cell r="C80">
            <v>0</v>
          </cell>
          <cell r="D80" t="str">
            <v>LAN  bermasalah (YOSSY)</v>
          </cell>
          <cell r="E80">
            <v>0</v>
          </cell>
          <cell r="F80">
            <v>0</v>
          </cell>
          <cell r="G80">
            <v>0</v>
          </cell>
          <cell r="H80">
            <v>44144</v>
          </cell>
          <cell r="I80">
            <v>44144</v>
          </cell>
          <cell r="J80" t="str">
            <v>Done</v>
          </cell>
          <cell r="K80" t="str">
            <v>sudah ada</v>
          </cell>
          <cell r="L80" t="str">
            <v>sudah ada</v>
          </cell>
        </row>
        <row r="81">
          <cell r="B81">
            <v>88</v>
          </cell>
          <cell r="C81">
            <v>0</v>
          </cell>
          <cell r="D81" t="str">
            <v>QTIMU06Timun Wuku Maintenance LOTINDUK</v>
          </cell>
          <cell r="E81">
            <v>0</v>
          </cell>
          <cell r="F81">
            <v>0</v>
          </cell>
          <cell r="G81">
            <v>0</v>
          </cell>
          <cell r="H81">
            <v>44145</v>
          </cell>
          <cell r="I81">
            <v>44145</v>
          </cell>
          <cell r="J81" t="str">
            <v>Done</v>
          </cell>
          <cell r="K81" t="str">
            <v>sudah ada</v>
          </cell>
          <cell r="L81" t="str">
            <v>sudah ada</v>
          </cell>
        </row>
        <row r="82">
          <cell r="B82">
            <v>89</v>
          </cell>
          <cell r="C82">
            <v>0</v>
          </cell>
          <cell r="D82" t="str">
            <v>QTOMA02TOMAT MAWAR 12 X 15 X 10 GR Maintenance LOTINDUK</v>
          </cell>
          <cell r="E82">
            <v>0</v>
          </cell>
          <cell r="F82">
            <v>0</v>
          </cell>
          <cell r="G82">
            <v>0</v>
          </cell>
          <cell r="H82">
            <v>44148</v>
          </cell>
          <cell r="I82">
            <v>44148</v>
          </cell>
          <cell r="J82" t="str">
            <v>Done</v>
          </cell>
          <cell r="K82" t="str">
            <v>sudah ada</v>
          </cell>
          <cell r="L82" t="str">
            <v>sudah ada</v>
          </cell>
        </row>
        <row r="83">
          <cell r="B83">
            <v>90</v>
          </cell>
          <cell r="C83">
            <v>0</v>
          </cell>
          <cell r="D83" t="str">
            <v>QSAWI02SAWI DORA 12 X 15 X 25 GR Maintenance LOTINDUK</v>
          </cell>
          <cell r="E83">
            <v>0</v>
          </cell>
          <cell r="F83">
            <v>0</v>
          </cell>
          <cell r="G83">
            <v>0</v>
          </cell>
          <cell r="H83">
            <v>44148</v>
          </cell>
          <cell r="I83">
            <v>44148</v>
          </cell>
          <cell r="J83" t="str">
            <v>Done</v>
          </cell>
          <cell r="K83" t="str">
            <v>sudah ada</v>
          </cell>
          <cell r="L83" t="str">
            <v>sudah ada</v>
          </cell>
        </row>
        <row r="84">
          <cell r="B84">
            <v>108</v>
          </cell>
          <cell r="C84">
            <v>0</v>
          </cell>
          <cell r="D84" t="str">
            <v>Instal OS Windows PC bermasalah  (sylvia)</v>
          </cell>
          <cell r="E84">
            <v>0</v>
          </cell>
          <cell r="F84">
            <v>0</v>
          </cell>
          <cell r="G84">
            <v>0</v>
          </cell>
          <cell r="H84">
            <v>44149</v>
          </cell>
          <cell r="I84">
            <v>44149</v>
          </cell>
          <cell r="J84" t="str">
            <v>Done</v>
          </cell>
          <cell r="K84" t="str">
            <v>sudah ada</v>
          </cell>
          <cell r="L84" t="str">
            <v>sudah ada</v>
          </cell>
        </row>
        <row r="85">
          <cell r="B85">
            <v>91</v>
          </cell>
          <cell r="C85">
            <v>0</v>
          </cell>
          <cell r="D85" t="str">
            <v>QKUBI11Kubis Green Crown 10 X 20 ml Maintenance LOTINDUK</v>
          </cell>
          <cell r="E85">
            <v>0</v>
          </cell>
          <cell r="F85">
            <v>0</v>
          </cell>
          <cell r="G85">
            <v>0</v>
          </cell>
          <cell r="H85">
            <v>44151</v>
          </cell>
          <cell r="I85">
            <v>44151</v>
          </cell>
          <cell r="J85" t="str">
            <v>Done</v>
          </cell>
          <cell r="K85" t="str">
            <v>sudah ada</v>
          </cell>
          <cell r="L85" t="str">
            <v>sudah ada</v>
          </cell>
        </row>
        <row r="86">
          <cell r="B86">
            <v>92</v>
          </cell>
          <cell r="C86">
            <v>0</v>
          </cell>
          <cell r="D86" t="str">
            <v>QKUBI12Kubis Green Crown 100 X 100 gr Maintenance LOTINDUK</v>
          </cell>
          <cell r="E86">
            <v>0</v>
          </cell>
          <cell r="F86">
            <v>0</v>
          </cell>
          <cell r="G86">
            <v>0</v>
          </cell>
          <cell r="H86">
            <v>44151</v>
          </cell>
          <cell r="I86">
            <v>44151</v>
          </cell>
          <cell r="J86" t="str">
            <v>Done</v>
          </cell>
          <cell r="K86" t="str">
            <v>sudah ada</v>
          </cell>
          <cell r="L86" t="str">
            <v>sudah ada</v>
          </cell>
        </row>
        <row r="87">
          <cell r="B87">
            <v>109</v>
          </cell>
          <cell r="C87">
            <v>0</v>
          </cell>
          <cell r="D87" t="str">
            <v>smc , sheet printer tidak bisa (Naily)</v>
          </cell>
          <cell r="E87">
            <v>0</v>
          </cell>
          <cell r="F87">
            <v>0</v>
          </cell>
          <cell r="G87">
            <v>0</v>
          </cell>
          <cell r="H87">
            <v>44151</v>
          </cell>
          <cell r="I87">
            <v>44151</v>
          </cell>
          <cell r="J87" t="str">
            <v>Done</v>
          </cell>
          <cell r="K87" t="str">
            <v>sudah ada</v>
          </cell>
          <cell r="L87" t="str">
            <v>sudah ada</v>
          </cell>
        </row>
        <row r="88">
          <cell r="B88">
            <v>93</v>
          </cell>
          <cell r="C88">
            <v>0</v>
          </cell>
          <cell r="D88" t="str">
            <v>QCABE36CABE SIGANTUNG 12 X 15 X 10 GR Maintenance LOTINDUK</v>
          </cell>
          <cell r="E88">
            <v>0</v>
          </cell>
          <cell r="F88">
            <v>0</v>
          </cell>
          <cell r="G88">
            <v>0</v>
          </cell>
          <cell r="H88">
            <v>44152</v>
          </cell>
          <cell r="I88">
            <v>44152</v>
          </cell>
          <cell r="J88" t="str">
            <v>Done</v>
          </cell>
          <cell r="K88" t="str">
            <v>sudah ada</v>
          </cell>
          <cell r="L88" t="str">
            <v>sudah ada</v>
          </cell>
        </row>
        <row r="89">
          <cell r="B89">
            <v>118</v>
          </cell>
          <cell r="C89">
            <v>0</v>
          </cell>
          <cell r="D89" t="str">
            <v>batrei ups rusak (hendrik)</v>
          </cell>
          <cell r="E89">
            <v>0</v>
          </cell>
          <cell r="F89">
            <v>0</v>
          </cell>
          <cell r="G89">
            <v>0</v>
          </cell>
          <cell r="H89">
            <v>44152</v>
          </cell>
          <cell r="I89">
            <v>44152</v>
          </cell>
          <cell r="J89" t="str">
            <v>Done</v>
          </cell>
          <cell r="K89" t="str">
            <v>sudah ada</v>
          </cell>
          <cell r="L89" t="str">
            <v>sudah ada</v>
          </cell>
        </row>
        <row r="90">
          <cell r="B90">
            <v>119</v>
          </cell>
          <cell r="C90">
            <v>0</v>
          </cell>
          <cell r="D90" t="str">
            <v>batrei ups rusak (doni)</v>
          </cell>
          <cell r="E90">
            <v>0</v>
          </cell>
          <cell r="F90">
            <v>0</v>
          </cell>
          <cell r="G90">
            <v>0</v>
          </cell>
          <cell r="H90">
            <v>44152</v>
          </cell>
          <cell r="I90">
            <v>44152</v>
          </cell>
          <cell r="J90" t="str">
            <v>Done</v>
          </cell>
          <cell r="K90" t="str">
            <v>sudah ada</v>
          </cell>
          <cell r="L90" t="str">
            <v>sudah ada</v>
          </cell>
        </row>
        <row r="91">
          <cell r="B91">
            <v>120</v>
          </cell>
          <cell r="C91">
            <v>0</v>
          </cell>
          <cell r="D91" t="str">
            <v>cmos batrei rusak (sylvia)</v>
          </cell>
          <cell r="E91">
            <v>0</v>
          </cell>
          <cell r="F91">
            <v>0</v>
          </cell>
          <cell r="G91">
            <v>0</v>
          </cell>
          <cell r="H91">
            <v>44152</v>
          </cell>
          <cell r="I91">
            <v>44152</v>
          </cell>
          <cell r="J91" t="str">
            <v>Done</v>
          </cell>
          <cell r="K91" t="str">
            <v>sudah ada</v>
          </cell>
          <cell r="L91" t="str">
            <v>sudah ada</v>
          </cell>
        </row>
        <row r="92">
          <cell r="B92">
            <v>121</v>
          </cell>
          <cell r="C92">
            <v>0</v>
          </cell>
          <cell r="D92" t="str">
            <v>keyboard eror (tika)</v>
          </cell>
          <cell r="E92">
            <v>0</v>
          </cell>
          <cell r="F92">
            <v>0</v>
          </cell>
          <cell r="G92">
            <v>0</v>
          </cell>
          <cell r="H92">
            <v>44152</v>
          </cell>
          <cell r="I92">
            <v>44152</v>
          </cell>
          <cell r="J92" t="str">
            <v>Done</v>
          </cell>
          <cell r="K92" t="str">
            <v>sudah ada</v>
          </cell>
          <cell r="L92" t="str">
            <v>sudah ada</v>
          </cell>
        </row>
        <row r="93">
          <cell r="B93">
            <v>122</v>
          </cell>
          <cell r="C93">
            <v>0</v>
          </cell>
          <cell r="D93" t="str">
            <v>printer eror scanner (nadia)</v>
          </cell>
          <cell r="E93">
            <v>0</v>
          </cell>
          <cell r="F93">
            <v>0</v>
          </cell>
          <cell r="G93">
            <v>0</v>
          </cell>
          <cell r="H93">
            <v>44152</v>
          </cell>
          <cell r="I93">
            <v>44152</v>
          </cell>
          <cell r="J93" t="str">
            <v>Done</v>
          </cell>
          <cell r="K93" t="str">
            <v>sudah ada</v>
          </cell>
          <cell r="L93" t="str">
            <v>sudah ada</v>
          </cell>
        </row>
        <row r="94">
          <cell r="B94">
            <v>123</v>
          </cell>
          <cell r="C94">
            <v>0</v>
          </cell>
          <cell r="D94" t="str">
            <v>printer eror ngeprint (nita)</v>
          </cell>
          <cell r="E94">
            <v>0</v>
          </cell>
          <cell r="F94">
            <v>0</v>
          </cell>
          <cell r="G94">
            <v>0</v>
          </cell>
          <cell r="H94">
            <v>44152</v>
          </cell>
          <cell r="I94">
            <v>44152</v>
          </cell>
          <cell r="J94" t="str">
            <v>Done</v>
          </cell>
          <cell r="K94" t="str">
            <v>sudah ada</v>
          </cell>
          <cell r="L94" t="str">
            <v>sudah ada</v>
          </cell>
        </row>
        <row r="95">
          <cell r="B95">
            <v>124</v>
          </cell>
          <cell r="C95">
            <v>0</v>
          </cell>
          <cell r="D95" t="str">
            <v>tambah pasang ups (laili)</v>
          </cell>
          <cell r="E95">
            <v>0</v>
          </cell>
          <cell r="F95">
            <v>0</v>
          </cell>
          <cell r="G95">
            <v>0</v>
          </cell>
          <cell r="H95">
            <v>44152</v>
          </cell>
          <cell r="I95">
            <v>44152</v>
          </cell>
          <cell r="J95" t="str">
            <v>Done</v>
          </cell>
          <cell r="K95" t="str">
            <v>sudah ada</v>
          </cell>
          <cell r="L95" t="str">
            <v>sudah ada</v>
          </cell>
        </row>
        <row r="96">
          <cell r="B96">
            <v>125</v>
          </cell>
          <cell r="C96">
            <v>0</v>
          </cell>
          <cell r="D96" t="str">
            <v>tambah pasang ups (elok)</v>
          </cell>
          <cell r="E96">
            <v>0</v>
          </cell>
          <cell r="F96">
            <v>0</v>
          </cell>
          <cell r="G96">
            <v>0</v>
          </cell>
          <cell r="H96">
            <v>44152</v>
          </cell>
          <cell r="I96">
            <v>44152</v>
          </cell>
          <cell r="J96" t="str">
            <v>Done</v>
          </cell>
          <cell r="K96" t="str">
            <v>sudah ada</v>
          </cell>
          <cell r="L96" t="str">
            <v>sudah ada</v>
          </cell>
        </row>
        <row r="97">
          <cell r="B97">
            <v>126</v>
          </cell>
          <cell r="C97">
            <v>0</v>
          </cell>
          <cell r="D97" t="str">
            <v>tambah pasang ups (naili)</v>
          </cell>
          <cell r="E97">
            <v>0</v>
          </cell>
          <cell r="F97">
            <v>0</v>
          </cell>
          <cell r="G97">
            <v>0</v>
          </cell>
          <cell r="H97">
            <v>44152</v>
          </cell>
          <cell r="I97">
            <v>44152</v>
          </cell>
          <cell r="J97" t="str">
            <v>Done</v>
          </cell>
          <cell r="K97" t="str">
            <v>sudah ada</v>
          </cell>
          <cell r="L97" t="str">
            <v>sudah ada</v>
          </cell>
        </row>
        <row r="98">
          <cell r="B98">
            <v>127</v>
          </cell>
          <cell r="C98">
            <v>0</v>
          </cell>
          <cell r="D98" t="str">
            <v>tambah pasang ups (proyektor)</v>
          </cell>
          <cell r="E98">
            <v>0</v>
          </cell>
          <cell r="F98">
            <v>0</v>
          </cell>
          <cell r="G98">
            <v>0</v>
          </cell>
          <cell r="H98">
            <v>44152</v>
          </cell>
          <cell r="I98">
            <v>44152</v>
          </cell>
          <cell r="J98" t="str">
            <v>Done</v>
          </cell>
          <cell r="K98" t="str">
            <v>sudah ada</v>
          </cell>
          <cell r="L98" t="str">
            <v>sudah ada</v>
          </cell>
        </row>
        <row r="99">
          <cell r="B99">
            <v>128</v>
          </cell>
          <cell r="C99">
            <v>0</v>
          </cell>
          <cell r="D99" t="str">
            <v>tambah pasang ups (kiugudang)</v>
          </cell>
          <cell r="E99">
            <v>0</v>
          </cell>
          <cell r="F99">
            <v>0</v>
          </cell>
          <cell r="G99">
            <v>0</v>
          </cell>
          <cell r="H99">
            <v>44152</v>
          </cell>
          <cell r="I99">
            <v>44152</v>
          </cell>
          <cell r="J99" t="str">
            <v>Done</v>
          </cell>
          <cell r="K99" t="str">
            <v>sudah ada</v>
          </cell>
          <cell r="L99" t="str">
            <v>sudah ada</v>
          </cell>
        </row>
        <row r="100">
          <cell r="B100">
            <v>129</v>
          </cell>
          <cell r="C100">
            <v>0</v>
          </cell>
          <cell r="D100" t="str">
            <v>batrei ups rusak (evi)</v>
          </cell>
          <cell r="E100">
            <v>0</v>
          </cell>
          <cell r="F100">
            <v>0</v>
          </cell>
          <cell r="G100">
            <v>0</v>
          </cell>
          <cell r="H100">
            <v>44152</v>
          </cell>
          <cell r="I100">
            <v>44152</v>
          </cell>
          <cell r="J100" t="str">
            <v>Done</v>
          </cell>
          <cell r="K100" t="str">
            <v>sudah ada</v>
          </cell>
          <cell r="L100" t="str">
            <v>sudah ada</v>
          </cell>
        </row>
        <row r="101">
          <cell r="B101">
            <v>94</v>
          </cell>
          <cell r="C101">
            <v>0</v>
          </cell>
          <cell r="D101" t="str">
            <v>QTERO05TERONG WELUT 12 X 15 X 10 GR Maintenance LOTINDUK</v>
          </cell>
          <cell r="E101">
            <v>0</v>
          </cell>
          <cell r="F101">
            <v>0</v>
          </cell>
          <cell r="G101">
            <v>0</v>
          </cell>
          <cell r="H101">
            <v>44154</v>
          </cell>
          <cell r="I101">
            <v>44154</v>
          </cell>
          <cell r="J101" t="str">
            <v>Done</v>
          </cell>
          <cell r="K101" t="str">
            <v>sudah ada</v>
          </cell>
          <cell r="L101" t="str">
            <v>sudah ada</v>
          </cell>
        </row>
        <row r="102">
          <cell r="B102">
            <v>95</v>
          </cell>
          <cell r="C102">
            <v>0</v>
          </cell>
          <cell r="D102" t="str">
            <v>QMACE02MACERIO 52 WP 50 X 250 gr Maintenance LOTSUPPLIER</v>
          </cell>
          <cell r="E102">
            <v>0</v>
          </cell>
          <cell r="F102">
            <v>0</v>
          </cell>
          <cell r="G102">
            <v>0</v>
          </cell>
          <cell r="H102">
            <v>44154</v>
          </cell>
          <cell r="I102">
            <v>44154</v>
          </cell>
          <cell r="J102" t="str">
            <v>Done</v>
          </cell>
          <cell r="K102" t="str">
            <v>sudah ada</v>
          </cell>
          <cell r="L102" t="str">
            <v>sudah ada</v>
          </cell>
        </row>
        <row r="103">
          <cell r="B103">
            <v>96</v>
          </cell>
          <cell r="C103">
            <v>0</v>
          </cell>
          <cell r="D103" t="str">
            <v>AMACE03MACERIO 52 WP 50 X 250 gr Maintenance LOTSUPPLIER</v>
          </cell>
          <cell r="E103">
            <v>0</v>
          </cell>
          <cell r="F103">
            <v>0</v>
          </cell>
          <cell r="G103">
            <v>0</v>
          </cell>
          <cell r="H103">
            <v>44154</v>
          </cell>
          <cell r="I103">
            <v>44154</v>
          </cell>
          <cell r="J103" t="str">
            <v>Done</v>
          </cell>
          <cell r="K103" t="str">
            <v>sudah ada</v>
          </cell>
          <cell r="L103" t="str">
            <v>sudah ada</v>
          </cell>
        </row>
        <row r="104">
          <cell r="B104">
            <v>97</v>
          </cell>
          <cell r="C104">
            <v>0</v>
          </cell>
          <cell r="D104" t="str">
            <v>QEMAC04Emacel 30 EC 10 X 1 ltr Maintenance LOTSUPPLIER</v>
          </cell>
          <cell r="E104">
            <v>0</v>
          </cell>
          <cell r="F104">
            <v>0</v>
          </cell>
          <cell r="G104">
            <v>0</v>
          </cell>
          <cell r="H104">
            <v>44154</v>
          </cell>
          <cell r="I104">
            <v>44154</v>
          </cell>
          <cell r="J104" t="str">
            <v>Done</v>
          </cell>
          <cell r="K104" t="str">
            <v>sudah ada</v>
          </cell>
          <cell r="L104" t="str">
            <v>sudah ada</v>
          </cell>
        </row>
        <row r="105">
          <cell r="B105">
            <v>110</v>
          </cell>
          <cell r="C105">
            <v>0</v>
          </cell>
          <cell r="D105" t="str">
            <v>zahir not responding (nina )</v>
          </cell>
          <cell r="E105">
            <v>0</v>
          </cell>
          <cell r="F105">
            <v>0</v>
          </cell>
          <cell r="G105">
            <v>0</v>
          </cell>
          <cell r="H105">
            <v>44154</v>
          </cell>
          <cell r="I105">
            <v>44154</v>
          </cell>
          <cell r="J105" t="str">
            <v>Done</v>
          </cell>
          <cell r="K105" t="str">
            <v>sudah ada</v>
          </cell>
          <cell r="L105" t="str">
            <v>sudah ada</v>
          </cell>
        </row>
        <row r="106">
          <cell r="B106">
            <v>130</v>
          </cell>
          <cell r="C106">
            <v>0</v>
          </cell>
          <cell r="D106" t="str">
            <v>LAN  bermasalah (naili )</v>
          </cell>
          <cell r="E106">
            <v>0</v>
          </cell>
          <cell r="F106">
            <v>0</v>
          </cell>
          <cell r="G106">
            <v>0</v>
          </cell>
          <cell r="H106">
            <v>44154</v>
          </cell>
          <cell r="I106">
            <v>44154</v>
          </cell>
          <cell r="J106" t="str">
            <v>Done</v>
          </cell>
          <cell r="K106" t="str">
            <v>sudah ada</v>
          </cell>
          <cell r="L106" t="str">
            <v>sudah ada</v>
          </cell>
        </row>
        <row r="107">
          <cell r="B107">
            <v>98</v>
          </cell>
          <cell r="C107">
            <v>0</v>
          </cell>
          <cell r="D107" t="str">
            <v>QJAGU40JAGUNG DK 959 20 X 1 KG (BISI) Maintenance LOTINDUK</v>
          </cell>
          <cell r="E107">
            <v>0</v>
          </cell>
          <cell r="F107">
            <v>0</v>
          </cell>
          <cell r="G107">
            <v>0</v>
          </cell>
          <cell r="H107">
            <v>44155</v>
          </cell>
          <cell r="I107">
            <v>44155</v>
          </cell>
          <cell r="J107" t="str">
            <v>Done</v>
          </cell>
          <cell r="K107" t="str">
            <v>sudah ada</v>
          </cell>
          <cell r="L107" t="str">
            <v>sudah ada</v>
          </cell>
        </row>
        <row r="108">
          <cell r="B108">
            <v>99</v>
          </cell>
          <cell r="C108">
            <v>0</v>
          </cell>
          <cell r="D108" t="str">
            <v>QSAWI01SAWI CHRISTINA 20 X 10 X 25 GR Maintenance LOTINDUK</v>
          </cell>
          <cell r="E108">
            <v>0</v>
          </cell>
          <cell r="F108">
            <v>0</v>
          </cell>
          <cell r="G108">
            <v>0</v>
          </cell>
          <cell r="H108">
            <v>44156</v>
          </cell>
          <cell r="I108">
            <v>44156</v>
          </cell>
          <cell r="J108" t="str">
            <v>Done</v>
          </cell>
          <cell r="K108" t="str">
            <v>sudah ada</v>
          </cell>
          <cell r="L108" t="str">
            <v>sudah ada</v>
          </cell>
        </row>
        <row r="109">
          <cell r="B109">
            <v>111</v>
          </cell>
          <cell r="C109">
            <v>0</v>
          </cell>
          <cell r="D109" t="str">
            <v>excel no responding (elok)</v>
          </cell>
          <cell r="E109">
            <v>0</v>
          </cell>
          <cell r="F109">
            <v>0</v>
          </cell>
          <cell r="G109">
            <v>0</v>
          </cell>
          <cell r="H109">
            <v>44156</v>
          </cell>
          <cell r="I109">
            <v>44156</v>
          </cell>
          <cell r="J109" t="str">
            <v>Done</v>
          </cell>
          <cell r="K109" t="str">
            <v>sudah ada</v>
          </cell>
          <cell r="L109" t="str">
            <v>sudah ada</v>
          </cell>
        </row>
        <row r="110">
          <cell r="B110">
            <v>112</v>
          </cell>
          <cell r="C110">
            <v>0</v>
          </cell>
          <cell r="D110" t="str">
            <v>excel install tab excel (elok)</v>
          </cell>
          <cell r="E110">
            <v>0</v>
          </cell>
          <cell r="F110">
            <v>0</v>
          </cell>
          <cell r="G110">
            <v>0</v>
          </cell>
          <cell r="H110">
            <v>44156</v>
          </cell>
          <cell r="I110">
            <v>44156</v>
          </cell>
          <cell r="J110" t="str">
            <v>Done</v>
          </cell>
          <cell r="K110" t="str">
            <v>sudah ada</v>
          </cell>
          <cell r="L110" t="str">
            <v>sudah ada</v>
          </cell>
        </row>
        <row r="111">
          <cell r="B111">
            <v>113</v>
          </cell>
          <cell r="C111">
            <v>0</v>
          </cell>
          <cell r="D111" t="str">
            <v>Posting TTBP (desi)</v>
          </cell>
          <cell r="E111">
            <v>0</v>
          </cell>
          <cell r="F111">
            <v>0</v>
          </cell>
          <cell r="G111">
            <v>0</v>
          </cell>
          <cell r="H111">
            <v>44157</v>
          </cell>
          <cell r="I111">
            <v>44157</v>
          </cell>
          <cell r="J111" t="str">
            <v>Done</v>
          </cell>
          <cell r="K111" t="str">
            <v>sudah ada</v>
          </cell>
          <cell r="L111" t="str">
            <v>sudah ada</v>
          </cell>
        </row>
        <row r="112">
          <cell r="B112">
            <v>114</v>
          </cell>
          <cell r="C112">
            <v>0</v>
          </cell>
          <cell r="D112" t="str">
            <v>Zahir kode barang  QPLENOL  mengalami minus saldo barang (NINA)</v>
          </cell>
          <cell r="E112">
            <v>0</v>
          </cell>
          <cell r="F112">
            <v>0</v>
          </cell>
          <cell r="G112">
            <v>0</v>
          </cell>
          <cell r="H112">
            <v>44158</v>
          </cell>
          <cell r="I112">
            <v>44158</v>
          </cell>
          <cell r="J112" t="str">
            <v>Done</v>
          </cell>
          <cell r="K112" t="str">
            <v>sudah ada</v>
          </cell>
          <cell r="L112" t="str">
            <v>sudah ada</v>
          </cell>
        </row>
        <row r="113">
          <cell r="B113">
            <v>115</v>
          </cell>
          <cell r="C113">
            <v>0</v>
          </cell>
          <cell r="D113" t="str">
            <v>Wifi gudang Trobel , Reboot system (ahmad)</v>
          </cell>
          <cell r="E113">
            <v>0</v>
          </cell>
          <cell r="F113">
            <v>0</v>
          </cell>
          <cell r="G113">
            <v>0</v>
          </cell>
          <cell r="H113">
            <v>44158</v>
          </cell>
          <cell r="I113">
            <v>44158</v>
          </cell>
          <cell r="J113" t="str">
            <v>Done</v>
          </cell>
          <cell r="K113" t="str">
            <v>sudah ada</v>
          </cell>
          <cell r="L113" t="str">
            <v>sudah ada</v>
          </cell>
        </row>
        <row r="114">
          <cell r="B114">
            <v>132</v>
          </cell>
          <cell r="C114">
            <v>0</v>
          </cell>
          <cell r="D114" t="str">
            <v>Setting resolusi layar pc16 byte true color (evi)</v>
          </cell>
          <cell r="E114">
            <v>0</v>
          </cell>
          <cell r="F114">
            <v>0</v>
          </cell>
          <cell r="G114">
            <v>0</v>
          </cell>
          <cell r="H114">
            <v>44158</v>
          </cell>
          <cell r="I114">
            <v>44158</v>
          </cell>
          <cell r="J114" t="str">
            <v>Done</v>
          </cell>
          <cell r="K114" t="str">
            <v>sudah ada</v>
          </cell>
          <cell r="L114" t="str">
            <v>sudah ada</v>
          </cell>
        </row>
        <row r="115">
          <cell r="B115">
            <v>100</v>
          </cell>
          <cell r="C115">
            <v>0</v>
          </cell>
          <cell r="D115" t="str">
            <v>QQIUV04Qiuvita Hijau 32.11.11 20 X 500 gr Maintenance LOTAJUNG</v>
          </cell>
          <cell r="E115">
            <v>0</v>
          </cell>
          <cell r="F115">
            <v>0</v>
          </cell>
          <cell r="G115">
            <v>0</v>
          </cell>
          <cell r="H115">
            <v>44160</v>
          </cell>
          <cell r="I115">
            <v>44160</v>
          </cell>
          <cell r="J115" t="str">
            <v>Done</v>
          </cell>
          <cell r="K115" t="str">
            <v>sudah ada</v>
          </cell>
          <cell r="L115" t="str">
            <v>sudah ada</v>
          </cell>
        </row>
        <row r="116">
          <cell r="B116">
            <v>101</v>
          </cell>
          <cell r="C116">
            <v>0</v>
          </cell>
          <cell r="D116" t="str">
            <v>QKICK03Kick Off 36 EC 20 X 500 ml Maintenance LOTINDUK</v>
          </cell>
          <cell r="E116">
            <v>0</v>
          </cell>
          <cell r="F116">
            <v>0</v>
          </cell>
          <cell r="G116">
            <v>0</v>
          </cell>
          <cell r="H116">
            <v>44160</v>
          </cell>
          <cell r="I116">
            <v>44160</v>
          </cell>
          <cell r="J116" t="str">
            <v>Done</v>
          </cell>
          <cell r="K116" t="str">
            <v>sudah ada</v>
          </cell>
          <cell r="L116" t="str">
            <v>sudah ada</v>
          </cell>
        </row>
        <row r="117">
          <cell r="B117">
            <v>133</v>
          </cell>
          <cell r="C117">
            <v>0</v>
          </cell>
          <cell r="D117" t="str">
            <v>CCTV (imam bonjol) Skring listrik putus</v>
          </cell>
          <cell r="E117">
            <v>0</v>
          </cell>
          <cell r="F117">
            <v>0</v>
          </cell>
          <cell r="G117">
            <v>0</v>
          </cell>
          <cell r="H117">
            <v>44161</v>
          </cell>
          <cell r="I117">
            <v>44161</v>
          </cell>
          <cell r="J117" t="str">
            <v>Done</v>
          </cell>
          <cell r="K117" t="str">
            <v>sudah ada</v>
          </cell>
          <cell r="L117" t="str">
            <v>sudah ada</v>
          </cell>
        </row>
        <row r="118">
          <cell r="B118">
            <v>18</v>
          </cell>
          <cell r="C118">
            <v>19</v>
          </cell>
          <cell r="D118" t="str">
            <v>Pembuatan DO digabung dengan lot</v>
          </cell>
          <cell r="E118">
            <v>0</v>
          </cell>
          <cell r="F118">
            <v>0</v>
          </cell>
          <cell r="G118">
            <v>0</v>
          </cell>
          <cell r="H118">
            <v>44206</v>
          </cell>
          <cell r="I118">
            <v>44162</v>
          </cell>
          <cell r="J118" t="str">
            <v>Done</v>
          </cell>
          <cell r="K118" t="str">
            <v>sudah ada</v>
          </cell>
          <cell r="L118" t="str">
            <v>sudah ada</v>
          </cell>
        </row>
        <row r="119">
          <cell r="B119">
            <v>20</v>
          </cell>
          <cell r="C119">
            <v>21</v>
          </cell>
          <cell r="D119" t="str">
            <v>Pembuatan ulang ICS bulanan</v>
          </cell>
          <cell r="E119">
            <v>0</v>
          </cell>
          <cell r="F119">
            <v>0</v>
          </cell>
          <cell r="G119">
            <v>0</v>
          </cell>
          <cell r="H119">
            <v>44206</v>
          </cell>
          <cell r="I119">
            <v>44162</v>
          </cell>
          <cell r="J119" t="str">
            <v>Done</v>
          </cell>
          <cell r="K119" t="str">
            <v>sudah ada</v>
          </cell>
          <cell r="L119" t="str">
            <v>sudah ada</v>
          </cell>
        </row>
        <row r="120">
          <cell r="B120">
            <v>0</v>
          </cell>
          <cell r="C120">
            <v>0</v>
          </cell>
          <cell r="D120" t="str">
            <v>Pembuatan ulang ICS  Mini</v>
          </cell>
          <cell r="E120">
            <v>0</v>
          </cell>
          <cell r="F120">
            <v>0</v>
          </cell>
          <cell r="G120">
            <v>0</v>
          </cell>
          <cell r="H120">
            <v>44206</v>
          </cell>
          <cell r="I120">
            <v>44162</v>
          </cell>
          <cell r="J120" t="str">
            <v>Done</v>
          </cell>
          <cell r="K120" t="str">
            <v>sudah ada</v>
          </cell>
          <cell r="L120" t="str">
            <v>sudah ada</v>
          </cell>
        </row>
        <row r="121">
          <cell r="B121">
            <v>23</v>
          </cell>
          <cell r="C121">
            <v>24</v>
          </cell>
          <cell r="D121" t="str">
            <v xml:space="preserve">Centang lot zahir semua </v>
          </cell>
          <cell r="E121">
            <v>0</v>
          </cell>
          <cell r="F121">
            <v>0</v>
          </cell>
          <cell r="G121">
            <v>0</v>
          </cell>
          <cell r="H121">
            <v>44165</v>
          </cell>
          <cell r="I121">
            <v>44162</v>
          </cell>
          <cell r="J121" t="str">
            <v>Done</v>
          </cell>
          <cell r="K121" t="str">
            <v>sudah ada</v>
          </cell>
          <cell r="L121" t="str">
            <v>sudah ada</v>
          </cell>
        </row>
        <row r="122">
          <cell r="B122">
            <v>102</v>
          </cell>
          <cell r="C122">
            <v>0</v>
          </cell>
          <cell r="D122" t="str">
            <v>QKACA01Kac. Panj. Katrina 30 X 500 gr Maintenance LOTINDUK</v>
          </cell>
          <cell r="E122">
            <v>0</v>
          </cell>
          <cell r="F122">
            <v>0</v>
          </cell>
          <cell r="G122">
            <v>0</v>
          </cell>
          <cell r="H122">
            <v>44162</v>
          </cell>
          <cell r="I122">
            <v>44162</v>
          </cell>
          <cell r="J122" t="str">
            <v>Done</v>
          </cell>
          <cell r="K122" t="str">
            <v>sudah ada</v>
          </cell>
          <cell r="L122" t="str">
            <v>sudah ada</v>
          </cell>
        </row>
        <row r="123">
          <cell r="B123">
            <v>25</v>
          </cell>
          <cell r="C123">
            <v>26</v>
          </cell>
          <cell r="D123" t="str">
            <v>Sales tracking penempurnaan (evi,yuni,yuyun) grafik</v>
          </cell>
          <cell r="E123">
            <v>0</v>
          </cell>
          <cell r="F123">
            <v>0</v>
          </cell>
          <cell r="G123">
            <v>0</v>
          </cell>
          <cell r="H123">
            <v>44166</v>
          </cell>
          <cell r="I123">
            <v>44163</v>
          </cell>
          <cell r="J123" t="str">
            <v>Done</v>
          </cell>
          <cell r="K123" t="str">
            <v>sudah ada</v>
          </cell>
          <cell r="L123" t="str">
            <v>sudah ada</v>
          </cell>
        </row>
        <row r="124">
          <cell r="B124">
            <v>103</v>
          </cell>
          <cell r="C124">
            <v>0</v>
          </cell>
          <cell r="D124" t="str">
            <v>QTIMU24Timun Pesona 20 20 X 6 X 20 gr  Maintenance LOTSUPPLIER</v>
          </cell>
          <cell r="E124">
            <v>0</v>
          </cell>
          <cell r="F124">
            <v>0</v>
          </cell>
          <cell r="G124">
            <v>0</v>
          </cell>
          <cell r="H124">
            <v>44163</v>
          </cell>
          <cell r="I124">
            <v>44163</v>
          </cell>
          <cell r="J124" t="str">
            <v>Done</v>
          </cell>
          <cell r="K124" t="str">
            <v>sudah ada</v>
          </cell>
          <cell r="L124" t="str">
            <v>sudah ada</v>
          </cell>
        </row>
        <row r="125">
          <cell r="B125">
            <v>104</v>
          </cell>
          <cell r="C125">
            <v>0</v>
          </cell>
          <cell r="D125" t="str">
            <v>QTIMU20 Timun Hercules Plus 20 X 6 X 20 gr Maintenance LOT SUPPLIER</v>
          </cell>
          <cell r="E125">
            <v>0</v>
          </cell>
          <cell r="F125">
            <v>0</v>
          </cell>
          <cell r="G125">
            <v>0</v>
          </cell>
          <cell r="H125">
            <v>44163</v>
          </cell>
          <cell r="I125">
            <v>44163</v>
          </cell>
          <cell r="J125" t="str">
            <v>Done</v>
          </cell>
          <cell r="K125" t="str">
            <v>sudah ada</v>
          </cell>
          <cell r="L125" t="str">
            <v>sudah ada</v>
          </cell>
        </row>
        <row r="126">
          <cell r="B126">
            <v>105</v>
          </cell>
          <cell r="C126">
            <v>0</v>
          </cell>
          <cell r="D126" t="str">
            <v>QLOGR01 Logran 75 WG 20 X 50 X 1.5 gr Maintenance LOT INDUK</v>
          </cell>
          <cell r="E126">
            <v>0</v>
          </cell>
          <cell r="F126">
            <v>0</v>
          </cell>
          <cell r="G126">
            <v>0</v>
          </cell>
          <cell r="H126">
            <v>44163</v>
          </cell>
          <cell r="I126">
            <v>44163</v>
          </cell>
          <cell r="J126" t="str">
            <v>Done</v>
          </cell>
          <cell r="K126" t="str">
            <v>sudah ada</v>
          </cell>
          <cell r="L126" t="str">
            <v>sudah ada</v>
          </cell>
        </row>
        <row r="127">
          <cell r="B127">
            <v>134</v>
          </cell>
          <cell r="C127">
            <v>0</v>
          </cell>
          <cell r="D127" t="str">
            <v>kabel lan 6 M untuk HRDGA (arip)</v>
          </cell>
          <cell r="E127">
            <v>0</v>
          </cell>
          <cell r="F127">
            <v>0</v>
          </cell>
          <cell r="G127">
            <v>0</v>
          </cell>
          <cell r="H127">
            <v>44163</v>
          </cell>
          <cell r="I127">
            <v>44163</v>
          </cell>
          <cell r="J127" t="str">
            <v>Done</v>
          </cell>
          <cell r="K127" t="str">
            <v>sudah ada</v>
          </cell>
          <cell r="L127" t="str">
            <v>sudah ada</v>
          </cell>
        </row>
        <row r="128">
          <cell r="B128">
            <v>135</v>
          </cell>
          <cell r="C128">
            <v>0</v>
          </cell>
          <cell r="D128" t="str">
            <v>LAN bermasalah (Elok)</v>
          </cell>
          <cell r="E128">
            <v>0</v>
          </cell>
          <cell r="F128">
            <v>0</v>
          </cell>
          <cell r="G128">
            <v>0</v>
          </cell>
          <cell r="H128">
            <v>44164</v>
          </cell>
          <cell r="I128">
            <v>44164</v>
          </cell>
          <cell r="J128" t="str">
            <v>Done</v>
          </cell>
          <cell r="K128" t="str">
            <v>sudah ada</v>
          </cell>
          <cell r="L128" t="str">
            <v>sudah ada</v>
          </cell>
        </row>
        <row r="129">
          <cell r="B129">
            <v>106</v>
          </cell>
          <cell r="C129">
            <v>0</v>
          </cell>
          <cell r="D129" t="str">
            <v>QABEN02 Abenz 22 EC 40 X 250 ml Maintenance LOT SUPPLIER</v>
          </cell>
          <cell r="E129">
            <v>0</v>
          </cell>
          <cell r="F129">
            <v>0</v>
          </cell>
          <cell r="G129">
            <v>0</v>
          </cell>
          <cell r="H129">
            <v>44165</v>
          </cell>
          <cell r="I129">
            <v>44165</v>
          </cell>
          <cell r="J129" t="str">
            <v>Done</v>
          </cell>
          <cell r="K129" t="str">
            <v>sudah ada</v>
          </cell>
          <cell r="L129" t="str">
            <v>sudah ada</v>
          </cell>
        </row>
        <row r="130">
          <cell r="B130">
            <v>136</v>
          </cell>
          <cell r="C130">
            <v>0</v>
          </cell>
          <cell r="D130" t="str">
            <v>Setting pindah PC (Riza)</v>
          </cell>
          <cell r="E130">
            <v>0</v>
          </cell>
          <cell r="F130">
            <v>0</v>
          </cell>
          <cell r="G130">
            <v>0</v>
          </cell>
          <cell r="H130">
            <v>44165</v>
          </cell>
          <cell r="I130">
            <v>44165</v>
          </cell>
          <cell r="J130" t="str">
            <v>Done</v>
          </cell>
          <cell r="K130" t="str">
            <v>sudah ada</v>
          </cell>
          <cell r="L130" t="str">
            <v>sudah ada</v>
          </cell>
        </row>
        <row r="131">
          <cell r="B131">
            <v>137</v>
          </cell>
          <cell r="C131">
            <v>0</v>
          </cell>
          <cell r="D131" t="str">
            <v>Setting pindah PC (Ria)</v>
          </cell>
          <cell r="E131">
            <v>0</v>
          </cell>
          <cell r="F131">
            <v>0</v>
          </cell>
          <cell r="G131">
            <v>0</v>
          </cell>
          <cell r="H131">
            <v>44165</v>
          </cell>
          <cell r="I131">
            <v>44165</v>
          </cell>
          <cell r="J131" t="str">
            <v>Done</v>
          </cell>
          <cell r="K131" t="str">
            <v>sudah ada</v>
          </cell>
          <cell r="L131" t="str">
            <v>sudah ada</v>
          </cell>
        </row>
        <row r="132">
          <cell r="B132">
            <v>138</v>
          </cell>
          <cell r="C132">
            <v>0</v>
          </cell>
          <cell r="D132" t="str">
            <v>Setting ulang printer (dewi)</v>
          </cell>
          <cell r="E132">
            <v>0</v>
          </cell>
          <cell r="F132">
            <v>0</v>
          </cell>
          <cell r="G132">
            <v>0</v>
          </cell>
          <cell r="H132">
            <v>44165</v>
          </cell>
          <cell r="I132">
            <v>44165</v>
          </cell>
          <cell r="J132" t="str">
            <v>Done</v>
          </cell>
          <cell r="K132" t="str">
            <v>sudah ada</v>
          </cell>
          <cell r="L132" t="str">
            <v>sudah ada</v>
          </cell>
        </row>
        <row r="133">
          <cell r="B133">
            <v>139</v>
          </cell>
          <cell r="C133">
            <v>0</v>
          </cell>
          <cell r="D133" t="str">
            <v>Setting ulang printer (fairin)</v>
          </cell>
          <cell r="E133">
            <v>0</v>
          </cell>
          <cell r="F133">
            <v>0</v>
          </cell>
          <cell r="G133">
            <v>0</v>
          </cell>
          <cell r="H133">
            <v>44165</v>
          </cell>
          <cell r="I133">
            <v>44165</v>
          </cell>
          <cell r="J133" t="str">
            <v>Done</v>
          </cell>
          <cell r="K133" t="str">
            <v>sudah ada</v>
          </cell>
          <cell r="L133" t="str">
            <v>sudah ada</v>
          </cell>
        </row>
        <row r="134">
          <cell r="B134">
            <v>70</v>
          </cell>
          <cell r="C134">
            <v>0</v>
          </cell>
          <cell r="D134" t="str">
            <v>SOP mengeluarkan barang dari gudang LOT (draft)</v>
          </cell>
          <cell r="E134">
            <v>0</v>
          </cell>
          <cell r="F134">
            <v>0</v>
          </cell>
          <cell r="G134">
            <v>0</v>
          </cell>
          <cell r="H134">
            <v>44181</v>
          </cell>
          <cell r="I134">
            <v>44167</v>
          </cell>
          <cell r="J134" t="str">
            <v>Done</v>
          </cell>
          <cell r="K134" t="str">
            <v>sudah ada</v>
          </cell>
          <cell r="L134" t="str">
            <v>sudah ada</v>
          </cell>
        </row>
        <row r="135">
          <cell r="B135">
            <v>26</v>
          </cell>
          <cell r="C135">
            <v>27</v>
          </cell>
          <cell r="D135" t="str">
            <v>KPI digital</v>
          </cell>
          <cell r="E135">
            <v>0</v>
          </cell>
          <cell r="F135" t="str">
            <v>Yus Kordinasi dengan bu diana langsung</v>
          </cell>
          <cell r="G135">
            <v>0</v>
          </cell>
          <cell r="H135">
            <v>0</v>
          </cell>
          <cell r="I135">
            <v>0</v>
          </cell>
          <cell r="J135" t="str">
            <v xml:space="preserve"> </v>
          </cell>
          <cell r="K135">
            <v>0</v>
          </cell>
          <cell r="L135">
            <v>0</v>
          </cell>
        </row>
        <row r="136">
          <cell r="B136">
            <v>21</v>
          </cell>
          <cell r="C136">
            <v>22</v>
          </cell>
          <cell r="D136" t="str">
            <v>Pembuatan Website (ONLINE SHOP &amp; PROFILE - REC)</v>
          </cell>
          <cell r="E136" t="str">
            <v>pak jaya masih inprogres meyiapkan bahan untuk yang akan di letakan pada website tersebut</v>
          </cell>
          <cell r="F136" t="str">
            <v>Inprogres kolaborasi dengan p.jaya / membahas ulang yang akan di tampilkan dengan rekan kadep2</v>
          </cell>
          <cell r="G136" t="str">
            <v>Jaya</v>
          </cell>
          <cell r="H136">
            <v>44240</v>
          </cell>
          <cell r="I136">
            <v>0</v>
          </cell>
          <cell r="J136" t="str">
            <v xml:space="preserve"> </v>
          </cell>
          <cell r="K136">
            <v>0</v>
          </cell>
          <cell r="L136">
            <v>0</v>
          </cell>
        </row>
        <row r="137">
          <cell r="B137">
            <v>27</v>
          </cell>
          <cell r="C137">
            <v>0</v>
          </cell>
          <cell r="D137" t="str">
            <v>Program Multiprice Berjalan</v>
          </cell>
          <cell r="E137" t="str">
            <v>koordinasi ulang tentang harga yang akan di tampilkan harga terendah atau harga tertinggi (bu diana &amp; bu Anne) tanggal 21/12/2020 , Masih menunggu bu diana nanti di kabari</v>
          </cell>
          <cell r="F137" t="str">
            <v>Masih menunggu pricelist harga dari keuangan dan di check ulang oleh sales</v>
          </cell>
          <cell r="G137" t="str">
            <v>Mitra &amp; Sales</v>
          </cell>
          <cell r="H137">
            <v>0</v>
          </cell>
          <cell r="I137">
            <v>0</v>
          </cell>
          <cell r="J137" t="str">
            <v xml:space="preserve"> </v>
          </cell>
          <cell r="K137">
            <v>0</v>
          </cell>
          <cell r="L137">
            <v>0</v>
          </cell>
        </row>
        <row r="138">
          <cell r="B138">
            <v>69</v>
          </cell>
          <cell r="C138">
            <v>0</v>
          </cell>
          <cell r="D138" t="str">
            <v>penyempurnaan daily od target dan pencapaian masing2 collection</v>
          </cell>
          <cell r="E138" t="str">
            <v>max hari 21 sudah terselesaikan dengan icha bnn</v>
          </cell>
          <cell r="F138" t="str">
            <v>Masih Menunggu Data Master Daily od Di Rapikan</v>
          </cell>
          <cell r="G138" t="str">
            <v>Icha</v>
          </cell>
          <cell r="H138">
            <v>44199</v>
          </cell>
          <cell r="I138">
            <v>0</v>
          </cell>
          <cell r="J138" t="str">
            <v xml:space="preserve"> </v>
          </cell>
          <cell r="K138">
            <v>0</v>
          </cell>
          <cell r="L138">
            <v>0</v>
          </cell>
        </row>
        <row r="139">
          <cell r="B139">
            <v>71</v>
          </cell>
          <cell r="C139">
            <v>0</v>
          </cell>
          <cell r="D139" t="str">
            <v>ex tlpn belum terupdate (PABX)</v>
          </cell>
          <cell r="E139" t="str">
            <v>menunggu progress yg lain teselesai yg sudah terjadwal</v>
          </cell>
          <cell r="F139">
            <v>0</v>
          </cell>
          <cell r="G139" t="str">
            <v>Yuss</v>
          </cell>
          <cell r="H139">
            <v>44212</v>
          </cell>
          <cell r="I139">
            <v>0</v>
          </cell>
          <cell r="J139" t="str">
            <v xml:space="preserve"> </v>
          </cell>
          <cell r="K139">
            <v>0</v>
          </cell>
          <cell r="L139">
            <v>0</v>
          </cell>
        </row>
        <row r="140">
          <cell r="B140">
            <v>72</v>
          </cell>
          <cell r="C140">
            <v>0</v>
          </cell>
          <cell r="D140" t="str">
            <v>sop backup untuk maintance pc sebelum di ambil oleh it</v>
          </cell>
          <cell r="E140">
            <v>0</v>
          </cell>
          <cell r="F140" t="str">
            <v>sudah di sampaikan kepada bu diana tgl 12/01/2021 by outlook</v>
          </cell>
          <cell r="G140">
            <v>0</v>
          </cell>
          <cell r="H140">
            <v>44215</v>
          </cell>
          <cell r="I140">
            <v>44208</v>
          </cell>
          <cell r="J140" t="str">
            <v>Done</v>
          </cell>
          <cell r="K140">
            <v>0</v>
          </cell>
          <cell r="L140">
            <v>0</v>
          </cell>
        </row>
        <row r="141">
          <cell r="B141">
            <v>73</v>
          </cell>
          <cell r="C141">
            <v>0</v>
          </cell>
          <cell r="D141" t="str">
            <v>inventaris all hardware yg bersangkutan dengan IT</v>
          </cell>
          <cell r="E141">
            <v>0</v>
          </cell>
          <cell r="F141" t="str">
            <v>inprogres</v>
          </cell>
          <cell r="G141" t="str">
            <v>Yuss</v>
          </cell>
          <cell r="H141">
            <v>44215</v>
          </cell>
          <cell r="I141">
            <v>0</v>
          </cell>
          <cell r="J141" t="str">
            <v xml:space="preserve"> </v>
          </cell>
          <cell r="K141">
            <v>0</v>
          </cell>
          <cell r="L141">
            <v>0</v>
          </cell>
        </row>
        <row r="142">
          <cell r="B142">
            <v>140</v>
          </cell>
          <cell r="C142">
            <v>0</v>
          </cell>
          <cell r="D142" t="str">
            <v>Sales tracking penempurnaan Table Target dan pak Wira</v>
          </cell>
          <cell r="E142" t="str">
            <v>menunggu SOP Backup selesai</v>
          </cell>
          <cell r="F142">
            <v>0</v>
          </cell>
          <cell r="G142">
            <v>0</v>
          </cell>
          <cell r="H142">
            <v>44211</v>
          </cell>
          <cell r="I142">
            <v>0</v>
          </cell>
          <cell r="J142" t="str">
            <v xml:space="preserve"> </v>
          </cell>
          <cell r="K142">
            <v>0</v>
          </cell>
          <cell r="L142">
            <v>0</v>
          </cell>
        </row>
        <row r="143">
          <cell r="B143">
            <v>141</v>
          </cell>
          <cell r="C143">
            <v>0</v>
          </cell>
          <cell r="D143" t="str">
            <v>Pembuatan Design Laporan Zahir Untuk Pembelian</v>
          </cell>
          <cell r="E143" t="str">
            <v>koordinasi menentukan bulan minggu ke 1 bulan januari</v>
          </cell>
          <cell r="F143">
            <v>0</v>
          </cell>
          <cell r="G143">
            <v>0</v>
          </cell>
          <cell r="H143">
            <v>43871</v>
          </cell>
          <cell r="I143">
            <v>0</v>
          </cell>
          <cell r="J143" t="str">
            <v xml:space="preserve"> </v>
          </cell>
          <cell r="K143">
            <v>0</v>
          </cell>
          <cell r="L143">
            <v>0</v>
          </cell>
        </row>
        <row r="144">
          <cell r="B144">
            <v>142</v>
          </cell>
          <cell r="C144">
            <v>0</v>
          </cell>
          <cell r="D144" t="str">
            <v>Penmabahan dan Pembuatan Jalur Jaringan CCTV Baru Kantin Dan FKA</v>
          </cell>
          <cell r="E144" t="str">
            <v>Pengajuan SPP Perangkat CCTV Belum Lengkap (ACC Pelengkapan) akan di buat TimeLine</v>
          </cell>
          <cell r="F144">
            <v>0</v>
          </cell>
          <cell r="G144" t="str">
            <v>Yuss</v>
          </cell>
          <cell r="H144">
            <v>0</v>
          </cell>
          <cell r="I144">
            <v>0</v>
          </cell>
          <cell r="J144" t="str">
            <v xml:space="preserve"> </v>
          </cell>
          <cell r="K144">
            <v>0</v>
          </cell>
          <cell r="L144">
            <v>0</v>
          </cell>
        </row>
        <row r="145">
          <cell r="B145">
            <v>143</v>
          </cell>
          <cell r="C145">
            <v>0</v>
          </cell>
          <cell r="D145" t="str">
            <v xml:space="preserve">Prioritas no 1 Penambahan Kontrak Program SE (Go ahead dan Go dan Delay)  pada masing masing sc </v>
          </cell>
          <cell r="E145" t="str">
            <v>Price List Kontrak Tidak Update, akan diadakan koordinasi dengan pak heru langsung (tgl 16 /12/20)</v>
          </cell>
          <cell r="F145" t="str">
            <v>Menunggu Price List</v>
          </cell>
          <cell r="G145" t="str">
            <v>Sales</v>
          </cell>
          <cell r="H145">
            <v>0</v>
          </cell>
          <cell r="I145">
            <v>0</v>
          </cell>
          <cell r="J145" t="str">
            <v xml:space="preserve"> </v>
          </cell>
          <cell r="K145">
            <v>0</v>
          </cell>
          <cell r="L145">
            <v>0</v>
          </cell>
        </row>
        <row r="146">
          <cell r="B146">
            <v>144</v>
          </cell>
          <cell r="C146">
            <v>0</v>
          </cell>
          <cell r="D146" t="str">
            <v>PROGRAM KPI UNTUK KARIYAWAN (MASING ROW 10 WHATS / HOW )</v>
          </cell>
          <cell r="E146">
            <v>0</v>
          </cell>
          <cell r="F146">
            <v>0</v>
          </cell>
          <cell r="G146" t="str">
            <v>Yuss</v>
          </cell>
          <cell r="H146">
            <v>44195</v>
          </cell>
          <cell r="I146">
            <v>0</v>
          </cell>
          <cell r="J146" t="str">
            <v xml:space="preserve"> </v>
          </cell>
          <cell r="K146">
            <v>0</v>
          </cell>
          <cell r="L146">
            <v>0</v>
          </cell>
        </row>
        <row r="147">
          <cell r="B147">
            <v>145</v>
          </cell>
          <cell r="C147">
            <v>0</v>
          </cell>
          <cell r="D147" t="str">
            <v>DATABASE KARIYAWAN KARISMA (MACRO EXCEL) PAK YANTO</v>
          </cell>
          <cell r="E147" t="str">
            <v>koordinasi ulang untuk design dan penempatan database bulan januari minggu ke 1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 t="str">
            <v xml:space="preserve"> </v>
          </cell>
          <cell r="K147">
            <v>0</v>
          </cell>
          <cell r="L147">
            <v>0</v>
          </cell>
        </row>
        <row r="148">
          <cell r="B148">
            <v>146</v>
          </cell>
          <cell r="C148">
            <v>0</v>
          </cell>
          <cell r="D148" t="str">
            <v>Pending delivery</v>
          </cell>
          <cell r="E148" t="str">
            <v>koordinasi dengan no 143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 t="str">
            <v xml:space="preserve"> </v>
          </cell>
          <cell r="K148">
            <v>0</v>
          </cell>
          <cell r="L148">
            <v>0</v>
          </cell>
        </row>
        <row r="149">
          <cell r="B149">
            <v>147</v>
          </cell>
          <cell r="C149">
            <v>0</v>
          </cell>
          <cell r="D149" t="str">
            <v xml:space="preserve">tukar Posisi TV owner </v>
          </cell>
          <cell r="E149">
            <v>0</v>
          </cell>
          <cell r="F149">
            <v>0</v>
          </cell>
          <cell r="G149">
            <v>0</v>
          </cell>
          <cell r="H149">
            <v>44181</v>
          </cell>
          <cell r="I149">
            <v>44180</v>
          </cell>
          <cell r="J149" t="str">
            <v>Done</v>
          </cell>
          <cell r="K149">
            <v>0</v>
          </cell>
          <cell r="L149">
            <v>0</v>
          </cell>
        </row>
        <row r="150">
          <cell r="B150">
            <v>148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 t="str">
            <v xml:space="preserve"> </v>
          </cell>
          <cell r="K150">
            <v>0</v>
          </cell>
          <cell r="L150">
            <v>0</v>
          </cell>
        </row>
        <row r="151">
          <cell r="B151">
            <v>149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 t="str">
            <v xml:space="preserve"> </v>
          </cell>
          <cell r="K151">
            <v>0</v>
          </cell>
          <cell r="L151">
            <v>0</v>
          </cell>
        </row>
        <row r="152">
          <cell r="B152">
            <v>150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</row>
        <row r="153">
          <cell r="B153">
            <v>151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</row>
        <row r="154">
          <cell r="B154">
            <v>152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</row>
        <row r="155">
          <cell r="B155">
            <v>153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</row>
        <row r="156">
          <cell r="B156">
            <v>154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</row>
        <row r="157">
          <cell r="B157">
            <v>155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</row>
        <row r="158">
          <cell r="B158">
            <v>156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</row>
        <row r="159">
          <cell r="B159">
            <v>157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</row>
        <row r="160">
          <cell r="B160">
            <v>158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</row>
        <row r="161">
          <cell r="B161">
            <v>159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</row>
        <row r="162">
          <cell r="B162">
            <v>160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</row>
        <row r="163">
          <cell r="B163">
            <v>161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</row>
        <row r="164">
          <cell r="B164">
            <v>162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</row>
        <row r="165">
          <cell r="B165">
            <v>163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</row>
        <row r="166">
          <cell r="B166">
            <v>164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</row>
        <row r="167">
          <cell r="B167">
            <v>165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</row>
        <row r="168">
          <cell r="B168">
            <v>166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</row>
        <row r="169">
          <cell r="B169">
            <v>167</v>
          </cell>
          <cell r="C169">
            <v>0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</row>
        <row r="170">
          <cell r="B170">
            <v>168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</row>
        <row r="171">
          <cell r="B171">
            <v>169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</row>
        <row r="172">
          <cell r="B172">
            <v>170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</row>
        <row r="173">
          <cell r="B173">
            <v>171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</row>
        <row r="174">
          <cell r="B174">
            <v>172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</row>
        <row r="175">
          <cell r="B175">
            <v>173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</row>
        <row r="176">
          <cell r="B176">
            <v>174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</row>
        <row r="177">
          <cell r="B177">
            <v>175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</row>
        <row r="178">
          <cell r="B178">
            <v>176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</row>
        <row r="179">
          <cell r="B179">
            <v>177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</row>
        <row r="180">
          <cell r="B180">
            <v>178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</row>
        <row r="181">
          <cell r="B181">
            <v>179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</row>
        <row r="182">
          <cell r="B182">
            <v>180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</row>
        <row r="183">
          <cell r="B183">
            <v>181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</row>
        <row r="184">
          <cell r="B184">
            <v>182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</row>
        <row r="185">
          <cell r="B185">
            <v>183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</row>
        <row r="186">
          <cell r="B186">
            <v>184</v>
          </cell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</row>
        <row r="187">
          <cell r="B187">
            <v>185</v>
          </cell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</row>
        <row r="188">
          <cell r="B188">
            <v>186</v>
          </cell>
          <cell r="C188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</row>
        <row r="189">
          <cell r="B189">
            <v>187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</row>
        <row r="190">
          <cell r="B190">
            <v>188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</row>
        <row r="191">
          <cell r="B191">
            <v>189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</row>
        <row r="192">
          <cell r="B192">
            <v>190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</row>
        <row r="193">
          <cell r="B193">
            <v>191</v>
          </cell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</row>
        <row r="194">
          <cell r="B194">
            <v>192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</row>
        <row r="195">
          <cell r="B195">
            <v>193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</row>
        <row r="196">
          <cell r="B196">
            <v>194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</row>
        <row r="197">
          <cell r="B197">
            <v>195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</row>
        <row r="198">
          <cell r="B198">
            <v>196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</row>
        <row r="199">
          <cell r="B199">
            <v>197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</row>
        <row r="200">
          <cell r="B200">
            <v>198</v>
          </cell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</row>
        <row r="201">
          <cell r="B201">
            <v>199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</row>
        <row r="202">
          <cell r="B202">
            <v>200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</row>
        <row r="203">
          <cell r="B203">
            <v>201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</row>
        <row r="204">
          <cell r="B204">
            <v>202</v>
          </cell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</row>
        <row r="205">
          <cell r="B205">
            <v>203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</row>
        <row r="206">
          <cell r="B206">
            <v>204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</row>
        <row r="207">
          <cell r="B207">
            <v>205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</row>
        <row r="208">
          <cell r="B208">
            <v>206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</row>
        <row r="209">
          <cell r="B209">
            <v>207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</row>
        <row r="210">
          <cell r="B210">
            <v>208</v>
          </cell>
          <cell r="C210">
            <v>0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</row>
        <row r="211">
          <cell r="B211">
            <v>209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</row>
        <row r="212">
          <cell r="B212">
            <v>210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</row>
        <row r="213">
          <cell r="B213">
            <v>211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</row>
        <row r="214">
          <cell r="B214">
            <v>212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</row>
        <row r="215">
          <cell r="B215">
            <v>213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T41"/>
  <sheetViews>
    <sheetView tabSelected="1" workbookViewId="0">
      <pane xSplit="1" ySplit="4" topLeftCell="B29" activePane="bottomRight" state="frozen"/>
      <selection pane="topRight" activeCell="B1" sqref="B1"/>
      <selection pane="bottomLeft" activeCell="A5" sqref="A5"/>
      <selection pane="bottomRight" activeCell="E39" sqref="E39:F39"/>
    </sheetView>
  </sheetViews>
  <sheetFormatPr defaultRowHeight="15" x14ac:dyDescent="0.25"/>
  <cols>
    <col min="5" max="5" width="9.140625" customWidth="1"/>
    <col min="8" max="8" width="15" bestFit="1" customWidth="1"/>
    <col min="15" max="15" width="10.140625" customWidth="1"/>
  </cols>
  <sheetData>
    <row r="1" spans="1:20" x14ac:dyDescent="0.25">
      <c r="A1" s="44" t="s">
        <v>11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</row>
    <row r="2" spans="1:20" x14ac:dyDescent="0.25">
      <c r="A2" s="46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</row>
    <row r="3" spans="1:20" s="1" customFormat="1" x14ac:dyDescent="0.25">
      <c r="A3" s="48" t="s">
        <v>0</v>
      </c>
      <c r="B3" s="48" t="s">
        <v>1</v>
      </c>
      <c r="C3" s="53" t="s">
        <v>14</v>
      </c>
      <c r="D3" s="54"/>
      <c r="E3" s="54"/>
      <c r="F3" s="54"/>
      <c r="G3" s="54"/>
      <c r="H3" s="35" t="s">
        <v>13</v>
      </c>
      <c r="I3" s="35"/>
      <c r="J3" s="35"/>
      <c r="K3" s="35"/>
      <c r="L3" s="35"/>
      <c r="M3" s="35" t="s">
        <v>15</v>
      </c>
      <c r="N3" s="35"/>
      <c r="O3" s="35"/>
      <c r="P3" s="35"/>
      <c r="Q3" s="35" t="s">
        <v>12</v>
      </c>
      <c r="R3" s="35"/>
      <c r="S3" s="36"/>
      <c r="T3" s="33" t="s">
        <v>2</v>
      </c>
    </row>
    <row r="4" spans="1:20" s="1" customFormat="1" x14ac:dyDescent="0.25">
      <c r="A4" s="49"/>
      <c r="B4" s="49"/>
      <c r="C4" s="2" t="s">
        <v>3</v>
      </c>
      <c r="D4" s="2" t="s">
        <v>4</v>
      </c>
      <c r="E4" s="50" t="s">
        <v>5</v>
      </c>
      <c r="F4" s="50"/>
      <c r="G4" s="3" t="s">
        <v>6</v>
      </c>
      <c r="H4" s="4" t="s">
        <v>3</v>
      </c>
      <c r="I4" s="4" t="s">
        <v>4</v>
      </c>
      <c r="J4" s="24" t="s">
        <v>16</v>
      </c>
      <c r="K4" s="24" t="s">
        <v>17</v>
      </c>
      <c r="L4" s="3" t="s">
        <v>6</v>
      </c>
      <c r="M4" s="5" t="s">
        <v>8</v>
      </c>
      <c r="N4" s="51" t="s">
        <v>5</v>
      </c>
      <c r="O4" s="52"/>
      <c r="P4" s="5" t="s">
        <v>6</v>
      </c>
      <c r="Q4" s="5" t="s">
        <v>8</v>
      </c>
      <c r="R4" s="6" t="s">
        <v>7</v>
      </c>
      <c r="S4" s="5" t="s">
        <v>6</v>
      </c>
      <c r="T4" s="34"/>
    </row>
    <row r="5" spans="1:20" x14ac:dyDescent="0.25">
      <c r="A5" s="40" t="s">
        <v>22</v>
      </c>
      <c r="B5" s="11"/>
      <c r="C5" s="11"/>
      <c r="D5" s="11"/>
      <c r="E5" s="26"/>
      <c r="F5" s="26"/>
      <c r="G5" s="13"/>
      <c r="H5" s="11"/>
      <c r="I5" s="11"/>
      <c r="J5" s="26"/>
      <c r="K5" s="26"/>
      <c r="L5" s="13"/>
      <c r="M5" s="11"/>
      <c r="N5" s="12"/>
      <c r="O5" s="12"/>
      <c r="P5" s="13"/>
      <c r="Q5" s="11"/>
      <c r="R5" s="12"/>
      <c r="S5" s="13"/>
      <c r="T5" s="7"/>
    </row>
    <row r="6" spans="1:20" x14ac:dyDescent="0.25">
      <c r="A6" s="41"/>
      <c r="B6" s="7">
        <v>46113</v>
      </c>
      <c r="C6" s="7">
        <v>46113</v>
      </c>
      <c r="D6" s="7">
        <v>46113</v>
      </c>
      <c r="E6" s="8">
        <v>45870.399305555555</v>
      </c>
      <c r="F6" s="8">
        <v>45870.458333333336</v>
      </c>
      <c r="G6" s="9" t="s">
        <v>9</v>
      </c>
      <c r="H6" s="7">
        <v>46113</v>
      </c>
      <c r="I6" s="7">
        <v>46113</v>
      </c>
      <c r="J6" s="8">
        <v>45870.600694444445</v>
      </c>
      <c r="K6" s="8">
        <v>45870.647222222222</v>
      </c>
      <c r="L6" s="9" t="s">
        <v>9</v>
      </c>
      <c r="M6" s="7">
        <v>46113</v>
      </c>
      <c r="N6" s="8">
        <v>45870.600694444445</v>
      </c>
      <c r="O6" s="8">
        <v>45870.647222222222</v>
      </c>
      <c r="P6" s="9" t="s">
        <v>9</v>
      </c>
      <c r="Q6" s="7">
        <v>46113</v>
      </c>
      <c r="R6" s="8">
        <v>45870.563888888886</v>
      </c>
      <c r="S6" s="9" t="s">
        <v>9</v>
      </c>
      <c r="T6" s="7"/>
    </row>
    <row r="7" spans="1:20" x14ac:dyDescent="0.25">
      <c r="A7" s="41"/>
      <c r="B7" s="7">
        <v>46114</v>
      </c>
      <c r="C7" s="7">
        <v>46114</v>
      </c>
      <c r="D7" s="7">
        <v>46114</v>
      </c>
      <c r="E7" s="8">
        <v>45870.395833333336</v>
      </c>
      <c r="F7" s="8">
        <v>45870.479166666664</v>
      </c>
      <c r="G7" s="9" t="s">
        <v>9</v>
      </c>
      <c r="H7" s="7">
        <v>46114</v>
      </c>
      <c r="I7" s="7">
        <v>46114</v>
      </c>
      <c r="J7" s="8">
        <v>45870.586805555555</v>
      </c>
      <c r="K7" s="8">
        <v>45870.621527777781</v>
      </c>
      <c r="L7" s="9" t="s">
        <v>9</v>
      </c>
      <c r="M7" s="7">
        <v>46114</v>
      </c>
      <c r="N7" s="8">
        <v>45870.600694444445</v>
      </c>
      <c r="O7" s="8">
        <v>45870.625</v>
      </c>
      <c r="P7" s="9" t="s">
        <v>9</v>
      </c>
      <c r="Q7" s="7">
        <v>46114</v>
      </c>
      <c r="R7" s="8">
        <v>45870.572916666664</v>
      </c>
      <c r="S7" s="9" t="s">
        <v>9</v>
      </c>
      <c r="T7" s="25"/>
    </row>
    <row r="8" spans="1:20" x14ac:dyDescent="0.25">
      <c r="A8" s="41"/>
      <c r="B8" s="11"/>
      <c r="C8" s="11"/>
      <c r="D8" s="11"/>
      <c r="E8" s="26"/>
      <c r="F8" s="26"/>
      <c r="G8" s="13"/>
      <c r="H8" s="11"/>
      <c r="I8" s="11"/>
      <c r="J8" s="26"/>
      <c r="K8" s="26"/>
      <c r="L8" s="13"/>
      <c r="M8" s="11"/>
      <c r="N8" s="12"/>
      <c r="O8" s="12"/>
      <c r="P8" s="13"/>
      <c r="Q8" s="11"/>
      <c r="R8" s="12"/>
      <c r="S8" s="13"/>
      <c r="T8" s="7"/>
    </row>
    <row r="9" spans="1:20" x14ac:dyDescent="0.25">
      <c r="A9" s="41"/>
      <c r="B9" s="7">
        <v>46116</v>
      </c>
      <c r="C9" s="7">
        <v>46116</v>
      </c>
      <c r="D9" s="7">
        <v>46116</v>
      </c>
      <c r="E9" s="8">
        <v>45870.378472222219</v>
      </c>
      <c r="F9" s="8">
        <v>45870.454861111109</v>
      </c>
      <c r="G9" s="9" t="s">
        <v>9</v>
      </c>
      <c r="H9" s="7">
        <v>46116</v>
      </c>
      <c r="I9" s="7">
        <v>46116</v>
      </c>
      <c r="J9" s="8">
        <v>45870.579861111109</v>
      </c>
      <c r="K9" s="8">
        <v>45870.614583333336</v>
      </c>
      <c r="L9" s="9" t="s">
        <v>9</v>
      </c>
      <c r="M9" s="7">
        <v>46116</v>
      </c>
      <c r="N9" s="8">
        <v>45870.600694444445</v>
      </c>
      <c r="O9" s="8">
        <v>45870.621527777781</v>
      </c>
      <c r="P9" s="9" t="s">
        <v>9</v>
      </c>
      <c r="Q9" s="7">
        <v>46116</v>
      </c>
      <c r="R9" s="8">
        <v>45870.552083333336</v>
      </c>
      <c r="S9" s="9" t="s">
        <v>9</v>
      </c>
      <c r="T9" s="7"/>
    </row>
    <row r="10" spans="1:20" x14ac:dyDescent="0.25">
      <c r="A10" s="41"/>
      <c r="B10" s="11"/>
      <c r="C10" s="11"/>
      <c r="D10" s="11"/>
      <c r="E10" s="26"/>
      <c r="F10" s="26"/>
      <c r="G10" s="13"/>
      <c r="H10" s="11"/>
      <c r="I10" s="11"/>
      <c r="J10" s="26"/>
      <c r="K10" s="26"/>
      <c r="L10" s="13"/>
      <c r="M10" s="11"/>
      <c r="N10" s="12"/>
      <c r="O10" s="12"/>
      <c r="P10" s="13"/>
      <c r="Q10" s="11"/>
      <c r="R10" s="12"/>
      <c r="S10" s="13"/>
      <c r="T10" s="7"/>
    </row>
    <row r="11" spans="1:20" x14ac:dyDescent="0.25">
      <c r="A11" s="41"/>
      <c r="B11" s="7">
        <v>46118</v>
      </c>
      <c r="C11" s="7">
        <v>46118</v>
      </c>
      <c r="D11" s="7">
        <v>46118</v>
      </c>
      <c r="E11" s="8">
        <v>45870.388888888891</v>
      </c>
      <c r="F11" s="8">
        <v>45870.479166666664</v>
      </c>
      <c r="G11" s="9" t="s">
        <v>9</v>
      </c>
      <c r="H11" s="7">
        <v>46118</v>
      </c>
      <c r="I11" s="7">
        <v>46118</v>
      </c>
      <c r="J11" s="8">
        <v>45870.611111111109</v>
      </c>
      <c r="K11" s="8">
        <v>45870.663194444445</v>
      </c>
      <c r="L11" s="9" t="s">
        <v>9</v>
      </c>
      <c r="M11" s="7">
        <v>46118</v>
      </c>
      <c r="N11" s="10">
        <v>0.57986111111111105</v>
      </c>
      <c r="O11" s="10">
        <v>0.66180555555555554</v>
      </c>
      <c r="P11" s="9" t="s">
        <v>9</v>
      </c>
      <c r="Q11" s="7">
        <v>46118</v>
      </c>
      <c r="R11" s="10">
        <v>0.5625</v>
      </c>
      <c r="S11" s="9" t="s">
        <v>9</v>
      </c>
      <c r="T11" s="7"/>
    </row>
    <row r="12" spans="1:20" x14ac:dyDescent="0.25">
      <c r="A12" s="41"/>
      <c r="B12" s="7">
        <v>46119</v>
      </c>
      <c r="C12" s="7">
        <v>46119</v>
      </c>
      <c r="D12" s="7">
        <v>46119</v>
      </c>
      <c r="E12" s="8">
        <v>45870.395833333336</v>
      </c>
      <c r="F12" s="8">
        <v>45870.479166666664</v>
      </c>
      <c r="G12" s="9" t="s">
        <v>9</v>
      </c>
      <c r="H12" s="7">
        <v>46119</v>
      </c>
      <c r="I12" s="7">
        <v>46119</v>
      </c>
      <c r="J12" s="8">
        <v>45870.586805555555</v>
      </c>
      <c r="K12" s="8">
        <v>45870.621527777781</v>
      </c>
      <c r="L12" s="9" t="s">
        <v>9</v>
      </c>
      <c r="M12" s="7">
        <v>46119</v>
      </c>
      <c r="N12" s="8">
        <v>45870.600694444445</v>
      </c>
      <c r="O12" s="8">
        <v>45870.65625</v>
      </c>
      <c r="P12" s="9" t="s">
        <v>9</v>
      </c>
      <c r="Q12" s="7">
        <v>46119</v>
      </c>
      <c r="R12" s="10">
        <v>1301.5854166666666</v>
      </c>
      <c r="S12" s="9" t="s">
        <v>9</v>
      </c>
      <c r="T12" s="7"/>
    </row>
    <row r="13" spans="1:20" x14ac:dyDescent="0.25">
      <c r="A13" s="41"/>
      <c r="B13" s="7">
        <v>46120</v>
      </c>
      <c r="C13" s="7">
        <v>46120</v>
      </c>
      <c r="D13" s="7">
        <v>46120</v>
      </c>
      <c r="E13" s="8">
        <v>820.39097222222222</v>
      </c>
      <c r="F13" s="8">
        <v>820.48125000000005</v>
      </c>
      <c r="G13" s="9" t="s">
        <v>9</v>
      </c>
      <c r="H13" s="7">
        <v>46120</v>
      </c>
      <c r="I13" s="7">
        <v>46120</v>
      </c>
      <c r="J13" s="8">
        <v>45870.602777777778</v>
      </c>
      <c r="K13" s="8">
        <v>45870.663194444445</v>
      </c>
      <c r="L13" s="9" t="s">
        <v>9</v>
      </c>
      <c r="M13" s="7">
        <v>46120</v>
      </c>
      <c r="N13" s="10">
        <v>0.57986111111111105</v>
      </c>
      <c r="O13" s="10">
        <v>0.66180555555555554</v>
      </c>
      <c r="P13" s="9" t="s">
        <v>9</v>
      </c>
      <c r="Q13" s="7">
        <v>46120</v>
      </c>
      <c r="R13" s="10">
        <v>1301.5854166666666</v>
      </c>
      <c r="S13" s="9" t="s">
        <v>9</v>
      </c>
      <c r="T13" s="7"/>
    </row>
    <row r="14" spans="1:20" x14ac:dyDescent="0.25">
      <c r="A14" s="41"/>
      <c r="B14" s="7">
        <v>46121</v>
      </c>
      <c r="C14" s="7">
        <v>46121</v>
      </c>
      <c r="D14" s="7">
        <v>46121</v>
      </c>
      <c r="E14" s="8">
        <v>820.40625</v>
      </c>
      <c r="F14" s="8">
        <v>820.47916666666663</v>
      </c>
      <c r="G14" s="9" t="s">
        <v>9</v>
      </c>
      <c r="H14" s="7">
        <v>46121</v>
      </c>
      <c r="I14" s="7">
        <v>46121</v>
      </c>
      <c r="J14" s="8">
        <v>45870.611111111109</v>
      </c>
      <c r="K14" s="8">
        <v>45870.663194444445</v>
      </c>
      <c r="L14" s="9" t="s">
        <v>9</v>
      </c>
      <c r="M14" s="7">
        <v>46121</v>
      </c>
      <c r="N14" s="10">
        <v>0.5625</v>
      </c>
      <c r="O14" s="10">
        <v>0.66180555555555554</v>
      </c>
      <c r="P14" s="9" t="s">
        <v>9</v>
      </c>
      <c r="Q14" s="7">
        <v>46121</v>
      </c>
      <c r="R14" s="10">
        <v>1301.5715277777779</v>
      </c>
      <c r="S14" s="9" t="s">
        <v>9</v>
      </c>
      <c r="T14" s="25"/>
    </row>
    <row r="15" spans="1:20" x14ac:dyDescent="0.25">
      <c r="A15" s="41"/>
      <c r="B15" s="7">
        <v>46122</v>
      </c>
      <c r="C15" s="7">
        <v>46122</v>
      </c>
      <c r="D15" s="7">
        <v>46122</v>
      </c>
      <c r="E15" s="8">
        <v>820.39791666666667</v>
      </c>
      <c r="F15" s="8">
        <v>820.46180555555554</v>
      </c>
      <c r="G15" s="9" t="s">
        <v>9</v>
      </c>
      <c r="H15" s="7">
        <v>46122</v>
      </c>
      <c r="I15" s="7">
        <v>46122</v>
      </c>
      <c r="J15" s="8">
        <v>45870.602777777778</v>
      </c>
      <c r="K15" s="8">
        <v>45870.663194444445</v>
      </c>
      <c r="L15" s="9" t="s">
        <v>9</v>
      </c>
      <c r="M15" s="7">
        <v>46122</v>
      </c>
      <c r="N15" s="10">
        <v>0.57986111111111105</v>
      </c>
      <c r="O15" s="10">
        <v>0.66180555555555554</v>
      </c>
      <c r="P15" s="9" t="s">
        <v>9</v>
      </c>
      <c r="Q15" s="7">
        <v>46122</v>
      </c>
      <c r="R15" s="10">
        <v>1301.5854166666666</v>
      </c>
      <c r="S15" s="9" t="s">
        <v>9</v>
      </c>
      <c r="T15" s="7"/>
    </row>
    <row r="16" spans="1:20" x14ac:dyDescent="0.25">
      <c r="A16" s="41"/>
      <c r="B16" s="7">
        <v>46123</v>
      </c>
      <c r="C16" s="7">
        <v>46123</v>
      </c>
      <c r="D16" s="7">
        <v>46123</v>
      </c>
      <c r="E16" s="8">
        <v>820.39236111111109</v>
      </c>
      <c r="F16" s="8">
        <v>820.47916666666663</v>
      </c>
      <c r="G16" s="9" t="s">
        <v>9</v>
      </c>
      <c r="H16" s="7">
        <v>46123</v>
      </c>
      <c r="I16" s="7">
        <v>46123</v>
      </c>
      <c r="J16" s="8">
        <v>45870.569444444445</v>
      </c>
      <c r="K16" s="8">
        <v>45870.579861111109</v>
      </c>
      <c r="L16" s="9" t="s">
        <v>9</v>
      </c>
      <c r="M16" s="7">
        <v>46123</v>
      </c>
      <c r="N16" s="10">
        <v>0.56527777777777777</v>
      </c>
      <c r="O16" s="8">
        <v>45870.621527777781</v>
      </c>
      <c r="P16" s="9" t="s">
        <v>9</v>
      </c>
      <c r="Q16" s="7">
        <v>46123</v>
      </c>
      <c r="R16" s="10">
        <v>0.5625</v>
      </c>
      <c r="S16" s="9" t="s">
        <v>9</v>
      </c>
      <c r="T16" s="7"/>
    </row>
    <row r="17" spans="1:20" x14ac:dyDescent="0.25">
      <c r="A17" s="41"/>
      <c r="B17" s="11"/>
      <c r="C17" s="11"/>
      <c r="D17" s="11"/>
      <c r="E17" s="26"/>
      <c r="F17" s="26"/>
      <c r="G17" s="13"/>
      <c r="H17" s="11"/>
      <c r="I17" s="11"/>
      <c r="J17" s="26"/>
      <c r="K17" s="26"/>
      <c r="L17" s="13"/>
      <c r="M17" s="11"/>
      <c r="N17" s="12"/>
      <c r="O17" s="12"/>
      <c r="P17" s="13"/>
      <c r="Q17" s="11"/>
      <c r="R17" s="12"/>
      <c r="S17" s="13"/>
      <c r="T17" s="7"/>
    </row>
    <row r="18" spans="1:20" x14ac:dyDescent="0.25">
      <c r="A18" s="41"/>
      <c r="B18" s="7">
        <v>46125</v>
      </c>
      <c r="C18" s="7">
        <v>46125</v>
      </c>
      <c r="D18" s="7">
        <v>46125</v>
      </c>
      <c r="E18" s="8">
        <v>820.40625</v>
      </c>
      <c r="F18" s="8">
        <v>820.48055555555561</v>
      </c>
      <c r="G18" s="9" t="s">
        <v>9</v>
      </c>
      <c r="H18" s="7">
        <v>46125</v>
      </c>
      <c r="I18" s="7">
        <v>46125</v>
      </c>
      <c r="J18" s="8">
        <v>45870.602777777778</v>
      </c>
      <c r="K18" s="8">
        <v>45870.663194444445</v>
      </c>
      <c r="L18" s="9" t="s">
        <v>9</v>
      </c>
      <c r="M18" s="7">
        <v>46125</v>
      </c>
      <c r="N18" s="10">
        <v>0.57986111111111105</v>
      </c>
      <c r="O18" s="10">
        <v>0.66180555555555554</v>
      </c>
      <c r="P18" s="9" t="s">
        <v>9</v>
      </c>
      <c r="Q18" s="7">
        <v>46125</v>
      </c>
      <c r="R18" s="10">
        <v>1301.5854166666666</v>
      </c>
      <c r="S18" s="9" t="s">
        <v>9</v>
      </c>
      <c r="T18" s="7"/>
    </row>
    <row r="19" spans="1:20" x14ac:dyDescent="0.25">
      <c r="A19" s="41"/>
      <c r="B19" s="7">
        <v>46126</v>
      </c>
      <c r="C19" s="7">
        <v>46126</v>
      </c>
      <c r="D19" s="7">
        <v>46126</v>
      </c>
      <c r="E19" s="8">
        <v>45870.395833333336</v>
      </c>
      <c r="F19" s="8">
        <v>45870.479166666664</v>
      </c>
      <c r="G19" s="9" t="s">
        <v>9</v>
      </c>
      <c r="H19" s="7">
        <v>46126</v>
      </c>
      <c r="I19" s="7">
        <v>46126</v>
      </c>
      <c r="J19" s="8">
        <v>45870.611111111109</v>
      </c>
      <c r="K19" s="8">
        <v>45870.663194444445</v>
      </c>
      <c r="L19" s="9" t="s">
        <v>9</v>
      </c>
      <c r="M19" s="7">
        <v>46126</v>
      </c>
      <c r="N19" s="8">
        <v>45870.600694444445</v>
      </c>
      <c r="O19" s="8">
        <v>45870.65625</v>
      </c>
      <c r="P19" s="9" t="s">
        <v>9</v>
      </c>
      <c r="Q19" s="7">
        <v>46126</v>
      </c>
      <c r="R19" s="10">
        <v>1301.5854166666666</v>
      </c>
      <c r="S19" s="9" t="s">
        <v>9</v>
      </c>
      <c r="T19" s="7"/>
    </row>
    <row r="20" spans="1:20" x14ac:dyDescent="0.25">
      <c r="A20" s="41"/>
      <c r="B20" s="7">
        <v>46127</v>
      </c>
      <c r="C20" s="7">
        <v>46127</v>
      </c>
      <c r="D20" s="7">
        <v>46127</v>
      </c>
      <c r="E20" s="8">
        <v>45870.395833333336</v>
      </c>
      <c r="F20" s="8">
        <v>45870.458333333336</v>
      </c>
      <c r="G20" s="9" t="s">
        <v>9</v>
      </c>
      <c r="H20" s="7">
        <v>46127</v>
      </c>
      <c r="I20" s="7">
        <v>46127</v>
      </c>
      <c r="J20" s="8">
        <v>45870.602777777778</v>
      </c>
      <c r="K20" s="8">
        <v>45870.663194444445</v>
      </c>
      <c r="L20" s="9" t="s">
        <v>9</v>
      </c>
      <c r="M20" s="7">
        <v>46127</v>
      </c>
      <c r="N20" s="10">
        <v>0.57986111111111105</v>
      </c>
      <c r="O20" s="10">
        <v>0.66180555555555554</v>
      </c>
      <c r="P20" s="9" t="s">
        <v>9</v>
      </c>
      <c r="Q20" s="7">
        <v>46127</v>
      </c>
      <c r="R20" s="10">
        <v>1301.5854166666666</v>
      </c>
      <c r="S20" s="9" t="s">
        <v>9</v>
      </c>
      <c r="T20" s="7"/>
    </row>
    <row r="21" spans="1:20" x14ac:dyDescent="0.25">
      <c r="A21" s="41"/>
      <c r="B21" s="7">
        <v>46128</v>
      </c>
      <c r="C21" s="7">
        <v>46128</v>
      </c>
      <c r="D21" s="7">
        <v>46128</v>
      </c>
      <c r="E21" s="8">
        <v>45870.395833333336</v>
      </c>
      <c r="F21" s="8">
        <v>45870.479166666664</v>
      </c>
      <c r="G21" s="9" t="s">
        <v>9</v>
      </c>
      <c r="H21" s="7">
        <v>46128</v>
      </c>
      <c r="I21" s="7">
        <v>46128</v>
      </c>
      <c r="J21" s="8">
        <v>45870.59652777778</v>
      </c>
      <c r="K21" s="8">
        <v>45870.659722222219</v>
      </c>
      <c r="L21" s="9" t="s">
        <v>9</v>
      </c>
      <c r="M21" s="7">
        <v>46128</v>
      </c>
      <c r="N21" s="8">
        <v>45870.600694444445</v>
      </c>
      <c r="O21" s="8">
        <v>45870.65625</v>
      </c>
      <c r="P21" s="9" t="s">
        <v>9</v>
      </c>
      <c r="Q21" s="7">
        <v>46128</v>
      </c>
      <c r="R21" s="10">
        <v>1301.5715277777779</v>
      </c>
      <c r="S21" s="9" t="s">
        <v>9</v>
      </c>
      <c r="T21" s="7"/>
    </row>
    <row r="22" spans="1:20" x14ac:dyDescent="0.25">
      <c r="A22" s="41"/>
      <c r="B22" s="7">
        <v>46129</v>
      </c>
      <c r="C22" s="7">
        <v>46129</v>
      </c>
      <c r="D22" s="7">
        <v>46129</v>
      </c>
      <c r="E22" s="8">
        <v>45870.395833333336</v>
      </c>
      <c r="F22" s="8">
        <v>45870.458333333336</v>
      </c>
      <c r="G22" s="9" t="s">
        <v>9</v>
      </c>
      <c r="H22" s="7">
        <v>46129</v>
      </c>
      <c r="I22" s="7">
        <v>46129</v>
      </c>
      <c r="J22" s="8">
        <v>45870.602777777778</v>
      </c>
      <c r="K22" s="8">
        <v>45870.663194444445</v>
      </c>
      <c r="L22" s="9" t="s">
        <v>9</v>
      </c>
      <c r="M22" s="7">
        <v>46129</v>
      </c>
      <c r="N22" s="10">
        <v>0.57986111111111105</v>
      </c>
      <c r="O22" s="10">
        <v>0.66180555555555554</v>
      </c>
      <c r="P22" s="9" t="s">
        <v>9</v>
      </c>
      <c r="Q22" s="7">
        <v>46129</v>
      </c>
      <c r="R22" s="10">
        <v>1301.5854166666666</v>
      </c>
      <c r="S22" s="9" t="s">
        <v>9</v>
      </c>
      <c r="T22" s="7"/>
    </row>
    <row r="23" spans="1:20" x14ac:dyDescent="0.25">
      <c r="A23" s="41"/>
      <c r="B23" s="7">
        <v>46130</v>
      </c>
      <c r="C23" s="7">
        <v>46130</v>
      </c>
      <c r="D23" s="7">
        <v>46130</v>
      </c>
      <c r="E23" s="8">
        <v>45870.427083333336</v>
      </c>
      <c r="F23" s="8">
        <v>45870.479166666664</v>
      </c>
      <c r="G23" s="9" t="s">
        <v>9</v>
      </c>
      <c r="H23" s="7">
        <v>46130</v>
      </c>
      <c r="I23" s="7">
        <v>46130</v>
      </c>
      <c r="J23" s="8">
        <v>45870.554861111108</v>
      </c>
      <c r="K23" s="8">
        <v>45870.576388888891</v>
      </c>
      <c r="L23" s="9" t="s">
        <v>9</v>
      </c>
      <c r="M23" s="7">
        <v>46130</v>
      </c>
      <c r="N23" s="10">
        <v>0.56527777777777777</v>
      </c>
      <c r="O23" s="8">
        <v>45870.621527777781</v>
      </c>
      <c r="P23" s="9" t="s">
        <v>9</v>
      </c>
      <c r="Q23" s="7">
        <v>46130</v>
      </c>
      <c r="R23" s="10">
        <v>0.55694444444444446</v>
      </c>
      <c r="S23" s="9" t="s">
        <v>9</v>
      </c>
      <c r="T23" s="25"/>
    </row>
    <row r="24" spans="1:20" x14ac:dyDescent="0.25">
      <c r="A24" s="41"/>
      <c r="B24" s="11"/>
      <c r="C24" s="11"/>
      <c r="D24" s="11"/>
      <c r="E24" s="26"/>
      <c r="F24" s="26"/>
      <c r="G24" s="13"/>
      <c r="H24" s="11"/>
      <c r="I24" s="11"/>
      <c r="J24" s="26"/>
      <c r="K24" s="26"/>
      <c r="L24" s="13"/>
      <c r="M24" s="11"/>
      <c r="N24" s="12"/>
      <c r="O24" s="12"/>
      <c r="P24" s="13"/>
      <c r="Q24" s="11"/>
      <c r="R24" s="12"/>
      <c r="S24" s="13"/>
      <c r="T24" s="7"/>
    </row>
    <row r="25" spans="1:20" x14ac:dyDescent="0.25">
      <c r="A25" s="41"/>
      <c r="B25" s="7">
        <v>46132</v>
      </c>
      <c r="C25" s="7">
        <v>46132</v>
      </c>
      <c r="D25" s="7">
        <v>46132</v>
      </c>
      <c r="E25" s="8">
        <v>45870.40625</v>
      </c>
      <c r="F25" s="8">
        <v>45870.479166666664</v>
      </c>
      <c r="G25" s="9" t="s">
        <v>9</v>
      </c>
      <c r="H25" s="7">
        <v>46132</v>
      </c>
      <c r="I25" s="7">
        <v>46132</v>
      </c>
      <c r="J25" s="8">
        <v>45870.611111111109</v>
      </c>
      <c r="K25" s="8">
        <v>45870.663194444445</v>
      </c>
      <c r="L25" s="9" t="s">
        <v>9</v>
      </c>
      <c r="M25" s="7">
        <v>46132</v>
      </c>
      <c r="N25" s="10">
        <v>0.57986111111111105</v>
      </c>
      <c r="O25" s="10">
        <v>0.66180555555555554</v>
      </c>
      <c r="P25" s="9" t="s">
        <v>9</v>
      </c>
      <c r="Q25" s="7">
        <v>46132</v>
      </c>
      <c r="R25" s="10">
        <v>1301.5423611111112</v>
      </c>
      <c r="S25" s="9" t="s">
        <v>9</v>
      </c>
      <c r="T25" s="7"/>
    </row>
    <row r="26" spans="1:20" x14ac:dyDescent="0.25">
      <c r="A26" s="41"/>
      <c r="B26" s="7">
        <v>46133</v>
      </c>
      <c r="C26" s="7">
        <v>46133</v>
      </c>
      <c r="D26" s="7">
        <v>46133</v>
      </c>
      <c r="E26" s="8">
        <v>45870.395833333336</v>
      </c>
      <c r="F26" s="8">
        <v>45870.479166666664</v>
      </c>
      <c r="G26" s="9" t="s">
        <v>9</v>
      </c>
      <c r="H26" s="7">
        <v>46133</v>
      </c>
      <c r="I26" s="7">
        <v>46133</v>
      </c>
      <c r="J26" s="8">
        <v>45870.59652777778</v>
      </c>
      <c r="K26" s="8">
        <v>45870.659722222219</v>
      </c>
      <c r="L26" s="9" t="s">
        <v>9</v>
      </c>
      <c r="M26" s="7">
        <v>46133</v>
      </c>
      <c r="N26" s="8">
        <v>45870.600694444445</v>
      </c>
      <c r="O26" s="8">
        <v>45870.65625</v>
      </c>
      <c r="P26" s="9" t="s">
        <v>9</v>
      </c>
      <c r="Q26" s="7">
        <v>46133</v>
      </c>
      <c r="R26" s="10">
        <v>1301.5715277777779</v>
      </c>
      <c r="S26" s="9" t="s">
        <v>9</v>
      </c>
      <c r="T26" s="7"/>
    </row>
    <row r="27" spans="1:20" x14ac:dyDescent="0.25">
      <c r="A27" s="41"/>
      <c r="B27" s="7">
        <v>46134</v>
      </c>
      <c r="C27" s="7">
        <v>46134</v>
      </c>
      <c r="D27" s="7">
        <v>46134</v>
      </c>
      <c r="E27" s="8">
        <v>820.39097222222222</v>
      </c>
      <c r="F27" s="8">
        <v>820.48611111111109</v>
      </c>
      <c r="G27" s="9" t="s">
        <v>9</v>
      </c>
      <c r="H27" s="7">
        <v>46134</v>
      </c>
      <c r="I27" s="7">
        <v>46134</v>
      </c>
      <c r="J27" s="8">
        <v>45870.583333333336</v>
      </c>
      <c r="K27" s="8">
        <v>45870.663194444445</v>
      </c>
      <c r="L27" s="9" t="s">
        <v>9</v>
      </c>
      <c r="M27" s="7">
        <v>46134</v>
      </c>
      <c r="N27" s="10">
        <v>0.55555555555555558</v>
      </c>
      <c r="O27" s="10">
        <v>0.66180555555555554</v>
      </c>
      <c r="P27" s="9" t="s">
        <v>9</v>
      </c>
      <c r="Q27" s="7">
        <v>46134</v>
      </c>
      <c r="R27" s="10">
        <v>1301.5715277777779</v>
      </c>
      <c r="S27" s="9" t="s">
        <v>9</v>
      </c>
      <c r="T27" s="7"/>
    </row>
    <row r="28" spans="1:20" x14ac:dyDescent="0.25">
      <c r="A28" s="41"/>
      <c r="B28" s="7">
        <v>46135</v>
      </c>
      <c r="C28" s="7">
        <v>46135</v>
      </c>
      <c r="D28" s="7">
        <v>46135</v>
      </c>
      <c r="E28" s="8">
        <v>820.38194444444446</v>
      </c>
      <c r="F28" s="8">
        <v>45870.479166666664</v>
      </c>
      <c r="G28" s="9" t="s">
        <v>9</v>
      </c>
      <c r="H28" s="7">
        <v>46135</v>
      </c>
      <c r="I28" s="7">
        <v>46135</v>
      </c>
      <c r="J28" s="8">
        <v>45870.586805555555</v>
      </c>
      <c r="K28" s="8">
        <v>45870.659722222219</v>
      </c>
      <c r="L28" s="9" t="s">
        <v>9</v>
      </c>
      <c r="M28" s="7">
        <v>46135</v>
      </c>
      <c r="N28" s="10">
        <v>0.55555555555555558</v>
      </c>
      <c r="O28" s="10">
        <v>0.625</v>
      </c>
      <c r="P28" s="9" t="s">
        <v>9</v>
      </c>
      <c r="Q28" s="7">
        <v>46135</v>
      </c>
      <c r="R28" s="10">
        <v>1301.5715277777779</v>
      </c>
      <c r="S28" s="9" t="s">
        <v>9</v>
      </c>
      <c r="T28" s="7"/>
    </row>
    <row r="29" spans="1:20" x14ac:dyDescent="0.25">
      <c r="A29" s="41"/>
      <c r="B29" s="7">
        <v>46136</v>
      </c>
      <c r="C29" s="7">
        <v>46136</v>
      </c>
      <c r="D29" s="7">
        <v>46136</v>
      </c>
      <c r="E29" s="8">
        <v>820.39027777777778</v>
      </c>
      <c r="F29" s="8">
        <v>820.43402777777783</v>
      </c>
      <c r="G29" s="9" t="s">
        <v>9</v>
      </c>
      <c r="H29" s="7">
        <v>46136</v>
      </c>
      <c r="I29" s="7">
        <v>46136</v>
      </c>
      <c r="J29" s="8">
        <v>45870.602777777778</v>
      </c>
      <c r="K29" s="8">
        <v>45870.663194444445</v>
      </c>
      <c r="L29" s="9" t="s">
        <v>9</v>
      </c>
      <c r="M29" s="7">
        <v>46136</v>
      </c>
      <c r="N29" s="10">
        <v>0.57986111111111105</v>
      </c>
      <c r="O29" s="10">
        <v>0.66180555555555554</v>
      </c>
      <c r="P29" s="9" t="s">
        <v>9</v>
      </c>
      <c r="Q29" s="7">
        <v>46136</v>
      </c>
      <c r="R29" s="10">
        <v>1301.5854166666666</v>
      </c>
      <c r="S29" s="9" t="s">
        <v>9</v>
      </c>
      <c r="T29" s="7"/>
    </row>
    <row r="30" spans="1:20" x14ac:dyDescent="0.25">
      <c r="A30" s="41"/>
      <c r="B30" s="7">
        <v>46137</v>
      </c>
      <c r="C30" s="7">
        <v>46137</v>
      </c>
      <c r="D30" s="7">
        <v>46137</v>
      </c>
      <c r="E30" s="8">
        <v>820.39374999999995</v>
      </c>
      <c r="F30" s="8">
        <v>45870.479166666664</v>
      </c>
      <c r="G30" s="9" t="s">
        <v>9</v>
      </c>
      <c r="H30" s="7">
        <v>46137</v>
      </c>
      <c r="I30" s="7">
        <v>46137</v>
      </c>
      <c r="J30" s="8">
        <v>45870.5625</v>
      </c>
      <c r="K30" s="8">
        <v>45870.579861111109</v>
      </c>
      <c r="L30" s="9" t="s">
        <v>9</v>
      </c>
      <c r="M30" s="7">
        <v>46137</v>
      </c>
      <c r="N30" s="10">
        <v>1400.5833333333333</v>
      </c>
      <c r="O30" s="8">
        <v>45870.621527777781</v>
      </c>
      <c r="P30" s="9" t="s">
        <v>9</v>
      </c>
      <c r="Q30" s="7">
        <v>46137</v>
      </c>
      <c r="R30" s="10">
        <v>1301.5298611111111</v>
      </c>
      <c r="S30" s="9" t="s">
        <v>9</v>
      </c>
      <c r="T30" s="7"/>
    </row>
    <row r="31" spans="1:20" x14ac:dyDescent="0.25">
      <c r="A31" s="41"/>
      <c r="B31" s="11"/>
      <c r="C31" s="11"/>
      <c r="D31" s="11"/>
      <c r="E31" s="26"/>
      <c r="F31" s="26"/>
      <c r="G31" s="13"/>
      <c r="H31" s="11"/>
      <c r="I31" s="11"/>
      <c r="J31" s="26"/>
      <c r="K31" s="26"/>
      <c r="L31" s="13"/>
      <c r="M31" s="11"/>
      <c r="N31" s="12"/>
      <c r="O31" s="12"/>
      <c r="P31" s="13"/>
      <c r="Q31" s="11"/>
      <c r="R31" s="12"/>
      <c r="S31" s="13"/>
      <c r="T31" s="7"/>
    </row>
    <row r="32" spans="1:20" x14ac:dyDescent="0.25">
      <c r="A32" s="41"/>
      <c r="B32" s="7">
        <v>46139</v>
      </c>
      <c r="C32" s="7">
        <v>46139</v>
      </c>
      <c r="D32" s="7">
        <v>46139</v>
      </c>
      <c r="E32" s="8">
        <v>820.39374999999995</v>
      </c>
      <c r="F32" s="8">
        <v>820.46111111111111</v>
      </c>
      <c r="G32" s="9" t="s">
        <v>9</v>
      </c>
      <c r="H32" s="7">
        <v>46139</v>
      </c>
      <c r="I32" s="7">
        <v>46139</v>
      </c>
      <c r="J32" s="8">
        <v>45870.623611111114</v>
      </c>
      <c r="K32" s="8">
        <v>45870.665277777778</v>
      </c>
      <c r="L32" s="9" t="s">
        <v>9</v>
      </c>
      <c r="M32" s="7">
        <v>46139</v>
      </c>
      <c r="N32" s="10">
        <v>0.5625</v>
      </c>
      <c r="O32" s="10">
        <v>0.66180555555555554</v>
      </c>
      <c r="P32" s="9" t="s">
        <v>9</v>
      </c>
      <c r="Q32" s="7">
        <v>46139</v>
      </c>
      <c r="R32" s="10">
        <v>1301.5277777777778</v>
      </c>
      <c r="S32" s="9" t="s">
        <v>9</v>
      </c>
      <c r="T32" s="7"/>
    </row>
    <row r="33" spans="1:20" x14ac:dyDescent="0.25">
      <c r="A33" s="41"/>
      <c r="B33" s="7">
        <v>46140</v>
      </c>
      <c r="C33" s="7">
        <v>46140</v>
      </c>
      <c r="D33" s="7">
        <v>46140</v>
      </c>
      <c r="E33" s="8">
        <v>820.39097222222222</v>
      </c>
      <c r="F33" s="8">
        <v>820.45694444444439</v>
      </c>
      <c r="G33" s="9" t="s">
        <v>9</v>
      </c>
      <c r="H33" s="7">
        <v>46140</v>
      </c>
      <c r="I33" s="7">
        <v>46140</v>
      </c>
      <c r="J33" s="8">
        <v>45870.602777777778</v>
      </c>
      <c r="K33" s="8">
        <v>45870.663194444445</v>
      </c>
      <c r="L33" s="9" t="s">
        <v>9</v>
      </c>
      <c r="M33" s="7">
        <v>46140</v>
      </c>
      <c r="N33" s="10">
        <v>0.5625</v>
      </c>
      <c r="O33" s="10">
        <v>0.66180555555555554</v>
      </c>
      <c r="P33" s="9" t="s">
        <v>9</v>
      </c>
      <c r="Q33" s="7">
        <v>46140</v>
      </c>
      <c r="R33" s="10">
        <v>1301.5854166666666</v>
      </c>
      <c r="S33" s="9" t="s">
        <v>9</v>
      </c>
      <c r="T33" s="7"/>
    </row>
    <row r="34" spans="1:20" x14ac:dyDescent="0.25">
      <c r="A34" s="41"/>
      <c r="B34" s="7">
        <v>46141</v>
      </c>
      <c r="C34" s="7">
        <v>46141</v>
      </c>
      <c r="D34" s="7">
        <v>46141</v>
      </c>
      <c r="E34" s="8">
        <v>820.40625</v>
      </c>
      <c r="F34" s="8">
        <v>820.48055555555561</v>
      </c>
      <c r="G34" s="9" t="s">
        <v>9</v>
      </c>
      <c r="H34" s="7">
        <v>46141</v>
      </c>
      <c r="I34" s="7">
        <v>46141</v>
      </c>
      <c r="J34" s="8">
        <v>45870.611111111109</v>
      </c>
      <c r="K34" s="8">
        <v>45870.663194444445</v>
      </c>
      <c r="L34" s="9" t="s">
        <v>9</v>
      </c>
      <c r="M34" s="7">
        <v>46141</v>
      </c>
      <c r="N34" s="10">
        <v>0.57986111111111105</v>
      </c>
      <c r="O34" s="10">
        <v>0.66180555555555554</v>
      </c>
      <c r="P34" s="9" t="s">
        <v>9</v>
      </c>
      <c r="Q34" s="7">
        <v>46141</v>
      </c>
      <c r="R34" s="10">
        <v>0.5625</v>
      </c>
      <c r="S34" s="9" t="s">
        <v>9</v>
      </c>
      <c r="T34" s="7"/>
    </row>
    <row r="35" spans="1:20" x14ac:dyDescent="0.25">
      <c r="A35" s="14"/>
      <c r="B35" s="7">
        <v>46142</v>
      </c>
      <c r="C35" s="7">
        <v>46142</v>
      </c>
      <c r="D35" s="7">
        <v>46142</v>
      </c>
      <c r="E35" s="8">
        <v>45870.395833333336</v>
      </c>
      <c r="F35" s="8">
        <v>45870.479166666664</v>
      </c>
      <c r="G35" s="9" t="s">
        <v>9</v>
      </c>
      <c r="H35" s="7">
        <v>46142</v>
      </c>
      <c r="I35" s="7">
        <v>46142</v>
      </c>
      <c r="J35" s="8">
        <v>45870.611111111109</v>
      </c>
      <c r="K35" s="8">
        <v>45870.663194444445</v>
      </c>
      <c r="L35" s="9" t="s">
        <v>9</v>
      </c>
      <c r="M35" s="7">
        <v>46142</v>
      </c>
      <c r="N35" s="10">
        <v>0.56527777777777777</v>
      </c>
      <c r="O35" s="10">
        <v>0.64861111111111114</v>
      </c>
      <c r="P35" s="9" t="s">
        <v>9</v>
      </c>
      <c r="Q35" s="7">
        <v>46142</v>
      </c>
      <c r="R35" s="10">
        <v>1301.5423611111112</v>
      </c>
      <c r="S35" s="9" t="s">
        <v>9</v>
      </c>
      <c r="T35" s="15"/>
    </row>
    <row r="36" spans="1:20" ht="15.75" thickBot="1" x14ac:dyDescent="0.3">
      <c r="A36" s="42" t="s">
        <v>10</v>
      </c>
      <c r="B36" s="43"/>
      <c r="C36" s="16"/>
      <c r="D36" s="17"/>
      <c r="E36" s="18">
        <f>AVERAGE(E5:E35)</f>
        <v>24246.396333333338</v>
      </c>
      <c r="F36" s="18">
        <f>AVERAGE(F5:F35)</f>
        <v>27850.47205555555</v>
      </c>
      <c r="G36" s="19"/>
      <c r="H36" s="19"/>
      <c r="I36" s="19"/>
      <c r="J36" s="18">
        <f>AVERAGE(J5:J35)</f>
        <v>45870.596555555545</v>
      </c>
      <c r="K36" s="18">
        <f>AVERAGE(K5:K35)</f>
        <v>45870.646805555567</v>
      </c>
      <c r="L36" s="20"/>
      <c r="M36" s="20"/>
      <c r="N36" s="20"/>
      <c r="O36" s="20"/>
      <c r="P36" s="20"/>
      <c r="Q36" s="21"/>
      <c r="R36" s="18">
        <f>AVERAGE(R5:R35)</f>
        <v>6441.6880833333325</v>
      </c>
      <c r="S36" s="21"/>
      <c r="T36" s="22"/>
    </row>
    <row r="37" spans="1:20" ht="15.75" thickTop="1" x14ac:dyDescent="0.25"/>
    <row r="38" spans="1:20" x14ac:dyDescent="0.25">
      <c r="B38" s="37" t="s">
        <v>18</v>
      </c>
      <c r="C38" s="27" t="s">
        <v>19</v>
      </c>
      <c r="D38" s="27" t="s">
        <v>20</v>
      </c>
      <c r="E38" s="27" t="s">
        <v>21</v>
      </c>
      <c r="F38" s="27" t="s">
        <v>22</v>
      </c>
      <c r="G38" s="27" t="s">
        <v>23</v>
      </c>
      <c r="H38" s="27" t="s">
        <v>24</v>
      </c>
      <c r="I38" s="27" t="s">
        <v>25</v>
      </c>
      <c r="J38" s="27" t="s">
        <v>26</v>
      </c>
      <c r="K38" s="27" t="s">
        <v>27</v>
      </c>
      <c r="L38" s="27" t="s">
        <v>28</v>
      </c>
      <c r="M38" s="27" t="s">
        <v>29</v>
      </c>
      <c r="N38" s="27" t="s">
        <v>30</v>
      </c>
    </row>
    <row r="39" spans="1:20" ht="15" customHeight="1" x14ac:dyDescent="0.25">
      <c r="B39" s="38"/>
      <c r="C39" s="28">
        <v>3550</v>
      </c>
      <c r="D39" s="28">
        <v>3157</v>
      </c>
      <c r="E39" s="28">
        <v>2589</v>
      </c>
      <c r="F39" s="28">
        <v>4037</v>
      </c>
      <c r="G39" s="28"/>
      <c r="H39" s="28"/>
      <c r="I39" s="28"/>
      <c r="J39" s="28"/>
      <c r="K39" s="28"/>
      <c r="L39" s="28"/>
      <c r="M39" s="28"/>
      <c r="N39" s="28"/>
      <c r="O39" s="31" t="s">
        <v>31</v>
      </c>
      <c r="S39" s="23"/>
    </row>
    <row r="40" spans="1:20" x14ac:dyDescent="0.25">
      <c r="B40" s="38"/>
      <c r="C40" s="29">
        <v>0</v>
      </c>
      <c r="D40" s="29">
        <v>0</v>
      </c>
      <c r="E40" s="29">
        <v>0</v>
      </c>
      <c r="F40" s="29">
        <v>0</v>
      </c>
      <c r="G40" s="29"/>
      <c r="H40" s="29"/>
      <c r="I40" s="29"/>
      <c r="J40" s="29"/>
      <c r="K40" s="29"/>
      <c r="L40" s="29"/>
      <c r="M40" s="29"/>
      <c r="N40" s="29"/>
      <c r="O40" s="32" t="s">
        <v>32</v>
      </c>
    </row>
    <row r="41" spans="1:20" x14ac:dyDescent="0.25">
      <c r="B41" s="39"/>
      <c r="C41" s="30">
        <f>+C40/C39</f>
        <v>0</v>
      </c>
      <c r="D41" s="30">
        <f>(C40+D40)/(C39+D39)</f>
        <v>0</v>
      </c>
      <c r="E41" s="30">
        <f>(C40+D40+E40)/(C39+D39+E39)</f>
        <v>0</v>
      </c>
      <c r="F41" s="30">
        <f>SUM($B40:E40)/SUM($B39:E39)</f>
        <v>0</v>
      </c>
      <c r="G41" s="30">
        <f>SUM($B40:F40)/SUM($B39:F39)</f>
        <v>0</v>
      </c>
      <c r="H41" s="30">
        <f>SUM($B40:G40)/SUM($B39:G39)</f>
        <v>0</v>
      </c>
      <c r="I41" s="30">
        <f>SUM($B40:H40)/SUM($B39:H39)</f>
        <v>0</v>
      </c>
      <c r="J41" s="30">
        <f>SUM($B40:I40)/SUM($B39:I39)</f>
        <v>0</v>
      </c>
      <c r="K41" s="30">
        <f>SUM($B40:J40)/SUM($B39:J39)</f>
        <v>0</v>
      </c>
      <c r="L41" s="30">
        <f>SUM($B40:K40)/SUM($B39:K39)</f>
        <v>0</v>
      </c>
      <c r="M41" s="30">
        <f>SUM($B40:L40)/SUM($B39:L39)</f>
        <v>0</v>
      </c>
      <c r="N41" s="30">
        <f>SUM($B40:M40)/SUM($B39:M39)</f>
        <v>0</v>
      </c>
    </row>
  </sheetData>
  <mergeCells count="12">
    <mergeCell ref="Q3:S3"/>
    <mergeCell ref="B38:B41"/>
    <mergeCell ref="A5:A34"/>
    <mergeCell ref="A36:B36"/>
    <mergeCell ref="A1:T2"/>
    <mergeCell ref="A3:A4"/>
    <mergeCell ref="B3:B4"/>
    <mergeCell ref="E4:F4"/>
    <mergeCell ref="N4:O4"/>
    <mergeCell ref="C3:G3"/>
    <mergeCell ref="H3:L3"/>
    <mergeCell ref="M3:P3"/>
  </mergeCells>
  <pageMargins left="0.7" right="0.7" top="0.75" bottom="0.75" header="0.3" footer="0.3"/>
  <pageSetup paperSize="256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Lampiran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Fairin</dc:creator>
  <cp:lastModifiedBy>Reni Diantika</cp:lastModifiedBy>
  <dcterms:created xsi:type="dcterms:W3CDTF">2025-09-09T01:19:28Z</dcterms:created>
  <dcterms:modified xsi:type="dcterms:W3CDTF">2026-05-02T06:20:56Z</dcterms:modified>
</cp:coreProperties>
</file>