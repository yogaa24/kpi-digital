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6975" activeTab="2"/>
  </bookViews>
  <sheets>
    <sheet name="Pencapaian OD &amp; BGTF" sheetId="1" r:id="rId1"/>
    <sheet name="Kalender" sheetId="4" r:id="rId2"/>
    <sheet name="Simulasi" sheetId="5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1" hidden="1">Kalender!$70:$136</definedName>
    <definedName name="_xlnm._FilterDatabase" localSheetId="2" hidden="1">Simulasi!$A$3:$M$211</definedName>
    <definedName name="a">[1]TAGPD!#REF!</definedName>
    <definedName name="B">[1]TAGPD!#REF!</definedName>
    <definedName name="d">[1]TAGPD!#REF!</definedName>
    <definedName name="GRUPF">[1]TAGPD!#REF!</definedName>
    <definedName name="Progresit">'[2]PROGRES TUGAS IT 2020'!$B$3:$L$215</definedName>
    <definedName name="sortsummary">#REF!</definedName>
    <definedName name="tb_tagpdbg" localSheetId="2">[5]TAGPD!$AQ$8:$AQ$30000</definedName>
    <definedName name="tb_tagpdbg">[3]TAGPD!$AQ$8:$AQ$30000</definedName>
    <definedName name="tb_tagpdfaktur" localSheetId="2">[5]TAGPD!$E$8:$E$30000</definedName>
    <definedName name="tb_tagpdfaktur">[3]TAGPD!$E$8:$E$30000</definedName>
    <definedName name="tb_tagpdkucash" localSheetId="2">[5]TAGPD!$AV$8:$AV$30000</definedName>
    <definedName name="tb_tagpdkucash">[3]TAGPD!$AV$8:$AV$30000</definedName>
    <definedName name="tb_tagpdrpb" localSheetId="2">[5]TAGPD!$AP$8:$AP$30000</definedName>
    <definedName name="tb_tagpdrpb">[3]TAGPD!$AP$8:$AP$30000</definedName>
    <definedName name="tb_tbbnt">#REF!</definedName>
    <definedName name="tballnk" localSheetId="2">[5]All!$E$12:$E$996</definedName>
    <definedName name="tballnk">[4]All!$E$12:$E$996</definedName>
    <definedName name="tballp" localSheetId="2">[5]All!$L$12:$L$996</definedName>
    <definedName name="tballp">[3]All!$L$12:$L$996</definedName>
    <definedName name="tballsa" localSheetId="2">[5]All!$I$12:$I$996</definedName>
    <definedName name="tballsa">[4]All!$I$12:$I$996</definedName>
    <definedName name="tballsod" localSheetId="2">[5]All!$M$12:$M$996</definedName>
    <definedName name="tballsod">[3]All!$M$12:$M$996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H210" i="5" l="1"/>
  <c r="E210" i="5"/>
  <c r="H209" i="5"/>
  <c r="E209" i="5"/>
  <c r="H208" i="5"/>
  <c r="E208" i="5"/>
  <c r="H207" i="5"/>
  <c r="E207" i="5"/>
  <c r="H206" i="5"/>
  <c r="E206" i="5"/>
  <c r="H205" i="5"/>
  <c r="E205" i="5"/>
  <c r="H204" i="5"/>
  <c r="E204" i="5"/>
  <c r="H203" i="5"/>
  <c r="E203" i="5"/>
  <c r="H202" i="5"/>
  <c r="E202" i="5"/>
  <c r="H201" i="5"/>
  <c r="E201" i="5"/>
  <c r="H200" i="5"/>
  <c r="E200" i="5"/>
  <c r="H199" i="5"/>
  <c r="E199" i="5"/>
  <c r="H198" i="5"/>
  <c r="E198" i="5"/>
  <c r="H197" i="5"/>
  <c r="E197" i="5"/>
  <c r="H196" i="5"/>
  <c r="E196" i="5"/>
  <c r="H195" i="5"/>
  <c r="E195" i="5"/>
  <c r="H194" i="5"/>
  <c r="E194" i="5"/>
  <c r="H193" i="5"/>
  <c r="E193" i="5"/>
  <c r="H192" i="5"/>
  <c r="E192" i="5"/>
  <c r="H191" i="5"/>
  <c r="E191" i="5"/>
  <c r="H190" i="5"/>
  <c r="E190" i="5"/>
  <c r="H189" i="5"/>
  <c r="E189" i="5"/>
  <c r="H188" i="5"/>
  <c r="E188" i="5"/>
  <c r="H187" i="5"/>
  <c r="E187" i="5"/>
  <c r="H186" i="5"/>
  <c r="E186" i="5"/>
  <c r="H185" i="5"/>
  <c r="E185" i="5"/>
  <c r="H184" i="5"/>
  <c r="E184" i="5"/>
  <c r="H183" i="5"/>
  <c r="E183" i="5"/>
  <c r="H182" i="5"/>
  <c r="E182" i="5"/>
  <c r="H181" i="5"/>
  <c r="E181" i="5"/>
  <c r="H180" i="5"/>
  <c r="E180" i="5"/>
  <c r="H179" i="5"/>
  <c r="E179" i="5"/>
  <c r="H178" i="5"/>
  <c r="E178" i="5"/>
  <c r="H177" i="5"/>
  <c r="E177" i="5"/>
  <c r="E176" i="5"/>
  <c r="H176" i="5" s="1"/>
  <c r="H175" i="5"/>
  <c r="E175" i="5"/>
  <c r="H174" i="5"/>
  <c r="E174" i="5"/>
  <c r="H173" i="5"/>
  <c r="E173" i="5"/>
  <c r="H172" i="5"/>
  <c r="E172" i="5"/>
  <c r="H171" i="5"/>
  <c r="E171" i="5"/>
  <c r="H170" i="5"/>
  <c r="E170" i="5"/>
  <c r="H169" i="5"/>
  <c r="E169" i="5"/>
  <c r="H168" i="5"/>
  <c r="E168" i="5"/>
  <c r="H167" i="5"/>
  <c r="E167" i="5"/>
  <c r="H166" i="5"/>
  <c r="E166" i="5"/>
  <c r="H165" i="5"/>
  <c r="E165" i="5"/>
  <c r="H164" i="5"/>
  <c r="E164" i="5"/>
  <c r="H163" i="5"/>
  <c r="E163" i="5"/>
  <c r="H162" i="5"/>
  <c r="E162" i="5"/>
  <c r="H161" i="5"/>
  <c r="G161" i="5"/>
  <c r="E161" i="5"/>
  <c r="H160" i="5"/>
  <c r="G160" i="5"/>
  <c r="E160" i="5"/>
  <c r="H159" i="5"/>
  <c r="G159" i="5"/>
  <c r="E159" i="5"/>
  <c r="H158" i="5"/>
  <c r="G158" i="5"/>
  <c r="E158" i="5"/>
  <c r="H157" i="5"/>
  <c r="G157" i="5"/>
  <c r="E157" i="5"/>
  <c r="H156" i="5"/>
  <c r="G156" i="5"/>
  <c r="E156" i="5"/>
  <c r="H155" i="5"/>
  <c r="G155" i="5"/>
  <c r="E155" i="5"/>
  <c r="H154" i="5"/>
  <c r="G154" i="5"/>
  <c r="E154" i="5"/>
  <c r="H153" i="5"/>
  <c r="G153" i="5"/>
  <c r="E153" i="5"/>
  <c r="H152" i="5"/>
  <c r="G152" i="5"/>
  <c r="E152" i="5"/>
  <c r="H151" i="5"/>
  <c r="G151" i="5"/>
  <c r="E151" i="5"/>
  <c r="H150" i="5"/>
  <c r="G150" i="5"/>
  <c r="E150" i="5"/>
  <c r="H149" i="5"/>
  <c r="G149" i="5"/>
  <c r="E149" i="5"/>
  <c r="H148" i="5"/>
  <c r="G148" i="5"/>
  <c r="E148" i="5"/>
  <c r="H147" i="5"/>
  <c r="G147" i="5"/>
  <c r="G211" i="5" s="1"/>
  <c r="H211" i="5" s="1"/>
  <c r="E147" i="5"/>
  <c r="H146" i="5"/>
  <c r="E146" i="5"/>
  <c r="H145" i="5"/>
  <c r="E145" i="5"/>
  <c r="H144" i="5"/>
  <c r="E144" i="5"/>
  <c r="H143" i="5"/>
  <c r="E143" i="5"/>
  <c r="H142" i="5"/>
  <c r="E142" i="5"/>
  <c r="H141" i="5"/>
  <c r="E141" i="5"/>
  <c r="H140" i="5"/>
  <c r="E140" i="5"/>
  <c r="H139" i="5"/>
  <c r="E139" i="5"/>
  <c r="H138" i="5"/>
  <c r="E138" i="5"/>
  <c r="H137" i="5"/>
  <c r="E137" i="5"/>
  <c r="H136" i="5"/>
  <c r="E136" i="5"/>
  <c r="H135" i="5"/>
  <c r="E135" i="5"/>
  <c r="H134" i="5"/>
  <c r="E134" i="5"/>
  <c r="H133" i="5"/>
  <c r="E133" i="5"/>
  <c r="H132" i="5"/>
  <c r="E132" i="5"/>
  <c r="H131" i="5"/>
  <c r="E131" i="5"/>
  <c r="H130" i="5"/>
  <c r="E130" i="5"/>
  <c r="H129" i="5"/>
  <c r="E129" i="5"/>
  <c r="H128" i="5"/>
  <c r="E128" i="5"/>
  <c r="H127" i="5"/>
  <c r="E127" i="5"/>
  <c r="H126" i="5"/>
  <c r="E126" i="5"/>
  <c r="H125" i="5"/>
  <c r="E125" i="5"/>
  <c r="H124" i="5"/>
  <c r="E124" i="5"/>
  <c r="H123" i="5"/>
  <c r="E123" i="5"/>
  <c r="H122" i="5"/>
  <c r="E122" i="5"/>
  <c r="H121" i="5"/>
  <c r="E121" i="5"/>
  <c r="H120" i="5"/>
  <c r="E120" i="5"/>
  <c r="H119" i="5"/>
  <c r="E119" i="5"/>
  <c r="H118" i="5"/>
  <c r="E118" i="5"/>
  <c r="H117" i="5"/>
  <c r="E117" i="5"/>
  <c r="H116" i="5"/>
  <c r="E116" i="5"/>
  <c r="H115" i="5"/>
  <c r="E115" i="5"/>
  <c r="H114" i="5"/>
  <c r="E114" i="5"/>
  <c r="H113" i="5"/>
  <c r="E113" i="5"/>
  <c r="H112" i="5"/>
  <c r="C112" i="5"/>
  <c r="E112" i="5" s="1"/>
  <c r="H111" i="5"/>
  <c r="C111" i="5"/>
  <c r="E111" i="5" s="1"/>
  <c r="C110" i="5"/>
  <c r="E110" i="5" s="1"/>
  <c r="H110" i="5" s="1"/>
  <c r="C109" i="5"/>
  <c r="E109" i="5" s="1"/>
  <c r="H109" i="5" s="1"/>
  <c r="H108" i="5"/>
  <c r="C108" i="5"/>
  <c r="E108" i="5" s="1"/>
  <c r="H107" i="5"/>
  <c r="C107" i="5"/>
  <c r="E107" i="5" s="1"/>
  <c r="H106" i="5"/>
  <c r="E106" i="5"/>
  <c r="H105" i="5"/>
  <c r="E105" i="5"/>
  <c r="H104" i="5"/>
  <c r="E104" i="5"/>
  <c r="H103" i="5"/>
  <c r="E103" i="5"/>
  <c r="H102" i="5"/>
  <c r="E102" i="5"/>
  <c r="H101" i="5"/>
  <c r="E101" i="5"/>
  <c r="H100" i="5"/>
  <c r="E100" i="5"/>
  <c r="H99" i="5"/>
  <c r="E99" i="5"/>
  <c r="H98" i="5"/>
  <c r="E98" i="5"/>
  <c r="H97" i="5"/>
  <c r="E97" i="5"/>
  <c r="H96" i="5"/>
  <c r="E96" i="5"/>
  <c r="H95" i="5"/>
  <c r="E95" i="5"/>
  <c r="H94" i="5"/>
  <c r="E94" i="5"/>
  <c r="H93" i="5"/>
  <c r="E93" i="5"/>
  <c r="H92" i="5"/>
  <c r="E92" i="5"/>
  <c r="H91" i="5"/>
  <c r="E91" i="5"/>
  <c r="H90" i="5"/>
  <c r="E90" i="5"/>
  <c r="H89" i="5"/>
  <c r="E89" i="5"/>
  <c r="H88" i="5"/>
  <c r="E88" i="5"/>
  <c r="H87" i="5"/>
  <c r="E87" i="5"/>
  <c r="H86" i="5"/>
  <c r="E86" i="5"/>
  <c r="E85" i="5"/>
  <c r="H85" i="5" s="1"/>
  <c r="H84" i="5"/>
  <c r="E84" i="5"/>
  <c r="H83" i="5"/>
  <c r="E83" i="5"/>
  <c r="H82" i="5"/>
  <c r="E82" i="5"/>
  <c r="H81" i="5"/>
  <c r="E81" i="5"/>
  <c r="H80" i="5"/>
  <c r="E80" i="5"/>
  <c r="H79" i="5"/>
  <c r="E79" i="5"/>
  <c r="H78" i="5"/>
  <c r="E78" i="5"/>
  <c r="H77" i="5"/>
  <c r="E77" i="5"/>
  <c r="H76" i="5"/>
  <c r="E76" i="5"/>
  <c r="H75" i="5"/>
  <c r="E75" i="5"/>
  <c r="H74" i="5"/>
  <c r="E74" i="5"/>
  <c r="H73" i="5"/>
  <c r="E73" i="5"/>
  <c r="H72" i="5"/>
  <c r="E72" i="5"/>
  <c r="H71" i="5"/>
  <c r="E71" i="5"/>
  <c r="H70" i="5"/>
  <c r="E70" i="5"/>
  <c r="H69" i="5"/>
  <c r="E69" i="5"/>
  <c r="H68" i="5"/>
  <c r="E68" i="5"/>
  <c r="H67" i="5"/>
  <c r="E67" i="5"/>
  <c r="H66" i="5"/>
  <c r="E66" i="5"/>
  <c r="H65" i="5"/>
  <c r="E65" i="5"/>
  <c r="H64" i="5"/>
  <c r="E64" i="5"/>
  <c r="H63" i="5"/>
  <c r="E63" i="5"/>
  <c r="H62" i="5"/>
  <c r="E62" i="5"/>
  <c r="H61" i="5"/>
  <c r="E61" i="5"/>
  <c r="H60" i="5"/>
  <c r="E60" i="5"/>
  <c r="H59" i="5"/>
  <c r="E59" i="5"/>
  <c r="E58" i="5"/>
  <c r="D58" i="5"/>
  <c r="H58" i="5" s="1"/>
  <c r="H57" i="5"/>
  <c r="D57" i="5"/>
  <c r="E57" i="5" s="1"/>
  <c r="H56" i="5"/>
  <c r="E56" i="5"/>
  <c r="D56" i="5"/>
  <c r="D55" i="5"/>
  <c r="H55" i="5" s="1"/>
  <c r="E54" i="5"/>
  <c r="D54" i="5"/>
  <c r="H54" i="5" s="1"/>
  <c r="H53" i="5"/>
  <c r="D53" i="5"/>
  <c r="E53" i="5" s="1"/>
  <c r="H52" i="5"/>
  <c r="E52" i="5"/>
  <c r="D52" i="5"/>
  <c r="D51" i="5"/>
  <c r="H51" i="5" s="1"/>
  <c r="E50" i="5"/>
  <c r="D50" i="5"/>
  <c r="H50" i="5" s="1"/>
  <c r="D49" i="5"/>
  <c r="E49" i="5" s="1"/>
  <c r="H49" i="5" s="1"/>
  <c r="E48" i="5"/>
  <c r="H48" i="5" s="1"/>
  <c r="D48" i="5"/>
  <c r="D47" i="5"/>
  <c r="E47" i="5" s="1"/>
  <c r="H47" i="5" s="1"/>
  <c r="E46" i="5"/>
  <c r="H46" i="5" s="1"/>
  <c r="D46" i="5"/>
  <c r="D45" i="5"/>
  <c r="E45" i="5" s="1"/>
  <c r="H45" i="5" s="1"/>
  <c r="E44" i="5"/>
  <c r="H44" i="5" s="1"/>
  <c r="D44" i="5"/>
  <c r="D43" i="5"/>
  <c r="E43" i="5" s="1"/>
  <c r="H43" i="5" s="1"/>
  <c r="E42" i="5"/>
  <c r="H42" i="5" s="1"/>
  <c r="D42" i="5"/>
  <c r="D41" i="5"/>
  <c r="E41" i="5" s="1"/>
  <c r="H41" i="5" s="1"/>
  <c r="E40" i="5"/>
  <c r="H40" i="5" s="1"/>
  <c r="D40" i="5"/>
  <c r="H39" i="5"/>
  <c r="E39" i="5"/>
  <c r="D38" i="5"/>
  <c r="E38" i="5" s="1"/>
  <c r="H38" i="5" s="1"/>
  <c r="E37" i="5"/>
  <c r="H37" i="5" s="1"/>
  <c r="D37" i="5"/>
  <c r="D36" i="5"/>
  <c r="E36" i="5" s="1"/>
  <c r="H36" i="5" s="1"/>
  <c r="E35" i="5"/>
  <c r="H35" i="5" s="1"/>
  <c r="D35" i="5"/>
  <c r="D34" i="5"/>
  <c r="E34" i="5" s="1"/>
  <c r="H34" i="5" s="1"/>
  <c r="E33" i="5"/>
  <c r="H33" i="5" s="1"/>
  <c r="D33" i="5"/>
  <c r="D32" i="5"/>
  <c r="E32" i="5" s="1"/>
  <c r="H32" i="5" s="1"/>
  <c r="E31" i="5"/>
  <c r="H31" i="5" s="1"/>
  <c r="D31" i="5"/>
  <c r="D30" i="5"/>
  <c r="E30" i="5" s="1"/>
  <c r="H30" i="5" s="1"/>
  <c r="E29" i="5"/>
  <c r="H29" i="5" s="1"/>
  <c r="D29" i="5"/>
  <c r="D28" i="5"/>
  <c r="E28" i="5" s="1"/>
  <c r="H28" i="5" s="1"/>
  <c r="E27" i="5"/>
  <c r="H27" i="5" s="1"/>
  <c r="H26" i="5"/>
  <c r="D26" i="5"/>
  <c r="E26" i="5" s="1"/>
  <c r="D25" i="5"/>
  <c r="E25" i="5" s="1"/>
  <c r="H25" i="5" s="1"/>
  <c r="H24" i="5"/>
  <c r="D24" i="5"/>
  <c r="E24" i="5" s="1"/>
  <c r="D23" i="5"/>
  <c r="E23" i="5" s="1"/>
  <c r="H23" i="5" s="1"/>
  <c r="H22" i="5"/>
  <c r="D22" i="5"/>
  <c r="E22" i="5" s="1"/>
  <c r="D21" i="5"/>
  <c r="E21" i="5" s="1"/>
  <c r="H21" i="5" s="1"/>
  <c r="H20" i="5"/>
  <c r="E20" i="5"/>
  <c r="E19" i="5"/>
  <c r="H19" i="5" s="1"/>
  <c r="D19" i="5"/>
  <c r="E18" i="5"/>
  <c r="H18" i="5" s="1"/>
  <c r="E17" i="5"/>
  <c r="H17" i="5" s="1"/>
  <c r="D17" i="5"/>
  <c r="H16" i="5"/>
  <c r="E16" i="5"/>
  <c r="D15" i="5"/>
  <c r="E15" i="5" s="1"/>
  <c r="H15" i="5" s="1"/>
  <c r="E14" i="5"/>
  <c r="H14" i="5" s="1"/>
  <c r="H13" i="5"/>
  <c r="E13" i="5"/>
  <c r="E12" i="5"/>
  <c r="H12" i="5" s="1"/>
  <c r="D12" i="5"/>
  <c r="E11" i="5"/>
  <c r="H11" i="5" s="1"/>
  <c r="D11" i="5"/>
  <c r="E10" i="5"/>
  <c r="H10" i="5" s="1"/>
  <c r="D10" i="5"/>
  <c r="E9" i="5"/>
  <c r="H9" i="5" s="1"/>
  <c r="D9" i="5"/>
  <c r="E8" i="5"/>
  <c r="H8" i="5" s="1"/>
  <c r="H7" i="5"/>
  <c r="E7" i="5"/>
  <c r="E6" i="5"/>
  <c r="H6" i="5" s="1"/>
  <c r="D5" i="5"/>
  <c r="E5" i="5" s="1"/>
  <c r="H5" i="5" s="1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D4" i="5"/>
  <c r="D211" i="5" s="1"/>
  <c r="E4" i="5" l="1"/>
  <c r="E51" i="5"/>
  <c r="E55" i="5"/>
  <c r="C211" i="5"/>
  <c r="C213" i="5" s="1"/>
  <c r="E211" i="5" l="1"/>
  <c r="H4" i="5"/>
  <c r="E219" i="5"/>
  <c r="E221" i="5" l="1"/>
  <c r="D213" i="5"/>
  <c r="D216" i="5" l="1"/>
  <c r="E216" i="5" s="1"/>
  <c r="E217" i="5" s="1"/>
  <c r="E213" i="5"/>
  <c r="E214" i="5" s="1"/>
  <c r="E222" i="5"/>
  <c r="D221" i="5"/>
  <c r="AG136" i="4" l="1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A73" i="4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72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AO9" i="4"/>
  <c r="AN9" i="4"/>
  <c r="AM9" i="4"/>
  <c r="AK9" i="4"/>
  <c r="AJ9" i="4"/>
  <c r="AJ12" i="4" s="1"/>
  <c r="AI9" i="4"/>
  <c r="AI12" i="4" s="1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8" i="4"/>
  <c r="I4" i="1"/>
  <c r="B4" i="1"/>
  <c r="K4" i="1" s="1"/>
  <c r="F3" i="1"/>
  <c r="D3" i="1" s="1"/>
  <c r="B3" i="1"/>
  <c r="K3" i="1" s="1"/>
  <c r="AL11" i="4" l="1"/>
  <c r="D4" i="1"/>
  <c r="I3" i="1"/>
  <c r="F4" i="1"/>
</calcChain>
</file>

<file path=xl/sharedStrings.xml><?xml version="1.0" encoding="utf-8"?>
<sst xmlns="http://schemas.openxmlformats.org/spreadsheetml/2006/main" count="611" uniqueCount="254">
  <si>
    <t>TC : FARIDA</t>
  </si>
  <si>
    <t>Jml Kali</t>
  </si>
  <si>
    <t>%</t>
  </si>
  <si>
    <t>Reminder Intensif</t>
  </si>
  <si>
    <t>Jml Kios</t>
  </si>
  <si>
    <t>Penyelesaian OD 90</t>
  </si>
  <si>
    <t>BULAN</t>
  </si>
  <si>
    <t>TOTAL PD</t>
  </si>
  <si>
    <t>Target</t>
  </si>
  <si>
    <t>Rata2 OD &lt; 30</t>
  </si>
  <si>
    <t>OD &lt; 30</t>
  </si>
  <si>
    <t>OD 30</t>
  </si>
  <si>
    <t>OD 60</t>
  </si>
  <si>
    <t>30 &amp; 60</t>
  </si>
  <si>
    <t>OD 90</t>
  </si>
  <si>
    <t>Target Collection OD 30 &gt; (80%)</t>
  </si>
  <si>
    <t>Kios OD 30 &gt;</t>
  </si>
  <si>
    <t>Tarik OD 60,90 &gt; ke 60&lt;</t>
  </si>
  <si>
    <t>Tambahan Kios OD 60, 90</t>
  </si>
  <si>
    <t>Saldo</t>
  </si>
  <si>
    <t>Selesai</t>
  </si>
  <si>
    <t>Tambahan OD 90</t>
  </si>
  <si>
    <t>JAN</t>
  </si>
  <si>
    <t>FEB</t>
  </si>
  <si>
    <t>Value Transfer BG</t>
  </si>
  <si>
    <t>Tambahan</t>
  </si>
  <si>
    <t>YTD</t>
  </si>
  <si>
    <t>MTD</t>
  </si>
  <si>
    <t>PER BULAN</t>
  </si>
  <si>
    <t>Kios Tunai</t>
  </si>
  <si>
    <t>BG+KU</t>
  </si>
  <si>
    <t>Tunai</t>
  </si>
  <si>
    <t>Per Bulan</t>
  </si>
  <si>
    <t>Open Plafon OD/Over</t>
  </si>
  <si>
    <t>% Tunai</t>
  </si>
  <si>
    <t>Kios TF Tagih Tunai</t>
  </si>
  <si>
    <t>15 M</t>
  </si>
  <si>
    <t>500 Jt</t>
  </si>
  <si>
    <t>Bulan</t>
  </si>
  <si>
    <t>Klasifikasi</t>
  </si>
  <si>
    <t>Farida</t>
  </si>
  <si>
    <t>Hendra</t>
  </si>
  <si>
    <t>Natasya</t>
  </si>
  <si>
    <t>Novista</t>
  </si>
  <si>
    <t>Safira</t>
  </si>
  <si>
    <t>Tiya</t>
  </si>
  <si>
    <t>Total Kios</t>
  </si>
  <si>
    <t>Kios Aman</t>
  </si>
  <si>
    <t>KALENDER PENAGIHAN TEAM COLLECTION</t>
  </si>
  <si>
    <t>Nama TC</t>
  </si>
  <si>
    <t>:</t>
  </si>
  <si>
    <t>FARIDA</t>
  </si>
  <si>
    <t>Wilayah</t>
  </si>
  <si>
    <t>Posisi Over Due</t>
  </si>
  <si>
    <t>30 &gt;</t>
  </si>
  <si>
    <t>No</t>
  </si>
  <si>
    <t>Nama Kios</t>
  </si>
  <si>
    <t>Ket</t>
  </si>
  <si>
    <t>Agro Tani Sejahtera/Ni Putu Esthi</t>
  </si>
  <si>
    <t>TB</t>
  </si>
  <si>
    <t>T</t>
  </si>
  <si>
    <t>B</t>
  </si>
  <si>
    <t>OD &gt; 30</t>
  </si>
  <si>
    <t>Al Mubarok/Lutfi</t>
  </si>
  <si>
    <t>Anugrah Tani/Agung</t>
  </si>
  <si>
    <t>Ardila Tani, UD</t>
  </si>
  <si>
    <t>Ben Tani</t>
  </si>
  <si>
    <t>Berkah Tani Mukti, PT</t>
  </si>
  <si>
    <t>Bina Tani Mandiri, UD</t>
  </si>
  <si>
    <t>Bukit Subur, UD</t>
  </si>
  <si>
    <t>Bukit Subur, UD II</t>
  </si>
  <si>
    <t>Cahaya Tani, UD/Muizzi</t>
  </si>
  <si>
    <t>Cahaya Tani/Yuda</t>
  </si>
  <si>
    <t>Cokro Kembang</t>
  </si>
  <si>
    <t>Dana Iel Jaya</t>
  </si>
  <si>
    <t>Fajar Tani/Aman</t>
  </si>
  <si>
    <t>Gota, Toko/Pujiono</t>
  </si>
  <si>
    <t>Jaya Tani/Asfiyak</t>
  </si>
  <si>
    <t>Jaya Tani/Rida</t>
  </si>
  <si>
    <t>Karya Makmur Tani/Pri</t>
  </si>
  <si>
    <t>Kawan Tani/Fathor</t>
  </si>
  <si>
    <t>Kedung Agung, UD</t>
  </si>
  <si>
    <t>Konco Tani/Sukari, H</t>
  </si>
  <si>
    <t>Kusuma Agro</t>
  </si>
  <si>
    <t>Lestari Alam Sari</t>
  </si>
  <si>
    <t>Makmur Tani/ Ni Made Muliati</t>
  </si>
  <si>
    <t>Mega Tani, UD</t>
  </si>
  <si>
    <t>Mega Tani/Gusti Kade Suastika</t>
  </si>
  <si>
    <t>Mekar Jaya Tani/Rudy</t>
  </si>
  <si>
    <t>Mitra Tani/Umi</t>
  </si>
  <si>
    <t>Mulur, UD</t>
  </si>
  <si>
    <t>Pinggan Tani</t>
  </si>
  <si>
    <t>Pratama Tani/Muhammad Zaenal</t>
  </si>
  <si>
    <t>Puma Tani</t>
  </si>
  <si>
    <t>Pusaka Tani/Ashari</t>
  </si>
  <si>
    <t>Rahma Tani/Rahma</t>
  </si>
  <si>
    <t>Rejo Tani/Sutikno</t>
  </si>
  <si>
    <t>Restu Tani/Yasa</t>
  </si>
  <si>
    <t>Rukun Tani/Rojimin</t>
  </si>
  <si>
    <t>Sampang Murni</t>
  </si>
  <si>
    <t>Sarana Tani, UD/Teguh W.</t>
  </si>
  <si>
    <t>Sasa Tani, UD/Azis</t>
  </si>
  <si>
    <t>Sekar Ayu Lestari</t>
  </si>
  <si>
    <t>Sinar Jaya/Hanis</t>
  </si>
  <si>
    <t>Sugesti</t>
  </si>
  <si>
    <t>Sukma Tani</t>
  </si>
  <si>
    <t>Sumber Jaya Tani</t>
  </si>
  <si>
    <t>Sumber Tani/Agung</t>
  </si>
  <si>
    <t>Surya Tani/Pujiono</t>
  </si>
  <si>
    <t>Swechan Widi/I Putu Edy</t>
  </si>
  <si>
    <t>Tani Makmur/Ahmad Sofyan</t>
  </si>
  <si>
    <t>Tani Mandiri, UD/Rizki</t>
  </si>
  <si>
    <t>Tani Subur/Susma</t>
  </si>
  <si>
    <t>Toko 45 Tani</t>
  </si>
  <si>
    <t>Usaha Baru Tani 2/Siti Maryamah</t>
  </si>
  <si>
    <t>Usaha Tani, UD/Sunarto</t>
  </si>
  <si>
    <t>TOTAL</t>
  </si>
  <si>
    <t>&lt; 30</t>
  </si>
  <si>
    <t>Catur Tani Mandiri, UD</t>
  </si>
  <si>
    <t>Sahabat Tani/Nyoman Suirka</t>
  </si>
  <si>
    <t>Satriya Tani/Eva</t>
  </si>
  <si>
    <t>Sri Sindu/I Gede Sukaraditia</t>
  </si>
  <si>
    <t>Sandira Agro Mandiri</t>
  </si>
  <si>
    <t>Putra Tani/I Putu Agus</t>
  </si>
  <si>
    <t>Made, Kios</t>
  </si>
  <si>
    <t>Inti Tani/Hermin</t>
  </si>
  <si>
    <t>Mutiara Tani/Susilo</t>
  </si>
  <si>
    <t>Karya Tani, UD/Raniasa</t>
  </si>
  <si>
    <t>Barokah Jaya Tani/Sabri</t>
  </si>
  <si>
    <t>Kasih Tani/ I Nengah Lardiasa</t>
  </si>
  <si>
    <t>Merte/Coan</t>
  </si>
  <si>
    <t>Djero Bonsai</t>
  </si>
  <si>
    <t>Rekan Tani/Liong Putu</t>
  </si>
  <si>
    <t>Asih Tani Makmur, UD</t>
  </si>
  <si>
    <t>Saechan Tani</t>
  </si>
  <si>
    <t>Rejeki Tani/Sulantrini</t>
  </si>
  <si>
    <t>Lancar Jaya/Junaedi</t>
  </si>
  <si>
    <t>Persada Tani/Munir</t>
  </si>
  <si>
    <t>Widjaya Tani/Widodo</t>
  </si>
  <si>
    <t>Tanjung Tani/Dwi Budi</t>
  </si>
  <si>
    <t>SIMULASI % OD</t>
  </si>
  <si>
    <t xml:space="preserve"> YANG HARUS DITAGIH</t>
  </si>
  <si>
    <t>Target OD Akhir Bulan</t>
  </si>
  <si>
    <t>Prediksi bayar</t>
  </si>
  <si>
    <t>sisa piutang</t>
  </si>
  <si>
    <t>Note</t>
  </si>
  <si>
    <t>Sisa OD</t>
  </si>
  <si>
    <t>diff</t>
  </si>
  <si>
    <t>SC</t>
  </si>
  <si>
    <t>Mulya Tani/Sahrul</t>
  </si>
  <si>
    <t>Sari Pertiwi, UD</t>
  </si>
  <si>
    <t>Kecik, Kios</t>
  </si>
  <si>
    <t>Usaha Tani/Abd. Moehid</t>
  </si>
  <si>
    <t>Tani Sari/I Ketut Gunasih</t>
  </si>
  <si>
    <t>Barokah Tani/Bachrul</t>
  </si>
  <si>
    <t>Salam Group/Abdul</t>
  </si>
  <si>
    <t>Sumber Tani/Ni Ketut</t>
  </si>
  <si>
    <t>Dizka Tani/Yayuk</t>
  </si>
  <si>
    <t>Berkah Abadi Tani/Widodo</t>
  </si>
  <si>
    <t>Bintang Berlian/Hairun</t>
  </si>
  <si>
    <t>Raska, UD</t>
  </si>
  <si>
    <t>Albab Tani/Erwin</t>
  </si>
  <si>
    <t>NN Firman</t>
  </si>
  <si>
    <t>NN Hendarso</t>
  </si>
  <si>
    <t>Grand Total</t>
  </si>
  <si>
    <t>prediksi</t>
  </si>
  <si>
    <t>Simulasi penyelesaian OD &gt; 30</t>
  </si>
  <si>
    <t>Tot. piutang Februari</t>
  </si>
  <si>
    <t>OD30,60,90</t>
  </si>
  <si>
    <t>penyelesaian OD &gt; 30</t>
  </si>
  <si>
    <t>Simulasi OD 30+60</t>
  </si>
  <si>
    <t>Tot.piutang</t>
  </si>
  <si>
    <t>BULAN FEBRUARI 2026</t>
  </si>
  <si>
    <t>T.</t>
  </si>
  <si>
    <t>Tunas Inti 2/Kadek</t>
  </si>
  <si>
    <t>Sumber Tani/Agus Widjaja</t>
  </si>
  <si>
    <t>Payung Agung</t>
  </si>
  <si>
    <t>Berkah Tani/Luluk</t>
  </si>
  <si>
    <t>Setia Agro Jaya</t>
  </si>
  <si>
    <t>Tenggulun Tani</t>
  </si>
  <si>
    <t>Jaya Bersama/Samad</t>
  </si>
  <si>
    <t>Sumber Mulya/Musli</t>
  </si>
  <si>
    <t>Gria Tani/Agus</t>
  </si>
  <si>
    <t>Bumi Lestari, UD</t>
  </si>
  <si>
    <t>Pratama, UD/Rozi</t>
  </si>
  <si>
    <t>Sahala/Syaiful</t>
  </si>
  <si>
    <t>Hikmah Agung Tuban, CV</t>
  </si>
  <si>
    <t>Sumber Tani Makmur, UD/Suyitno, H</t>
  </si>
  <si>
    <t>max 200 jt/minggu</t>
  </si>
  <si>
    <t xml:space="preserve">inysAllah bisa rata" </t>
  </si>
  <si>
    <t>Lanta Bura</t>
  </si>
  <si>
    <t>ke sc, bayar kalau dikasih barang</t>
  </si>
  <si>
    <t>Mohan Putra Mandiri</t>
  </si>
  <si>
    <t>tagih ke mba evi</t>
  </si>
  <si>
    <t>Sumber Tani/Widi, H II</t>
  </si>
  <si>
    <t>Budi Karya Tani</t>
  </si>
  <si>
    <t>Unggul Jaya/Sholekun</t>
  </si>
  <si>
    <t>Tani Makmur/Syain</t>
  </si>
  <si>
    <t>Bunga Bertani, UD</t>
  </si>
  <si>
    <t>Balen Rejo</t>
  </si>
  <si>
    <t>per minggu 15-20 jt</t>
  </si>
  <si>
    <t>Sumber Tani/Kudhori</t>
  </si>
  <si>
    <t>Asia Agro/Yudi</t>
  </si>
  <si>
    <t>per minggu 10-15 jt</t>
  </si>
  <si>
    <t>Maju Jaya/Azwar</t>
  </si>
  <si>
    <t>Tani Mulyo Lestari/Puguh</t>
  </si>
  <si>
    <t>kendala barang tagih ke petugas</t>
  </si>
  <si>
    <t>Sumber Tani, UD/Basuni</t>
  </si>
  <si>
    <t>Tagih ke sc</t>
  </si>
  <si>
    <t>Kampung Tani/Aguk</t>
  </si>
  <si>
    <t>Rio Tani/Trio</t>
  </si>
  <si>
    <t>ke pak tomi</t>
  </si>
  <si>
    <t>Rizki Barokah</t>
  </si>
  <si>
    <t>Abdi Tani/Yuswito</t>
  </si>
  <si>
    <t>Eko Tani/Eko</t>
  </si>
  <si>
    <t>Tani Jaya/Erna</t>
  </si>
  <si>
    <t>Sumber Tani/Sugeng</t>
  </si>
  <si>
    <t>Rika Tani/Gimun</t>
  </si>
  <si>
    <t>kendala barang (mba reni)</t>
  </si>
  <si>
    <t>Barokah Raya/Mito</t>
  </si>
  <si>
    <t>Berkah Izzam/Adif</t>
  </si>
  <si>
    <t>Nayunda/Edi</t>
  </si>
  <si>
    <t>Duta Buah Putra/Furkon</t>
  </si>
  <si>
    <t>bayar tiap senin</t>
  </si>
  <si>
    <t>Saka Tani/Marsilah</t>
  </si>
  <si>
    <t>Karya Tani Makmur/Irwanto</t>
  </si>
  <si>
    <t>Berkah Tani/Joko</t>
  </si>
  <si>
    <t>Berkat Tani/Benny</t>
  </si>
  <si>
    <t>Tulus Ayu</t>
  </si>
  <si>
    <t>kekurangan after retur</t>
  </si>
  <si>
    <t>Sumber Mulya/Eko</t>
  </si>
  <si>
    <t>Harian Jaya</t>
  </si>
  <si>
    <t>Biso Tani/Supriadi</t>
  </si>
  <si>
    <t>Sri Rejeki/Martoyo</t>
  </si>
  <si>
    <t>Agro Makmur/Gamiran</t>
  </si>
  <si>
    <t>Mitra Tani/Hanto</t>
  </si>
  <si>
    <t>Putra Jaya/Sholeh</t>
  </si>
  <si>
    <t>Konco Tani/Ali Z</t>
  </si>
  <si>
    <t>Hari Tani, UD/Amin</t>
  </si>
  <si>
    <t>Tani Makmur/Priyono</t>
  </si>
  <si>
    <t>Karya Tani/Ari Miru</t>
  </si>
  <si>
    <t>Bakoel Tani/Dayen</t>
  </si>
  <si>
    <t>Agro Mandiri/Nurlaela</t>
  </si>
  <si>
    <t>kios sepi</t>
  </si>
  <si>
    <t>Barokah Tani Makmur, Toko/Nurul</t>
  </si>
  <si>
    <t>Pertanian Yuliana/Tumiran</t>
  </si>
  <si>
    <t>Sumber Waras/Celinda</t>
  </si>
  <si>
    <t>Sumber Agung/Sutikno</t>
  </si>
  <si>
    <t>Arkha Jaya Makmur/Atma</t>
  </si>
  <si>
    <t>Rejo Tani/Sulami</t>
  </si>
  <si>
    <t>Tani Jaya/Irawan</t>
  </si>
  <si>
    <t>Petroka Tani</t>
  </si>
  <si>
    <t>Roda Tani/Srinarsih</t>
  </si>
  <si>
    <t>akhir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</si>
</sst>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[$-409]d\-mmm\-yy;@"/>
  </numFmts>
  <fonts count="8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Arial Unicode MS"/>
      <family val="2"/>
    </font>
    <font>
      <b/>
      <sz val="8"/>
      <color theme="1"/>
      <name val="Arial Unicode MS"/>
      <family val="2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10"/>
      <color theme="1"/>
      <name val="Calibri"/>
      <family val="2"/>
      <scheme val="minor"/>
    </font>
    <font>
      <b/>
      <sz val="7"/>
      <color theme="1"/>
      <name val="Arial Unicode MS"/>
      <family val="2"/>
    </font>
    <font>
      <sz val="9"/>
      <name val="Arial Unicode MS"/>
      <family val="2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  <font>
      <sz val="9"/>
      <color theme="0"/>
      <name val="Arial Unicode MS"/>
      <family val="2"/>
    </font>
    <font>
      <b/>
      <sz val="12"/>
      <color theme="1"/>
      <name val="Lao UI"/>
      <family val="2"/>
    </font>
    <font>
      <b/>
      <sz val="10"/>
      <color rgb="FF000099"/>
      <name val="Lao UI"/>
      <family val="2"/>
    </font>
    <font>
      <sz val="8"/>
      <color theme="1"/>
      <name val="Lao UI"/>
      <family val="2"/>
    </font>
    <font>
      <b/>
      <sz val="8"/>
      <color theme="1"/>
      <name val="Lao UI"/>
      <family val="2"/>
    </font>
    <font>
      <b/>
      <sz val="8"/>
      <name val="Lao UI"/>
      <family val="2"/>
    </font>
    <font>
      <sz val="8"/>
      <name val="Lao UI"/>
      <family val="2"/>
    </font>
    <font>
      <b/>
      <sz val="10"/>
      <color theme="1"/>
      <name val="Lao UI"/>
      <family val="2"/>
    </font>
    <font>
      <sz val="8.5"/>
      <name val="Arial"/>
      <family val="2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b/>
      <sz val="8.5"/>
      <name val="Arial"/>
      <family val="2"/>
    </font>
    <font>
      <sz val="8.5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b/>
      <sz val="14"/>
      <color indexed="8"/>
      <name val="Arial"/>
      <family val="2"/>
    </font>
    <font>
      <b/>
      <sz val="8"/>
      <color indexed="8"/>
      <name val="Tahoma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b/>
      <sz val="11"/>
      <color rgb="FFFF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B1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18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8" fillId="0" borderId="0"/>
    <xf numFmtId="0" fontId="15" fillId="0" borderId="0"/>
    <xf numFmtId="0" fontId="15" fillId="0" borderId="0"/>
    <xf numFmtId="0" fontId="19" fillId="0" borderId="0"/>
    <xf numFmtId="0" fontId="18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39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8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6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right" vertical="top"/>
    </xf>
    <xf numFmtId="0" fontId="24" fillId="0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right" vertical="center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20" fillId="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24" fillId="0" borderId="0">
      <alignment horizontal="right" vertical="top"/>
    </xf>
    <xf numFmtId="0" fontId="34" fillId="0" borderId="0">
      <alignment horizontal="left" vertical="top"/>
    </xf>
    <xf numFmtId="0" fontId="17" fillId="40" borderId="0">
      <alignment horizontal="left" vertical="top"/>
    </xf>
    <xf numFmtId="0" fontId="30" fillId="0" borderId="0">
      <alignment horizontal="left" vertical="top"/>
    </xf>
    <xf numFmtId="0" fontId="31" fillId="0" borderId="0">
      <alignment horizontal="left" vertical="top"/>
    </xf>
    <xf numFmtId="0" fontId="30" fillId="0" borderId="0">
      <alignment horizontal="right" vertical="top"/>
    </xf>
    <xf numFmtId="0" fontId="20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31" fillId="40" borderId="0">
      <alignment horizontal="right" vertical="top"/>
    </xf>
    <xf numFmtId="0" fontId="17" fillId="40" borderId="0">
      <alignment horizontal="left" vertical="top"/>
    </xf>
    <xf numFmtId="0" fontId="31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right" vertical="top"/>
    </xf>
    <xf numFmtId="0" fontId="28" fillId="0" borderId="0">
      <alignment horizontal="left" vertical="top"/>
    </xf>
    <xf numFmtId="0" fontId="20" fillId="0" borderId="0">
      <alignment horizontal="left" vertical="top"/>
    </xf>
    <xf numFmtId="0" fontId="2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31" fillId="0" borderId="0">
      <alignment horizontal="left" vertical="top"/>
    </xf>
    <xf numFmtId="0" fontId="31" fillId="0" borderId="0">
      <alignment horizontal="right" vertical="top"/>
    </xf>
    <xf numFmtId="0" fontId="17" fillId="0" borderId="0">
      <alignment horizontal="right" vertical="top"/>
    </xf>
    <xf numFmtId="0" fontId="30" fillId="0" borderId="0">
      <alignment horizontal="righ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0" fontId="35" fillId="0" borderId="0">
      <alignment horizontal="right" vertical="center"/>
    </xf>
    <xf numFmtId="0" fontId="34" fillId="0" borderId="0">
      <alignment horizontal="left" vertical="top"/>
    </xf>
    <xf numFmtId="0" fontId="36" fillId="39" borderId="0">
      <alignment horizontal="left" vertical="top"/>
    </xf>
    <xf numFmtId="0" fontId="17" fillId="0" borderId="0">
      <alignment horizontal="left" vertical="top"/>
    </xf>
    <xf numFmtId="0" fontId="36" fillId="39" borderId="0">
      <alignment horizontal="left" vertical="top"/>
    </xf>
    <xf numFmtId="0" fontId="31" fillId="0" borderId="0">
      <alignment horizontal="left" vertical="top"/>
    </xf>
    <xf numFmtId="0" fontId="17" fillId="0" borderId="0">
      <alignment horizontal="left" vertical="top"/>
    </xf>
    <xf numFmtId="0" fontId="30" fillId="0" borderId="0">
      <alignment horizontal="right" vertical="top"/>
    </xf>
    <xf numFmtId="0" fontId="37" fillId="0" borderId="0">
      <alignment horizontal="left" vertical="top"/>
    </xf>
    <xf numFmtId="0" fontId="20" fillId="0" borderId="0">
      <alignment horizontal="right" vertical="top"/>
    </xf>
    <xf numFmtId="0" fontId="34" fillId="0" borderId="0">
      <alignment horizontal="left" vertical="center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17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35" fillId="0" borderId="0">
      <alignment horizontal="right" vertical="top"/>
    </xf>
    <xf numFmtId="0" fontId="38" fillId="0" borderId="0">
      <alignment horizontal="left" vertical="top"/>
    </xf>
    <xf numFmtId="0" fontId="20" fillId="0" borderId="0">
      <alignment horizontal="left" vertical="top"/>
    </xf>
    <xf numFmtId="0" fontId="35" fillId="0" borderId="0">
      <alignment horizontal="left" vertical="top"/>
    </xf>
    <xf numFmtId="0" fontId="35" fillId="0" borderId="0">
      <alignment horizontal="right" vertical="center"/>
    </xf>
    <xf numFmtId="0" fontId="35" fillId="42" borderId="0">
      <alignment horizontal="left" vertical="center"/>
    </xf>
    <xf numFmtId="0" fontId="35" fillId="42" borderId="0">
      <alignment horizontal="right" vertical="center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39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center" vertical="top"/>
    </xf>
    <xf numFmtId="0" fontId="17" fillId="0" borderId="0">
      <alignment horizontal="center" vertical="top"/>
    </xf>
    <xf numFmtId="0" fontId="17" fillId="0" borderId="0">
      <alignment horizontal="left" vertical="top"/>
    </xf>
    <xf numFmtId="0" fontId="40" fillId="0" borderId="0">
      <alignment horizontal="left" vertical="top"/>
    </xf>
    <xf numFmtId="0" fontId="41" fillId="0" borderId="0">
      <alignment horizontal="left" vertical="top"/>
    </xf>
    <xf numFmtId="0" fontId="17" fillId="40" borderId="0">
      <alignment horizontal="center" vertical="top"/>
    </xf>
    <xf numFmtId="0" fontId="20" fillId="0" borderId="0">
      <alignment horizontal="right" vertical="top"/>
    </xf>
    <xf numFmtId="0" fontId="20" fillId="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42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left" vertical="top"/>
    </xf>
    <xf numFmtId="0" fontId="27" fillId="41" borderId="0">
      <alignment horizontal="right" vertical="top"/>
    </xf>
    <xf numFmtId="0" fontId="34" fillId="41" borderId="0">
      <alignment horizontal="left" vertical="top"/>
    </xf>
    <xf numFmtId="0" fontId="35" fillId="42" borderId="0">
      <alignment horizontal="right" vertical="center"/>
    </xf>
    <xf numFmtId="0" fontId="38" fillId="42" borderId="0">
      <alignment horizontal="left" vertical="top"/>
    </xf>
    <xf numFmtId="0" fontId="43" fillId="0" borderId="0">
      <alignment horizontal="center" vertical="top"/>
    </xf>
    <xf numFmtId="0" fontId="43" fillId="0" borderId="0">
      <alignment horizontal="center" vertical="top"/>
    </xf>
    <xf numFmtId="0" fontId="44" fillId="40" borderId="0">
      <alignment horizontal="center" vertical="top"/>
    </xf>
    <xf numFmtId="0" fontId="17" fillId="40" borderId="0">
      <alignment horizontal="left" vertical="top"/>
    </xf>
    <xf numFmtId="0" fontId="41" fillId="40" borderId="0">
      <alignment horizontal="center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17" fillId="40" borderId="0">
      <alignment horizontal="left" vertical="top"/>
    </xf>
    <xf numFmtId="0" fontId="46" fillId="0" borderId="0">
      <alignment horizontal="center" vertical="top"/>
    </xf>
    <xf numFmtId="0" fontId="38" fillId="42" borderId="0">
      <alignment horizontal="left" vertical="top"/>
    </xf>
    <xf numFmtId="0" fontId="38" fillId="0" borderId="0">
      <alignment horizontal="left" vertical="top"/>
    </xf>
    <xf numFmtId="0" fontId="38" fillId="41" borderId="0">
      <alignment horizontal="left" vertical="top"/>
    </xf>
    <xf numFmtId="0" fontId="38" fillId="41" borderId="0">
      <alignment horizontal="left" vertical="top"/>
    </xf>
    <xf numFmtId="0" fontId="38" fillId="0" borderId="0">
      <alignment horizontal="left" vertical="top"/>
    </xf>
    <xf numFmtId="0" fontId="38" fillId="42" borderId="0">
      <alignment horizontal="left" vertical="top"/>
    </xf>
    <xf numFmtId="0" fontId="38" fillId="42" borderId="0">
      <alignment horizontal="left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38" fillId="0" borderId="0">
      <alignment horizontal="left" vertical="top"/>
    </xf>
    <xf numFmtId="0" fontId="17" fillId="40" borderId="0">
      <alignment horizontal="left" vertical="top"/>
    </xf>
    <xf numFmtId="0" fontId="25" fillId="0" borderId="0">
      <alignment horizontal="center" vertical="top"/>
    </xf>
    <xf numFmtId="0" fontId="48" fillId="0" borderId="0">
      <alignment horizontal="center" vertical="top"/>
    </xf>
    <xf numFmtId="0" fontId="48" fillId="0" borderId="0">
      <alignment horizontal="center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49" fillId="40" borderId="0">
      <alignment horizontal="center" vertical="top"/>
    </xf>
    <xf numFmtId="0" fontId="17" fillId="40" borderId="0">
      <alignment horizontal="left" vertical="top"/>
    </xf>
    <xf numFmtId="0" fontId="50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left" vertical="top"/>
    </xf>
    <xf numFmtId="0" fontId="17" fillId="40" borderId="0">
      <alignment horizontal="left" vertical="top"/>
    </xf>
    <xf numFmtId="0" fontId="33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top"/>
    </xf>
    <xf numFmtId="0" fontId="51" fillId="0" borderId="0">
      <alignment horizontal="center" vertical="top"/>
    </xf>
    <xf numFmtId="0" fontId="17" fillId="40" borderId="0">
      <alignment horizontal="left" vertical="top"/>
    </xf>
    <xf numFmtId="0" fontId="41" fillId="0" borderId="0">
      <alignment horizontal="center" vertical="top"/>
    </xf>
    <xf numFmtId="0" fontId="29" fillId="4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31" fillId="40" borderId="0">
      <alignment horizontal="left" vertical="center"/>
    </xf>
    <xf numFmtId="0" fontId="17" fillId="40" borderId="0">
      <alignment horizontal="left" vertical="top"/>
    </xf>
    <xf numFmtId="0" fontId="51" fillId="0" borderId="0">
      <alignment horizontal="center" vertical="top"/>
    </xf>
    <xf numFmtId="0" fontId="50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1" fillId="0" borderId="0">
      <alignment horizontal="left" vertical="top"/>
    </xf>
    <xf numFmtId="0" fontId="35" fillId="0" borderId="0">
      <alignment horizontal="left" vertical="center"/>
    </xf>
    <xf numFmtId="0" fontId="24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right" vertical="top"/>
    </xf>
    <xf numFmtId="0" fontId="1" fillId="0" borderId="0">
      <alignment horizontal="right" vertical="top"/>
    </xf>
    <xf numFmtId="0" fontId="29" fillId="0" borderId="0">
      <alignment horizontal="left" vertical="top"/>
    </xf>
    <xf numFmtId="0" fontId="17" fillId="40" borderId="0">
      <alignment horizontal="right" vertical="top"/>
    </xf>
    <xf numFmtId="0" fontId="31" fillId="0" borderId="0">
      <alignment horizontal="left" vertical="top"/>
    </xf>
    <xf numFmtId="0" fontId="31" fillId="0" borderId="0">
      <alignment horizontal="center" vertical="center"/>
    </xf>
    <xf numFmtId="0" fontId="35" fillId="0" borderId="0">
      <alignment horizontal="left" vertical="center"/>
    </xf>
    <xf numFmtId="0" fontId="29" fillId="0" borderId="0">
      <alignment horizontal="right" vertical="top"/>
    </xf>
    <xf numFmtId="0" fontId="29" fillId="0" borderId="0">
      <alignment horizontal="right" vertical="top"/>
    </xf>
    <xf numFmtId="0" fontId="38" fillId="42" borderId="0">
      <alignment horizontal="left" vertical="top"/>
    </xf>
    <xf numFmtId="0" fontId="53" fillId="40" borderId="0">
      <alignment horizontal="left" vertical="top"/>
    </xf>
    <xf numFmtId="0" fontId="17" fillId="40" borderId="0">
      <alignment horizontal="right" vertical="top"/>
    </xf>
    <xf numFmtId="0" fontId="32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0" borderId="0">
      <alignment horizontal="left" vertical="top"/>
    </xf>
    <xf numFmtId="0" fontId="17" fillId="0" borderId="0">
      <alignment horizontal="right" vertical="top"/>
    </xf>
    <xf numFmtId="0" fontId="35" fillId="0" borderId="0">
      <alignment horizontal="right" vertical="center"/>
    </xf>
    <xf numFmtId="0" fontId="1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17" fillId="4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left" vertical="center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29" fillId="0" borderId="0">
      <alignment horizontal="left" vertical="top"/>
    </xf>
    <xf numFmtId="0" fontId="54" fillId="0" borderId="0">
      <alignment horizontal="left" vertical="top"/>
    </xf>
    <xf numFmtId="0" fontId="35" fillId="0" borderId="0">
      <alignment horizontal="left" vertical="center"/>
    </xf>
    <xf numFmtId="0" fontId="55" fillId="4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righ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32" fillId="0" borderId="0">
      <alignment horizontal="left" vertical="center"/>
    </xf>
    <xf numFmtId="0" fontId="35" fillId="0" borderId="0">
      <alignment horizontal="right" vertical="center"/>
    </xf>
    <xf numFmtId="0" fontId="35" fillId="0" borderId="0">
      <alignment horizontal="right" vertical="center"/>
    </xf>
    <xf numFmtId="0" fontId="53" fillId="40" borderId="0">
      <alignment horizontal="left" vertical="top"/>
    </xf>
    <xf numFmtId="0" fontId="17" fillId="40" borderId="0">
      <alignment horizontal="left" vertical="top"/>
    </xf>
    <xf numFmtId="0" fontId="20" fillId="40" borderId="0">
      <alignment horizontal="right" vertical="top"/>
    </xf>
    <xf numFmtId="0" fontId="17" fillId="40" borderId="0">
      <alignment horizontal="left" vertical="top"/>
    </xf>
    <xf numFmtId="0" fontId="29" fillId="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29" fillId="40" borderId="0">
      <alignment horizontal="lef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0" fontId="45" fillId="0" borderId="0">
      <alignment horizontal="left" vertical="top"/>
    </xf>
    <xf numFmtId="0" fontId="29" fillId="0" borderId="0">
      <alignment horizontal="left" vertical="top"/>
    </xf>
    <xf numFmtId="0" fontId="17" fillId="40" borderId="0">
      <alignment horizontal="left" vertical="top"/>
    </xf>
    <xf numFmtId="0" fontId="31" fillId="0" borderId="0">
      <alignment horizontal="right" vertical="top"/>
    </xf>
    <xf numFmtId="0" fontId="27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left" vertical="top"/>
    </xf>
    <xf numFmtId="0" fontId="30" fillId="0" borderId="0">
      <alignment horizontal="left" vertical="top"/>
    </xf>
    <xf numFmtId="0" fontId="17" fillId="40" borderId="0">
      <alignment horizontal="right" vertical="top"/>
    </xf>
    <xf numFmtId="0" fontId="20" fillId="0" borderId="0">
      <alignment horizontal="left" vertical="top"/>
    </xf>
    <xf numFmtId="0" fontId="32" fillId="0" borderId="0">
      <alignment horizontal="center" vertical="center"/>
    </xf>
    <xf numFmtId="0" fontId="27" fillId="0" borderId="0">
      <alignment horizontal="left" vertical="top"/>
    </xf>
    <xf numFmtId="0" fontId="38" fillId="0" borderId="0">
      <alignment horizontal="left" vertical="top"/>
    </xf>
    <xf numFmtId="0" fontId="53" fillId="40" borderId="0">
      <alignment horizontal="right" vertical="top"/>
    </xf>
    <xf numFmtId="0" fontId="17" fillId="40" borderId="0">
      <alignment horizontal="right" vertical="top"/>
    </xf>
    <xf numFmtId="0" fontId="29" fillId="40" borderId="0">
      <alignment horizontal="right" vertical="top"/>
    </xf>
    <xf numFmtId="0" fontId="17" fillId="40" borderId="0">
      <alignment horizontal="lef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right" vertical="top"/>
    </xf>
    <xf numFmtId="0" fontId="17" fillId="40" borderId="0">
      <alignment horizontal="left" vertical="top"/>
    </xf>
    <xf numFmtId="0" fontId="17" fillId="0" borderId="0">
      <alignment horizontal="left" vertical="top"/>
    </xf>
    <xf numFmtId="0" fontId="24" fillId="0" borderId="0">
      <alignment horizontal="left" vertical="top"/>
    </xf>
    <xf numFmtId="9" fontId="1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166" fontId="1" fillId="0" borderId="0"/>
    <xf numFmtId="166" fontId="1" fillId="0" borderId="0"/>
    <xf numFmtId="0" fontId="75" fillId="0" borderId="0">
      <alignment horizontal="right" vertical="top"/>
    </xf>
    <xf numFmtId="0" fontId="76" fillId="0" borderId="0">
      <alignment horizontal="left" vertical="top"/>
    </xf>
    <xf numFmtId="0" fontId="75" fillId="0" borderId="0">
      <alignment horizontal="left" vertical="top"/>
    </xf>
    <xf numFmtId="0" fontId="77" fillId="0" borderId="0">
      <alignment horizontal="left" vertical="top"/>
    </xf>
    <xf numFmtId="0" fontId="20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0" fillId="0" borderId="0">
      <alignment horizontal="right" vertical="top"/>
    </xf>
    <xf numFmtId="0" fontId="27" fillId="0" borderId="0">
      <alignment horizontal="right" vertical="top"/>
    </xf>
    <xf numFmtId="166" fontId="20" fillId="0" borderId="0">
      <alignment horizontal="right" vertical="top"/>
    </xf>
    <xf numFmtId="0" fontId="23" fillId="0" borderId="0">
      <alignment horizontal="right" vertical="top"/>
    </xf>
    <xf numFmtId="0" fontId="29" fillId="0" borderId="0">
      <alignment horizontal="left" vertical="top"/>
    </xf>
    <xf numFmtId="166" fontId="20" fillId="0" borderId="0">
      <alignment horizontal="right" vertical="top"/>
    </xf>
    <xf numFmtId="0" fontId="27" fillId="0" borderId="0">
      <alignment horizontal="left" vertical="top"/>
    </xf>
    <xf numFmtId="0" fontId="23" fillId="0" borderId="0">
      <alignment horizontal="right" vertical="top"/>
    </xf>
    <xf numFmtId="0" fontId="32" fillId="0" borderId="0">
      <alignment horizontal="left" vertical="center"/>
    </xf>
    <xf numFmtId="0" fontId="20" fillId="0" borderId="0">
      <alignment horizontal="left" vertical="top"/>
    </xf>
    <xf numFmtId="166" fontId="20" fillId="0" borderId="0">
      <alignment horizontal="left" vertical="top"/>
    </xf>
    <xf numFmtId="0" fontId="29" fillId="0" borderId="0">
      <alignment horizontal="left" vertical="top"/>
    </xf>
    <xf numFmtId="0" fontId="27" fillId="0" borderId="0">
      <alignment horizontal="right" vertical="top"/>
    </xf>
    <xf numFmtId="0" fontId="31" fillId="0" borderId="0">
      <alignment horizontal="right" vertical="top"/>
    </xf>
    <xf numFmtId="0" fontId="23" fillId="0" borderId="0">
      <alignment horizontal="left" vertical="top"/>
    </xf>
    <xf numFmtId="166" fontId="29" fillId="0" borderId="0">
      <alignment horizontal="left" vertical="top"/>
    </xf>
    <xf numFmtId="0" fontId="75" fillId="0" borderId="0">
      <alignment horizontal="left" vertical="top"/>
    </xf>
    <xf numFmtId="0" fontId="32" fillId="0" borderId="0">
      <alignment horizontal="center" vertical="center"/>
    </xf>
    <xf numFmtId="0" fontId="29" fillId="0" borderId="0">
      <alignment horizontal="left" vertical="top"/>
    </xf>
    <xf numFmtId="0" fontId="31" fillId="0" borderId="0">
      <alignment horizontal="right" vertical="top"/>
    </xf>
    <xf numFmtId="0" fontId="32" fillId="0" borderId="0">
      <alignment horizontal="left" vertical="center"/>
    </xf>
    <xf numFmtId="0" fontId="52" fillId="0" borderId="0">
      <alignment horizontal="left" vertical="top"/>
    </xf>
    <xf numFmtId="0" fontId="29" fillId="0" borderId="0">
      <alignment horizontal="left" vertical="top"/>
    </xf>
    <xf numFmtId="0" fontId="35" fillId="0" borderId="0">
      <alignment horizontal="left" vertical="top"/>
    </xf>
    <xf numFmtId="0" fontId="20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center" vertical="center"/>
    </xf>
    <xf numFmtId="166" fontId="20" fillId="0" borderId="0">
      <alignment horizontal="left" vertical="top"/>
    </xf>
    <xf numFmtId="0" fontId="23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lef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28" fillId="0" borderId="0">
      <alignment horizontal="left" vertical="top"/>
    </xf>
    <xf numFmtId="0" fontId="31" fillId="0" borderId="0">
      <alignment horizontal="right" vertical="top"/>
    </xf>
    <xf numFmtId="166" fontId="31" fillId="0" borderId="0">
      <alignment horizontal="right" vertical="top"/>
    </xf>
    <xf numFmtId="0" fontId="36" fillId="0" borderId="0">
      <alignment horizontal="right" vertical="top"/>
    </xf>
    <xf numFmtId="0" fontId="31" fillId="0" borderId="0">
      <alignment horizontal="left" vertical="top"/>
    </xf>
    <xf numFmtId="0" fontId="20" fillId="0" borderId="0">
      <alignment horizontal="left" vertical="top"/>
    </xf>
    <xf numFmtId="166" fontId="31" fillId="0" borderId="0">
      <alignment horizontal="left" vertical="top"/>
    </xf>
    <xf numFmtId="0" fontId="36" fillId="0" borderId="0">
      <alignment horizontal="left" vertical="top"/>
    </xf>
    <xf numFmtId="0" fontId="75" fillId="0" borderId="0">
      <alignment horizontal="left" vertical="top"/>
    </xf>
    <xf numFmtId="0" fontId="47" fillId="0" borderId="0">
      <alignment horizontal="left" vertical="top"/>
    </xf>
    <xf numFmtId="166" fontId="45" fillId="0" borderId="0">
      <alignment horizontal="left" vertical="top"/>
    </xf>
    <xf numFmtId="0" fontId="78" fillId="0" borderId="0">
      <alignment horizontal="left" vertical="top"/>
    </xf>
    <xf numFmtId="0" fontId="25" fillId="0" borderId="0">
      <alignment horizontal="left" vertical="top"/>
    </xf>
    <xf numFmtId="166" fontId="29" fillId="0" borderId="0">
      <alignment horizontal="right" vertical="top"/>
    </xf>
    <xf numFmtId="0" fontId="29" fillId="0" borderId="0">
      <alignment horizontal="left" vertical="top"/>
    </xf>
    <xf numFmtId="0" fontId="52" fillId="0" borderId="0">
      <alignment horizontal="right" vertical="top"/>
    </xf>
    <xf numFmtId="0" fontId="20" fillId="0" borderId="0">
      <alignment horizontal="right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79" fillId="0" borderId="0">
      <alignment horizontal="center" vertical="top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80" fillId="0" borderId="0">
      <alignment horizontal="left" vertical="top"/>
    </xf>
    <xf numFmtId="166" fontId="29" fillId="0" borderId="0">
      <alignment horizontal="right" vertical="top"/>
    </xf>
    <xf numFmtId="0" fontId="52" fillId="0" borderId="0">
      <alignment horizontal="right" vertical="top"/>
    </xf>
    <xf numFmtId="0" fontId="35" fillId="0" borderId="0">
      <alignment horizontal="left" vertical="top"/>
    </xf>
    <xf numFmtId="0" fontId="32" fillId="0" borderId="0">
      <alignment horizontal="right" vertical="center"/>
    </xf>
    <xf numFmtId="166" fontId="29" fillId="0" borderId="0">
      <alignment horizontal="left" vertical="top"/>
    </xf>
    <xf numFmtId="0" fontId="52" fillId="0" borderId="0">
      <alignment horizontal="left" vertical="top"/>
    </xf>
    <xf numFmtId="0" fontId="35" fillId="0" borderId="0">
      <alignment horizontal="right" vertical="top"/>
    </xf>
    <xf numFmtId="0" fontId="29" fillId="0" borderId="0">
      <alignment horizontal="right" vertical="top"/>
    </xf>
    <xf numFmtId="166" fontId="20" fillId="0" borderId="0">
      <alignment horizontal="left" vertical="top"/>
    </xf>
    <xf numFmtId="0" fontId="23" fillId="0" borderId="0">
      <alignment horizontal="left" vertical="top"/>
    </xf>
  </cellStyleXfs>
  <cellXfs count="138">
    <xf numFmtId="0" fontId="0" fillId="0" borderId="0" xfId="0"/>
    <xf numFmtId="0" fontId="6" fillId="16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6" fillId="18" borderId="2" xfId="0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 wrapText="1"/>
    </xf>
    <xf numFmtId="0" fontId="8" fillId="21" borderId="2" xfId="0" applyFont="1" applyFill="1" applyBorder="1" applyAlignment="1">
      <alignment horizontal="center" vertical="center" wrapText="1"/>
    </xf>
    <xf numFmtId="0" fontId="9" fillId="23" borderId="2" xfId="0" applyFont="1" applyFill="1" applyBorder="1" applyAlignment="1">
      <alignment horizontal="center" vertical="center"/>
    </xf>
    <xf numFmtId="0" fontId="9" fillId="24" borderId="2" xfId="0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center" vertical="center" wrapText="1"/>
    </xf>
    <xf numFmtId="0" fontId="10" fillId="27" borderId="2" xfId="0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0" fontId="6" fillId="29" borderId="2" xfId="0" applyNumberFormat="1" applyFont="1" applyFill="1" applyBorder="1" applyAlignment="1">
      <alignment horizontal="center" vertical="center" wrapText="1"/>
    </xf>
    <xf numFmtId="0" fontId="8" fillId="3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left" vertical="center" indent="1"/>
    </xf>
    <xf numFmtId="43" fontId="11" fillId="0" borderId="2" xfId="3" applyFont="1" applyFill="1" applyBorder="1" applyAlignment="1">
      <alignment vertical="center"/>
    </xf>
    <xf numFmtId="10" fontId="11" fillId="0" borderId="2" xfId="3" applyNumberFormat="1" applyFont="1" applyFill="1" applyBorder="1" applyAlignment="1">
      <alignment horizontal="center" vertical="center"/>
    </xf>
    <xf numFmtId="10" fontId="11" fillId="0" borderId="2" xfId="2" applyNumberFormat="1" applyFont="1" applyFill="1" applyBorder="1" applyAlignment="1">
      <alignment horizontal="center" vertical="center"/>
    </xf>
    <xf numFmtId="0" fontId="11" fillId="25" borderId="2" xfId="2" applyNumberFormat="1" applyFont="1" applyFill="1" applyBorder="1" applyAlignment="1">
      <alignment horizontal="center" vertical="center"/>
    </xf>
    <xf numFmtId="0" fontId="11" fillId="0" borderId="2" xfId="2" applyNumberFormat="1" applyFont="1" applyFill="1" applyBorder="1" applyAlignment="1">
      <alignment horizontal="center" vertical="center"/>
    </xf>
    <xf numFmtId="41" fontId="14" fillId="31" borderId="2" xfId="0" applyNumberFormat="1" applyFont="1" applyFill="1" applyBorder="1" applyAlignment="1">
      <alignment horizontal="center" vertical="center"/>
    </xf>
    <xf numFmtId="41" fontId="13" fillId="35" borderId="2" xfId="0" applyNumberFormat="1" applyFont="1" applyFill="1" applyBorder="1" applyAlignment="1">
      <alignment horizontal="center" vertical="center"/>
    </xf>
    <xf numFmtId="0" fontId="13" fillId="36" borderId="2" xfId="0" applyFont="1" applyFill="1" applyBorder="1" applyAlignment="1">
      <alignment horizontal="center" vertical="center"/>
    </xf>
    <xf numFmtId="41" fontId="13" fillId="24" borderId="2" xfId="0" applyNumberFormat="1" applyFont="1" applyFill="1" applyBorder="1" applyAlignment="1">
      <alignment horizontal="center" vertical="center"/>
    </xf>
    <xf numFmtId="41" fontId="13" fillId="23" borderId="2" xfId="0" applyNumberFormat="1" applyFont="1" applyFill="1" applyBorder="1" applyAlignment="1">
      <alignment horizontal="center" vertical="center"/>
    </xf>
    <xf numFmtId="41" fontId="13" fillId="37" borderId="2" xfId="0" applyNumberFormat="1" applyFont="1" applyFill="1" applyBorder="1" applyAlignment="1">
      <alignment horizontal="center" vertical="center" wrapText="1"/>
    </xf>
    <xf numFmtId="41" fontId="13" fillId="37" borderId="2" xfId="0" applyNumberFormat="1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left" vertical="center" indent="1"/>
    </xf>
    <xf numFmtId="10" fontId="13" fillId="0" borderId="2" xfId="2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vertical="center"/>
    </xf>
    <xf numFmtId="43" fontId="13" fillId="0" borderId="8" xfId="3" applyFont="1" applyFill="1" applyBorder="1" applyAlignment="1">
      <alignment vertical="center"/>
    </xf>
    <xf numFmtId="0" fontId="13" fillId="0" borderId="8" xfId="3" applyNumberFormat="1" applyFont="1" applyFill="1" applyBorder="1" applyAlignment="1">
      <alignment horizontal="center" vertical="center"/>
    </xf>
    <xf numFmtId="10" fontId="56" fillId="38" borderId="2" xfId="3" applyNumberFormat="1" applyFont="1" applyFill="1" applyBorder="1" applyAlignment="1">
      <alignment horizontal="center" vertical="center"/>
    </xf>
    <xf numFmtId="10" fontId="56" fillId="38" borderId="2" xfId="2" applyNumberFormat="1" applyFont="1" applyFill="1" applyBorder="1" applyAlignment="1">
      <alignment horizontal="center" vertical="center"/>
    </xf>
    <xf numFmtId="43" fontId="11" fillId="0" borderId="2" xfId="1" applyFont="1" applyFill="1" applyBorder="1" applyAlignment="1">
      <alignment vertical="center"/>
    </xf>
    <xf numFmtId="10" fontId="13" fillId="0" borderId="8" xfId="1880" applyNumberFormat="1" applyFont="1" applyFill="1" applyBorder="1" applyAlignment="1">
      <alignment horizontal="center" vertical="center"/>
    </xf>
    <xf numFmtId="43" fontId="13" fillId="0" borderId="2" xfId="3" applyFont="1" applyFill="1" applyBorder="1" applyAlignment="1">
      <alignment horizontal="center" vertical="center"/>
    </xf>
    <xf numFmtId="9" fontId="13" fillId="0" borderId="8" xfId="2" applyFont="1" applyFill="1" applyBorder="1" applyAlignment="1">
      <alignment horizontal="center" vertical="center"/>
    </xf>
    <xf numFmtId="0" fontId="2" fillId="43" borderId="9" xfId="0" applyFont="1" applyFill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44" borderId="0" xfId="0" applyFill="1"/>
    <xf numFmtId="0" fontId="58" fillId="44" borderId="0" xfId="0" applyFont="1" applyFill="1" applyAlignment="1">
      <alignment horizontal="center" vertical="center"/>
    </xf>
    <xf numFmtId="0" fontId="59" fillId="44" borderId="0" xfId="0" applyFont="1" applyFill="1"/>
    <xf numFmtId="0" fontId="60" fillId="44" borderId="0" xfId="0" applyFont="1" applyFill="1" applyAlignment="1">
      <alignment vertical="center"/>
    </xf>
    <xf numFmtId="0" fontId="60" fillId="44" borderId="0" xfId="0" applyFont="1" applyFill="1"/>
    <xf numFmtId="0" fontId="61" fillId="0" borderId="9" xfId="0" applyFont="1" applyFill="1" applyBorder="1" applyAlignment="1">
      <alignment horizontal="center" vertical="center" wrapText="1"/>
    </xf>
    <xf numFmtId="0" fontId="60" fillId="44" borderId="9" xfId="0" applyFont="1" applyFill="1" applyBorder="1" applyAlignment="1">
      <alignment horizontal="center" vertical="center"/>
    </xf>
    <xf numFmtId="0" fontId="59" fillId="0" borderId="0" xfId="0" applyFont="1"/>
    <xf numFmtId="0" fontId="62" fillId="0" borderId="9" xfId="0" applyFont="1" applyFill="1" applyBorder="1" applyAlignment="1">
      <alignment horizontal="center" vertical="center"/>
    </xf>
    <xf numFmtId="0" fontId="62" fillId="0" borderId="9" xfId="0" applyFont="1" applyFill="1" applyBorder="1" applyAlignment="1">
      <alignment vertical="center"/>
    </xf>
    <xf numFmtId="0" fontId="59" fillId="0" borderId="9" xfId="0" applyFont="1" applyFill="1" applyBorder="1" applyAlignment="1">
      <alignment horizontal="center" vertical="center"/>
    </xf>
    <xf numFmtId="0" fontId="59" fillId="44" borderId="9" xfId="0" applyFont="1" applyFill="1" applyBorder="1" applyAlignment="1">
      <alignment horizontal="center" vertical="center"/>
    </xf>
    <xf numFmtId="0" fontId="59" fillId="44" borderId="0" xfId="0" applyFont="1" applyFill="1" applyAlignment="1">
      <alignment horizontal="center" vertical="center"/>
    </xf>
    <xf numFmtId="0" fontId="59" fillId="0" borderId="0" xfId="0" applyFont="1" applyFill="1"/>
    <xf numFmtId="0" fontId="59" fillId="0" borderId="9" xfId="0" applyFont="1" applyBorder="1" applyAlignment="1">
      <alignment horizontal="center" vertical="center"/>
    </xf>
    <xf numFmtId="0" fontId="59" fillId="34" borderId="9" xfId="0" applyFont="1" applyFill="1" applyBorder="1" applyAlignment="1">
      <alignment horizontal="center" vertical="center"/>
    </xf>
    <xf numFmtId="0" fontId="59" fillId="23" borderId="9" xfId="0" applyFont="1" applyFill="1" applyBorder="1" applyAlignment="1">
      <alignment horizontal="center" vertical="center"/>
    </xf>
    <xf numFmtId="0" fontId="59" fillId="21" borderId="9" xfId="0" applyFont="1" applyFill="1" applyBorder="1" applyAlignment="1">
      <alignment horizontal="center" vertical="center"/>
    </xf>
    <xf numFmtId="0" fontId="60" fillId="44" borderId="0" xfId="0" applyFont="1" applyFill="1" applyAlignment="1">
      <alignment horizontal="center" vertical="center"/>
    </xf>
    <xf numFmtId="9" fontId="63" fillId="44" borderId="0" xfId="2" applyFont="1" applyFill="1" applyAlignment="1">
      <alignment horizontal="center" vertical="center"/>
    </xf>
    <xf numFmtId="0" fontId="60" fillId="0" borderId="9" xfId="0" applyFont="1" applyFill="1" applyBorder="1" applyAlignment="1">
      <alignment horizontal="center" vertical="center"/>
    </xf>
    <xf numFmtId="0" fontId="64" fillId="0" borderId="9" xfId="0" applyFont="1" applyFill="1" applyBorder="1" applyAlignment="1">
      <alignment vertical="center"/>
    </xf>
    <xf numFmtId="0" fontId="61" fillId="45" borderId="9" xfId="0" applyFont="1" applyFill="1" applyBorder="1" applyAlignment="1">
      <alignment horizontal="center" vertical="center"/>
    </xf>
    <xf numFmtId="0" fontId="61" fillId="45" borderId="9" xfId="0" applyFont="1" applyFill="1" applyBorder="1" applyAlignment="1">
      <alignment vertical="center"/>
    </xf>
    <xf numFmtId="0" fontId="0" fillId="46" borderId="0" xfId="0" applyFill="1"/>
    <xf numFmtId="0" fontId="66" fillId="47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165" fontId="64" fillId="0" borderId="9" xfId="1" applyNumberFormat="1" applyFont="1" applyFill="1" applyBorder="1" applyAlignment="1">
      <alignment horizontal="center" vertical="center"/>
    </xf>
    <xf numFmtId="165" fontId="67" fillId="0" borderId="13" xfId="1" applyNumberFormat="1" applyFont="1" applyFill="1" applyBorder="1" applyAlignment="1">
      <alignment horizontal="center" vertical="center"/>
    </xf>
    <xf numFmtId="165" fontId="68" fillId="0" borderId="13" xfId="1" applyNumberFormat="1" applyFont="1" applyFill="1" applyBorder="1" applyAlignment="1">
      <alignment horizontal="center" vertical="center"/>
    </xf>
    <xf numFmtId="0" fontId="69" fillId="0" borderId="13" xfId="0" applyFont="1" applyFill="1" applyBorder="1" applyAlignment="1">
      <alignment horizontal="center" vertical="center"/>
    </xf>
    <xf numFmtId="165" fontId="68" fillId="0" borderId="9" xfId="1" applyNumberFormat="1" applyFont="1" applyFill="1" applyBorder="1" applyAlignment="1">
      <alignment horizontal="center" vertical="center"/>
    </xf>
    <xf numFmtId="0" fontId="69" fillId="0" borderId="9" xfId="0" applyFont="1" applyFill="1" applyBorder="1" applyAlignment="1">
      <alignment horizontal="center" vertical="center"/>
    </xf>
    <xf numFmtId="165" fontId="69" fillId="0" borderId="9" xfId="1" applyNumberFormat="1" applyFont="1" applyFill="1" applyBorder="1" applyAlignment="1">
      <alignment horizontal="center" vertical="center"/>
    </xf>
    <xf numFmtId="165" fontId="64" fillId="0" borderId="13" xfId="1" applyNumberFormat="1" applyFont="1" applyFill="1" applyBorder="1" applyAlignment="1">
      <alignment horizontal="center" vertical="center"/>
    </xf>
    <xf numFmtId="165" fontId="64" fillId="44" borderId="9" xfId="1" applyNumberFormat="1" applyFont="1" applyFill="1" applyBorder="1" applyAlignment="1">
      <alignment horizontal="center" vertical="center"/>
    </xf>
    <xf numFmtId="165" fontId="70" fillId="44" borderId="9" xfId="1" applyNumberFormat="1" applyFont="1" applyFill="1" applyBorder="1" applyAlignment="1">
      <alignment horizontal="center" vertical="center"/>
    </xf>
    <xf numFmtId="0" fontId="70" fillId="0" borderId="9" xfId="0" applyFont="1" applyFill="1" applyBorder="1" applyAlignment="1">
      <alignment vertical="center"/>
    </xf>
    <xf numFmtId="0" fontId="4" fillId="46" borderId="9" xfId="0" applyFont="1" applyFill="1" applyBorder="1"/>
    <xf numFmtId="0" fontId="71" fillId="46" borderId="9" xfId="0" applyFont="1" applyFill="1" applyBorder="1" applyAlignment="1">
      <alignment vertical="center"/>
    </xf>
    <xf numFmtId="165" fontId="71" fillId="46" borderId="9" xfId="1" applyNumberFormat="1" applyFont="1" applyFill="1" applyBorder="1" applyAlignment="1">
      <alignment horizontal="center" vertical="center"/>
    </xf>
    <xf numFmtId="0" fontId="12" fillId="46" borderId="9" xfId="0" applyFont="1" applyFill="1" applyBorder="1"/>
    <xf numFmtId="165" fontId="71" fillId="46" borderId="13" xfId="1" applyNumberFormat="1" applyFont="1" applyFill="1" applyBorder="1" applyAlignment="1">
      <alignment horizontal="center" vertical="center"/>
    </xf>
    <xf numFmtId="165" fontId="72" fillId="0" borderId="14" xfId="1" applyNumberFormat="1" applyFont="1" applyFill="1" applyBorder="1" applyAlignment="1">
      <alignment horizontal="center" vertical="center"/>
    </xf>
    <xf numFmtId="165" fontId="72" fillId="0" borderId="15" xfId="1" applyNumberFormat="1" applyFont="1" applyFill="1" applyBorder="1" applyAlignment="1">
      <alignment horizontal="center" vertical="center"/>
    </xf>
    <xf numFmtId="0" fontId="3" fillId="24" borderId="16" xfId="0" applyFont="1" applyFill="1" applyBorder="1"/>
    <xf numFmtId="9" fontId="0" fillId="0" borderId="0" xfId="2" applyFont="1"/>
    <xf numFmtId="0" fontId="14" fillId="0" borderId="17" xfId="0" applyFont="1" applyBorder="1"/>
    <xf numFmtId="0" fontId="14" fillId="0" borderId="18" xfId="0" applyFont="1" applyBorder="1"/>
    <xf numFmtId="10" fontId="3" fillId="22" borderId="18" xfId="2" applyNumberFormat="1" applyFont="1" applyFill="1" applyBorder="1"/>
    <xf numFmtId="0" fontId="0" fillId="0" borderId="19" xfId="0" applyBorder="1"/>
    <xf numFmtId="0" fontId="14" fillId="0" borderId="0" xfId="0" applyFont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24" borderId="0" xfId="0" applyFill="1"/>
    <xf numFmtId="165" fontId="0" fillId="0" borderId="9" xfId="1" applyNumberFormat="1" applyFont="1" applyBorder="1"/>
    <xf numFmtId="165" fontId="0" fillId="0" borderId="9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/>
    <xf numFmtId="0" fontId="0" fillId="24" borderId="0" xfId="0" applyFill="1" applyAlignment="1">
      <alignment horizontal="center"/>
    </xf>
    <xf numFmtId="41" fontId="13" fillId="17" borderId="3" xfId="0" applyNumberFormat="1" applyFont="1" applyFill="1" applyBorder="1" applyAlignment="1">
      <alignment horizontal="center" vertical="center"/>
    </xf>
    <xf numFmtId="41" fontId="13" fillId="17" borderId="6" xfId="0" applyNumberFormat="1" applyFont="1" applyFill="1" applyBorder="1" applyAlignment="1">
      <alignment horizontal="center" vertical="center"/>
    </xf>
    <xf numFmtId="41" fontId="13" fillId="17" borderId="7" xfId="0" applyNumberFormat="1" applyFont="1" applyFill="1" applyBorder="1" applyAlignment="1">
      <alignment horizontal="center" vertical="center"/>
    </xf>
    <xf numFmtId="41" fontId="13" fillId="34" borderId="3" xfId="0" applyNumberFormat="1" applyFont="1" applyFill="1" applyBorder="1" applyAlignment="1">
      <alignment horizontal="center" vertical="center"/>
    </xf>
    <xf numFmtId="41" fontId="13" fillId="34" borderId="7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6" borderId="2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5" xfId="0" applyFont="1" applyFill="1" applyBorder="1" applyAlignment="1">
      <alignment horizontal="center" vertical="center"/>
    </xf>
    <xf numFmtId="0" fontId="13" fillId="32" borderId="2" xfId="0" applyFont="1" applyFill="1" applyBorder="1" applyAlignment="1">
      <alignment horizontal="center" vertical="center"/>
    </xf>
    <xf numFmtId="41" fontId="13" fillId="31" borderId="3" xfId="0" applyNumberFormat="1" applyFont="1" applyFill="1" applyBorder="1" applyAlignment="1">
      <alignment horizontal="center" vertical="center"/>
    </xf>
    <xf numFmtId="41" fontId="13" fillId="31" borderId="6" xfId="0" applyNumberFormat="1" applyFont="1" applyFill="1" applyBorder="1" applyAlignment="1">
      <alignment horizontal="center" vertical="center"/>
    </xf>
    <xf numFmtId="41" fontId="13" fillId="31" borderId="7" xfId="0" applyNumberFormat="1" applyFont="1" applyFill="1" applyBorder="1" applyAlignment="1">
      <alignment horizontal="center" vertical="center"/>
    </xf>
    <xf numFmtId="0" fontId="14" fillId="31" borderId="3" xfId="0" applyFont="1" applyFill="1" applyBorder="1" applyAlignment="1">
      <alignment horizontal="center" vertical="center"/>
    </xf>
    <xf numFmtId="0" fontId="14" fillId="31" borderId="7" xfId="0" applyFont="1" applyFill="1" applyBorder="1" applyAlignment="1">
      <alignment horizontal="center" vertical="center"/>
    </xf>
    <xf numFmtId="41" fontId="13" fillId="33" borderId="3" xfId="0" applyNumberFormat="1" applyFont="1" applyFill="1" applyBorder="1" applyAlignment="1">
      <alignment horizontal="center" vertical="center"/>
    </xf>
    <xf numFmtId="41" fontId="13" fillId="33" borderId="6" xfId="0" applyNumberFormat="1" applyFont="1" applyFill="1" applyBorder="1" applyAlignment="1">
      <alignment horizontal="center" vertical="center"/>
    </xf>
    <xf numFmtId="41" fontId="13" fillId="33" borderId="7" xfId="0" applyNumberFormat="1" applyFont="1" applyFill="1" applyBorder="1" applyAlignment="1">
      <alignment horizontal="center" vertical="center"/>
    </xf>
    <xf numFmtId="0" fontId="57" fillId="44" borderId="0" xfId="0" applyFont="1" applyFill="1" applyAlignment="1">
      <alignment horizontal="center" vertical="center"/>
    </xf>
    <xf numFmtId="0" fontId="58" fillId="44" borderId="0" xfId="0" applyFont="1" applyFill="1" applyAlignment="1">
      <alignment horizontal="center" vertical="center"/>
    </xf>
    <xf numFmtId="0" fontId="60" fillId="44" borderId="10" xfId="0" applyFont="1" applyFill="1" applyBorder="1" applyAlignment="1">
      <alignment horizontal="center" vertical="center"/>
    </xf>
    <xf numFmtId="0" fontId="60" fillId="44" borderId="11" xfId="0" applyFont="1" applyFill="1" applyBorder="1" applyAlignment="1">
      <alignment horizontal="center" vertical="center"/>
    </xf>
    <xf numFmtId="0" fontId="65" fillId="46" borderId="12" xfId="0" applyFont="1" applyFill="1" applyBorder="1" applyAlignment="1">
      <alignment horizontal="center"/>
    </xf>
    <xf numFmtId="10" fontId="0" fillId="24" borderId="0" xfId="2" applyNumberFormat="1" applyFont="1" applyFill="1" applyAlignment="1">
      <alignment horizontal="center"/>
    </xf>
    <xf numFmtId="10" fontId="11" fillId="31" borderId="2" xfId="2" applyNumberFormat="1" applyFont="1" applyFill="1" applyBorder="1" applyAlignment="1">
      <alignment horizontal="center" vertical="center"/>
    </xf>
    <xf numFmtId="10" fontId="11" fillId="31" borderId="2" xfId="3" applyNumberFormat="1" applyFont="1" applyFill="1" applyBorder="1" applyAlignment="1">
      <alignment horizontal="center" vertical="center"/>
    </xf>
    <xf numFmtId="9" fontId="56" fillId="38" borderId="2" xfId="2" applyFont="1" applyFill="1" applyBorder="1" applyAlignment="1">
      <alignment horizontal="center" vertical="center"/>
    </xf>
    <xf numFmtId="0" fontId="3" fillId="21" borderId="9" xfId="0" applyFont="1" applyFill="1" applyBorder="1" applyAlignment="1">
      <alignment horizontal="center"/>
    </xf>
    <xf numFmtId="10" fontId="3" fillId="21" borderId="9" xfId="1880" applyNumberFormat="1" applyFont="1" applyFill="1" applyBorder="1" applyAlignment="1">
      <alignment horizontal="center"/>
    </xf>
    <xf numFmtId="0" fontId="66" fillId="48" borderId="9" xfId="0" applyFont="1" applyFill="1" applyBorder="1" applyAlignment="1">
      <alignment horizontal="center"/>
    </xf>
    <xf numFmtId="10" fontId="66" fillId="22" borderId="9" xfId="1880" applyNumberFormat="1" applyFont="1" applyFill="1" applyBorder="1" applyAlignment="1">
      <alignment horizontal="center"/>
    </xf>
    <xf numFmtId="10" fontId="81" fillId="48" borderId="9" xfId="1880" applyNumberFormat="1" applyFont="1" applyFill="1" applyBorder="1" applyAlignment="1">
      <alignment horizontal="center"/>
    </xf>
  </cellXfs>
  <cellStyles count="1958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Comma" xfId="1" builtinId="3"/>
    <cellStyle name="Comma [0] 10" xfId="16"/>
    <cellStyle name="Comma [0] 11" xfId="17"/>
    <cellStyle name="Comma [0] 2" xfId="18"/>
    <cellStyle name="Comma [0] 2 2" xfId="19"/>
    <cellStyle name="Comma [0] 2 2 2" xfId="20"/>
    <cellStyle name="Comma [0] 2 2 2 2" xfId="21"/>
    <cellStyle name="Comma [0] 2 3" xfId="22"/>
    <cellStyle name="Comma [0] 2 4" xfId="23"/>
    <cellStyle name="Comma [0] 3" xfId="24"/>
    <cellStyle name="Comma [0] 3 2" xfId="25"/>
    <cellStyle name="Comma [0] 4" xfId="26"/>
    <cellStyle name="Comma [0] 5" xfId="27"/>
    <cellStyle name="Comma [0] 6" xfId="28"/>
    <cellStyle name="Comma [0] 7" xfId="29"/>
    <cellStyle name="Comma [0] 8" xfId="30"/>
    <cellStyle name="Comma [0] 9" xfId="31"/>
    <cellStyle name="Comma 10" xfId="32"/>
    <cellStyle name="Comma 10 2" xfId="3"/>
    <cellStyle name="Comma 101 2" xfId="33"/>
    <cellStyle name="Comma 101 3" xfId="34"/>
    <cellStyle name="Comma 101 4" xfId="35"/>
    <cellStyle name="Comma 101 5" xfId="36"/>
    <cellStyle name="Comma 101 6" xfId="37"/>
    <cellStyle name="Comma 102 2" xfId="38"/>
    <cellStyle name="Comma 102 3" xfId="39"/>
    <cellStyle name="Comma 102 4" xfId="40"/>
    <cellStyle name="Comma 102 5" xfId="41"/>
    <cellStyle name="Comma 102 6" xfId="42"/>
    <cellStyle name="Comma 103 2" xfId="43"/>
    <cellStyle name="Comma 103 3" xfId="44"/>
    <cellStyle name="Comma 103 4" xfId="45"/>
    <cellStyle name="Comma 103 5" xfId="46"/>
    <cellStyle name="Comma 103 6" xfId="47"/>
    <cellStyle name="Comma 104" xfId="48"/>
    <cellStyle name="Comma 104 2" xfId="49"/>
    <cellStyle name="Comma 104 3" xfId="50"/>
    <cellStyle name="Comma 104 4" xfId="51"/>
    <cellStyle name="Comma 107 2" xfId="52"/>
    <cellStyle name="Comma 11" xfId="53"/>
    <cellStyle name="Comma 11 2" xfId="54"/>
    <cellStyle name="Comma 11 2 2" xfId="55"/>
    <cellStyle name="Comma 11 3" xfId="56"/>
    <cellStyle name="Comma 11 4" xfId="57"/>
    <cellStyle name="Comma 11 5" xfId="58"/>
    <cellStyle name="Comma 11 6" xfId="59"/>
    <cellStyle name="Comma 111 2" xfId="60"/>
    <cellStyle name="Comma 113 2" xfId="61"/>
    <cellStyle name="Comma 117 2" xfId="62"/>
    <cellStyle name="Comma 119 2" xfId="63"/>
    <cellStyle name="Comma 12" xfId="64"/>
    <cellStyle name="Comma 12 2" xfId="65"/>
    <cellStyle name="Comma 121 2" xfId="66"/>
    <cellStyle name="Comma 13" xfId="67"/>
    <cellStyle name="Comma 13 2" xfId="68"/>
    <cellStyle name="Comma 13 3" xfId="69"/>
    <cellStyle name="Comma 14" xfId="70"/>
    <cellStyle name="Comma 14 2" xfId="71"/>
    <cellStyle name="Comma 14 3" xfId="72"/>
    <cellStyle name="Comma 15" xfId="73"/>
    <cellStyle name="Comma 15 2" xfId="74"/>
    <cellStyle name="Comma 16" xfId="75"/>
    <cellStyle name="Comma 16 2" xfId="76"/>
    <cellStyle name="Comma 16 3" xfId="77"/>
    <cellStyle name="Comma 16 4" xfId="78"/>
    <cellStyle name="Comma 16 5" xfId="79"/>
    <cellStyle name="Comma 16 6" xfId="80"/>
    <cellStyle name="Comma 17" xfId="81"/>
    <cellStyle name="Comma 17 2" xfId="82"/>
    <cellStyle name="Comma 17 3" xfId="83"/>
    <cellStyle name="Comma 17 4" xfId="84"/>
    <cellStyle name="Comma 17 5" xfId="85"/>
    <cellStyle name="Comma 17 6" xfId="86"/>
    <cellStyle name="Comma 18" xfId="87"/>
    <cellStyle name="Comma 18 2" xfId="88"/>
    <cellStyle name="Comma 18 3" xfId="89"/>
    <cellStyle name="Comma 18 4" xfId="90"/>
    <cellStyle name="Comma 18 5" xfId="91"/>
    <cellStyle name="Comma 19" xfId="92"/>
    <cellStyle name="Comma 19 2" xfId="93"/>
    <cellStyle name="Comma 19 3" xfId="94"/>
    <cellStyle name="Comma 19 4" xfId="95"/>
    <cellStyle name="Comma 19 5" xfId="96"/>
    <cellStyle name="Comma 2" xfId="97"/>
    <cellStyle name="Comma 2 10" xfId="98"/>
    <cellStyle name="Comma 2 2" xfId="99"/>
    <cellStyle name="Comma 2 2 2" xfId="100"/>
    <cellStyle name="Comma 2 3" xfId="101"/>
    <cellStyle name="Comma 2 4" xfId="102"/>
    <cellStyle name="Comma 2 5" xfId="103"/>
    <cellStyle name="Comma 2 6" xfId="104"/>
    <cellStyle name="Comma 2 7" xfId="105"/>
    <cellStyle name="Comma 2 8" xfId="106"/>
    <cellStyle name="Comma 2 9" xfId="107"/>
    <cellStyle name="Comma 20" xfId="108"/>
    <cellStyle name="Comma 20 2" xfId="109"/>
    <cellStyle name="Comma 20 3" xfId="110"/>
    <cellStyle name="Comma 20 4" xfId="111"/>
    <cellStyle name="Comma 20 5" xfId="112"/>
    <cellStyle name="Comma 21" xfId="113"/>
    <cellStyle name="Comma 21 2" xfId="114"/>
    <cellStyle name="Comma 21 3" xfId="115"/>
    <cellStyle name="Comma 21 4" xfId="116"/>
    <cellStyle name="Comma 21 5" xfId="117"/>
    <cellStyle name="Comma 22" xfId="118"/>
    <cellStyle name="Comma 23" xfId="119"/>
    <cellStyle name="Comma 24" xfId="120"/>
    <cellStyle name="Comma 24 2" xfId="121"/>
    <cellStyle name="Comma 24 2 2" xfId="122"/>
    <cellStyle name="Comma 24 3" xfId="123"/>
    <cellStyle name="Comma 24 4" xfId="124"/>
    <cellStyle name="Comma 24 6" xfId="125"/>
    <cellStyle name="Comma 25" xfId="126"/>
    <cellStyle name="Comma 26" xfId="127"/>
    <cellStyle name="Comma 27" xfId="128"/>
    <cellStyle name="Comma 28" xfId="129"/>
    <cellStyle name="Comma 29" xfId="130"/>
    <cellStyle name="Comma 29 2" xfId="131"/>
    <cellStyle name="Comma 29 3" xfId="132"/>
    <cellStyle name="Comma 294" xfId="133"/>
    <cellStyle name="Comma 3" xfId="134"/>
    <cellStyle name="Comma 3 2" xfId="135"/>
    <cellStyle name="Comma 3 2 2" xfId="136"/>
    <cellStyle name="Comma 3 3" xfId="137"/>
    <cellStyle name="Comma 30" xfId="138"/>
    <cellStyle name="Comma 31" xfId="139"/>
    <cellStyle name="Comma 32" xfId="140"/>
    <cellStyle name="Comma 33" xfId="141"/>
    <cellStyle name="Comma 33 2" xfId="142"/>
    <cellStyle name="Comma 34" xfId="143"/>
    <cellStyle name="Comma 34 2" xfId="144"/>
    <cellStyle name="Comma 35" xfId="145"/>
    <cellStyle name="Comma 35 2" xfId="146"/>
    <cellStyle name="Comma 36" xfId="147"/>
    <cellStyle name="Comma 36 2" xfId="148"/>
    <cellStyle name="Comma 37" xfId="149"/>
    <cellStyle name="Comma 38" xfId="150"/>
    <cellStyle name="Comma 39" xfId="151"/>
    <cellStyle name="Comma 4" xfId="152"/>
    <cellStyle name="Comma 4 2" xfId="153"/>
    <cellStyle name="Comma 40" xfId="154"/>
    <cellStyle name="Comma 41" xfId="155"/>
    <cellStyle name="Comma 42" xfId="156"/>
    <cellStyle name="Comma 42 2" xfId="157"/>
    <cellStyle name="Comma 42 3" xfId="158"/>
    <cellStyle name="Comma 42 4" xfId="159"/>
    <cellStyle name="Comma 42 5" xfId="160"/>
    <cellStyle name="Comma 43" xfId="161"/>
    <cellStyle name="Comma 44" xfId="162"/>
    <cellStyle name="Comma 45" xfId="163"/>
    <cellStyle name="Comma 46" xfId="164"/>
    <cellStyle name="Comma 47" xfId="165"/>
    <cellStyle name="Comma 48" xfId="166"/>
    <cellStyle name="Comma 49" xfId="167"/>
    <cellStyle name="Comma 5" xfId="168"/>
    <cellStyle name="Comma 5 2" xfId="169"/>
    <cellStyle name="Comma 5 3" xfId="170"/>
    <cellStyle name="Comma 50" xfId="171"/>
    <cellStyle name="Comma 51" xfId="172"/>
    <cellStyle name="Comma 52" xfId="173"/>
    <cellStyle name="Comma 53" xfId="174"/>
    <cellStyle name="Comma 54" xfId="175"/>
    <cellStyle name="Comma 55" xfId="176"/>
    <cellStyle name="Comma 55 2" xfId="177"/>
    <cellStyle name="Comma 55 3" xfId="178"/>
    <cellStyle name="Comma 55 4" xfId="179"/>
    <cellStyle name="Comma 55 5" xfId="180"/>
    <cellStyle name="Comma 56" xfId="181"/>
    <cellStyle name="Comma 57" xfId="182"/>
    <cellStyle name="Comma 57 2" xfId="183"/>
    <cellStyle name="Comma 57 3" xfId="184"/>
    <cellStyle name="Comma 57 4" xfId="185"/>
    <cellStyle name="Comma 57 5" xfId="186"/>
    <cellStyle name="Comma 58" xfId="187"/>
    <cellStyle name="Comma 58 2" xfId="188"/>
    <cellStyle name="Comma 58 3" xfId="189"/>
    <cellStyle name="Comma 58 4" xfId="190"/>
    <cellStyle name="Comma 58 5" xfId="191"/>
    <cellStyle name="Comma 59" xfId="192"/>
    <cellStyle name="Comma 6" xfId="193"/>
    <cellStyle name="Comma 6 2" xfId="194"/>
    <cellStyle name="Comma 60" xfId="195"/>
    <cellStyle name="Comma 60 2" xfId="196"/>
    <cellStyle name="Comma 60 3" xfId="197"/>
    <cellStyle name="Comma 60 4" xfId="198"/>
    <cellStyle name="Comma 60 5" xfId="199"/>
    <cellStyle name="Comma 61" xfId="200"/>
    <cellStyle name="Comma 61 2" xfId="201"/>
    <cellStyle name="Comma 61 3" xfId="202"/>
    <cellStyle name="Comma 61 4" xfId="203"/>
    <cellStyle name="Comma 61 5" xfId="204"/>
    <cellStyle name="Comma 62" xfId="205"/>
    <cellStyle name="Comma 62 2" xfId="206"/>
    <cellStyle name="Comma 62 3" xfId="207"/>
    <cellStyle name="Comma 62 4" xfId="208"/>
    <cellStyle name="Comma 62 5" xfId="209"/>
    <cellStyle name="Comma 63" xfId="210"/>
    <cellStyle name="Comma 63 2" xfId="211"/>
    <cellStyle name="Comma 63 3" xfId="212"/>
    <cellStyle name="Comma 63 4" xfId="213"/>
    <cellStyle name="Comma 63 5" xfId="214"/>
    <cellStyle name="Comma 64" xfId="215"/>
    <cellStyle name="Comma 64 2" xfId="216"/>
    <cellStyle name="Comma 64 3" xfId="217"/>
    <cellStyle name="Comma 64 4" xfId="218"/>
    <cellStyle name="Comma 64 5" xfId="219"/>
    <cellStyle name="Comma 65" xfId="220"/>
    <cellStyle name="Comma 65 2" xfId="221"/>
    <cellStyle name="Comma 65 3" xfId="222"/>
    <cellStyle name="Comma 65 4" xfId="223"/>
    <cellStyle name="Comma 65 5" xfId="224"/>
    <cellStyle name="Comma 65 6" xfId="225"/>
    <cellStyle name="Comma 65 7" xfId="226"/>
    <cellStyle name="Comma 66" xfId="227"/>
    <cellStyle name="Comma 66 2" xfId="228"/>
    <cellStyle name="Comma 66 3" xfId="229"/>
    <cellStyle name="Comma 66 4" xfId="230"/>
    <cellStyle name="Comma 66 5" xfId="231"/>
    <cellStyle name="Comma 66 6" xfId="232"/>
    <cellStyle name="Comma 67" xfId="233"/>
    <cellStyle name="Comma 67 2" xfId="234"/>
    <cellStyle name="Comma 67 3" xfId="235"/>
    <cellStyle name="Comma 67 4" xfId="236"/>
    <cellStyle name="Comma 67 5" xfId="237"/>
    <cellStyle name="Comma 67 6" xfId="238"/>
    <cellStyle name="Comma 68" xfId="239"/>
    <cellStyle name="Comma 68 2" xfId="240"/>
    <cellStyle name="Comma 68 3" xfId="241"/>
    <cellStyle name="Comma 68 4" xfId="242"/>
    <cellStyle name="Comma 68 5" xfId="243"/>
    <cellStyle name="Comma 68 6" xfId="244"/>
    <cellStyle name="Comma 69" xfId="245"/>
    <cellStyle name="Comma 69 2" xfId="246"/>
    <cellStyle name="Comma 69 3" xfId="247"/>
    <cellStyle name="Comma 69 4" xfId="248"/>
    <cellStyle name="Comma 69 5" xfId="249"/>
    <cellStyle name="Comma 7" xfId="250"/>
    <cellStyle name="Comma 7 2" xfId="251"/>
    <cellStyle name="Comma 7 3" xfId="252"/>
    <cellStyle name="Comma 70" xfId="253"/>
    <cellStyle name="Comma 70 2" xfId="254"/>
    <cellStyle name="Comma 70 3" xfId="255"/>
    <cellStyle name="Comma 70 4" xfId="256"/>
    <cellStyle name="Comma 70 5" xfId="257"/>
    <cellStyle name="Comma 71" xfId="258"/>
    <cellStyle name="Comma 71 2" xfId="259"/>
    <cellStyle name="Comma 71 3" xfId="260"/>
    <cellStyle name="Comma 71 4" xfId="261"/>
    <cellStyle name="Comma 71 5" xfId="262"/>
    <cellStyle name="Comma 72" xfId="263"/>
    <cellStyle name="Comma 72 2" xfId="264"/>
    <cellStyle name="Comma 72 3" xfId="265"/>
    <cellStyle name="Comma 72 4" xfId="266"/>
    <cellStyle name="Comma 72 5" xfId="267"/>
    <cellStyle name="Comma 73" xfId="268"/>
    <cellStyle name="Comma 73 2" xfId="269"/>
    <cellStyle name="Comma 73 3" xfId="270"/>
    <cellStyle name="Comma 73 4" xfId="271"/>
    <cellStyle name="Comma 73 5" xfId="272"/>
    <cellStyle name="Comma 74" xfId="273"/>
    <cellStyle name="Comma 74 2" xfId="274"/>
    <cellStyle name="Comma 74 3" xfId="275"/>
    <cellStyle name="Comma 74 4" xfId="276"/>
    <cellStyle name="Comma 74 5" xfId="277"/>
    <cellStyle name="Comma 74 6" xfId="278"/>
    <cellStyle name="Comma 75" xfId="279"/>
    <cellStyle name="Comma 75 2" xfId="280"/>
    <cellStyle name="Comma 75 3" xfId="281"/>
    <cellStyle name="Comma 75 4" xfId="282"/>
    <cellStyle name="Comma 75 5" xfId="283"/>
    <cellStyle name="Comma 76" xfId="284"/>
    <cellStyle name="Comma 76 2" xfId="285"/>
    <cellStyle name="Comma 76 3" xfId="286"/>
    <cellStyle name="Comma 76 4" xfId="287"/>
    <cellStyle name="Comma 76 5" xfId="288"/>
    <cellStyle name="Comma 76 6" xfId="289"/>
    <cellStyle name="Comma 77" xfId="290"/>
    <cellStyle name="Comma 77 2" xfId="291"/>
    <cellStyle name="Comma 77 3" xfId="292"/>
    <cellStyle name="Comma 77 4" xfId="293"/>
    <cellStyle name="Comma 77 5" xfId="294"/>
    <cellStyle name="Comma 78" xfId="295"/>
    <cellStyle name="Comma 78 2" xfId="296"/>
    <cellStyle name="Comma 78 3" xfId="297"/>
    <cellStyle name="Comma 78 4" xfId="298"/>
    <cellStyle name="Comma 78 5" xfId="299"/>
    <cellStyle name="Comma 78 6" xfId="300"/>
    <cellStyle name="Comma 79" xfId="301"/>
    <cellStyle name="Comma 79 2" xfId="302"/>
    <cellStyle name="Comma 79 3" xfId="303"/>
    <cellStyle name="Comma 79 4" xfId="304"/>
    <cellStyle name="Comma 79 5" xfId="305"/>
    <cellStyle name="Comma 8" xfId="306"/>
    <cellStyle name="Comma 8 2" xfId="307"/>
    <cellStyle name="Comma 8 3" xfId="308"/>
    <cellStyle name="Comma 8 4" xfId="309"/>
    <cellStyle name="Comma 8 5" xfId="310"/>
    <cellStyle name="Comma 8 6" xfId="311"/>
    <cellStyle name="Comma 80" xfId="312"/>
    <cellStyle name="Comma 80 2" xfId="313"/>
    <cellStyle name="Comma 80 3" xfId="314"/>
    <cellStyle name="Comma 80 4" xfId="315"/>
    <cellStyle name="Comma 80 5" xfId="316"/>
    <cellStyle name="Comma 82 2" xfId="317"/>
    <cellStyle name="Comma 82 3" xfId="318"/>
    <cellStyle name="Comma 82 4" xfId="319"/>
    <cellStyle name="Comma 82 5" xfId="320"/>
    <cellStyle name="Comma 85 2" xfId="321"/>
    <cellStyle name="Comma 85 3" xfId="322"/>
    <cellStyle name="Comma 85 4" xfId="323"/>
    <cellStyle name="Comma 85 5" xfId="324"/>
    <cellStyle name="Comma 85 6" xfId="325"/>
    <cellStyle name="Comma 86 2" xfId="326"/>
    <cellStyle name="Comma 86 3" xfId="327"/>
    <cellStyle name="Comma 86 4" xfId="328"/>
    <cellStyle name="Comma 86 5" xfId="329"/>
    <cellStyle name="Comma 87 2" xfId="330"/>
    <cellStyle name="Comma 87 3" xfId="331"/>
    <cellStyle name="Comma 87 4" xfId="332"/>
    <cellStyle name="Comma 87 5" xfId="333"/>
    <cellStyle name="Comma 88 2" xfId="334"/>
    <cellStyle name="Comma 88 3" xfId="335"/>
    <cellStyle name="Comma 88 4" xfId="336"/>
    <cellStyle name="Comma 88 5" xfId="337"/>
    <cellStyle name="Comma 89 2" xfId="338"/>
    <cellStyle name="Comma 89 3" xfId="339"/>
    <cellStyle name="Comma 89 4" xfId="340"/>
    <cellStyle name="Comma 89 5" xfId="341"/>
    <cellStyle name="Comma 89 6" xfId="342"/>
    <cellStyle name="Comma 9" xfId="343"/>
    <cellStyle name="Comma 9 2" xfId="344"/>
    <cellStyle name="Comma 9 3" xfId="345"/>
    <cellStyle name="Comma 9 4" xfId="346"/>
    <cellStyle name="Comma 9 5" xfId="347"/>
    <cellStyle name="Comma 9 6" xfId="348"/>
    <cellStyle name="Comma 90 2" xfId="349"/>
    <cellStyle name="Comma 90 3" xfId="350"/>
    <cellStyle name="Comma 90 4" xfId="351"/>
    <cellStyle name="Comma 90 5" xfId="352"/>
    <cellStyle name="Comma 90 6" xfId="353"/>
    <cellStyle name="Comma 91 2" xfId="354"/>
    <cellStyle name="Comma 91 3" xfId="355"/>
    <cellStyle name="Comma 91 4" xfId="356"/>
    <cellStyle name="Comma 91 5" xfId="357"/>
    <cellStyle name="Comma 91 6" xfId="358"/>
    <cellStyle name="Comma 92 2" xfId="359"/>
    <cellStyle name="Comma 92 3" xfId="360"/>
    <cellStyle name="Comma 92 4" xfId="361"/>
    <cellStyle name="Comma 92 5" xfId="362"/>
    <cellStyle name="Comma 92 6" xfId="363"/>
    <cellStyle name="Comma 93 2" xfId="364"/>
    <cellStyle name="Comma 93 3" xfId="365"/>
    <cellStyle name="Comma 93 4" xfId="366"/>
    <cellStyle name="Comma 93 5" xfId="367"/>
    <cellStyle name="Comma 93 6" xfId="368"/>
    <cellStyle name="Comma 94 2" xfId="369"/>
    <cellStyle name="Comma 94 3" xfId="370"/>
    <cellStyle name="Comma 94 4" xfId="371"/>
    <cellStyle name="Comma 94 5" xfId="372"/>
    <cellStyle name="Comma 94 6" xfId="373"/>
    <cellStyle name="Comma 95 2" xfId="374"/>
    <cellStyle name="Comma 95 3" xfId="375"/>
    <cellStyle name="Comma 95 4" xfId="376"/>
    <cellStyle name="Comma 95 5" xfId="377"/>
    <cellStyle name="Comma 95 6" xfId="378"/>
    <cellStyle name="Comma 96 2" xfId="379"/>
    <cellStyle name="Comma 96 3" xfId="380"/>
    <cellStyle name="Comma 96 4" xfId="381"/>
    <cellStyle name="Comma 96 5" xfId="382"/>
    <cellStyle name="Comma 96 6" xfId="383"/>
    <cellStyle name="Comma 97 2" xfId="384"/>
    <cellStyle name="Comma 97 3" xfId="385"/>
    <cellStyle name="Comma 97 4" xfId="386"/>
    <cellStyle name="Comma 97 5" xfId="387"/>
    <cellStyle name="Comma 97 6" xfId="388"/>
    <cellStyle name="Comma 98 2" xfId="389"/>
    <cellStyle name="Comma 98 3" xfId="390"/>
    <cellStyle name="Comma 98 4" xfId="391"/>
    <cellStyle name="Comma 98 5" xfId="392"/>
    <cellStyle name="Comma 98 6" xfId="393"/>
    <cellStyle name="Comma 99 2" xfId="394"/>
    <cellStyle name="Comma 99 3" xfId="395"/>
    <cellStyle name="Comma 99 4" xfId="396"/>
    <cellStyle name="Comma 99 5" xfId="397"/>
    <cellStyle name="Comma 99 6" xfId="398"/>
    <cellStyle name="Hyperlink 2" xfId="399"/>
    <cellStyle name="Hyperlink 3" xfId="1881"/>
    <cellStyle name="Hyperlink 4" xfId="1882"/>
    <cellStyle name="Normal" xfId="0" builtinId="0"/>
    <cellStyle name="Normal 10" xfId="400"/>
    <cellStyle name="Normal 11" xfId="401"/>
    <cellStyle name="Normal 12" xfId="402"/>
    <cellStyle name="Normal 13" xfId="403"/>
    <cellStyle name="Normal 14" xfId="1883"/>
    <cellStyle name="Normal 15" xfId="1884"/>
    <cellStyle name="Normal 16" xfId="404"/>
    <cellStyle name="Normal 18" xfId="405"/>
    <cellStyle name="Normal 18 2" xfId="406"/>
    <cellStyle name="Normal 18 3" xfId="407"/>
    <cellStyle name="Normal 19" xfId="408"/>
    <cellStyle name="Normal 19 2" xfId="409"/>
    <cellStyle name="Normal 19 3" xfId="410"/>
    <cellStyle name="Normal 2" xfId="411"/>
    <cellStyle name="Normal 2 2" xfId="412"/>
    <cellStyle name="Normal 2 2 2" xfId="413"/>
    <cellStyle name="Normal 2 2 2 2" xfId="414"/>
    <cellStyle name="Normal 2 3" xfId="415"/>
    <cellStyle name="Normal 2 4" xfId="416"/>
    <cellStyle name="Normal 2 5" xfId="417"/>
    <cellStyle name="Normal 20" xfId="418"/>
    <cellStyle name="Normal 20 2" xfId="419"/>
    <cellStyle name="Normal 20 3" xfId="420"/>
    <cellStyle name="Normal 21" xfId="421"/>
    <cellStyle name="Normal 21 2" xfId="422"/>
    <cellStyle name="Normal 21 3" xfId="423"/>
    <cellStyle name="Normal 22" xfId="424"/>
    <cellStyle name="Normal 22 2" xfId="425"/>
    <cellStyle name="Normal 22 3" xfId="426"/>
    <cellStyle name="Normal 23" xfId="427"/>
    <cellStyle name="Normal 23 2" xfId="428"/>
    <cellStyle name="Normal 23 3" xfId="429"/>
    <cellStyle name="Normal 3" xfId="430"/>
    <cellStyle name="Normal 3 2" xfId="431"/>
    <cellStyle name="Normal 3 2 2" xfId="432"/>
    <cellStyle name="Normal 3 3" xfId="433"/>
    <cellStyle name="Normal 3 4" xfId="434"/>
    <cellStyle name="Normal 3 4 2" xfId="435"/>
    <cellStyle name="Normal 3 4 3" xfId="436"/>
    <cellStyle name="Normal 3 5" xfId="437"/>
    <cellStyle name="Normal 4" xfId="438"/>
    <cellStyle name="Normal 4 2" xfId="439"/>
    <cellStyle name="Normal 4 3" xfId="440"/>
    <cellStyle name="Normal 4 4" xfId="441"/>
    <cellStyle name="Normal 5" xfId="442"/>
    <cellStyle name="Normal 5 2" xfId="443"/>
    <cellStyle name="Normal 5 3" xfId="444"/>
    <cellStyle name="Normal 6" xfId="445"/>
    <cellStyle name="Normal 6 2" xfId="446"/>
    <cellStyle name="Normal 7" xfId="447"/>
    <cellStyle name="Normal 8" xfId="448"/>
    <cellStyle name="Normal 9" xfId="449"/>
    <cellStyle name="Note 10" xfId="450"/>
    <cellStyle name="Note 10 2" xfId="451"/>
    <cellStyle name="Note 10 3" xfId="452"/>
    <cellStyle name="Note 10 4" xfId="453"/>
    <cellStyle name="Note 10 5" xfId="454"/>
    <cellStyle name="Note 11" xfId="455"/>
    <cellStyle name="Note 11 2" xfId="456"/>
    <cellStyle name="Note 11 3" xfId="457"/>
    <cellStyle name="Note 11 4" xfId="458"/>
    <cellStyle name="Note 11 5" xfId="459"/>
    <cellStyle name="Note 12" xfId="460"/>
    <cellStyle name="Note 12 2" xfId="461"/>
    <cellStyle name="Note 12 3" xfId="462"/>
    <cellStyle name="Note 12 4" xfId="463"/>
    <cellStyle name="Note 12 5" xfId="464"/>
    <cellStyle name="Note 13" xfId="465"/>
    <cellStyle name="Note 13 2" xfId="466"/>
    <cellStyle name="Note 13 3" xfId="467"/>
    <cellStyle name="Note 13 4" xfId="468"/>
    <cellStyle name="Note 13 5" xfId="469"/>
    <cellStyle name="Note 14" xfId="470"/>
    <cellStyle name="Note 14 2" xfId="471"/>
    <cellStyle name="Note 14 3" xfId="472"/>
    <cellStyle name="Note 14 4" xfId="473"/>
    <cellStyle name="Note 14 5" xfId="474"/>
    <cellStyle name="Note 15" xfId="475"/>
    <cellStyle name="Note 15 2" xfId="476"/>
    <cellStyle name="Note 15 3" xfId="477"/>
    <cellStyle name="Note 15 4" xfId="478"/>
    <cellStyle name="Note 15 5" xfId="479"/>
    <cellStyle name="Note 16" xfId="480"/>
    <cellStyle name="Note 16 2" xfId="481"/>
    <cellStyle name="Note 16 3" xfId="482"/>
    <cellStyle name="Note 16 4" xfId="483"/>
    <cellStyle name="Note 16 5" xfId="484"/>
    <cellStyle name="Note 17" xfId="485"/>
    <cellStyle name="Note 17 2" xfId="486"/>
    <cellStyle name="Note 17 3" xfId="487"/>
    <cellStyle name="Note 17 4" xfId="488"/>
    <cellStyle name="Note 17 5" xfId="489"/>
    <cellStyle name="Note 18" xfId="490"/>
    <cellStyle name="Note 18 2" xfId="491"/>
    <cellStyle name="Note 18 3" xfId="492"/>
    <cellStyle name="Note 18 4" xfId="493"/>
    <cellStyle name="Note 18 5" xfId="494"/>
    <cellStyle name="Note 19" xfId="495"/>
    <cellStyle name="Note 19 2" xfId="496"/>
    <cellStyle name="Note 19 3" xfId="497"/>
    <cellStyle name="Note 19 4" xfId="498"/>
    <cellStyle name="Note 19 5" xfId="499"/>
    <cellStyle name="Note 2" xfId="500"/>
    <cellStyle name="Note 2 2" xfId="501"/>
    <cellStyle name="Note 2 3" xfId="502"/>
    <cellStyle name="Note 2 4" xfId="503"/>
    <cellStyle name="Note 2 5" xfId="504"/>
    <cellStyle name="Note 20" xfId="505"/>
    <cellStyle name="Note 20 2" xfId="506"/>
    <cellStyle name="Note 20 3" xfId="507"/>
    <cellStyle name="Note 20 4" xfId="508"/>
    <cellStyle name="Note 20 5" xfId="509"/>
    <cellStyle name="Note 21" xfId="510"/>
    <cellStyle name="Note 21 2" xfId="511"/>
    <cellStyle name="Note 21 3" xfId="512"/>
    <cellStyle name="Note 21 4" xfId="513"/>
    <cellStyle name="Note 21 5" xfId="514"/>
    <cellStyle name="Note 22" xfId="515"/>
    <cellStyle name="Note 22 2" xfId="516"/>
    <cellStyle name="Note 22 3" xfId="517"/>
    <cellStyle name="Note 22 4" xfId="518"/>
    <cellStyle name="Note 22 5" xfId="519"/>
    <cellStyle name="Note 23" xfId="520"/>
    <cellStyle name="Note 23 2" xfId="521"/>
    <cellStyle name="Note 23 3" xfId="522"/>
    <cellStyle name="Note 23 4" xfId="523"/>
    <cellStyle name="Note 23 5" xfId="524"/>
    <cellStyle name="Note 24" xfId="525"/>
    <cellStyle name="Note 24 2" xfId="526"/>
    <cellStyle name="Note 24 3" xfId="527"/>
    <cellStyle name="Note 24 4" xfId="528"/>
    <cellStyle name="Note 24 5" xfId="529"/>
    <cellStyle name="Note 25" xfId="530"/>
    <cellStyle name="Note 25 2" xfId="531"/>
    <cellStyle name="Note 25 3" xfId="532"/>
    <cellStyle name="Note 25 4" xfId="533"/>
    <cellStyle name="Note 25 5" xfId="534"/>
    <cellStyle name="Note 26" xfId="535"/>
    <cellStyle name="Note 26 2" xfId="536"/>
    <cellStyle name="Note 26 3" xfId="537"/>
    <cellStyle name="Note 26 4" xfId="538"/>
    <cellStyle name="Note 26 5" xfId="539"/>
    <cellStyle name="Note 27" xfId="540"/>
    <cellStyle name="Note 27 2" xfId="541"/>
    <cellStyle name="Note 27 3" xfId="542"/>
    <cellStyle name="Note 27 4" xfId="543"/>
    <cellStyle name="Note 27 5" xfId="544"/>
    <cellStyle name="Note 28" xfId="545"/>
    <cellStyle name="Note 28 2" xfId="546"/>
    <cellStyle name="Note 28 3" xfId="547"/>
    <cellStyle name="Note 28 4" xfId="548"/>
    <cellStyle name="Note 28 5" xfId="549"/>
    <cellStyle name="Note 29" xfId="550"/>
    <cellStyle name="Note 29 2" xfId="551"/>
    <cellStyle name="Note 29 3" xfId="552"/>
    <cellStyle name="Note 29 4" xfId="553"/>
    <cellStyle name="Note 29 5" xfId="554"/>
    <cellStyle name="Note 3" xfId="555"/>
    <cellStyle name="Note 3 2" xfId="556"/>
    <cellStyle name="Note 3 3" xfId="557"/>
    <cellStyle name="Note 3 4" xfId="558"/>
    <cellStyle name="Note 3 5" xfId="559"/>
    <cellStyle name="Note 30" xfId="560"/>
    <cellStyle name="Note 30 2" xfId="561"/>
    <cellStyle name="Note 30 3" xfId="562"/>
    <cellStyle name="Note 30 4" xfId="563"/>
    <cellStyle name="Note 30 5" xfId="564"/>
    <cellStyle name="Note 31" xfId="565"/>
    <cellStyle name="Note 31 2" xfId="566"/>
    <cellStyle name="Note 31 3" xfId="567"/>
    <cellStyle name="Note 31 4" xfId="568"/>
    <cellStyle name="Note 31 5" xfId="569"/>
    <cellStyle name="Note 32" xfId="570"/>
    <cellStyle name="Note 32 2" xfId="571"/>
    <cellStyle name="Note 32 3" xfId="572"/>
    <cellStyle name="Note 32 4" xfId="573"/>
    <cellStyle name="Note 32 5" xfId="574"/>
    <cellStyle name="Note 33" xfId="575"/>
    <cellStyle name="Note 33 2" xfId="576"/>
    <cellStyle name="Note 33 3" xfId="577"/>
    <cellStyle name="Note 33 4" xfId="578"/>
    <cellStyle name="Note 33 5" xfId="579"/>
    <cellStyle name="Note 34" xfId="580"/>
    <cellStyle name="Note 34 2" xfId="581"/>
    <cellStyle name="Note 34 3" xfId="582"/>
    <cellStyle name="Note 34 4" xfId="583"/>
    <cellStyle name="Note 34 5" xfId="584"/>
    <cellStyle name="Note 35" xfId="585"/>
    <cellStyle name="Note 35 2" xfId="586"/>
    <cellStyle name="Note 35 3" xfId="587"/>
    <cellStyle name="Note 35 4" xfId="588"/>
    <cellStyle name="Note 35 5" xfId="589"/>
    <cellStyle name="Note 36" xfId="590"/>
    <cellStyle name="Note 36 2" xfId="591"/>
    <cellStyle name="Note 36 3" xfId="592"/>
    <cellStyle name="Note 36 4" xfId="593"/>
    <cellStyle name="Note 36 5" xfId="594"/>
    <cellStyle name="Note 37" xfId="595"/>
    <cellStyle name="Note 37 2" xfId="596"/>
    <cellStyle name="Note 37 3" xfId="597"/>
    <cellStyle name="Note 37 4" xfId="598"/>
    <cellStyle name="Note 37 5" xfId="599"/>
    <cellStyle name="Note 38" xfId="600"/>
    <cellStyle name="Note 38 2" xfId="601"/>
    <cellStyle name="Note 38 3" xfId="602"/>
    <cellStyle name="Note 38 4" xfId="603"/>
    <cellStyle name="Note 38 5" xfId="604"/>
    <cellStyle name="Note 39" xfId="605"/>
    <cellStyle name="Note 39 2" xfId="606"/>
    <cellStyle name="Note 39 3" xfId="607"/>
    <cellStyle name="Note 39 4" xfId="608"/>
    <cellStyle name="Note 39 5" xfId="609"/>
    <cellStyle name="Note 4" xfId="610"/>
    <cellStyle name="Note 4 2" xfId="611"/>
    <cellStyle name="Note 4 3" xfId="612"/>
    <cellStyle name="Note 4 4" xfId="613"/>
    <cellStyle name="Note 4 5" xfId="614"/>
    <cellStyle name="Note 40" xfId="615"/>
    <cellStyle name="Note 40 2" xfId="616"/>
    <cellStyle name="Note 40 3" xfId="617"/>
    <cellStyle name="Note 40 4" xfId="618"/>
    <cellStyle name="Note 40 5" xfId="619"/>
    <cellStyle name="Note 41" xfId="620"/>
    <cellStyle name="Note 41 2" xfId="621"/>
    <cellStyle name="Note 41 3" xfId="622"/>
    <cellStyle name="Note 41 4" xfId="623"/>
    <cellStyle name="Note 41 5" xfId="624"/>
    <cellStyle name="Note 42" xfId="625"/>
    <cellStyle name="Note 42 2" xfId="626"/>
    <cellStyle name="Note 42 3" xfId="627"/>
    <cellStyle name="Note 42 4" xfId="628"/>
    <cellStyle name="Note 42 5" xfId="629"/>
    <cellStyle name="Note 43" xfId="630"/>
    <cellStyle name="Note 43 2" xfId="631"/>
    <cellStyle name="Note 43 3" xfId="632"/>
    <cellStyle name="Note 43 4" xfId="633"/>
    <cellStyle name="Note 43 5" xfId="634"/>
    <cellStyle name="Note 44" xfId="635"/>
    <cellStyle name="Note 44 2" xfId="636"/>
    <cellStyle name="Note 44 3" xfId="637"/>
    <cellStyle name="Note 44 4" xfId="638"/>
    <cellStyle name="Note 44 5" xfId="639"/>
    <cellStyle name="Note 45" xfId="640"/>
    <cellStyle name="Note 45 2" xfId="641"/>
    <cellStyle name="Note 45 3" xfId="642"/>
    <cellStyle name="Note 45 4" xfId="643"/>
    <cellStyle name="Note 45 5" xfId="644"/>
    <cellStyle name="Note 46" xfId="645"/>
    <cellStyle name="Note 46 2" xfId="646"/>
    <cellStyle name="Note 46 3" xfId="647"/>
    <cellStyle name="Note 46 4" xfId="648"/>
    <cellStyle name="Note 46 5" xfId="649"/>
    <cellStyle name="Note 47" xfId="650"/>
    <cellStyle name="Note 47 2" xfId="651"/>
    <cellStyle name="Note 47 3" xfId="652"/>
    <cellStyle name="Note 47 4" xfId="653"/>
    <cellStyle name="Note 47 5" xfId="654"/>
    <cellStyle name="Note 48" xfId="655"/>
    <cellStyle name="Note 48 2" xfId="656"/>
    <cellStyle name="Note 48 3" xfId="657"/>
    <cellStyle name="Note 48 4" xfId="658"/>
    <cellStyle name="Note 48 5" xfId="659"/>
    <cellStyle name="Note 49" xfId="660"/>
    <cellStyle name="Note 49 2" xfId="661"/>
    <cellStyle name="Note 49 3" xfId="662"/>
    <cellStyle name="Note 49 4" xfId="663"/>
    <cellStyle name="Note 49 5" xfId="664"/>
    <cellStyle name="Note 5" xfId="665"/>
    <cellStyle name="Note 5 2" xfId="666"/>
    <cellStyle name="Note 5 3" xfId="667"/>
    <cellStyle name="Note 5 4" xfId="668"/>
    <cellStyle name="Note 5 5" xfId="669"/>
    <cellStyle name="Note 50" xfId="670"/>
    <cellStyle name="Note 50 2" xfId="671"/>
    <cellStyle name="Note 50 3" xfId="672"/>
    <cellStyle name="Note 50 4" xfId="673"/>
    <cellStyle name="Note 50 5" xfId="674"/>
    <cellStyle name="Note 51" xfId="675"/>
    <cellStyle name="Note 51 2" xfId="676"/>
    <cellStyle name="Note 51 3" xfId="677"/>
    <cellStyle name="Note 51 4" xfId="678"/>
    <cellStyle name="Note 51 5" xfId="679"/>
    <cellStyle name="Note 52" xfId="680"/>
    <cellStyle name="Note 52 2" xfId="681"/>
    <cellStyle name="Note 52 3" xfId="682"/>
    <cellStyle name="Note 52 4" xfId="683"/>
    <cellStyle name="Note 52 5" xfId="684"/>
    <cellStyle name="Note 53" xfId="685"/>
    <cellStyle name="Note 53 2" xfId="686"/>
    <cellStyle name="Note 53 3" xfId="687"/>
    <cellStyle name="Note 53 4" xfId="688"/>
    <cellStyle name="Note 53 5" xfId="689"/>
    <cellStyle name="Note 54" xfId="690"/>
    <cellStyle name="Note 54 2" xfId="691"/>
    <cellStyle name="Note 54 3" xfId="692"/>
    <cellStyle name="Note 54 4" xfId="693"/>
    <cellStyle name="Note 54 5" xfId="694"/>
    <cellStyle name="Note 55" xfId="695"/>
    <cellStyle name="Note 55 2" xfId="696"/>
    <cellStyle name="Note 55 3" xfId="697"/>
    <cellStyle name="Note 55 4" xfId="698"/>
    <cellStyle name="Note 55 5" xfId="699"/>
    <cellStyle name="Note 56" xfId="700"/>
    <cellStyle name="Note 56 2" xfId="701"/>
    <cellStyle name="Note 56 3" xfId="702"/>
    <cellStyle name="Note 56 4" xfId="703"/>
    <cellStyle name="Note 56 5" xfId="704"/>
    <cellStyle name="Note 57" xfId="705"/>
    <cellStyle name="Note 57 2" xfId="706"/>
    <cellStyle name="Note 57 3" xfId="707"/>
    <cellStyle name="Note 57 4" xfId="708"/>
    <cellStyle name="Note 57 5" xfId="709"/>
    <cellStyle name="Note 58" xfId="710"/>
    <cellStyle name="Note 58 2" xfId="711"/>
    <cellStyle name="Note 58 3" xfId="712"/>
    <cellStyle name="Note 58 4" xfId="713"/>
    <cellStyle name="Note 58 5" xfId="714"/>
    <cellStyle name="Note 59" xfId="715"/>
    <cellStyle name="Note 59 2" xfId="716"/>
    <cellStyle name="Note 59 3" xfId="717"/>
    <cellStyle name="Note 59 4" xfId="718"/>
    <cellStyle name="Note 59 5" xfId="719"/>
    <cellStyle name="Note 6" xfId="720"/>
    <cellStyle name="Note 6 2" xfId="721"/>
    <cellStyle name="Note 6 3" xfId="722"/>
    <cellStyle name="Note 6 4" xfId="723"/>
    <cellStyle name="Note 6 5" xfId="724"/>
    <cellStyle name="Note 60" xfId="725"/>
    <cellStyle name="Note 60 2" xfId="726"/>
    <cellStyle name="Note 60 3" xfId="727"/>
    <cellStyle name="Note 60 4" xfId="728"/>
    <cellStyle name="Note 60 5" xfId="729"/>
    <cellStyle name="Note 61" xfId="730"/>
    <cellStyle name="Note 61 2" xfId="731"/>
    <cellStyle name="Note 61 3" xfId="732"/>
    <cellStyle name="Note 61 4" xfId="733"/>
    <cellStyle name="Note 61 5" xfId="734"/>
    <cellStyle name="Note 62" xfId="735"/>
    <cellStyle name="Note 62 2" xfId="736"/>
    <cellStyle name="Note 62 3" xfId="737"/>
    <cellStyle name="Note 62 4" xfId="738"/>
    <cellStyle name="Note 62 5" xfId="739"/>
    <cellStyle name="Note 63" xfId="740"/>
    <cellStyle name="Note 63 2" xfId="741"/>
    <cellStyle name="Note 63 3" xfId="742"/>
    <cellStyle name="Note 63 4" xfId="743"/>
    <cellStyle name="Note 63 5" xfId="744"/>
    <cellStyle name="Note 64" xfId="745"/>
    <cellStyle name="Note 64 2" xfId="746"/>
    <cellStyle name="Note 64 3" xfId="747"/>
    <cellStyle name="Note 64 4" xfId="748"/>
    <cellStyle name="Note 64 5" xfId="749"/>
    <cellStyle name="Note 65" xfId="750"/>
    <cellStyle name="Note 65 2" xfId="751"/>
    <cellStyle name="Note 65 3" xfId="752"/>
    <cellStyle name="Note 65 4" xfId="753"/>
    <cellStyle name="Note 65 5" xfId="754"/>
    <cellStyle name="Note 66" xfId="755"/>
    <cellStyle name="Note 66 2" xfId="756"/>
    <cellStyle name="Note 66 3" xfId="757"/>
    <cellStyle name="Note 66 4" xfId="758"/>
    <cellStyle name="Note 66 5" xfId="759"/>
    <cellStyle name="Note 67" xfId="760"/>
    <cellStyle name="Note 67 2" xfId="761"/>
    <cellStyle name="Note 67 3" xfId="762"/>
    <cellStyle name="Note 67 4" xfId="763"/>
    <cellStyle name="Note 67 5" xfId="764"/>
    <cellStyle name="Note 68" xfId="765"/>
    <cellStyle name="Note 68 2" xfId="766"/>
    <cellStyle name="Note 68 3" xfId="767"/>
    <cellStyle name="Note 68 4" xfId="768"/>
    <cellStyle name="Note 68 5" xfId="769"/>
    <cellStyle name="Note 69" xfId="770"/>
    <cellStyle name="Note 69 2" xfId="771"/>
    <cellStyle name="Note 69 3" xfId="772"/>
    <cellStyle name="Note 69 4" xfId="773"/>
    <cellStyle name="Note 69 5" xfId="774"/>
    <cellStyle name="Note 7" xfId="775"/>
    <cellStyle name="Note 7 2" xfId="776"/>
    <cellStyle name="Note 7 3" xfId="777"/>
    <cellStyle name="Note 7 4" xfId="778"/>
    <cellStyle name="Note 7 5" xfId="779"/>
    <cellStyle name="Note 70" xfId="780"/>
    <cellStyle name="Note 70 2" xfId="781"/>
    <cellStyle name="Note 70 3" xfId="782"/>
    <cellStyle name="Note 70 4" xfId="783"/>
    <cellStyle name="Note 70 5" xfId="784"/>
    <cellStyle name="Note 71" xfId="785"/>
    <cellStyle name="Note 71 2" xfId="786"/>
    <cellStyle name="Note 71 3" xfId="787"/>
    <cellStyle name="Note 71 4" xfId="788"/>
    <cellStyle name="Note 71 5" xfId="789"/>
    <cellStyle name="Note 72" xfId="790"/>
    <cellStyle name="Note 72 2" xfId="791"/>
    <cellStyle name="Note 72 3" xfId="792"/>
    <cellStyle name="Note 72 4" xfId="793"/>
    <cellStyle name="Note 72 5" xfId="794"/>
    <cellStyle name="Note 73" xfId="795"/>
    <cellStyle name="Note 73 2" xfId="796"/>
    <cellStyle name="Note 73 3" xfId="797"/>
    <cellStyle name="Note 73 4" xfId="798"/>
    <cellStyle name="Note 73 5" xfId="799"/>
    <cellStyle name="Note 74" xfId="800"/>
    <cellStyle name="Note 74 2" xfId="801"/>
    <cellStyle name="Note 74 3" xfId="802"/>
    <cellStyle name="Note 74 4" xfId="803"/>
    <cellStyle name="Note 74 5" xfId="804"/>
    <cellStyle name="Note 75" xfId="805"/>
    <cellStyle name="Note 75 2" xfId="806"/>
    <cellStyle name="Note 75 3" xfId="807"/>
    <cellStyle name="Note 75 4" xfId="808"/>
    <cellStyle name="Note 75 5" xfId="809"/>
    <cellStyle name="Note 76" xfId="810"/>
    <cellStyle name="Note 77" xfId="811"/>
    <cellStyle name="Note 78" xfId="812"/>
    <cellStyle name="Note 79" xfId="813"/>
    <cellStyle name="Note 8" xfId="814"/>
    <cellStyle name="Note 8 2" xfId="815"/>
    <cellStyle name="Note 8 3" xfId="816"/>
    <cellStyle name="Note 8 4" xfId="817"/>
    <cellStyle name="Note 8 5" xfId="818"/>
    <cellStyle name="Note 80" xfId="819"/>
    <cellStyle name="Note 81" xfId="820"/>
    <cellStyle name="Note 82" xfId="821"/>
    <cellStyle name="Note 83" xfId="822"/>
    <cellStyle name="Note 84" xfId="823"/>
    <cellStyle name="Note 85" xfId="824"/>
    <cellStyle name="Note 86" xfId="825"/>
    <cellStyle name="Note 87" xfId="826"/>
    <cellStyle name="Note 9" xfId="827"/>
    <cellStyle name="Note 9 2" xfId="828"/>
    <cellStyle name="Note 9 3" xfId="829"/>
    <cellStyle name="Note 9 4" xfId="830"/>
    <cellStyle name="Note 9 5" xfId="831"/>
    <cellStyle name="Percent" xfId="2" builtinId="5"/>
    <cellStyle name="Percent 2" xfId="832"/>
    <cellStyle name="Percent 2 2" xfId="833"/>
    <cellStyle name="Percent 3" xfId="834"/>
    <cellStyle name="Percent 4" xfId="1880"/>
    <cellStyle name="S0" xfId="835"/>
    <cellStyle name="S0 10" xfId="836"/>
    <cellStyle name="S0 100" xfId="837"/>
    <cellStyle name="S0 101" xfId="838"/>
    <cellStyle name="S0 102" xfId="839"/>
    <cellStyle name="S0 103" xfId="840"/>
    <cellStyle name="S0 104" xfId="841"/>
    <cellStyle name="S0 105" xfId="842"/>
    <cellStyle name="S0 106" xfId="843"/>
    <cellStyle name="S0 107" xfId="844"/>
    <cellStyle name="S0 108" xfId="845"/>
    <cellStyle name="S0 109" xfId="846"/>
    <cellStyle name="S0 11" xfId="847"/>
    <cellStyle name="S0 110" xfId="848"/>
    <cellStyle name="S0 111" xfId="849"/>
    <cellStyle name="S0 112" xfId="850"/>
    <cellStyle name="S0 113" xfId="851"/>
    <cellStyle name="S0 114" xfId="852"/>
    <cellStyle name="S0 115" xfId="853"/>
    <cellStyle name="S0 116" xfId="854"/>
    <cellStyle name="S0 117" xfId="855"/>
    <cellStyle name="S0 118" xfId="856"/>
    <cellStyle name="S0 119" xfId="857"/>
    <cellStyle name="S0 12" xfId="858"/>
    <cellStyle name="S0 120" xfId="859"/>
    <cellStyle name="S0 121" xfId="860"/>
    <cellStyle name="S0 122" xfId="861"/>
    <cellStyle name="S0 123" xfId="862"/>
    <cellStyle name="S0 124" xfId="863"/>
    <cellStyle name="S0 125" xfId="864"/>
    <cellStyle name="S0 126" xfId="865"/>
    <cellStyle name="S0 127" xfId="866"/>
    <cellStyle name="S0 128" xfId="867"/>
    <cellStyle name="S0 129" xfId="868"/>
    <cellStyle name="S0 13" xfId="869"/>
    <cellStyle name="S0 130" xfId="870"/>
    <cellStyle name="S0 131" xfId="871"/>
    <cellStyle name="S0 132" xfId="872"/>
    <cellStyle name="S0 133" xfId="873"/>
    <cellStyle name="S0 134" xfId="874"/>
    <cellStyle name="S0 135" xfId="875"/>
    <cellStyle name="S0 136" xfId="876"/>
    <cellStyle name="S0 137" xfId="877"/>
    <cellStyle name="S0 138" xfId="878"/>
    <cellStyle name="S0 139" xfId="879"/>
    <cellStyle name="S0 14" xfId="880"/>
    <cellStyle name="S0 140" xfId="881"/>
    <cellStyle name="S0 141" xfId="882"/>
    <cellStyle name="S0 142" xfId="883"/>
    <cellStyle name="S0 143" xfId="884"/>
    <cellStyle name="S0 144" xfId="885"/>
    <cellStyle name="S0 145" xfId="886"/>
    <cellStyle name="S0 146" xfId="887"/>
    <cellStyle name="S0 147" xfId="888"/>
    <cellStyle name="S0 148" xfId="889"/>
    <cellStyle name="S0 149" xfId="890"/>
    <cellStyle name="S0 15" xfId="891"/>
    <cellStyle name="S0 150" xfId="892"/>
    <cellStyle name="S0 151" xfId="893"/>
    <cellStyle name="S0 152" xfId="894"/>
    <cellStyle name="S0 153" xfId="895"/>
    <cellStyle name="S0 154" xfId="896"/>
    <cellStyle name="S0 155" xfId="897"/>
    <cellStyle name="S0 156" xfId="898"/>
    <cellStyle name="S0 157" xfId="899"/>
    <cellStyle name="S0 158" xfId="900"/>
    <cellStyle name="S0 159" xfId="901"/>
    <cellStyle name="S0 16" xfId="902"/>
    <cellStyle name="S0 160" xfId="903"/>
    <cellStyle name="S0 161" xfId="904"/>
    <cellStyle name="S0 162" xfId="905"/>
    <cellStyle name="S0 163" xfId="906"/>
    <cellStyle name="S0 164" xfId="907"/>
    <cellStyle name="S0 165" xfId="908"/>
    <cellStyle name="S0 166" xfId="909"/>
    <cellStyle name="S0 167" xfId="910"/>
    <cellStyle name="S0 168" xfId="911"/>
    <cellStyle name="S0 169" xfId="912"/>
    <cellStyle name="S0 17" xfId="913"/>
    <cellStyle name="S0 170" xfId="914"/>
    <cellStyle name="S0 171" xfId="915"/>
    <cellStyle name="S0 172" xfId="916"/>
    <cellStyle name="S0 173" xfId="917"/>
    <cellStyle name="S0 174" xfId="918"/>
    <cellStyle name="S0 175" xfId="919"/>
    <cellStyle name="S0 176" xfId="920"/>
    <cellStyle name="S0 177" xfId="921"/>
    <cellStyle name="S0 178" xfId="922"/>
    <cellStyle name="S0 179" xfId="923"/>
    <cellStyle name="S0 18" xfId="924"/>
    <cellStyle name="S0 180" xfId="925"/>
    <cellStyle name="S0 181" xfId="926"/>
    <cellStyle name="S0 182" xfId="927"/>
    <cellStyle name="S0 183" xfId="928"/>
    <cellStyle name="S0 184" xfId="929"/>
    <cellStyle name="S0 185" xfId="930"/>
    <cellStyle name="S0 186" xfId="931"/>
    <cellStyle name="S0 187" xfId="932"/>
    <cellStyle name="S0 188" xfId="933"/>
    <cellStyle name="S0 189" xfId="934"/>
    <cellStyle name="S0 19" xfId="935"/>
    <cellStyle name="S0 190" xfId="936"/>
    <cellStyle name="S0 191" xfId="937"/>
    <cellStyle name="S0 192" xfId="938"/>
    <cellStyle name="S0 193" xfId="939"/>
    <cellStyle name="S0 194" xfId="940"/>
    <cellStyle name="S0 195" xfId="941"/>
    <cellStyle name="S0 196" xfId="942"/>
    <cellStyle name="S0 197" xfId="943"/>
    <cellStyle name="S0 198" xfId="944"/>
    <cellStyle name="S0 199" xfId="945"/>
    <cellStyle name="S0 2" xfId="946"/>
    <cellStyle name="S0 2 2" xfId="947"/>
    <cellStyle name="S0 20" xfId="948"/>
    <cellStyle name="S0 200" xfId="949"/>
    <cellStyle name="S0 201" xfId="950"/>
    <cellStyle name="S0 202" xfId="951"/>
    <cellStyle name="S0 203" xfId="952"/>
    <cellStyle name="S0 204" xfId="953"/>
    <cellStyle name="S0 205" xfId="954"/>
    <cellStyle name="S0 206" xfId="955"/>
    <cellStyle name="S0 207" xfId="956"/>
    <cellStyle name="S0 208" xfId="957"/>
    <cellStyle name="S0 209" xfId="958"/>
    <cellStyle name="S0 21" xfId="959"/>
    <cellStyle name="S0 210" xfId="960"/>
    <cellStyle name="S0 211" xfId="961"/>
    <cellStyle name="S0 212" xfId="962"/>
    <cellStyle name="S0 213" xfId="963"/>
    <cellStyle name="S0 214" xfId="964"/>
    <cellStyle name="S0 215" xfId="965"/>
    <cellStyle name="S0 216" xfId="966"/>
    <cellStyle name="S0 217" xfId="967"/>
    <cellStyle name="S0 218" xfId="968"/>
    <cellStyle name="S0 219" xfId="969"/>
    <cellStyle name="S0 22" xfId="970"/>
    <cellStyle name="S0 220" xfId="971"/>
    <cellStyle name="S0 221" xfId="972"/>
    <cellStyle name="S0 222" xfId="973"/>
    <cellStyle name="S0 223" xfId="974"/>
    <cellStyle name="S0 224" xfId="975"/>
    <cellStyle name="S0 225" xfId="976"/>
    <cellStyle name="S0 226" xfId="977"/>
    <cellStyle name="S0 227" xfId="978"/>
    <cellStyle name="S0 228" xfId="979"/>
    <cellStyle name="S0 229" xfId="980"/>
    <cellStyle name="S0 23" xfId="981"/>
    <cellStyle name="S0 230" xfId="982"/>
    <cellStyle name="S0 231" xfId="983"/>
    <cellStyle name="S0 232" xfId="984"/>
    <cellStyle name="S0 233" xfId="985"/>
    <cellStyle name="S0 234" xfId="986"/>
    <cellStyle name="S0 235" xfId="987"/>
    <cellStyle name="S0 236" xfId="988"/>
    <cellStyle name="S0 237" xfId="989"/>
    <cellStyle name="S0 238" xfId="990"/>
    <cellStyle name="S0 239" xfId="991"/>
    <cellStyle name="S0 24" xfId="992"/>
    <cellStyle name="S0 240" xfId="993"/>
    <cellStyle name="S0 241" xfId="994"/>
    <cellStyle name="S0 242" xfId="995"/>
    <cellStyle name="S0 243" xfId="996"/>
    <cellStyle name="S0 244" xfId="997"/>
    <cellStyle name="S0 245" xfId="998"/>
    <cellStyle name="S0 246" xfId="999"/>
    <cellStyle name="S0 247" xfId="1000"/>
    <cellStyle name="S0 248" xfId="1001"/>
    <cellStyle name="S0 249" xfId="1002"/>
    <cellStyle name="S0 25" xfId="1003"/>
    <cellStyle name="S0 250" xfId="1004"/>
    <cellStyle name="S0 251" xfId="1005"/>
    <cellStyle name="S0 252" xfId="1006"/>
    <cellStyle name="S0 253" xfId="1007"/>
    <cellStyle name="S0 254" xfId="1008"/>
    <cellStyle name="S0 255" xfId="1009"/>
    <cellStyle name="S0 256" xfId="1010"/>
    <cellStyle name="S0 257" xfId="1011"/>
    <cellStyle name="S0 258" xfId="1012"/>
    <cellStyle name="S0 259" xfId="1013"/>
    <cellStyle name="S0 26" xfId="1014"/>
    <cellStyle name="S0 260" xfId="1015"/>
    <cellStyle name="S0 261" xfId="1016"/>
    <cellStyle name="S0 262" xfId="1017"/>
    <cellStyle name="S0 263" xfId="1018"/>
    <cellStyle name="S0 264" xfId="1019"/>
    <cellStyle name="S0 265" xfId="1020"/>
    <cellStyle name="S0 266" xfId="1021"/>
    <cellStyle name="S0 266 2" xfId="1022"/>
    <cellStyle name="S0 267" xfId="1023"/>
    <cellStyle name="S0 268" xfId="1885"/>
    <cellStyle name="S0 27" xfId="1024"/>
    <cellStyle name="S0 28" xfId="1025"/>
    <cellStyle name="S0 29" xfId="1026"/>
    <cellStyle name="S0 3" xfId="1027"/>
    <cellStyle name="S0 3 2" xfId="1028"/>
    <cellStyle name="S0 30" xfId="1029"/>
    <cellStyle name="S0 31" xfId="1030"/>
    <cellStyle name="S0 32" xfId="1031"/>
    <cellStyle name="S0 33" xfId="1032"/>
    <cellStyle name="S0 34" xfId="1033"/>
    <cellStyle name="S0 35" xfId="1034"/>
    <cellStyle name="S0 36" xfId="1035"/>
    <cellStyle name="S0 37" xfId="1036"/>
    <cellStyle name="S0 38" xfId="1037"/>
    <cellStyle name="S0 39" xfId="1038"/>
    <cellStyle name="S0 4" xfId="1039"/>
    <cellStyle name="S0 40" xfId="1040"/>
    <cellStyle name="S0 41" xfId="1041"/>
    <cellStyle name="S0 42" xfId="1042"/>
    <cellStyle name="S0 43" xfId="1043"/>
    <cellStyle name="S0 44" xfId="1044"/>
    <cellStyle name="S0 45" xfId="1045"/>
    <cellStyle name="S0 46" xfId="1046"/>
    <cellStyle name="S0 47" xfId="1047"/>
    <cellStyle name="S0 48" xfId="1048"/>
    <cellStyle name="S0 49" xfId="1049"/>
    <cellStyle name="S0 5" xfId="1050"/>
    <cellStyle name="S0 50" xfId="1051"/>
    <cellStyle name="S0 51" xfId="1052"/>
    <cellStyle name="S0 52" xfId="1053"/>
    <cellStyle name="S0 53" xfId="1054"/>
    <cellStyle name="S0 54" xfId="1055"/>
    <cellStyle name="S0 55" xfId="1056"/>
    <cellStyle name="S0 56" xfId="1057"/>
    <cellStyle name="S0 57" xfId="1058"/>
    <cellStyle name="S0 58" xfId="1059"/>
    <cellStyle name="S0 59" xfId="1060"/>
    <cellStyle name="S0 6" xfId="1061"/>
    <cellStyle name="S0 60" xfId="1062"/>
    <cellStyle name="S0 61" xfId="1063"/>
    <cellStyle name="S0 62" xfId="1064"/>
    <cellStyle name="S0 63" xfId="1065"/>
    <cellStyle name="S0 64" xfId="1066"/>
    <cellStyle name="S0 65" xfId="1067"/>
    <cellStyle name="S0 66" xfId="1068"/>
    <cellStyle name="S0 67" xfId="1069"/>
    <cellStyle name="S0 68" xfId="1070"/>
    <cellStyle name="S0 69" xfId="1071"/>
    <cellStyle name="S0 7" xfId="1072"/>
    <cellStyle name="S0 70" xfId="1073"/>
    <cellStyle name="S0 71" xfId="1074"/>
    <cellStyle name="S0 72" xfId="1075"/>
    <cellStyle name="S0 73" xfId="1076"/>
    <cellStyle name="S0 74" xfId="1077"/>
    <cellStyle name="S0 75" xfId="1078"/>
    <cellStyle name="S0 76" xfId="1079"/>
    <cellStyle name="S0 77" xfId="1080"/>
    <cellStyle name="S0 78" xfId="1081"/>
    <cellStyle name="S0 79" xfId="1082"/>
    <cellStyle name="S0 8" xfId="1083"/>
    <cellStyle name="S0 80" xfId="1084"/>
    <cellStyle name="S0 81" xfId="1085"/>
    <cellStyle name="S0 82" xfId="1086"/>
    <cellStyle name="S0 83" xfId="1087"/>
    <cellStyle name="S0 84" xfId="1088"/>
    <cellStyle name="S0 85" xfId="1089"/>
    <cellStyle name="S0 86" xfId="1090"/>
    <cellStyle name="S0 87" xfId="1091"/>
    <cellStyle name="S0 88" xfId="1092"/>
    <cellStyle name="S0 89" xfId="1093"/>
    <cellStyle name="S0 9" xfId="1094"/>
    <cellStyle name="S0 90" xfId="1095"/>
    <cellStyle name="S0 91" xfId="1096"/>
    <cellStyle name="S0 92" xfId="1097"/>
    <cellStyle name="S0 93" xfId="1098"/>
    <cellStyle name="S0 94" xfId="1099"/>
    <cellStyle name="S0 95" xfId="1100"/>
    <cellStyle name="S0 96" xfId="1101"/>
    <cellStyle name="S0 97" xfId="1102"/>
    <cellStyle name="S0 98" xfId="1103"/>
    <cellStyle name="S0 99" xfId="1104"/>
    <cellStyle name="S0_Pembelian" xfId="1886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67" xfId="1887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mbelian" xfId="1888"/>
    <cellStyle name="S10" xfId="1374"/>
    <cellStyle name="S10 10" xfId="1375"/>
    <cellStyle name="S10 11" xfId="1376"/>
    <cellStyle name="S10 12" xfId="1377"/>
    <cellStyle name="S10 13" xfId="1378"/>
    <cellStyle name="S10 13 2" xfId="1379"/>
    <cellStyle name="S10 14" xfId="1380"/>
    <cellStyle name="S10 15" xfId="1381"/>
    <cellStyle name="S10 16" xfId="1382"/>
    <cellStyle name="S10 17" xfId="1889"/>
    <cellStyle name="S10 18" xfId="1890"/>
    <cellStyle name="S10 19" xfId="1383"/>
    <cellStyle name="S10 2" xfId="1384"/>
    <cellStyle name="S10 2 2" xfId="1385"/>
    <cellStyle name="S10 2 3" xfId="1386"/>
    <cellStyle name="S10 3" xfId="1387"/>
    <cellStyle name="S10 3 2" xfId="1388"/>
    <cellStyle name="S10 4" xfId="1389"/>
    <cellStyle name="S10 4 2" xfId="1390"/>
    <cellStyle name="S10 5" xfId="1391"/>
    <cellStyle name="S10 6" xfId="1392"/>
    <cellStyle name="S10 7" xfId="1393"/>
    <cellStyle name="S10 8" xfId="1394"/>
    <cellStyle name="S10 9" xfId="1395"/>
    <cellStyle name="S10_Pembelian" xfId="1891"/>
    <cellStyle name="S11" xfId="1396"/>
    <cellStyle name="S11 10" xfId="1397"/>
    <cellStyle name="S11 10 2" xfId="1398"/>
    <cellStyle name="S11 11" xfId="1399"/>
    <cellStyle name="S11 12" xfId="1400"/>
    <cellStyle name="S11 13" xfId="1401"/>
    <cellStyle name="S11 14" xfId="1402"/>
    <cellStyle name="S11 14 2" xfId="1892"/>
    <cellStyle name="S11 15" xfId="1893"/>
    <cellStyle name="S11 16" xfId="1894"/>
    <cellStyle name="S11 2" xfId="1403"/>
    <cellStyle name="S11 2 2" xfId="1404"/>
    <cellStyle name="S11 2 3" xfId="1405"/>
    <cellStyle name="S11 3" xfId="1406"/>
    <cellStyle name="S11 3 2" xfId="1407"/>
    <cellStyle name="S11 4" xfId="1408"/>
    <cellStyle name="S11 5" xfId="1409"/>
    <cellStyle name="S11 6" xfId="1410"/>
    <cellStyle name="S11 7" xfId="1411"/>
    <cellStyle name="S11 8" xfId="1412"/>
    <cellStyle name="S11 9" xfId="1413"/>
    <cellStyle name="S11_Pembelian" xfId="1895"/>
    <cellStyle name="S12" xfId="1414"/>
    <cellStyle name="S12 10" xfId="1896"/>
    <cellStyle name="S12 11" xfId="1897"/>
    <cellStyle name="S12 2" xfId="1415"/>
    <cellStyle name="S12 2 2" xfId="1416"/>
    <cellStyle name="S12 3" xfId="1417"/>
    <cellStyle name="S12 4" xfId="1418"/>
    <cellStyle name="S12 5" xfId="1419"/>
    <cellStyle name="S12 6" xfId="1420"/>
    <cellStyle name="S12 6 2" xfId="1421"/>
    <cellStyle name="S12 7" xfId="1422"/>
    <cellStyle name="S12 8" xfId="1423"/>
    <cellStyle name="S12 9" xfId="1898"/>
    <cellStyle name="S12_Pembelian" xfId="1899"/>
    <cellStyle name="S13" xfId="1424"/>
    <cellStyle name="S13 10" xfId="1900"/>
    <cellStyle name="S13 11" xfId="1901"/>
    <cellStyle name="S13 12" xfId="1902"/>
    <cellStyle name="S13 2" xfId="1425"/>
    <cellStyle name="S13 2 2" xfId="1426"/>
    <cellStyle name="S13 2 3" xfId="1427"/>
    <cellStyle name="S13 3" xfId="1428"/>
    <cellStyle name="S13 3 2" xfId="1429"/>
    <cellStyle name="S13 4" xfId="1430"/>
    <cellStyle name="S13 4 2" xfId="1431"/>
    <cellStyle name="S13 5" xfId="1432"/>
    <cellStyle name="S13 6" xfId="1433"/>
    <cellStyle name="S13 7" xfId="1434"/>
    <cellStyle name="S13 7 2" xfId="1903"/>
    <cellStyle name="S13 8" xfId="1904"/>
    <cellStyle name="S13 9" xfId="1905"/>
    <cellStyle name="S13_Pembelian" xfId="1906"/>
    <cellStyle name="S14" xfId="1435"/>
    <cellStyle name="S14 10" xfId="1907"/>
    <cellStyle name="S14 2" xfId="1436"/>
    <cellStyle name="S14 3" xfId="1437"/>
    <cellStyle name="S14 3 2" xfId="1438"/>
    <cellStyle name="S14 4" xfId="1439"/>
    <cellStyle name="S14 5" xfId="1908"/>
    <cellStyle name="S14 6" xfId="1909"/>
    <cellStyle name="S14 7" xfId="1910"/>
    <cellStyle name="S14 8" xfId="1911"/>
    <cellStyle name="S14 9" xfId="1912"/>
    <cellStyle name="S14_Pembelian" xfId="1913"/>
    <cellStyle name="S15" xfId="1440"/>
    <cellStyle name="S15 2" xfId="1441"/>
    <cellStyle name="S15 3" xfId="1442"/>
    <cellStyle name="S15 3 2" xfId="1914"/>
    <cellStyle name="S15 4" xfId="1915"/>
    <cellStyle name="S15 4 2" xfId="1916"/>
    <cellStyle name="S15 5" xfId="1917"/>
    <cellStyle name="S15 6" xfId="1918"/>
    <cellStyle name="S15 7" xfId="1919"/>
    <cellStyle name="S15_Pembelian" xfId="1920"/>
    <cellStyle name="S16" xfId="1443"/>
    <cellStyle name="S16 2" xfId="1444"/>
    <cellStyle name="S16 3" xfId="1445"/>
    <cellStyle name="S16 4" xfId="1921"/>
    <cellStyle name="S16 5" xfId="1922"/>
    <cellStyle name="S16 6" xfId="1923"/>
    <cellStyle name="S16_Pembelian" xfId="1924"/>
    <cellStyle name="S17" xfId="1446"/>
    <cellStyle name="S17 2" xfId="1925"/>
    <cellStyle name="S17 3" xfId="1926"/>
    <cellStyle name="S17 4" xfId="1927"/>
    <cellStyle name="S17_Pembelian" xfId="1928"/>
    <cellStyle name="S18" xfId="1447"/>
    <cellStyle name="S18 2" xfId="1929"/>
    <cellStyle name="S18 3" xfId="1930"/>
    <cellStyle name="S18 4" xfId="1931"/>
    <cellStyle name="S18_Pembelian" xfId="1932"/>
    <cellStyle name="S19" xfId="1448"/>
    <cellStyle name="S2" xfId="1449"/>
    <cellStyle name="S2 10" xfId="1450"/>
    <cellStyle name="S2 100" xfId="1451"/>
    <cellStyle name="S2 101" xfId="1452"/>
    <cellStyle name="S2 102" xfId="1453"/>
    <cellStyle name="S2 103" xfId="1454"/>
    <cellStyle name="S2 104" xfId="1455"/>
    <cellStyle name="S2 105" xfId="1456"/>
    <cellStyle name="S2 106" xfId="1457"/>
    <cellStyle name="S2 107" xfId="1458"/>
    <cellStyle name="S2 108" xfId="1459"/>
    <cellStyle name="S2 109" xfId="1460"/>
    <cellStyle name="S2 11" xfId="1461"/>
    <cellStyle name="S2 110" xfId="1462"/>
    <cellStyle name="S2 111" xfId="1463"/>
    <cellStyle name="S2 112" xfId="1464"/>
    <cellStyle name="S2 113" xfId="1465"/>
    <cellStyle name="S2 114" xfId="1466"/>
    <cellStyle name="S2 115" xfId="1467"/>
    <cellStyle name="S2 116" xfId="1468"/>
    <cellStyle name="S2 117" xfId="1469"/>
    <cellStyle name="S2 118" xfId="1470"/>
    <cellStyle name="S2 119" xfId="1471"/>
    <cellStyle name="S2 12" xfId="1472"/>
    <cellStyle name="S2 120" xfId="1473"/>
    <cellStyle name="S2 121" xfId="1474"/>
    <cellStyle name="S2 122" xfId="1475"/>
    <cellStyle name="S2 123" xfId="1476"/>
    <cellStyle name="S2 124" xfId="1477"/>
    <cellStyle name="S2 125" xfId="1478"/>
    <cellStyle name="S2 126" xfId="1479"/>
    <cellStyle name="S2 127" xfId="1480"/>
    <cellStyle name="S2 128" xfId="1481"/>
    <cellStyle name="S2 129" xfId="1482"/>
    <cellStyle name="S2 13" xfId="1483"/>
    <cellStyle name="S2 130" xfId="1484"/>
    <cellStyle name="S2 131" xfId="1485"/>
    <cellStyle name="S2 132" xfId="1486"/>
    <cellStyle name="S2 133" xfId="1487"/>
    <cellStyle name="S2 134" xfId="1488"/>
    <cellStyle name="S2 135" xfId="1489"/>
    <cellStyle name="S2 136" xfId="1490"/>
    <cellStyle name="S2 137" xfId="1491"/>
    <cellStyle name="S2 138" xfId="1492"/>
    <cellStyle name="S2 139" xfId="1493"/>
    <cellStyle name="S2 14" xfId="1494"/>
    <cellStyle name="S2 140" xfId="1495"/>
    <cellStyle name="S2 141" xfId="1496"/>
    <cellStyle name="S2 142" xfId="1497"/>
    <cellStyle name="S2 143" xfId="1498"/>
    <cellStyle name="S2 144" xfId="1499"/>
    <cellStyle name="S2 145" xfId="1500"/>
    <cellStyle name="S2 146" xfId="1501"/>
    <cellStyle name="S2 147" xfId="1502"/>
    <cellStyle name="S2 148" xfId="1503"/>
    <cellStyle name="S2 149" xfId="1504"/>
    <cellStyle name="S2 15" xfId="1505"/>
    <cellStyle name="S2 150" xfId="1506"/>
    <cellStyle name="S2 151" xfId="1507"/>
    <cellStyle name="S2 152" xfId="1508"/>
    <cellStyle name="S2 153" xfId="1509"/>
    <cellStyle name="S2 154" xfId="1510"/>
    <cellStyle name="S2 155" xfId="1511"/>
    <cellStyle name="S2 156" xfId="1512"/>
    <cellStyle name="S2 157" xfId="1513"/>
    <cellStyle name="S2 158" xfId="1514"/>
    <cellStyle name="S2 159" xfId="1515"/>
    <cellStyle name="S2 16" xfId="1516"/>
    <cellStyle name="S2 160" xfId="1517"/>
    <cellStyle name="S2 161" xfId="1518"/>
    <cellStyle name="S2 162" xfId="1519"/>
    <cellStyle name="S2 163" xfId="1520"/>
    <cellStyle name="S2 164" xfId="1521"/>
    <cellStyle name="S2 165" xfId="1522"/>
    <cellStyle name="S2 166" xfId="1523"/>
    <cellStyle name="S2 167" xfId="1524"/>
    <cellStyle name="S2 168" xfId="1525"/>
    <cellStyle name="S2 169" xfId="1526"/>
    <cellStyle name="S2 17" xfId="1527"/>
    <cellStyle name="S2 170" xfId="1528"/>
    <cellStyle name="S2 171" xfId="1529"/>
    <cellStyle name="S2 172" xfId="1530"/>
    <cellStyle name="S2 173" xfId="1531"/>
    <cellStyle name="S2 174" xfId="1532"/>
    <cellStyle name="S2 175" xfId="1533"/>
    <cellStyle name="S2 176" xfId="1534"/>
    <cellStyle name="S2 177" xfId="1535"/>
    <cellStyle name="S2 178" xfId="1536"/>
    <cellStyle name="S2 179" xfId="1537"/>
    <cellStyle name="S2 18" xfId="1538"/>
    <cellStyle name="S2 180" xfId="1539"/>
    <cellStyle name="S2 181" xfId="1540"/>
    <cellStyle name="S2 182" xfId="1541"/>
    <cellStyle name="S2 183" xfId="1542"/>
    <cellStyle name="S2 184" xfId="1543"/>
    <cellStyle name="S2 185" xfId="1544"/>
    <cellStyle name="S2 186" xfId="1545"/>
    <cellStyle name="S2 187" xfId="1546"/>
    <cellStyle name="S2 188" xfId="1547"/>
    <cellStyle name="S2 189" xfId="1548"/>
    <cellStyle name="S2 19" xfId="1549"/>
    <cellStyle name="S2 190" xfId="1550"/>
    <cellStyle name="S2 191" xfId="1551"/>
    <cellStyle name="S2 192" xfId="1552"/>
    <cellStyle name="S2 193" xfId="1553"/>
    <cellStyle name="S2 194" xfId="1554"/>
    <cellStyle name="S2 195" xfId="1555"/>
    <cellStyle name="S2 196" xfId="1556"/>
    <cellStyle name="S2 197" xfId="1557"/>
    <cellStyle name="S2 198" xfId="1558"/>
    <cellStyle name="S2 199" xfId="1559"/>
    <cellStyle name="S2 2" xfId="1560"/>
    <cellStyle name="S2 2 2" xfId="1561"/>
    <cellStyle name="S2 20" xfId="1562"/>
    <cellStyle name="S2 200" xfId="1563"/>
    <cellStyle name="S2 201" xfId="1564"/>
    <cellStyle name="S2 202" xfId="1565"/>
    <cellStyle name="S2 203" xfId="1566"/>
    <cellStyle name="S2 204" xfId="1567"/>
    <cellStyle name="S2 205" xfId="1568"/>
    <cellStyle name="S2 206" xfId="1569"/>
    <cellStyle name="S2 207" xfId="1570"/>
    <cellStyle name="S2 208" xfId="1571"/>
    <cellStyle name="S2 209" xfId="1572"/>
    <cellStyle name="S2 21" xfId="1573"/>
    <cellStyle name="S2 210" xfId="1574"/>
    <cellStyle name="S2 211" xfId="1575"/>
    <cellStyle name="S2 212" xfId="1576"/>
    <cellStyle name="S2 213" xfId="1577"/>
    <cellStyle name="S2 214" xfId="1578"/>
    <cellStyle name="S2 215" xfId="1579"/>
    <cellStyle name="S2 216" xfId="1580"/>
    <cellStyle name="S2 217" xfId="1581"/>
    <cellStyle name="S2 218" xfId="1582"/>
    <cellStyle name="S2 219" xfId="1583"/>
    <cellStyle name="S2 22" xfId="1584"/>
    <cellStyle name="S2 220" xfId="1585"/>
    <cellStyle name="S2 221" xfId="1586"/>
    <cellStyle name="S2 222" xfId="1587"/>
    <cellStyle name="S2 223" xfId="1588"/>
    <cellStyle name="S2 224" xfId="1589"/>
    <cellStyle name="S2 225" xfId="1590"/>
    <cellStyle name="S2 226" xfId="1591"/>
    <cellStyle name="S2 227" xfId="1592"/>
    <cellStyle name="S2 228" xfId="1593"/>
    <cellStyle name="S2 229" xfId="1594"/>
    <cellStyle name="S2 23" xfId="1595"/>
    <cellStyle name="S2 230" xfId="1596"/>
    <cellStyle name="S2 231" xfId="1597"/>
    <cellStyle name="S2 232" xfId="1598"/>
    <cellStyle name="S2 233" xfId="1599"/>
    <cellStyle name="S2 234" xfId="1600"/>
    <cellStyle name="S2 235" xfId="1601"/>
    <cellStyle name="S2 236" xfId="1602"/>
    <cellStyle name="S2 237" xfId="1603"/>
    <cellStyle name="S2 238" xfId="1604"/>
    <cellStyle name="S2 239" xfId="1605"/>
    <cellStyle name="S2 24" xfId="1606"/>
    <cellStyle name="S2 240" xfId="1607"/>
    <cellStyle name="S2 241" xfId="1608"/>
    <cellStyle name="S2 242" xfId="1609"/>
    <cellStyle name="S2 243" xfId="1610"/>
    <cellStyle name="S2 244" xfId="1611"/>
    <cellStyle name="S2 245" xfId="1612"/>
    <cellStyle name="S2 246" xfId="1613"/>
    <cellStyle name="S2 247" xfId="1614"/>
    <cellStyle name="S2 248" xfId="1615"/>
    <cellStyle name="S2 249" xfId="1616"/>
    <cellStyle name="S2 25" xfId="1617"/>
    <cellStyle name="S2 250" xfId="1618"/>
    <cellStyle name="S2 251" xfId="1619"/>
    <cellStyle name="S2 252" xfId="1620"/>
    <cellStyle name="S2 253" xfId="1621"/>
    <cellStyle name="S2 254" xfId="1622"/>
    <cellStyle name="S2 255" xfId="1623"/>
    <cellStyle name="S2 256" xfId="1624"/>
    <cellStyle name="S2 257" xfId="1625"/>
    <cellStyle name="S2 258" xfId="1626"/>
    <cellStyle name="S2 259" xfId="1627"/>
    <cellStyle name="S2 26" xfId="1628"/>
    <cellStyle name="S2 260" xfId="1629"/>
    <cellStyle name="S2 261" xfId="1630"/>
    <cellStyle name="S2 262" xfId="1631"/>
    <cellStyle name="S2 263" xfId="1632"/>
    <cellStyle name="S2 264" xfId="1633"/>
    <cellStyle name="S2 265" xfId="1634"/>
    <cellStyle name="S2 265 2" xfId="1635"/>
    <cellStyle name="S2 266" xfId="1636"/>
    <cellStyle name="S2 267" xfId="1933"/>
    <cellStyle name="S2 27" xfId="1637"/>
    <cellStyle name="S2 28" xfId="1638"/>
    <cellStyle name="S2 29" xfId="1639"/>
    <cellStyle name="S2 3" xfId="1640"/>
    <cellStyle name="S2 3 2" xfId="1641"/>
    <cellStyle name="S2 30" xfId="1642"/>
    <cellStyle name="S2 31" xfId="1643"/>
    <cellStyle name="S2 32" xfId="1644"/>
    <cellStyle name="S2 33" xfId="1645"/>
    <cellStyle name="S2 34" xfId="1646"/>
    <cellStyle name="S2 35" xfId="1647"/>
    <cellStyle name="S2 36" xfId="1648"/>
    <cellStyle name="S2 37" xfId="1649"/>
    <cellStyle name="S2 38" xfId="1650"/>
    <cellStyle name="S2 39" xfId="1651"/>
    <cellStyle name="S2 4" xfId="1652"/>
    <cellStyle name="S2 40" xfId="1653"/>
    <cellStyle name="S2 41" xfId="1654"/>
    <cellStyle name="S2 42" xfId="1655"/>
    <cellStyle name="S2 43" xfId="1656"/>
    <cellStyle name="S2 44" xfId="1657"/>
    <cellStyle name="S2 45" xfId="1658"/>
    <cellStyle name="S2 46" xfId="1659"/>
    <cellStyle name="S2 47" xfId="1660"/>
    <cellStyle name="S2 48" xfId="1661"/>
    <cellStyle name="S2 49" xfId="1662"/>
    <cellStyle name="S2 5" xfId="1663"/>
    <cellStyle name="S2 50" xfId="1664"/>
    <cellStyle name="S2 51" xfId="1665"/>
    <cellStyle name="S2 52" xfId="1666"/>
    <cellStyle name="S2 53" xfId="1667"/>
    <cellStyle name="S2 54" xfId="1668"/>
    <cellStyle name="S2 55" xfId="1669"/>
    <cellStyle name="S2 56" xfId="1670"/>
    <cellStyle name="S2 57" xfId="1671"/>
    <cellStyle name="S2 58" xfId="1672"/>
    <cellStyle name="S2 59" xfId="1673"/>
    <cellStyle name="S2 6" xfId="1674"/>
    <cellStyle name="S2 60" xfId="1675"/>
    <cellStyle name="S2 61" xfId="1676"/>
    <cellStyle name="S2 62" xfId="1677"/>
    <cellStyle name="S2 63" xfId="1678"/>
    <cellStyle name="S2 64" xfId="1679"/>
    <cellStyle name="S2 65" xfId="1680"/>
    <cellStyle name="S2 66" xfId="1681"/>
    <cellStyle name="S2 67" xfId="1682"/>
    <cellStyle name="S2 68" xfId="1683"/>
    <cellStyle name="S2 69" xfId="1684"/>
    <cellStyle name="S2 7" xfId="1685"/>
    <cellStyle name="S2 70" xfId="1686"/>
    <cellStyle name="S2 71" xfId="1687"/>
    <cellStyle name="S2 72" xfId="1688"/>
    <cellStyle name="S2 73" xfId="1689"/>
    <cellStyle name="S2 74" xfId="1690"/>
    <cellStyle name="S2 75" xfId="1691"/>
    <cellStyle name="S2 76" xfId="1692"/>
    <cellStyle name="S2 77" xfId="1693"/>
    <cellStyle name="S2 78" xfId="1694"/>
    <cellStyle name="S2 79" xfId="1695"/>
    <cellStyle name="S2 8" xfId="1696"/>
    <cellStyle name="S2 80" xfId="1697"/>
    <cellStyle name="S2 81" xfId="1698"/>
    <cellStyle name="S2 82" xfId="1699"/>
    <cellStyle name="S2 83" xfId="1700"/>
    <cellStyle name="S2 84" xfId="1701"/>
    <cellStyle name="S2 85" xfId="1702"/>
    <cellStyle name="S2 86" xfId="1703"/>
    <cellStyle name="S2 87" xfId="1704"/>
    <cellStyle name="S2 88" xfId="1705"/>
    <cellStyle name="S2 89" xfId="1706"/>
    <cellStyle name="S2 9" xfId="1707"/>
    <cellStyle name="S2 90" xfId="1708"/>
    <cellStyle name="S2 91" xfId="1709"/>
    <cellStyle name="S2 92" xfId="1710"/>
    <cellStyle name="S2 93" xfId="1711"/>
    <cellStyle name="S2 94" xfId="1712"/>
    <cellStyle name="S2 95" xfId="1713"/>
    <cellStyle name="S2 96" xfId="1714"/>
    <cellStyle name="S2 97" xfId="1715"/>
    <cellStyle name="S2 98" xfId="1716"/>
    <cellStyle name="S2 99" xfId="1717"/>
    <cellStyle name="S2_Pembelian" xfId="1934"/>
    <cellStyle name="S20" xfId="1718"/>
    <cellStyle name="S21" xfId="1719"/>
    <cellStyle name="S22" xfId="1720"/>
    <cellStyle name="S23" xfId="1721"/>
    <cellStyle name="S24" xfId="1722"/>
    <cellStyle name="S25" xfId="1723"/>
    <cellStyle name="S26" xfId="1724"/>
    <cellStyle name="S27" xfId="1725"/>
    <cellStyle name="S28" xfId="1726"/>
    <cellStyle name="S29" xfId="1727"/>
    <cellStyle name="S3" xfId="1728"/>
    <cellStyle name="S3 10" xfId="1729"/>
    <cellStyle name="S3 11" xfId="1935"/>
    <cellStyle name="S3 2" xfId="1730"/>
    <cellStyle name="S3 2 2" xfId="1731"/>
    <cellStyle name="S3 3" xfId="1732"/>
    <cellStyle name="S3 3 2" xfId="1733"/>
    <cellStyle name="S3 4" xfId="1734"/>
    <cellStyle name="S3 5" xfId="1735"/>
    <cellStyle name="S3 6" xfId="1736"/>
    <cellStyle name="S3 7" xfId="1737"/>
    <cellStyle name="S3 8" xfId="1738"/>
    <cellStyle name="S3 9" xfId="1739"/>
    <cellStyle name="S3 9 2" xfId="1740"/>
    <cellStyle name="S3_Pembelian" xfId="1936"/>
    <cellStyle name="S30" xfId="1741"/>
    <cellStyle name="S31" xfId="1742"/>
    <cellStyle name="S32" xfId="1743"/>
    <cellStyle name="S33" xfId="1744"/>
    <cellStyle name="S34" xfId="1745"/>
    <cellStyle name="S35" xfId="1746"/>
    <cellStyle name="S36" xfId="1747"/>
    <cellStyle name="S4" xfId="1748"/>
    <cellStyle name="S4 10" xfId="1749"/>
    <cellStyle name="S4 11" xfId="1750"/>
    <cellStyle name="S4 12" xfId="1751"/>
    <cellStyle name="S4 12 2" xfId="1752"/>
    <cellStyle name="S4 13" xfId="1753"/>
    <cellStyle name="S4 14" xfId="1754"/>
    <cellStyle name="S4 14 2" xfId="1755"/>
    <cellStyle name="S4 15" xfId="1937"/>
    <cellStyle name="S4 16" xfId="1938"/>
    <cellStyle name="S4 19" xfId="1756"/>
    <cellStyle name="S4 2" xfId="1757"/>
    <cellStyle name="S4 2 2" xfId="1758"/>
    <cellStyle name="S4 3" xfId="1759"/>
    <cellStyle name="S4 3 2" xfId="1760"/>
    <cellStyle name="S4 4" xfId="1761"/>
    <cellStyle name="S4 4 2" xfId="1762"/>
    <cellStyle name="S4 5" xfId="1763"/>
    <cellStyle name="S4 5 2" xfId="1764"/>
    <cellStyle name="S4 6" xfId="1765"/>
    <cellStyle name="S4 7" xfId="1766"/>
    <cellStyle name="S4 8" xfId="1767"/>
    <cellStyle name="S4 9" xfId="1768"/>
    <cellStyle name="S4 9 2" xfId="1939"/>
    <cellStyle name="S4_Pembelian" xfId="1940"/>
    <cellStyle name="S5" xfId="1769"/>
    <cellStyle name="S5 10" xfId="1770"/>
    <cellStyle name="S5 10 2" xfId="1771"/>
    <cellStyle name="S5 11" xfId="1772"/>
    <cellStyle name="S5 12" xfId="1941"/>
    <cellStyle name="S5 13" xfId="1942"/>
    <cellStyle name="S5 19" xfId="1773"/>
    <cellStyle name="S5 19 2" xfId="1774"/>
    <cellStyle name="S5 2" xfId="1775"/>
    <cellStyle name="S5 2 2" xfId="1776"/>
    <cellStyle name="S5 2 3" xfId="1777"/>
    <cellStyle name="S5 3" xfId="1778"/>
    <cellStyle name="S5 3 2" xfId="1779"/>
    <cellStyle name="S5 3 3" xfId="1780"/>
    <cellStyle name="S5 4" xfId="1781"/>
    <cellStyle name="S5 4 2" xfId="1782"/>
    <cellStyle name="S5 5" xfId="1783"/>
    <cellStyle name="S5 6" xfId="1784"/>
    <cellStyle name="S5 6 2" xfId="1785"/>
    <cellStyle name="S5 7" xfId="1786"/>
    <cellStyle name="S5 8" xfId="1787"/>
    <cellStyle name="S5 9" xfId="1788"/>
    <cellStyle name="S5 9 2" xfId="1789"/>
    <cellStyle name="S5 9 3" xfId="1790"/>
    <cellStyle name="S5_Pembelian" xfId="1943"/>
    <cellStyle name="S6" xfId="1791"/>
    <cellStyle name="S6 10" xfId="1792"/>
    <cellStyle name="S6 11" xfId="1793"/>
    <cellStyle name="S6 11 2" xfId="1794"/>
    <cellStyle name="S6 11 3" xfId="1795"/>
    <cellStyle name="S6 12" xfId="1796"/>
    <cellStyle name="S6 13" xfId="1797"/>
    <cellStyle name="S6 13 2" xfId="1798"/>
    <cellStyle name="S6 14" xfId="1799"/>
    <cellStyle name="S6 15" xfId="1800"/>
    <cellStyle name="S6 16" xfId="1944"/>
    <cellStyle name="S6 17" xfId="1945"/>
    <cellStyle name="S6 18" xfId="1801"/>
    <cellStyle name="S6 18 2" xfId="1802"/>
    <cellStyle name="S6 2" xfId="1803"/>
    <cellStyle name="S6 2 2" xfId="1804"/>
    <cellStyle name="S6 2 3" xfId="1805"/>
    <cellStyle name="S6 3" xfId="1806"/>
    <cellStyle name="S6 3 2" xfId="1807"/>
    <cellStyle name="S6 4" xfId="1808"/>
    <cellStyle name="S6 4 2" xfId="1809"/>
    <cellStyle name="S6 5" xfId="1810"/>
    <cellStyle name="S6 5 2" xfId="1811"/>
    <cellStyle name="S6 6" xfId="1812"/>
    <cellStyle name="S6 7" xfId="1813"/>
    <cellStyle name="S6 8" xfId="1814"/>
    <cellStyle name="S6 9" xfId="1815"/>
    <cellStyle name="S6_Pembelian" xfId="1946"/>
    <cellStyle name="S7" xfId="1816"/>
    <cellStyle name="S7 10" xfId="1817"/>
    <cellStyle name="S7 10 2" xfId="1818"/>
    <cellStyle name="S7 10 3" xfId="1819"/>
    <cellStyle name="S7 11" xfId="1820"/>
    <cellStyle name="S7 12" xfId="1821"/>
    <cellStyle name="S7 12 2" xfId="1822"/>
    <cellStyle name="S7 13" xfId="1823"/>
    <cellStyle name="S7 14" xfId="1824"/>
    <cellStyle name="S7 15" xfId="1947"/>
    <cellStyle name="S7 16" xfId="1948"/>
    <cellStyle name="S7 19" xfId="1825"/>
    <cellStyle name="S7 19 2" xfId="1826"/>
    <cellStyle name="S7 19 2 2" xfId="1827"/>
    <cellStyle name="S7 19 3" xfId="1828"/>
    <cellStyle name="S7 2" xfId="1829"/>
    <cellStyle name="S7 2 2" xfId="1830"/>
    <cellStyle name="S7 2 3" xfId="1831"/>
    <cellStyle name="S7 2 4" xfId="1832"/>
    <cellStyle name="S7 3" xfId="1833"/>
    <cellStyle name="S7 3 2" xfId="1834"/>
    <cellStyle name="S7 4" xfId="1835"/>
    <cellStyle name="S7 5" xfId="1836"/>
    <cellStyle name="S7 6" xfId="1837"/>
    <cellStyle name="S7 6 2" xfId="1838"/>
    <cellStyle name="S7 7" xfId="1839"/>
    <cellStyle name="S7 8" xfId="1840"/>
    <cellStyle name="S7 9" xfId="1841"/>
    <cellStyle name="S7_Pembelian" xfId="1949"/>
    <cellStyle name="S8" xfId="1842"/>
    <cellStyle name="S8 10" xfId="1843"/>
    <cellStyle name="S8 11" xfId="1844"/>
    <cellStyle name="S8 12" xfId="1950"/>
    <cellStyle name="S8 13" xfId="1951"/>
    <cellStyle name="S8 14" xfId="1952"/>
    <cellStyle name="S8 2" xfId="1845"/>
    <cellStyle name="S8 2 2" xfId="1846"/>
    <cellStyle name="S8 2 3" xfId="1847"/>
    <cellStyle name="S8 3" xfId="1848"/>
    <cellStyle name="S8 3 2" xfId="1849"/>
    <cellStyle name="S8 3 3" xfId="1850"/>
    <cellStyle name="S8 4" xfId="1851"/>
    <cellStyle name="S8 4 2" xfId="1852"/>
    <cellStyle name="S8 5" xfId="1853"/>
    <cellStyle name="S8 5 2" xfId="1854"/>
    <cellStyle name="S8 6" xfId="1855"/>
    <cellStyle name="S8 7" xfId="1856"/>
    <cellStyle name="S8 8" xfId="1857"/>
    <cellStyle name="S8 8 2" xfId="1858"/>
    <cellStyle name="S8 9" xfId="1859"/>
    <cellStyle name="S8 9 2" xfId="1860"/>
    <cellStyle name="S8_Pembelian" xfId="1953"/>
    <cellStyle name="S9" xfId="1861"/>
    <cellStyle name="S9 10" xfId="1862"/>
    <cellStyle name="S9 11" xfId="1863"/>
    <cellStyle name="S9 11 2" xfId="1864"/>
    <cellStyle name="S9 11 3" xfId="1865"/>
    <cellStyle name="S9 12" xfId="1866"/>
    <cellStyle name="S9 13" xfId="1867"/>
    <cellStyle name="S9 14" xfId="1868"/>
    <cellStyle name="S9 15" xfId="1954"/>
    <cellStyle name="S9 16" xfId="1955"/>
    <cellStyle name="S9 17" xfId="1956"/>
    <cellStyle name="S9 2" xfId="1869"/>
    <cellStyle name="S9 2 2" xfId="1870"/>
    <cellStyle name="S9 2 3" xfId="1871"/>
    <cellStyle name="S9 3" xfId="1872"/>
    <cellStyle name="S9 3 2" xfId="1873"/>
    <cellStyle name="S9 4" xfId="1874"/>
    <cellStyle name="S9 5" xfId="1875"/>
    <cellStyle name="S9 6" xfId="1876"/>
    <cellStyle name="S9 7" xfId="1877"/>
    <cellStyle name="S9 8" xfId="1878"/>
    <cellStyle name="S9 9" xfId="1879"/>
    <cellStyle name="S9_Pembelian" xfId="1957"/>
  </cellStyles>
  <dxfs count="371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35987</xdr:colOff>
      <xdr:row>0</xdr:row>
      <xdr:rowOff>14818</xdr:rowOff>
    </xdr:from>
    <xdr:to>
      <xdr:col>0</xdr:col>
      <xdr:colOff>364071</xdr:colOff>
      <xdr:row>0</xdr:row>
      <xdr:rowOff>300568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xmlns="" id="{00000000-0008-0000-0500-000010000000}"/>
            </a:ext>
          </a:extLst>
        </xdr:cNvPr>
        <xdr:cNvSpPr/>
      </xdr:nvSpPr>
      <xdr:spPr>
        <a:xfrm>
          <a:off x="93137" y="2662768"/>
          <a:ext cx="328084" cy="285750"/>
        </a:xfrm>
        <a:prstGeom prst="ellipse">
          <a:avLst/>
        </a:prstGeom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OD%20Akhir%20Bulan%20by%20IT%2006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imulasi%20Target/Simulasi%20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Surya Tani/Pujiono</v>
          </cell>
          <cell r="L12">
            <v>4400000</v>
          </cell>
          <cell r="M12">
            <v>0</v>
          </cell>
        </row>
        <row r="13">
          <cell r="L13">
            <v>896000</v>
          </cell>
          <cell r="M13">
            <v>0</v>
          </cell>
        </row>
        <row r="14">
          <cell r="L14">
            <v>1700000</v>
          </cell>
          <cell r="M14">
            <v>1700000</v>
          </cell>
        </row>
        <row r="15">
          <cell r="L15">
            <v>6800000</v>
          </cell>
          <cell r="M15">
            <v>0</v>
          </cell>
        </row>
        <row r="16">
          <cell r="L16">
            <v>0</v>
          </cell>
          <cell r="M16">
            <v>3750000</v>
          </cell>
        </row>
        <row r="17">
          <cell r="L17">
            <v>1880000</v>
          </cell>
          <cell r="M17">
            <v>0</v>
          </cell>
        </row>
        <row r="18">
          <cell r="L18">
            <v>47000000</v>
          </cell>
          <cell r="M18">
            <v>0</v>
          </cell>
        </row>
        <row r="19">
          <cell r="L19">
            <v>0</v>
          </cell>
          <cell r="M19">
            <v>8100000</v>
          </cell>
        </row>
        <row r="20">
          <cell r="L20">
            <v>0</v>
          </cell>
          <cell r="M20">
            <v>27320000</v>
          </cell>
        </row>
        <row r="21">
          <cell r="L21">
            <v>0</v>
          </cell>
          <cell r="M21">
            <v>6700000</v>
          </cell>
        </row>
        <row r="22">
          <cell r="L22">
            <v>0</v>
          </cell>
          <cell r="M22">
            <v>26562500</v>
          </cell>
        </row>
        <row r="23">
          <cell r="L23">
            <v>56200000</v>
          </cell>
          <cell r="M23">
            <v>0</v>
          </cell>
        </row>
        <row r="24">
          <cell r="L24">
            <v>61295000</v>
          </cell>
          <cell r="M24">
            <v>0</v>
          </cell>
        </row>
        <row r="25">
          <cell r="L25">
            <v>0</v>
          </cell>
          <cell r="M25">
            <v>1700000</v>
          </cell>
        </row>
        <row r="26">
          <cell r="L26">
            <v>20000000</v>
          </cell>
          <cell r="M26">
            <v>0</v>
          </cell>
        </row>
        <row r="27">
          <cell r="L27">
            <v>0</v>
          </cell>
          <cell r="M27">
            <v>10675000</v>
          </cell>
        </row>
        <row r="28">
          <cell r="L28">
            <v>0</v>
          </cell>
          <cell r="M28">
            <v>70146000</v>
          </cell>
        </row>
        <row r="29">
          <cell r="L29">
            <v>4000000</v>
          </cell>
        </row>
        <row r="30">
          <cell r="L30">
            <v>0</v>
          </cell>
          <cell r="M30">
            <v>2800000</v>
          </cell>
        </row>
        <row r="31">
          <cell r="L31">
            <v>12000000</v>
          </cell>
          <cell r="M31">
            <v>11085000</v>
          </cell>
        </row>
        <row r="32">
          <cell r="L32">
            <v>0</v>
          </cell>
          <cell r="M32">
            <v>9000000</v>
          </cell>
        </row>
        <row r="33">
          <cell r="L33">
            <v>70000000</v>
          </cell>
          <cell r="M33">
            <v>466000000</v>
          </cell>
        </row>
        <row r="34">
          <cell r="L34">
            <v>5575000</v>
          </cell>
          <cell r="M34">
            <v>0</v>
          </cell>
        </row>
        <row r="35">
          <cell r="L35">
            <v>2000000</v>
          </cell>
          <cell r="M35">
            <v>3400000</v>
          </cell>
        </row>
        <row r="36">
          <cell r="L36">
            <v>3415000</v>
          </cell>
          <cell r="M36">
            <v>0</v>
          </cell>
        </row>
        <row r="37">
          <cell r="L37">
            <v>83300500</v>
          </cell>
          <cell r="M37">
            <v>0</v>
          </cell>
        </row>
        <row r="38">
          <cell r="L38">
            <v>0</v>
          </cell>
          <cell r="M38">
            <v>28000000</v>
          </cell>
        </row>
        <row r="39">
          <cell r="L39">
            <v>981000</v>
          </cell>
          <cell r="M39">
            <v>0</v>
          </cell>
        </row>
        <row r="40">
          <cell r="L40">
            <v>0</v>
          </cell>
          <cell r="M40">
            <v>47000000</v>
          </cell>
        </row>
        <row r="41">
          <cell r="L41">
            <v>38746000</v>
          </cell>
          <cell r="M41">
            <v>0</v>
          </cell>
        </row>
        <row r="42">
          <cell r="L42">
            <v>0</v>
          </cell>
          <cell r="M42">
            <v>6500000</v>
          </cell>
        </row>
        <row r="43">
          <cell r="L43">
            <v>0</v>
          </cell>
          <cell r="M43">
            <v>47590000</v>
          </cell>
        </row>
        <row r="44">
          <cell r="L44">
            <v>0</v>
          </cell>
          <cell r="M44">
            <v>29200000</v>
          </cell>
        </row>
        <row r="45">
          <cell r="L45">
            <v>27750000</v>
          </cell>
          <cell r="M45">
            <v>0</v>
          </cell>
        </row>
        <row r="46">
          <cell r="L46">
            <v>2120000</v>
          </cell>
          <cell r="M46">
            <v>0</v>
          </cell>
        </row>
        <row r="47">
          <cell r="L47">
            <v>3310000</v>
          </cell>
          <cell r="M47">
            <v>0</v>
          </cell>
        </row>
        <row r="48">
          <cell r="L48">
            <v>10600000</v>
          </cell>
          <cell r="M48">
            <v>0</v>
          </cell>
        </row>
        <row r="49">
          <cell r="L49">
            <v>6750000</v>
          </cell>
          <cell r="M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  <cell r="M52">
            <v>5415200</v>
          </cell>
        </row>
        <row r="53">
          <cell r="L53">
            <v>1480000</v>
          </cell>
          <cell r="M53">
            <v>0</v>
          </cell>
        </row>
        <row r="54">
          <cell r="L54">
            <v>22210000</v>
          </cell>
          <cell r="M54">
            <v>14421700</v>
          </cell>
        </row>
        <row r="55">
          <cell r="L55">
            <v>0</v>
          </cell>
          <cell r="M55">
            <v>37800000</v>
          </cell>
        </row>
        <row r="56">
          <cell r="L56">
            <v>47984000</v>
          </cell>
          <cell r="M56">
            <v>13560250</v>
          </cell>
        </row>
        <row r="57">
          <cell r="L57">
            <v>9984000</v>
          </cell>
          <cell r="M57">
            <v>0</v>
          </cell>
        </row>
        <row r="58">
          <cell r="L58">
            <v>0</v>
          </cell>
          <cell r="M58">
            <v>30640000</v>
          </cell>
        </row>
        <row r="59">
          <cell r="L59">
            <v>0</v>
          </cell>
          <cell r="M59">
            <v>3300000</v>
          </cell>
        </row>
        <row r="60">
          <cell r="L60">
            <v>3120000</v>
          </cell>
          <cell r="M60">
            <v>0</v>
          </cell>
        </row>
        <row r="61">
          <cell r="L61">
            <v>4800000</v>
          </cell>
          <cell r="M61">
            <v>0</v>
          </cell>
        </row>
        <row r="62">
          <cell r="L62">
            <v>12620000</v>
          </cell>
          <cell r="M62">
            <v>60892500</v>
          </cell>
        </row>
        <row r="63">
          <cell r="L63">
            <v>46200000</v>
          </cell>
          <cell r="M63">
            <v>0</v>
          </cell>
        </row>
        <row r="64">
          <cell r="L64">
            <v>0</v>
          </cell>
          <cell r="M64">
            <v>20325000</v>
          </cell>
        </row>
        <row r="65">
          <cell r="L65">
            <v>0</v>
          </cell>
          <cell r="M65">
            <v>5400000</v>
          </cell>
        </row>
        <row r="66">
          <cell r="L66">
            <v>23280000</v>
          </cell>
          <cell r="M66">
            <v>0</v>
          </cell>
        </row>
        <row r="67">
          <cell r="L67">
            <v>18300000</v>
          </cell>
          <cell r="M67">
            <v>0</v>
          </cell>
        </row>
        <row r="68">
          <cell r="L68">
            <v>7000000</v>
          </cell>
          <cell r="M68">
            <v>0</v>
          </cell>
        </row>
        <row r="69">
          <cell r="L69">
            <v>15400000</v>
          </cell>
          <cell r="M69">
            <v>0</v>
          </cell>
        </row>
        <row r="70">
          <cell r="L70">
            <v>19000000</v>
          </cell>
          <cell r="M70">
            <v>0</v>
          </cell>
        </row>
        <row r="71">
          <cell r="L71">
            <v>0</v>
          </cell>
          <cell r="M71">
            <v>3150000</v>
          </cell>
        </row>
        <row r="72">
          <cell r="L72">
            <v>0</v>
          </cell>
          <cell r="M72">
            <v>1700000</v>
          </cell>
        </row>
        <row r="73">
          <cell r="L73">
            <v>7625000</v>
          </cell>
          <cell r="M73">
            <v>0</v>
          </cell>
        </row>
        <row r="74">
          <cell r="L74">
            <v>0</v>
          </cell>
          <cell r="M74">
            <v>39680000</v>
          </cell>
        </row>
        <row r="75">
          <cell r="L75">
            <v>0</v>
          </cell>
          <cell r="M75">
            <v>149330000</v>
          </cell>
        </row>
        <row r="76">
          <cell r="L76">
            <v>26900000</v>
          </cell>
          <cell r="M76">
            <v>0</v>
          </cell>
        </row>
        <row r="77">
          <cell r="L77">
            <v>0</v>
          </cell>
          <cell r="M77">
            <v>10800000</v>
          </cell>
        </row>
        <row r="78">
          <cell r="L78">
            <v>2016000</v>
          </cell>
          <cell r="M78">
            <v>0</v>
          </cell>
        </row>
        <row r="79">
          <cell r="L79">
            <v>8120000</v>
          </cell>
          <cell r="M79">
            <v>4780000</v>
          </cell>
        </row>
        <row r="80">
          <cell r="L80">
            <v>88590000</v>
          </cell>
          <cell r="M80">
            <v>0</v>
          </cell>
        </row>
        <row r="81">
          <cell r="L81">
            <v>92910000</v>
          </cell>
          <cell r="M81">
            <v>0</v>
          </cell>
        </row>
        <row r="82">
          <cell r="L82">
            <v>63560000</v>
          </cell>
          <cell r="M82">
            <v>0</v>
          </cell>
        </row>
        <row r="83">
          <cell r="L83">
            <v>16300000</v>
          </cell>
          <cell r="M83">
            <v>0</v>
          </cell>
        </row>
        <row r="84">
          <cell r="L84">
            <v>64680000</v>
          </cell>
        </row>
        <row r="85">
          <cell r="L85">
            <v>38000000</v>
          </cell>
          <cell r="M85">
            <v>0</v>
          </cell>
        </row>
        <row r="86">
          <cell r="L86">
            <v>0</v>
          </cell>
          <cell r="M86">
            <v>27150000</v>
          </cell>
        </row>
        <row r="87">
          <cell r="L87">
            <v>3960000</v>
          </cell>
          <cell r="M87">
            <v>0</v>
          </cell>
        </row>
        <row r="88">
          <cell r="L88">
            <v>0</v>
          </cell>
          <cell r="M88">
            <v>13860000</v>
          </cell>
        </row>
        <row r="89">
          <cell r="L89">
            <v>5480000</v>
          </cell>
          <cell r="M89">
            <v>0</v>
          </cell>
        </row>
        <row r="90">
          <cell r="L90">
            <v>113000</v>
          </cell>
          <cell r="M90">
            <v>0</v>
          </cell>
        </row>
        <row r="91">
          <cell r="L91">
            <v>18000000</v>
          </cell>
          <cell r="M91">
            <v>0</v>
          </cell>
        </row>
        <row r="92">
          <cell r="L92">
            <v>0</v>
          </cell>
          <cell r="M92">
            <v>2925000</v>
          </cell>
        </row>
        <row r="93">
          <cell r="L93">
            <v>0</v>
          </cell>
          <cell r="M93">
            <v>6180000</v>
          </cell>
        </row>
        <row r="94">
          <cell r="L94">
            <v>18800000</v>
          </cell>
          <cell r="M94">
            <v>10000000</v>
          </cell>
        </row>
        <row r="95">
          <cell r="L95">
            <v>0</v>
          </cell>
          <cell r="M95">
            <v>11250000</v>
          </cell>
        </row>
        <row r="96">
          <cell r="L96">
            <v>0</v>
          </cell>
          <cell r="M96">
            <v>24125000</v>
          </cell>
        </row>
        <row r="97">
          <cell r="L97">
            <v>13700000</v>
          </cell>
          <cell r="M97">
            <v>0</v>
          </cell>
        </row>
        <row r="98">
          <cell r="L98">
            <v>6475000</v>
          </cell>
          <cell r="M98">
            <v>0</v>
          </cell>
        </row>
        <row r="99">
          <cell r="L99">
            <v>55330000</v>
          </cell>
          <cell r="M99">
            <v>0</v>
          </cell>
        </row>
        <row r="100">
          <cell r="L100">
            <v>900000</v>
          </cell>
          <cell r="M100">
            <v>0</v>
          </cell>
        </row>
        <row r="101">
          <cell r="L101">
            <v>9700000</v>
          </cell>
          <cell r="M101">
            <v>0</v>
          </cell>
        </row>
        <row r="102">
          <cell r="L102">
            <v>2415000</v>
          </cell>
          <cell r="M102">
            <v>0</v>
          </cell>
        </row>
        <row r="103">
          <cell r="L103">
            <v>0</v>
          </cell>
          <cell r="M103">
            <v>5442000</v>
          </cell>
        </row>
        <row r="104">
          <cell r="L104">
            <v>14400000</v>
          </cell>
          <cell r="M104">
            <v>0</v>
          </cell>
        </row>
        <row r="105">
          <cell r="L105">
            <v>51634137</v>
          </cell>
          <cell r="M105">
            <v>0</v>
          </cell>
        </row>
        <row r="106">
          <cell r="L106">
            <v>0</v>
          </cell>
          <cell r="M106">
            <v>8100000</v>
          </cell>
        </row>
        <row r="107">
          <cell r="L107">
            <v>0</v>
          </cell>
          <cell r="M107">
            <v>54400000</v>
          </cell>
        </row>
        <row r="108">
          <cell r="L108">
            <v>5600000</v>
          </cell>
          <cell r="M108">
            <v>0</v>
          </cell>
        </row>
        <row r="109">
          <cell r="L109">
            <v>72150000</v>
          </cell>
          <cell r="M109">
            <v>0</v>
          </cell>
        </row>
        <row r="110">
          <cell r="L110">
            <v>8175000</v>
          </cell>
          <cell r="M110">
            <v>0</v>
          </cell>
        </row>
        <row r="111">
          <cell r="L111">
            <v>0</v>
          </cell>
          <cell r="M111">
            <v>7560000</v>
          </cell>
        </row>
        <row r="112">
          <cell r="L112">
            <v>0</v>
          </cell>
          <cell r="M112">
            <v>11340000</v>
          </cell>
        </row>
        <row r="113">
          <cell r="L113">
            <v>0</v>
          </cell>
          <cell r="M113">
            <v>0</v>
          </cell>
        </row>
        <row r="114">
          <cell r="L114">
            <v>0</v>
          </cell>
          <cell r="M114">
            <v>8362500</v>
          </cell>
        </row>
        <row r="115">
          <cell r="L115">
            <v>0</v>
          </cell>
          <cell r="M115">
            <v>63275000</v>
          </cell>
        </row>
        <row r="116">
          <cell r="L116">
            <v>374500</v>
          </cell>
          <cell r="M116">
            <v>64805500</v>
          </cell>
        </row>
        <row r="117">
          <cell r="L117">
            <v>4130000</v>
          </cell>
          <cell r="M117">
            <v>0</v>
          </cell>
        </row>
        <row r="118">
          <cell r="L118">
            <v>6529500</v>
          </cell>
          <cell r="M118">
            <v>0</v>
          </cell>
        </row>
        <row r="119">
          <cell r="L119">
            <v>2449750</v>
          </cell>
          <cell r="M119">
            <v>0</v>
          </cell>
        </row>
        <row r="120">
          <cell r="L120">
            <v>1800000</v>
          </cell>
          <cell r="M120">
            <v>0</v>
          </cell>
        </row>
        <row r="121">
          <cell r="L121">
            <v>0</v>
          </cell>
          <cell r="M121">
            <v>5700000</v>
          </cell>
        </row>
        <row r="122">
          <cell r="L122">
            <v>1560000</v>
          </cell>
          <cell r="M122">
            <v>0</v>
          </cell>
        </row>
        <row r="123">
          <cell r="L123">
            <v>0</v>
          </cell>
          <cell r="M123">
            <v>23680000</v>
          </cell>
        </row>
        <row r="124">
          <cell r="L124">
            <v>0</v>
          </cell>
          <cell r="M124">
            <v>68423000</v>
          </cell>
        </row>
        <row r="125">
          <cell r="L125">
            <v>9500000</v>
          </cell>
          <cell r="M125">
            <v>0</v>
          </cell>
        </row>
        <row r="126">
          <cell r="L126">
            <v>750000</v>
          </cell>
          <cell r="M126">
            <v>0</v>
          </cell>
        </row>
        <row r="127">
          <cell r="L127">
            <v>3640000</v>
          </cell>
          <cell r="M127">
            <v>0</v>
          </cell>
        </row>
        <row r="128">
          <cell r="L128">
            <v>26180000</v>
          </cell>
          <cell r="M128">
            <v>0</v>
          </cell>
        </row>
        <row r="129">
          <cell r="L129">
            <v>4080000</v>
          </cell>
          <cell r="M129">
            <v>0</v>
          </cell>
        </row>
        <row r="130">
          <cell r="L130">
            <v>17520000</v>
          </cell>
          <cell r="M130">
            <v>0</v>
          </cell>
        </row>
        <row r="131">
          <cell r="L131">
            <v>0</v>
          </cell>
          <cell r="M131">
            <v>980000</v>
          </cell>
        </row>
        <row r="132">
          <cell r="L132">
            <v>0</v>
          </cell>
          <cell r="M132">
            <v>10800000</v>
          </cell>
        </row>
        <row r="133">
          <cell r="L133">
            <v>0</v>
          </cell>
          <cell r="M133">
            <v>32430000</v>
          </cell>
        </row>
        <row r="134">
          <cell r="L134">
            <v>0</v>
          </cell>
          <cell r="M134">
            <v>35000000</v>
          </cell>
        </row>
        <row r="135">
          <cell r="L135">
            <v>0</v>
          </cell>
          <cell r="M135">
            <v>5360000</v>
          </cell>
        </row>
        <row r="136">
          <cell r="L136">
            <v>185600000</v>
          </cell>
          <cell r="M136">
            <v>0</v>
          </cell>
        </row>
        <row r="137">
          <cell r="L137">
            <v>11600000</v>
          </cell>
          <cell r="M137">
            <v>0</v>
          </cell>
        </row>
        <row r="138">
          <cell r="L138">
            <v>6250000</v>
          </cell>
          <cell r="M138">
            <v>0</v>
          </cell>
        </row>
        <row r="139">
          <cell r="L139">
            <v>34200000</v>
          </cell>
          <cell r="M139">
            <v>0</v>
          </cell>
        </row>
        <row r="140">
          <cell r="L140">
            <v>0</v>
          </cell>
          <cell r="M140">
            <v>2450000</v>
          </cell>
        </row>
        <row r="141">
          <cell r="L141">
            <v>0</v>
          </cell>
          <cell r="M141">
            <v>58000000</v>
          </cell>
        </row>
        <row r="142">
          <cell r="L142">
            <v>27880000</v>
          </cell>
          <cell r="M142">
            <v>0</v>
          </cell>
        </row>
        <row r="143">
          <cell r="L143">
            <v>3525000</v>
          </cell>
          <cell r="M143">
            <v>41475000</v>
          </cell>
        </row>
        <row r="144">
          <cell r="L144">
            <v>133000000</v>
          </cell>
          <cell r="M144">
            <v>0</v>
          </cell>
        </row>
        <row r="145">
          <cell r="L145">
            <v>9900000</v>
          </cell>
          <cell r="M145">
            <v>0</v>
          </cell>
        </row>
        <row r="146">
          <cell r="L146">
            <v>100355000</v>
          </cell>
          <cell r="M146">
            <v>0</v>
          </cell>
        </row>
        <row r="147">
          <cell r="L147">
            <v>15000000</v>
          </cell>
          <cell r="M147">
            <v>0</v>
          </cell>
        </row>
        <row r="148">
          <cell r="L148">
            <v>156000000</v>
          </cell>
          <cell r="M148">
            <v>0</v>
          </cell>
        </row>
        <row r="149">
          <cell r="L149">
            <v>133000000</v>
          </cell>
          <cell r="M149">
            <v>0</v>
          </cell>
        </row>
        <row r="150">
          <cell r="L150">
            <v>0</v>
          </cell>
          <cell r="M150">
            <v>0</v>
          </cell>
        </row>
        <row r="151">
          <cell r="L151">
            <v>0</v>
          </cell>
          <cell r="M151">
            <v>0</v>
          </cell>
        </row>
        <row r="152">
          <cell r="L152">
            <v>0</v>
          </cell>
          <cell r="M152">
            <v>0</v>
          </cell>
        </row>
        <row r="153">
          <cell r="L153">
            <v>0</v>
          </cell>
          <cell r="M153">
            <v>0</v>
          </cell>
        </row>
        <row r="154">
          <cell r="L154">
            <v>0</v>
          </cell>
          <cell r="M154">
            <v>0</v>
          </cell>
        </row>
        <row r="155">
          <cell r="L155">
            <v>0</v>
          </cell>
          <cell r="M155">
            <v>0</v>
          </cell>
        </row>
        <row r="156">
          <cell r="L156">
            <v>0</v>
          </cell>
          <cell r="M156">
            <v>0</v>
          </cell>
        </row>
        <row r="157">
          <cell r="L157">
            <v>0</v>
          </cell>
          <cell r="M157">
            <v>0</v>
          </cell>
        </row>
        <row r="158">
          <cell r="L158">
            <v>0</v>
          </cell>
          <cell r="M158">
            <v>0</v>
          </cell>
        </row>
        <row r="159">
          <cell r="L159">
            <v>0</v>
          </cell>
          <cell r="M159">
            <v>0</v>
          </cell>
        </row>
        <row r="160">
          <cell r="L160">
            <v>0</v>
          </cell>
          <cell r="M160">
            <v>0</v>
          </cell>
        </row>
        <row r="161">
          <cell r="L161">
            <v>0</v>
          </cell>
          <cell r="M161">
            <v>0</v>
          </cell>
        </row>
        <row r="162">
          <cell r="L162">
            <v>0</v>
          </cell>
          <cell r="M162">
            <v>0</v>
          </cell>
        </row>
        <row r="163">
          <cell r="L163">
            <v>0</v>
          </cell>
          <cell r="M163">
            <v>0</v>
          </cell>
        </row>
        <row r="164">
          <cell r="L164">
            <v>0</v>
          </cell>
          <cell r="M164">
            <v>0</v>
          </cell>
        </row>
        <row r="165">
          <cell r="L165">
            <v>0</v>
          </cell>
          <cell r="M165">
            <v>0</v>
          </cell>
        </row>
        <row r="166">
          <cell r="L166">
            <v>0</v>
          </cell>
          <cell r="M166">
            <v>0</v>
          </cell>
        </row>
        <row r="167">
          <cell r="L167">
            <v>0</v>
          </cell>
          <cell r="M167">
            <v>0</v>
          </cell>
        </row>
        <row r="168">
          <cell r="L168">
            <v>0</v>
          </cell>
          <cell r="M168">
            <v>0</v>
          </cell>
        </row>
        <row r="169">
          <cell r="L169">
            <v>0</v>
          </cell>
          <cell r="M169">
            <v>0</v>
          </cell>
        </row>
        <row r="170">
          <cell r="L170">
            <v>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D26001399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D26001405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B26001728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B26001887</v>
          </cell>
          <cell r="AP12">
            <v>0</v>
          </cell>
          <cell r="AQ12">
            <v>0</v>
          </cell>
          <cell r="AV12">
            <v>6557500</v>
          </cell>
        </row>
        <row r="13">
          <cell r="E13" t="str">
            <v>B26001888</v>
          </cell>
          <cell r="AP13">
            <v>0</v>
          </cell>
          <cell r="AQ13">
            <v>0</v>
          </cell>
          <cell r="AV13">
            <v>1092500</v>
          </cell>
        </row>
        <row r="14">
          <cell r="E14" t="str">
            <v>B26001402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D26000442</v>
          </cell>
          <cell r="AP15">
            <v>0</v>
          </cell>
          <cell r="AQ15">
            <v>0</v>
          </cell>
          <cell r="AV15">
            <v>8640000</v>
          </cell>
        </row>
        <row r="16">
          <cell r="E16" t="str">
            <v>D26000735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D26000961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D26001043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D26001257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D26001258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B26001582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B26001651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B26002060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D26002172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D25013604</v>
          </cell>
          <cell r="AP25">
            <v>0</v>
          </cell>
          <cell r="AQ25">
            <v>0</v>
          </cell>
          <cell r="AV25">
            <v>10000000</v>
          </cell>
        </row>
        <row r="26">
          <cell r="E26" t="str">
            <v>B25015898</v>
          </cell>
          <cell r="AP26">
            <v>0</v>
          </cell>
          <cell r="AQ26">
            <v>0</v>
          </cell>
          <cell r="AV26">
            <v>28420000</v>
          </cell>
        </row>
        <row r="27">
          <cell r="E27" t="str">
            <v>D25019533</v>
          </cell>
          <cell r="AP27">
            <v>0</v>
          </cell>
          <cell r="AQ27">
            <v>0</v>
          </cell>
          <cell r="AV27">
            <v>20250000</v>
          </cell>
        </row>
        <row r="28">
          <cell r="E28" t="str">
            <v>B25017054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B25017068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B26000149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D26001878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B26001775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D25018816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B26000698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T26000040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T25000266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B25013635</v>
          </cell>
          <cell r="AP37">
            <v>0</v>
          </cell>
          <cell r="AQ37">
            <v>0</v>
          </cell>
          <cell r="AV37">
            <v>2000000</v>
          </cell>
        </row>
        <row r="38">
          <cell r="E38" t="str">
            <v>B25013636</v>
          </cell>
          <cell r="AP38">
            <v>0</v>
          </cell>
          <cell r="AQ38">
            <v>0</v>
          </cell>
          <cell r="AV38">
            <v>1000000</v>
          </cell>
        </row>
        <row r="39">
          <cell r="E39" t="str">
            <v>D25016962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B25016685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B26000153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B26002238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B26002239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D26002320</v>
          </cell>
          <cell r="AP44">
            <v>0</v>
          </cell>
          <cell r="AQ44">
            <v>0</v>
          </cell>
          <cell r="AV44">
            <v>13500000</v>
          </cell>
        </row>
        <row r="45">
          <cell r="E45" t="str">
            <v>B26001983</v>
          </cell>
          <cell r="AP45">
            <v>0</v>
          </cell>
          <cell r="AQ45">
            <v>0</v>
          </cell>
          <cell r="AV45">
            <v>1462500</v>
          </cell>
        </row>
        <row r="46">
          <cell r="E46" t="str">
            <v>R25000092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D26001073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D26001074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D26001946</v>
          </cell>
          <cell r="AP49">
            <v>0</v>
          </cell>
          <cell r="AQ49">
            <v>0</v>
          </cell>
          <cell r="AV49">
            <v>46000000</v>
          </cell>
        </row>
        <row r="50">
          <cell r="E50" t="str">
            <v>B25016283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B25016284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D26001142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D26000437</v>
          </cell>
          <cell r="AP53">
            <v>0</v>
          </cell>
          <cell r="AQ53">
            <v>0</v>
          </cell>
          <cell r="AV53">
            <v>24920000</v>
          </cell>
        </row>
        <row r="54">
          <cell r="E54" t="str">
            <v>D26000449</v>
          </cell>
          <cell r="AP54">
            <v>0</v>
          </cell>
          <cell r="AQ54">
            <v>0</v>
          </cell>
          <cell r="AV54">
            <v>8700000</v>
          </cell>
        </row>
        <row r="55">
          <cell r="E55" t="str">
            <v>D26001017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B26001350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D26002020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D26002074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D26002421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T26000164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D25019438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D26000375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B26000515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B26000670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B26001258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B26001259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B26001658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D26001772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B26001815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D26001968</v>
          </cell>
          <cell r="AP70">
            <v>0</v>
          </cell>
          <cell r="AQ70">
            <v>26400000</v>
          </cell>
          <cell r="AV70">
            <v>0</v>
          </cell>
        </row>
        <row r="71">
          <cell r="E71" t="str">
            <v>B26001910</v>
          </cell>
          <cell r="AP71">
            <v>0</v>
          </cell>
          <cell r="AQ71">
            <v>26400000</v>
          </cell>
          <cell r="AV71">
            <v>0</v>
          </cell>
        </row>
        <row r="72">
          <cell r="E72" t="str">
            <v>B26002217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B25014427</v>
          </cell>
          <cell r="AP73">
            <v>0</v>
          </cell>
          <cell r="AQ73">
            <v>0</v>
          </cell>
          <cell r="AV73">
            <v>5000000</v>
          </cell>
        </row>
        <row r="74">
          <cell r="E74" t="str">
            <v>B25015559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T25001844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D25016973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B25014356</v>
          </cell>
          <cell r="AP77">
            <v>0</v>
          </cell>
          <cell r="AQ77">
            <v>0</v>
          </cell>
          <cell r="AV77">
            <v>1695000</v>
          </cell>
        </row>
        <row r="78">
          <cell r="E78" t="str">
            <v>B25014813</v>
          </cell>
          <cell r="AP78">
            <v>0</v>
          </cell>
          <cell r="AQ78">
            <v>0</v>
          </cell>
          <cell r="AV78">
            <v>5000</v>
          </cell>
        </row>
        <row r="79">
          <cell r="E79" t="str">
            <v>B25015629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D25018878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T25001869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D26000099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B25016595</v>
          </cell>
          <cell r="AP83">
            <v>0</v>
          </cell>
          <cell r="AQ83">
            <v>0</v>
          </cell>
          <cell r="AV83">
            <v>5100000</v>
          </cell>
        </row>
        <row r="84">
          <cell r="E84" t="str">
            <v>D25019293</v>
          </cell>
          <cell r="AP84">
            <v>0</v>
          </cell>
          <cell r="AQ84">
            <v>0</v>
          </cell>
          <cell r="AV84">
            <v>2841000</v>
          </cell>
        </row>
        <row r="85">
          <cell r="E85" t="str">
            <v>B25016918</v>
          </cell>
          <cell r="AP85">
            <v>0</v>
          </cell>
          <cell r="AQ85">
            <v>0</v>
          </cell>
          <cell r="AV85">
            <v>23875000</v>
          </cell>
        </row>
        <row r="86">
          <cell r="E86" t="str">
            <v>B25016929</v>
          </cell>
          <cell r="AP86">
            <v>0</v>
          </cell>
          <cell r="AQ86">
            <v>0</v>
          </cell>
          <cell r="AV86">
            <v>1860000</v>
          </cell>
        </row>
        <row r="87">
          <cell r="E87" t="str">
            <v>B25016984</v>
          </cell>
          <cell r="AP87">
            <v>0</v>
          </cell>
          <cell r="AQ87">
            <v>0</v>
          </cell>
          <cell r="AV87">
            <v>1875000</v>
          </cell>
        </row>
        <row r="88">
          <cell r="E88" t="str">
            <v>D26000011</v>
          </cell>
          <cell r="AP88">
            <v>0</v>
          </cell>
          <cell r="AQ88">
            <v>0</v>
          </cell>
          <cell r="AV88">
            <v>260000</v>
          </cell>
        </row>
        <row r="89">
          <cell r="E89" t="str">
            <v>B26000193</v>
          </cell>
          <cell r="AP89">
            <v>0</v>
          </cell>
          <cell r="AQ89">
            <v>0</v>
          </cell>
          <cell r="AV89">
            <v>520000</v>
          </cell>
        </row>
        <row r="90">
          <cell r="E90" t="str">
            <v>D26000353</v>
          </cell>
          <cell r="AP90">
            <v>0</v>
          </cell>
          <cell r="AQ90">
            <v>0</v>
          </cell>
          <cell r="AV90">
            <v>2139000</v>
          </cell>
        </row>
        <row r="91">
          <cell r="E91" t="str">
            <v>D26000354</v>
          </cell>
          <cell r="AP91">
            <v>0</v>
          </cell>
          <cell r="AQ91">
            <v>0</v>
          </cell>
          <cell r="AV91">
            <v>270000</v>
          </cell>
        </row>
        <row r="92">
          <cell r="E92" t="str">
            <v>B26000366</v>
          </cell>
          <cell r="AP92">
            <v>0</v>
          </cell>
          <cell r="AQ92">
            <v>0</v>
          </cell>
          <cell r="AV92">
            <v>2225500</v>
          </cell>
        </row>
        <row r="93">
          <cell r="E93" t="str">
            <v>B26000620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B26000733</v>
          </cell>
          <cell r="AP94">
            <v>0</v>
          </cell>
          <cell r="AQ94">
            <v>0</v>
          </cell>
          <cell r="AV94">
            <v>1900000</v>
          </cell>
        </row>
        <row r="95">
          <cell r="E95" t="str">
            <v>D26001015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B26001001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B26001078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B26001105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N26000013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D26001690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B26001706</v>
          </cell>
          <cell r="AP101">
            <v>0</v>
          </cell>
          <cell r="AQ101">
            <v>0</v>
          </cell>
          <cell r="AV101">
            <v>8437500</v>
          </cell>
        </row>
        <row r="102">
          <cell r="E102" t="str">
            <v>B26001707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B26001722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B26001797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B26001992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D26002210</v>
          </cell>
          <cell r="AP106">
            <v>0</v>
          </cell>
          <cell r="AQ106">
            <v>0</v>
          </cell>
          <cell r="AV106">
            <v>83750000</v>
          </cell>
        </row>
        <row r="107">
          <cell r="E107" t="str">
            <v>B26002223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 t="str">
            <v>B25016295</v>
          </cell>
          <cell r="AP108">
            <v>0</v>
          </cell>
          <cell r="AQ108">
            <v>0</v>
          </cell>
          <cell r="AV108">
            <v>2120000</v>
          </cell>
        </row>
        <row r="109">
          <cell r="E109" t="str">
            <v>D26000143</v>
          </cell>
          <cell r="AP109">
            <v>0</v>
          </cell>
          <cell r="AQ109">
            <v>0</v>
          </cell>
          <cell r="AV109">
            <v>920000</v>
          </cell>
        </row>
        <row r="110">
          <cell r="E110" t="str">
            <v>D26000209</v>
          </cell>
          <cell r="AP110">
            <v>0</v>
          </cell>
          <cell r="AQ110">
            <v>0</v>
          </cell>
          <cell r="AV110">
            <v>8000000</v>
          </cell>
        </row>
        <row r="111">
          <cell r="E111" t="str">
            <v>D26000789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B26000824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B26001115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B26001116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T26000098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D26001469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D26001603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B26002029</v>
          </cell>
          <cell r="AP118">
            <v>0</v>
          </cell>
          <cell r="AQ118">
            <v>0</v>
          </cell>
          <cell r="AV118">
            <v>5700000</v>
          </cell>
        </row>
        <row r="119">
          <cell r="E119" t="str">
            <v>B26002030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B26000465</v>
          </cell>
          <cell r="AP120">
            <v>0</v>
          </cell>
          <cell r="AQ120">
            <v>0</v>
          </cell>
          <cell r="AV120">
            <v>13867500</v>
          </cell>
        </row>
        <row r="121">
          <cell r="E121" t="str">
            <v>B26000466</v>
          </cell>
          <cell r="AP121">
            <v>0</v>
          </cell>
          <cell r="AQ121">
            <v>0</v>
          </cell>
          <cell r="AV121">
            <v>1680000</v>
          </cell>
        </row>
        <row r="122">
          <cell r="E122" t="str">
            <v>B26000467</v>
          </cell>
          <cell r="AP122">
            <v>1500000</v>
          </cell>
          <cell r="AQ122">
            <v>0</v>
          </cell>
          <cell r="AV122">
            <v>0</v>
          </cell>
        </row>
        <row r="123">
          <cell r="E123" t="str">
            <v>B26000468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B26000497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D26001028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B26001023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D26001110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D26001939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D26001940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B26001843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D26002381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D26002382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B25016839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D25019387</v>
          </cell>
          <cell r="AP134">
            <v>0</v>
          </cell>
          <cell r="AQ134">
            <v>0</v>
          </cell>
          <cell r="AV134">
            <v>1400000</v>
          </cell>
        </row>
        <row r="135">
          <cell r="E135" t="str">
            <v>B25016959</v>
          </cell>
          <cell r="AP135">
            <v>0</v>
          </cell>
          <cell r="AQ135">
            <v>0</v>
          </cell>
          <cell r="AV135">
            <v>2422500</v>
          </cell>
        </row>
        <row r="136">
          <cell r="E136" t="str">
            <v>D26000166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D26000191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B26000930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>
            <v>260008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B26001067</v>
          </cell>
          <cell r="AP140">
            <v>0</v>
          </cell>
          <cell r="AQ140">
            <v>0</v>
          </cell>
          <cell r="AV140">
            <v>0</v>
          </cell>
        </row>
        <row r="141">
          <cell r="E141" t="str">
            <v>D26001141</v>
          </cell>
          <cell r="AP141">
            <v>0</v>
          </cell>
          <cell r="AQ141">
            <v>0</v>
          </cell>
          <cell r="AV141">
            <v>0</v>
          </cell>
        </row>
        <row r="142">
          <cell r="E142" t="str">
            <v>B26001925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B26001948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D26002072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D26002399</v>
          </cell>
          <cell r="AP145">
            <v>0</v>
          </cell>
          <cell r="AQ145">
            <v>0</v>
          </cell>
          <cell r="AV145">
            <v>0</v>
          </cell>
        </row>
        <row r="146">
          <cell r="E146" t="str">
            <v>D25018521</v>
          </cell>
          <cell r="AP146">
            <v>0</v>
          </cell>
          <cell r="AQ146">
            <v>0</v>
          </cell>
          <cell r="AV146">
            <v>1350000</v>
          </cell>
        </row>
        <row r="147">
          <cell r="E147" t="str">
            <v>B25016305</v>
          </cell>
          <cell r="AP147">
            <v>0</v>
          </cell>
          <cell r="AQ147">
            <v>0</v>
          </cell>
          <cell r="AV147">
            <v>3600000</v>
          </cell>
        </row>
        <row r="148">
          <cell r="E148" t="str">
            <v>D25019209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D25019322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B25016814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D25019425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B26000949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B26001134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D26001706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B25015209</v>
          </cell>
          <cell r="AP155">
            <v>0</v>
          </cell>
          <cell r="AQ155">
            <v>0</v>
          </cell>
          <cell r="AV155">
            <v>14850000</v>
          </cell>
        </row>
        <row r="156">
          <cell r="E156" t="str">
            <v>B25015334</v>
          </cell>
          <cell r="AP156">
            <v>0</v>
          </cell>
          <cell r="AQ156">
            <v>0</v>
          </cell>
          <cell r="AV156">
            <v>47500000</v>
          </cell>
        </row>
        <row r="157">
          <cell r="E157" t="str">
            <v>B25015337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D25018133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D25018782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D25019513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B26000096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B26000131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D26000074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D26000098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D26000109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D26000207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B26000766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D26001183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B26001162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B26001461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B26001838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D26000288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B26001492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D26001216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B26001011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B26001114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B26002194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L23000053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D24005367</v>
          </cell>
          <cell r="AP179">
            <v>0</v>
          </cell>
          <cell r="AQ179">
            <v>0</v>
          </cell>
          <cell r="AV179">
            <v>1000000</v>
          </cell>
        </row>
        <row r="180">
          <cell r="E180" t="str">
            <v>D26000611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D25017086</v>
          </cell>
          <cell r="AP181">
            <v>0</v>
          </cell>
          <cell r="AQ181">
            <v>0</v>
          </cell>
          <cell r="AV181">
            <v>11240000</v>
          </cell>
        </row>
        <row r="182">
          <cell r="E182" t="str">
            <v>D25018288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B25016797</v>
          </cell>
          <cell r="AP183">
            <v>0</v>
          </cell>
          <cell r="AQ183">
            <v>0</v>
          </cell>
          <cell r="AV183">
            <v>18600000</v>
          </cell>
        </row>
        <row r="184">
          <cell r="E184" t="str">
            <v>B26000117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B26000136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D26000208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D26000330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B26000590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D26001033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D26001256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B26001599</v>
          </cell>
          <cell r="AP191">
            <v>0</v>
          </cell>
          <cell r="AQ191">
            <v>0</v>
          </cell>
          <cell r="AV191">
            <v>19400000</v>
          </cell>
        </row>
        <row r="192">
          <cell r="E192" t="str">
            <v>B26001705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D26001977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D26002260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D25017360</v>
          </cell>
          <cell r="AP195">
            <v>0</v>
          </cell>
          <cell r="AQ195">
            <v>0</v>
          </cell>
          <cell r="AV195">
            <v>1680000</v>
          </cell>
        </row>
        <row r="196">
          <cell r="E196" t="str">
            <v>B25015079</v>
          </cell>
          <cell r="AP196">
            <v>0</v>
          </cell>
          <cell r="AQ196">
            <v>0</v>
          </cell>
          <cell r="AV196">
            <v>540000</v>
          </cell>
        </row>
        <row r="197">
          <cell r="E197" t="str">
            <v>D25017962</v>
          </cell>
          <cell r="AP197">
            <v>0</v>
          </cell>
          <cell r="AQ197">
            <v>0</v>
          </cell>
          <cell r="AV197">
            <v>5260000</v>
          </cell>
        </row>
        <row r="198">
          <cell r="E198" t="str">
            <v>D25018362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B25016342</v>
          </cell>
          <cell r="AP199">
            <v>0</v>
          </cell>
          <cell r="AQ199">
            <v>0</v>
          </cell>
          <cell r="AV199">
            <v>13416000</v>
          </cell>
        </row>
        <row r="200">
          <cell r="E200" t="str">
            <v>D25018975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D25019037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D25019124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B25016713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D25019220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D25019249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D25019291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D25019449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B26000018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B26000036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D26000067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B26000277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B26000503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D26000639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D26000680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D26000704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D26001245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D26001249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D26001321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D26001350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B26001535</v>
          </cell>
          <cell r="AP220">
            <v>0</v>
          </cell>
          <cell r="AQ220">
            <v>0</v>
          </cell>
          <cell r="AV220">
            <v>4240000</v>
          </cell>
        </row>
        <row r="221">
          <cell r="E221" t="str">
            <v>D26001617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D26001965</v>
          </cell>
          <cell r="AP222">
            <v>0</v>
          </cell>
          <cell r="AQ222">
            <v>0</v>
          </cell>
          <cell r="AV222">
            <v>5340000</v>
          </cell>
        </row>
        <row r="223">
          <cell r="E223" t="str">
            <v>D26000079</v>
          </cell>
          <cell r="AP223">
            <v>0</v>
          </cell>
          <cell r="AQ223">
            <v>0</v>
          </cell>
          <cell r="AV223">
            <v>12380000</v>
          </cell>
        </row>
        <row r="224">
          <cell r="E224" t="str">
            <v>Z26000280</v>
          </cell>
          <cell r="AP224">
            <v>0</v>
          </cell>
          <cell r="AQ224">
            <v>0</v>
          </cell>
          <cell r="AV224">
            <v>1840000</v>
          </cell>
        </row>
        <row r="225">
          <cell r="E225" t="str">
            <v>Z26000281</v>
          </cell>
          <cell r="AP225">
            <v>0</v>
          </cell>
          <cell r="AQ225">
            <v>0</v>
          </cell>
          <cell r="AV225">
            <v>25200000</v>
          </cell>
        </row>
        <row r="226">
          <cell r="E226" t="str">
            <v>Z26000393</v>
          </cell>
          <cell r="AP226">
            <v>0</v>
          </cell>
          <cell r="AQ226">
            <v>0</v>
          </cell>
          <cell r="AV226">
            <v>9900000</v>
          </cell>
        </row>
        <row r="227">
          <cell r="E227" t="str">
            <v>Z26000403</v>
          </cell>
          <cell r="AP227">
            <v>0</v>
          </cell>
          <cell r="AQ227">
            <v>0</v>
          </cell>
          <cell r="AV227">
            <v>1380000</v>
          </cell>
        </row>
        <row r="228">
          <cell r="E228" t="str">
            <v>Z26000422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T25000256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D25013188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D25013189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D25014399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D25014400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D25014400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D25014401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D25014402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D25014565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D25015128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D25015391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D25015392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B25013376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B25013376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B25013377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D25015771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D25015841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D25015841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D25015855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D25016189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D25016189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D25016190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D25016190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D25016190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D25016191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D25016191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D25016191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D25016191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D25016198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D25016443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B25014324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B25014324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B25014325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B25014325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B25014326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B25014326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D25016655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D25016794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D25016795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D25016961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D25016961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D25016961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D25016963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D25016964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D25016964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D25016965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D25016965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D25016965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D25016965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D25017219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D25017219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D25017238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D25017238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D25017238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D25017238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D25017452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D25017452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D25017452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D25017452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D25017453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D25017788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D25017788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D25017788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D25017788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D25017789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D25017790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D25018075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D25018075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D25018075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D25018076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D25018076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D25018077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B25015852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D25018249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D25018249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D25018249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D25018249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D25018250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D25018468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D25018468</v>
          </cell>
          <cell r="AP308">
            <v>0</v>
          </cell>
          <cell r="AQ308">
            <v>0</v>
          </cell>
          <cell r="AV308">
            <v>0</v>
          </cell>
        </row>
        <row r="309">
          <cell r="E309" t="str">
            <v>D25018468</v>
          </cell>
          <cell r="AP309">
            <v>0</v>
          </cell>
          <cell r="AQ309">
            <v>0</v>
          </cell>
          <cell r="AV309">
            <v>0</v>
          </cell>
        </row>
        <row r="310">
          <cell r="E310" t="str">
            <v>D25018526</v>
          </cell>
          <cell r="AP310">
            <v>0</v>
          </cell>
          <cell r="AQ310">
            <v>0</v>
          </cell>
          <cell r="AV310">
            <v>0</v>
          </cell>
        </row>
        <row r="311">
          <cell r="E311" t="str">
            <v>D25018526</v>
          </cell>
          <cell r="AP311">
            <v>0</v>
          </cell>
          <cell r="AQ311">
            <v>0</v>
          </cell>
          <cell r="AV311">
            <v>0</v>
          </cell>
        </row>
        <row r="312">
          <cell r="E312" t="str">
            <v>D25018527</v>
          </cell>
          <cell r="AP312">
            <v>0</v>
          </cell>
          <cell r="AQ312">
            <v>0</v>
          </cell>
          <cell r="AV312">
            <v>0</v>
          </cell>
        </row>
        <row r="313">
          <cell r="E313" t="str">
            <v>B25016302</v>
          </cell>
          <cell r="AP313">
            <v>0</v>
          </cell>
          <cell r="AQ313">
            <v>0</v>
          </cell>
          <cell r="AV313">
            <v>0</v>
          </cell>
        </row>
        <row r="314">
          <cell r="E314" t="str">
            <v>B25016302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B25016302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B25016303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D25018894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D25018894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D25018894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D25018894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D25018895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D25018895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D25018895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D25018895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B25016442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D25019161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D25019167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D25019167</v>
          </cell>
          <cell r="AP328">
            <v>0</v>
          </cell>
          <cell r="AQ328">
            <v>0</v>
          </cell>
          <cell r="AV328">
            <v>0</v>
          </cell>
        </row>
        <row r="329">
          <cell r="E329" t="str">
            <v>D25019260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D25019260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D25019260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D25019260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D25019261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D25019262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D25019262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D25019519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D25019519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D25019519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D25019519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D25019519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D25019520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D25019715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D25019715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D25019716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D25019716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D26000239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D26000239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D26000239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D26000240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D26000240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D26000543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D26000543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D26000543</v>
          </cell>
          <cell r="AP353">
            <v>0</v>
          </cell>
          <cell r="AQ353">
            <v>0</v>
          </cell>
          <cell r="AV353">
            <v>0</v>
          </cell>
        </row>
        <row r="354">
          <cell r="E354" t="str">
            <v>D26000544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D26000544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D26000545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D26000545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D26000990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D26000990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D26000991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D26000991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D26000991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D26000992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D26000992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D26000992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D26001308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D26001308</v>
          </cell>
          <cell r="AP367">
            <v>0</v>
          </cell>
          <cell r="AQ367">
            <v>0</v>
          </cell>
          <cell r="AV367">
            <v>0</v>
          </cell>
        </row>
        <row r="368">
          <cell r="E368" t="str">
            <v>D26001308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D26001309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D26001550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D26001550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D26001550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D26001550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D26001550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D26001551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D26001552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D26001552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D26001711</v>
          </cell>
          <cell r="AP378">
            <v>0</v>
          </cell>
          <cell r="AQ378">
            <v>50000000</v>
          </cell>
          <cell r="AV378">
            <v>0</v>
          </cell>
        </row>
        <row r="379">
          <cell r="E379" t="str">
            <v>D26001711</v>
          </cell>
          <cell r="AP379">
            <v>0</v>
          </cell>
          <cell r="AQ379">
            <v>35000000</v>
          </cell>
          <cell r="AV379">
            <v>0</v>
          </cell>
        </row>
        <row r="380">
          <cell r="E380" t="str">
            <v>D26001712</v>
          </cell>
          <cell r="AP380">
            <v>0</v>
          </cell>
          <cell r="AQ380">
            <v>20000000</v>
          </cell>
          <cell r="AV380">
            <v>0</v>
          </cell>
        </row>
        <row r="381">
          <cell r="E381" t="str">
            <v>D26001712</v>
          </cell>
          <cell r="AP381">
            <v>0</v>
          </cell>
          <cell r="AQ381">
            <v>78750000</v>
          </cell>
          <cell r="AV381">
            <v>0</v>
          </cell>
        </row>
        <row r="382">
          <cell r="E382" t="str">
            <v>D26001712</v>
          </cell>
          <cell r="AP382">
            <v>0</v>
          </cell>
          <cell r="AQ382">
            <v>163295000</v>
          </cell>
          <cell r="AV382">
            <v>0</v>
          </cell>
        </row>
        <row r="383">
          <cell r="E383" t="str">
            <v>D26001712</v>
          </cell>
          <cell r="AP383">
            <v>0</v>
          </cell>
          <cell r="AQ383">
            <v>117375000</v>
          </cell>
          <cell r="AV383">
            <v>0</v>
          </cell>
        </row>
        <row r="384">
          <cell r="E384" t="str">
            <v>D26001713</v>
          </cell>
          <cell r="AP384">
            <v>0</v>
          </cell>
          <cell r="AQ384">
            <v>282625000</v>
          </cell>
          <cell r="AV384">
            <v>0</v>
          </cell>
        </row>
        <row r="385">
          <cell r="E385" t="str">
            <v>D26001952</v>
          </cell>
          <cell r="AP385">
            <v>0</v>
          </cell>
          <cell r="AQ385">
            <v>50000000</v>
          </cell>
          <cell r="AV385">
            <v>0</v>
          </cell>
        </row>
        <row r="386">
          <cell r="E386" t="str">
            <v>D26001952</v>
          </cell>
          <cell r="AP386">
            <v>0</v>
          </cell>
          <cell r="AQ386">
            <v>100000000</v>
          </cell>
          <cell r="AV386">
            <v>0</v>
          </cell>
        </row>
        <row r="387">
          <cell r="E387" t="str">
            <v>D26001952</v>
          </cell>
          <cell r="AP387">
            <v>0</v>
          </cell>
          <cell r="AQ387">
            <v>480000000</v>
          </cell>
          <cell r="AV387">
            <v>0</v>
          </cell>
        </row>
        <row r="388">
          <cell r="E388" t="str">
            <v>D26001952</v>
          </cell>
          <cell r="AP388">
            <v>0</v>
          </cell>
          <cell r="AQ388">
            <v>480000000</v>
          </cell>
          <cell r="AV388">
            <v>0</v>
          </cell>
        </row>
        <row r="389">
          <cell r="E389" t="str">
            <v>D26001952</v>
          </cell>
          <cell r="AP389">
            <v>0</v>
          </cell>
          <cell r="AQ389">
            <v>379250000</v>
          </cell>
          <cell r="AV389">
            <v>0</v>
          </cell>
        </row>
        <row r="390">
          <cell r="E390" t="str">
            <v>D26001953</v>
          </cell>
          <cell r="AP390">
            <v>0</v>
          </cell>
          <cell r="AQ390">
            <v>100750000</v>
          </cell>
          <cell r="AV390">
            <v>0</v>
          </cell>
        </row>
        <row r="391">
          <cell r="E391" t="str">
            <v>D26001953</v>
          </cell>
          <cell r="AP391">
            <v>0</v>
          </cell>
          <cell r="AQ391">
            <v>481250000</v>
          </cell>
          <cell r="AV391">
            <v>0</v>
          </cell>
        </row>
        <row r="392">
          <cell r="E392" t="str">
            <v>D26002263</v>
          </cell>
          <cell r="AP392">
            <v>0</v>
          </cell>
          <cell r="AQ392">
            <v>50000000</v>
          </cell>
          <cell r="AV392">
            <v>0</v>
          </cell>
        </row>
        <row r="393">
          <cell r="E393" t="str">
            <v>D26002263</v>
          </cell>
          <cell r="AP393">
            <v>0</v>
          </cell>
          <cell r="AQ393">
            <v>470000000</v>
          </cell>
          <cell r="AV393">
            <v>0</v>
          </cell>
        </row>
        <row r="394">
          <cell r="E394" t="str">
            <v>D26002263</v>
          </cell>
          <cell r="AP394">
            <v>0</v>
          </cell>
          <cell r="AQ394">
            <v>171135000</v>
          </cell>
          <cell r="AV394">
            <v>0</v>
          </cell>
        </row>
        <row r="395">
          <cell r="E395" t="str">
            <v>D26002264</v>
          </cell>
          <cell r="AP395">
            <v>0</v>
          </cell>
          <cell r="AQ395">
            <v>305450000</v>
          </cell>
          <cell r="AV395">
            <v>0</v>
          </cell>
        </row>
        <row r="396">
          <cell r="E396" t="str">
            <v>D25019182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B25016701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D26001075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D26001150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D26001849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D26001872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D26001904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T25001886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B26000826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D26002423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C26000127</v>
          </cell>
          <cell r="AP406">
            <v>0</v>
          </cell>
          <cell r="AQ406">
            <v>0</v>
          </cell>
          <cell r="AV406">
            <v>1190500</v>
          </cell>
        </row>
        <row r="407">
          <cell r="E407" t="str">
            <v>C26000128</v>
          </cell>
          <cell r="AP407">
            <v>0</v>
          </cell>
          <cell r="AQ407">
            <v>0</v>
          </cell>
          <cell r="AV407">
            <v>612500</v>
          </cell>
        </row>
        <row r="408">
          <cell r="E408" t="str">
            <v>C26000129</v>
          </cell>
          <cell r="AP408">
            <v>0</v>
          </cell>
          <cell r="AQ408">
            <v>0</v>
          </cell>
          <cell r="AV408">
            <v>613500</v>
          </cell>
        </row>
        <row r="409">
          <cell r="E409" t="str">
            <v>C26000130</v>
          </cell>
          <cell r="AP409">
            <v>0</v>
          </cell>
          <cell r="AQ409">
            <v>0</v>
          </cell>
          <cell r="AV409">
            <v>1027000</v>
          </cell>
        </row>
        <row r="410">
          <cell r="E410" t="str">
            <v>C26000131</v>
          </cell>
          <cell r="AP410">
            <v>0</v>
          </cell>
          <cell r="AQ410">
            <v>0</v>
          </cell>
          <cell r="AV410">
            <v>604500</v>
          </cell>
        </row>
        <row r="411">
          <cell r="E411" t="str">
            <v>B26001880</v>
          </cell>
          <cell r="AP411">
            <v>0</v>
          </cell>
          <cell r="AQ411">
            <v>0</v>
          </cell>
          <cell r="AV411">
            <v>6240000</v>
          </cell>
        </row>
        <row r="412">
          <cell r="E412" t="str">
            <v>B26001881</v>
          </cell>
          <cell r="AP412">
            <v>0</v>
          </cell>
          <cell r="AQ412">
            <v>0</v>
          </cell>
          <cell r="AV412">
            <v>1750000</v>
          </cell>
        </row>
        <row r="413">
          <cell r="E413" t="str">
            <v>B26002043</v>
          </cell>
          <cell r="AP413">
            <v>0</v>
          </cell>
          <cell r="AQ413">
            <v>0</v>
          </cell>
          <cell r="AV413">
            <v>1720000</v>
          </cell>
        </row>
        <row r="414">
          <cell r="E414" t="str">
            <v>Z26000202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Z26000333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B26000646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B26000648</v>
          </cell>
          <cell r="AP417">
            <v>0</v>
          </cell>
          <cell r="AQ417">
            <v>0</v>
          </cell>
          <cell r="AV417">
            <v>0</v>
          </cell>
        </row>
        <row r="418">
          <cell r="E418" t="str">
            <v>B26001037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B26001038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B26001062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D25016698</v>
          </cell>
          <cell r="AP421">
            <v>0</v>
          </cell>
          <cell r="AQ421">
            <v>0</v>
          </cell>
          <cell r="AV421">
            <v>30000000</v>
          </cell>
        </row>
        <row r="422">
          <cell r="E422" t="str">
            <v>D25018660</v>
          </cell>
          <cell r="AP422">
            <v>0</v>
          </cell>
          <cell r="AQ422">
            <v>0</v>
          </cell>
          <cell r="AV422">
            <v>1000000</v>
          </cell>
        </row>
        <row r="423">
          <cell r="E423" t="str">
            <v>B25016044</v>
          </cell>
          <cell r="AP423">
            <v>0</v>
          </cell>
          <cell r="AQ423">
            <v>0</v>
          </cell>
          <cell r="AV423">
            <v>11360000</v>
          </cell>
        </row>
        <row r="424">
          <cell r="E424" t="str">
            <v>D25018669</v>
          </cell>
          <cell r="AP424">
            <v>0</v>
          </cell>
          <cell r="AQ424">
            <v>0</v>
          </cell>
          <cell r="AV424">
            <v>4960000</v>
          </cell>
        </row>
        <row r="425">
          <cell r="E425" t="str">
            <v>D26000989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D26001773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B26001794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B26000714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B26000182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D25006386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D26000905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B26001177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D26001671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B26001724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B25016499</v>
          </cell>
          <cell r="AP435">
            <v>0</v>
          </cell>
          <cell r="AQ435">
            <v>0</v>
          </cell>
          <cell r="AV435">
            <v>1480000</v>
          </cell>
        </row>
        <row r="436">
          <cell r="E436" t="str">
            <v>B26000151</v>
          </cell>
          <cell r="AP436">
            <v>0</v>
          </cell>
          <cell r="AQ436">
            <v>0</v>
          </cell>
          <cell r="AV436">
            <v>1000000</v>
          </cell>
        </row>
        <row r="437">
          <cell r="E437" t="str">
            <v>B26000152</v>
          </cell>
          <cell r="AP437">
            <v>0</v>
          </cell>
          <cell r="AQ437">
            <v>0</v>
          </cell>
          <cell r="AV437">
            <v>690000</v>
          </cell>
        </row>
        <row r="438">
          <cell r="E438" t="str">
            <v>B26001557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D26001708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B25014534</v>
          </cell>
          <cell r="AP440">
            <v>0</v>
          </cell>
          <cell r="AQ440">
            <v>0</v>
          </cell>
          <cell r="AV440">
            <v>76800000</v>
          </cell>
        </row>
        <row r="441">
          <cell r="E441" t="str">
            <v>B25015617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B25015996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D25019679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D25019723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B26000334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B26000384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B26000390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B26000860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D26002031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D26002105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D26002145</v>
          </cell>
          <cell r="AP451">
            <v>0</v>
          </cell>
          <cell r="AQ451">
            <v>0</v>
          </cell>
          <cell r="AV451">
            <v>0</v>
          </cell>
        </row>
        <row r="452">
          <cell r="E452" t="str">
            <v>D26002163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D26002424</v>
          </cell>
          <cell r="AP453">
            <v>0</v>
          </cell>
          <cell r="AQ453">
            <v>0</v>
          </cell>
          <cell r="AV453">
            <v>3600000</v>
          </cell>
        </row>
        <row r="454">
          <cell r="E454" t="str">
            <v>B26000597</v>
          </cell>
          <cell r="AP454">
            <v>0</v>
          </cell>
          <cell r="AQ454">
            <v>0</v>
          </cell>
          <cell r="AV454">
            <v>1000000</v>
          </cell>
        </row>
        <row r="455">
          <cell r="E455" t="str">
            <v>B26000597</v>
          </cell>
          <cell r="AP455">
            <v>0</v>
          </cell>
          <cell r="AQ455">
            <v>0</v>
          </cell>
          <cell r="AV455">
            <v>1458800</v>
          </cell>
        </row>
        <row r="456">
          <cell r="E456" t="str">
            <v>D26001756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D26001757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T26000152</v>
          </cell>
          <cell r="AP458">
            <v>0</v>
          </cell>
          <cell r="AQ458">
            <v>0</v>
          </cell>
          <cell r="AV458">
            <v>2025000</v>
          </cell>
        </row>
        <row r="459">
          <cell r="E459" t="str">
            <v>T26000155</v>
          </cell>
          <cell r="AP459">
            <v>0</v>
          </cell>
          <cell r="AQ459">
            <v>0</v>
          </cell>
          <cell r="AV459">
            <v>2025000</v>
          </cell>
        </row>
        <row r="460">
          <cell r="E460" t="str">
            <v>Z25003337</v>
          </cell>
          <cell r="AP460">
            <v>0</v>
          </cell>
          <cell r="AQ460">
            <v>0</v>
          </cell>
          <cell r="AV460">
            <v>6000000</v>
          </cell>
        </row>
        <row r="461">
          <cell r="E461" t="str">
            <v>Z26000031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B26001916</v>
          </cell>
          <cell r="AP462">
            <v>0</v>
          </cell>
          <cell r="AQ462">
            <v>0</v>
          </cell>
          <cell r="AV462">
            <v>7956000</v>
          </cell>
        </row>
        <row r="463">
          <cell r="E463" t="str">
            <v>B25012277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D25018390</v>
          </cell>
          <cell r="AP464">
            <v>0</v>
          </cell>
          <cell r="AQ464">
            <v>0</v>
          </cell>
          <cell r="AV464">
            <v>83300500</v>
          </cell>
        </row>
        <row r="465">
          <cell r="E465" t="str">
            <v>B25016665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B25016866</v>
          </cell>
          <cell r="AP466">
            <v>0</v>
          </cell>
          <cell r="AQ466">
            <v>0</v>
          </cell>
          <cell r="AV466">
            <v>14400000</v>
          </cell>
        </row>
        <row r="467">
          <cell r="E467" t="str">
            <v>D25019475</v>
          </cell>
          <cell r="AP467">
            <v>0</v>
          </cell>
          <cell r="AQ467">
            <v>0</v>
          </cell>
          <cell r="AV467">
            <v>72150000</v>
          </cell>
        </row>
        <row r="468">
          <cell r="E468" t="str">
            <v>D25019575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D25019604</v>
          </cell>
          <cell r="AP469">
            <v>0</v>
          </cell>
          <cell r="AQ469">
            <v>0</v>
          </cell>
          <cell r="AV469">
            <v>374500</v>
          </cell>
        </row>
        <row r="470">
          <cell r="E470" t="str">
            <v>D25019606</v>
          </cell>
          <cell r="AP470">
            <v>0</v>
          </cell>
          <cell r="AQ470">
            <v>0</v>
          </cell>
          <cell r="AV470">
            <v>9500000</v>
          </cell>
        </row>
        <row r="471">
          <cell r="E471" t="str">
            <v>B26000069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B26000070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>
            <v>260006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D26000527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D26000528</v>
          </cell>
          <cell r="AP475">
            <v>0</v>
          </cell>
          <cell r="AQ475">
            <v>0</v>
          </cell>
          <cell r="AV475">
            <v>0</v>
          </cell>
        </row>
        <row r="476">
          <cell r="E476" t="str">
            <v>D26000529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D26000537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B26000535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D26000574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D26000700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B26000909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B26000910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D26000998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D26001168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D26001203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B26001335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B26001404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B26001514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B26001515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B26001516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B26001549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D26001806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D26001818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>
            <v>260011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D26002028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D26002057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D26002189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D26002190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B26000555</v>
          </cell>
          <cell r="AP499">
            <v>0</v>
          </cell>
          <cell r="AQ499">
            <v>0</v>
          </cell>
          <cell r="AV499">
            <v>41000000</v>
          </cell>
        </row>
        <row r="500">
          <cell r="E500" t="str">
            <v>B26000724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Z26000007</v>
          </cell>
          <cell r="AP501">
            <v>0</v>
          </cell>
          <cell r="AQ501">
            <v>0</v>
          </cell>
          <cell r="AV501">
            <v>950000</v>
          </cell>
        </row>
        <row r="502">
          <cell r="E502" t="str">
            <v>Z26000011</v>
          </cell>
          <cell r="AP502">
            <v>0</v>
          </cell>
          <cell r="AQ502">
            <v>0</v>
          </cell>
          <cell r="AV502">
            <v>405000</v>
          </cell>
        </row>
        <row r="503">
          <cell r="E503" t="str">
            <v>Z26000359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D25019316</v>
          </cell>
          <cell r="AP504">
            <v>0</v>
          </cell>
          <cell r="AQ504">
            <v>0</v>
          </cell>
          <cell r="AV504">
            <v>16855500</v>
          </cell>
        </row>
        <row r="505">
          <cell r="E505" t="str">
            <v>B25016806</v>
          </cell>
          <cell r="AP505">
            <v>0</v>
          </cell>
          <cell r="AQ505">
            <v>0</v>
          </cell>
          <cell r="AV505">
            <v>18600000</v>
          </cell>
        </row>
        <row r="506">
          <cell r="E506" t="str">
            <v>D26001473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D26001474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B26001423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D25017065</v>
          </cell>
          <cell r="AP509">
            <v>0</v>
          </cell>
          <cell r="AQ509">
            <v>0</v>
          </cell>
          <cell r="AV509">
            <v>900000</v>
          </cell>
        </row>
        <row r="510">
          <cell r="E510" t="str">
            <v>D25019020</v>
          </cell>
          <cell r="AP510">
            <v>0</v>
          </cell>
          <cell r="AQ510">
            <v>0</v>
          </cell>
          <cell r="AV510">
            <v>5175000</v>
          </cell>
        </row>
        <row r="511">
          <cell r="E511" t="str">
            <v>D25018709</v>
          </cell>
          <cell r="AP511">
            <v>0</v>
          </cell>
          <cell r="AQ511">
            <v>0</v>
          </cell>
          <cell r="AV511">
            <v>6750000</v>
          </cell>
        </row>
        <row r="512">
          <cell r="E512" t="str">
            <v>T25001848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D25019357</v>
          </cell>
          <cell r="AP513">
            <v>0</v>
          </cell>
          <cell r="AQ513">
            <v>0</v>
          </cell>
          <cell r="AV513">
            <v>18800000</v>
          </cell>
        </row>
        <row r="514">
          <cell r="E514" t="str">
            <v>D25019358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D25019359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D26000419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B26000844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B26001355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D26001483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D26001484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D26001647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C26000109</v>
          </cell>
          <cell r="AP522">
            <v>0</v>
          </cell>
          <cell r="AQ522">
            <v>0</v>
          </cell>
          <cell r="AV522">
            <v>830000</v>
          </cell>
        </row>
        <row r="523">
          <cell r="E523" t="str">
            <v>D25012415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R25000117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R25000118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R25000119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R25000122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R25000123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R25000124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R25000128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R25000135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R25000136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R25000137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R25000138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R25000139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R25000140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R26000007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D25017747</v>
          </cell>
          <cell r="AP538">
            <v>0</v>
          </cell>
          <cell r="AQ538">
            <v>0</v>
          </cell>
          <cell r="AV538">
            <v>5000000</v>
          </cell>
        </row>
        <row r="539">
          <cell r="E539" t="str">
            <v>T26000161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D25019190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T26000116</v>
          </cell>
          <cell r="AP541">
            <v>0</v>
          </cell>
          <cell r="AQ541">
            <v>0</v>
          </cell>
          <cell r="AV541">
            <v>5100000</v>
          </cell>
        </row>
        <row r="542">
          <cell r="E542" t="str">
            <v>B25013380</v>
          </cell>
          <cell r="AP542">
            <v>0</v>
          </cell>
          <cell r="AQ542">
            <v>0</v>
          </cell>
          <cell r="AV542">
            <v>17280000</v>
          </cell>
        </row>
        <row r="543">
          <cell r="E543" t="str">
            <v>D25017981</v>
          </cell>
          <cell r="AP543">
            <v>0</v>
          </cell>
          <cell r="AQ543">
            <v>0</v>
          </cell>
          <cell r="AV543">
            <v>0</v>
          </cell>
        </row>
        <row r="544">
          <cell r="E544" t="str">
            <v>D25019585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D25019578</v>
          </cell>
          <cell r="AP545">
            <v>0</v>
          </cell>
          <cell r="AQ545">
            <v>0</v>
          </cell>
          <cell r="AV545">
            <v>4130000</v>
          </cell>
        </row>
        <row r="546">
          <cell r="E546" t="str">
            <v>T26000022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B26001034</v>
          </cell>
          <cell r="AP547">
            <v>0</v>
          </cell>
          <cell r="AQ547">
            <v>0</v>
          </cell>
          <cell r="AV547">
            <v>2820000</v>
          </cell>
        </row>
        <row r="548">
          <cell r="E548" t="str">
            <v>D26001643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D26002254</v>
          </cell>
          <cell r="AP549">
            <v>0</v>
          </cell>
          <cell r="AQ549">
            <v>0</v>
          </cell>
          <cell r="AV549">
            <v>4400000</v>
          </cell>
        </row>
        <row r="550">
          <cell r="E550" t="str">
            <v>B26001043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B26001044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B25016761</v>
          </cell>
          <cell r="AP552">
            <v>0</v>
          </cell>
          <cell r="AQ552">
            <v>0</v>
          </cell>
          <cell r="AV552">
            <v>3000000</v>
          </cell>
        </row>
        <row r="553">
          <cell r="E553" t="str">
            <v>D25019641</v>
          </cell>
          <cell r="AP553">
            <v>0</v>
          </cell>
          <cell r="AQ553">
            <v>0</v>
          </cell>
          <cell r="AV553">
            <v>4760000</v>
          </cell>
        </row>
        <row r="554">
          <cell r="E554" t="str">
            <v>D26000096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B26000527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D26000602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D26000702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D26001737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D26002236</v>
          </cell>
          <cell r="AP559">
            <v>0</v>
          </cell>
          <cell r="AQ559">
            <v>0</v>
          </cell>
          <cell r="AV559">
            <v>16500000</v>
          </cell>
        </row>
        <row r="560">
          <cell r="E560" t="str">
            <v>D26000849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B26000883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D26002131</v>
          </cell>
          <cell r="AP562">
            <v>0</v>
          </cell>
          <cell r="AQ562">
            <v>0</v>
          </cell>
          <cell r="AV562">
            <v>11064000</v>
          </cell>
        </row>
        <row r="563">
          <cell r="E563" t="str">
            <v>B26002115</v>
          </cell>
          <cell r="AP563">
            <v>0</v>
          </cell>
          <cell r="AQ563">
            <v>0</v>
          </cell>
          <cell r="AV563">
            <v>3000000</v>
          </cell>
        </row>
        <row r="564">
          <cell r="E564" t="str">
            <v>D26001454</v>
          </cell>
          <cell r="AP564">
            <v>0</v>
          </cell>
          <cell r="AQ564">
            <v>0</v>
          </cell>
          <cell r="AV564">
            <v>6840000</v>
          </cell>
        </row>
        <row r="565">
          <cell r="E565" t="str">
            <v>B25016222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T25001847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D25017632</v>
          </cell>
          <cell r="AP567">
            <v>0</v>
          </cell>
          <cell r="AQ567">
            <v>0</v>
          </cell>
          <cell r="AV567">
            <v>20000000</v>
          </cell>
        </row>
        <row r="568">
          <cell r="E568" t="str">
            <v>B25015486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B25016160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B25016541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D25019609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B26000809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B26001272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D26002126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D26002127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D26002128</v>
          </cell>
          <cell r="AP576">
            <v>0</v>
          </cell>
          <cell r="AQ576">
            <v>0</v>
          </cell>
          <cell r="AV576">
            <v>2700000</v>
          </cell>
        </row>
        <row r="577">
          <cell r="E577" t="str">
            <v>B26002187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B25015937</v>
          </cell>
          <cell r="AP578">
            <v>0</v>
          </cell>
          <cell r="AQ578">
            <v>0</v>
          </cell>
          <cell r="AV578">
            <v>5000000</v>
          </cell>
        </row>
        <row r="579">
          <cell r="E579" t="str">
            <v>D25018391</v>
          </cell>
          <cell r="AP579">
            <v>0</v>
          </cell>
          <cell r="AQ579">
            <v>0</v>
          </cell>
          <cell r="AV579">
            <v>1926000</v>
          </cell>
        </row>
        <row r="580">
          <cell r="E580" t="str">
            <v>D25018495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B25016788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B25016801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D26000133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B26001156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B25015809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D25018713</v>
          </cell>
          <cell r="AP586">
            <v>0</v>
          </cell>
          <cell r="AQ586">
            <v>0</v>
          </cell>
          <cell r="AV586">
            <v>0</v>
          </cell>
        </row>
        <row r="587">
          <cell r="E587" t="str">
            <v>D25018736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D25019374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B26001356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B26001361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B25016810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D26000009</v>
          </cell>
          <cell r="AP592">
            <v>0</v>
          </cell>
          <cell r="AQ592">
            <v>0</v>
          </cell>
          <cell r="AV592">
            <v>5702000</v>
          </cell>
        </row>
        <row r="593">
          <cell r="E593" t="str">
            <v>D26000175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D26000291</v>
          </cell>
          <cell r="AP594">
            <v>0</v>
          </cell>
          <cell r="AQ594">
            <v>0</v>
          </cell>
          <cell r="AV594">
            <v>3570000</v>
          </cell>
        </row>
        <row r="595">
          <cell r="E595" t="str">
            <v>B26000394</v>
          </cell>
          <cell r="AP595">
            <v>0</v>
          </cell>
          <cell r="AQ595">
            <v>0</v>
          </cell>
          <cell r="AV595">
            <v>2910000</v>
          </cell>
        </row>
        <row r="596">
          <cell r="E596" t="str">
            <v>D26000608</v>
          </cell>
          <cell r="AP596">
            <v>0</v>
          </cell>
          <cell r="AQ596">
            <v>0</v>
          </cell>
          <cell r="AV596">
            <v>5000000</v>
          </cell>
        </row>
        <row r="597">
          <cell r="E597" t="str">
            <v>D26001544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B26001752</v>
          </cell>
          <cell r="AP598">
            <v>0</v>
          </cell>
          <cell r="AQ598">
            <v>0</v>
          </cell>
          <cell r="AV598">
            <v>9900000</v>
          </cell>
        </row>
        <row r="599">
          <cell r="E599" t="str">
            <v>D26001895</v>
          </cell>
          <cell r="AP599">
            <v>0</v>
          </cell>
          <cell r="AQ599">
            <v>0</v>
          </cell>
          <cell r="AV599">
            <v>4800000</v>
          </cell>
        </row>
        <row r="600">
          <cell r="E600" t="str">
            <v>T26000129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B26001892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D26002425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B26001904</v>
          </cell>
          <cell r="AP603">
            <v>0</v>
          </cell>
          <cell r="AQ603">
            <v>0</v>
          </cell>
          <cell r="AV603">
            <v>1410000</v>
          </cell>
        </row>
        <row r="604">
          <cell r="E604" t="str">
            <v>T26000143</v>
          </cell>
          <cell r="AP604">
            <v>0</v>
          </cell>
          <cell r="AQ604">
            <v>0</v>
          </cell>
          <cell r="AV604">
            <v>4700000</v>
          </cell>
        </row>
        <row r="605">
          <cell r="E605" t="str">
            <v>Z26000302</v>
          </cell>
          <cell r="AP605">
            <v>0</v>
          </cell>
          <cell r="AQ605">
            <v>0</v>
          </cell>
          <cell r="AV605">
            <v>196000000</v>
          </cell>
        </row>
        <row r="606">
          <cell r="E606" t="str">
            <v>B26000551</v>
          </cell>
          <cell r="AP606">
            <v>0</v>
          </cell>
          <cell r="AQ606">
            <v>0</v>
          </cell>
          <cell r="AV606">
            <v>4368000</v>
          </cell>
        </row>
        <row r="607">
          <cell r="E607" t="str">
            <v>B25014707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D25017141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B25014931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D25017423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D25017844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D25018214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B25015950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D25018563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D25018926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B25016641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B25016818</v>
          </cell>
          <cell r="AP617">
            <v>0</v>
          </cell>
          <cell r="AQ617">
            <v>0</v>
          </cell>
          <cell r="AV617">
            <v>0</v>
          </cell>
        </row>
        <row r="618">
          <cell r="E618" t="str">
            <v>D25019593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B25017081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D25019706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D25019710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B26000138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D26000224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D26000755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D26000858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D26001091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B26001141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B26001288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D26001535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D26001594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D26001609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B26001569</v>
          </cell>
          <cell r="AP632">
            <v>0</v>
          </cell>
          <cell r="AQ632">
            <v>0</v>
          </cell>
          <cell r="AV632">
            <v>156000000</v>
          </cell>
        </row>
        <row r="633">
          <cell r="E633" t="str">
            <v>D26001683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D26001715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D26001857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B26001812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B26001813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B26001917</v>
          </cell>
          <cell r="AP638">
            <v>0</v>
          </cell>
          <cell r="AQ638">
            <v>0</v>
          </cell>
          <cell r="AV638">
            <v>156000000</v>
          </cell>
        </row>
        <row r="639">
          <cell r="E639" t="str">
            <v>B26001918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B26001964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D26002125</v>
          </cell>
          <cell r="AP641">
            <v>0</v>
          </cell>
          <cell r="AQ641">
            <v>0</v>
          </cell>
          <cell r="AV641">
            <v>131500000</v>
          </cell>
        </row>
        <row r="642">
          <cell r="E642" t="str">
            <v>D26002205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D26002400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D25018806</v>
          </cell>
          <cell r="AP644">
            <v>0</v>
          </cell>
          <cell r="AQ644">
            <v>0</v>
          </cell>
          <cell r="AV644">
            <v>3120000</v>
          </cell>
        </row>
        <row r="645">
          <cell r="E645" t="str">
            <v>B26001086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B25016136</v>
          </cell>
          <cell r="AP646">
            <v>0</v>
          </cell>
          <cell r="AQ646">
            <v>0</v>
          </cell>
          <cell r="AV646">
            <v>80425000</v>
          </cell>
        </row>
        <row r="647">
          <cell r="E647" t="str">
            <v>D25018874</v>
          </cell>
          <cell r="AP647">
            <v>0</v>
          </cell>
          <cell r="AQ647">
            <v>0</v>
          </cell>
          <cell r="AV647">
            <v>45000</v>
          </cell>
        </row>
        <row r="648">
          <cell r="E648" t="str">
            <v>D25018874</v>
          </cell>
          <cell r="AP648">
            <v>0</v>
          </cell>
          <cell r="AQ648">
            <v>0</v>
          </cell>
          <cell r="AV648">
            <v>16995000</v>
          </cell>
        </row>
        <row r="649">
          <cell r="E649" t="str">
            <v>B25016479</v>
          </cell>
          <cell r="AP649">
            <v>0</v>
          </cell>
          <cell r="AQ649">
            <v>0</v>
          </cell>
          <cell r="AV649">
            <v>11750000</v>
          </cell>
        </row>
        <row r="650">
          <cell r="E650" t="str">
            <v>D25018918</v>
          </cell>
          <cell r="AP650">
            <v>0</v>
          </cell>
          <cell r="AQ650">
            <v>0</v>
          </cell>
          <cell r="AV650">
            <v>10912000</v>
          </cell>
        </row>
        <row r="651">
          <cell r="E651" t="str">
            <v>D25018925</v>
          </cell>
          <cell r="AP651">
            <v>0</v>
          </cell>
          <cell r="AQ651">
            <v>0</v>
          </cell>
          <cell r="AV651">
            <v>12067000</v>
          </cell>
        </row>
        <row r="652">
          <cell r="E652" t="str">
            <v>D25018925</v>
          </cell>
          <cell r="AP652">
            <v>0</v>
          </cell>
          <cell r="AQ652">
            <v>0</v>
          </cell>
          <cell r="AV652">
            <v>11705000</v>
          </cell>
        </row>
        <row r="653">
          <cell r="E653" t="str">
            <v>B25016524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D25019081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D25019238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B25016827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B25016850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D25019442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T25001888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T25001889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D25019560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D25019582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T25001893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B25017084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D25019625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D25019638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T25001895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B25017141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T25001897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T25001899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D26000034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D26000124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D26000127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T26000002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B26000213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B26000342</v>
          </cell>
          <cell r="AP676">
            <v>0</v>
          </cell>
          <cell r="AQ676">
            <v>0</v>
          </cell>
          <cell r="AV676">
            <v>45000</v>
          </cell>
        </row>
        <row r="677">
          <cell r="E677" t="str">
            <v>B26000406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B26000526</v>
          </cell>
          <cell r="AP678">
            <v>0</v>
          </cell>
          <cell r="AQ678">
            <v>0</v>
          </cell>
          <cell r="AV678">
            <v>0</v>
          </cell>
        </row>
        <row r="679">
          <cell r="E679" t="str">
            <v>B26000808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B26000857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B26000950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B26000993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D26001061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B26001003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B26001060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B26001291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B26001292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B26001301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B26001328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B26001545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B26001546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B26001584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B26001611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B26001624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B26001630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B26001699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B26001759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D26001896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D26001943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B26002010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B26002013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D26002323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D26002370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D26001704</v>
          </cell>
          <cell r="AP704">
            <v>0</v>
          </cell>
          <cell r="AQ704">
            <v>0</v>
          </cell>
          <cell r="AV704">
            <v>936000</v>
          </cell>
        </row>
        <row r="705">
          <cell r="E705" t="str">
            <v>D26001705</v>
          </cell>
          <cell r="AP705">
            <v>0</v>
          </cell>
          <cell r="AQ705">
            <v>0</v>
          </cell>
          <cell r="AV705">
            <v>1980000</v>
          </cell>
        </row>
        <row r="706">
          <cell r="E706" t="str">
            <v>D25016916</v>
          </cell>
          <cell r="AP706">
            <v>0</v>
          </cell>
          <cell r="AQ706">
            <v>0</v>
          </cell>
          <cell r="AV706">
            <v>6500000</v>
          </cell>
        </row>
        <row r="707">
          <cell r="E707" t="str">
            <v>B26000134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T26000044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B26001175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D25018297</v>
          </cell>
          <cell r="AP710">
            <v>0</v>
          </cell>
          <cell r="AQ710">
            <v>0</v>
          </cell>
          <cell r="AV710">
            <v>18200000</v>
          </cell>
        </row>
        <row r="711">
          <cell r="E711" t="str">
            <v>B25016084</v>
          </cell>
          <cell r="AP711">
            <v>0</v>
          </cell>
          <cell r="AQ711">
            <v>0</v>
          </cell>
          <cell r="AV711">
            <v>3800000</v>
          </cell>
        </row>
        <row r="712">
          <cell r="E712" t="str">
            <v>B26001020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B26001077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D26002241</v>
          </cell>
          <cell r="AP714">
            <v>0</v>
          </cell>
          <cell r="AQ714">
            <v>0</v>
          </cell>
          <cell r="AV714">
            <v>1825000</v>
          </cell>
        </row>
        <row r="715">
          <cell r="E715" t="str">
            <v>D25017223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D25017245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T25001823</v>
          </cell>
          <cell r="AP717">
            <v>0</v>
          </cell>
          <cell r="AQ717">
            <v>0</v>
          </cell>
          <cell r="AV717">
            <v>5400000</v>
          </cell>
        </row>
        <row r="718">
          <cell r="E718" t="str">
            <v>T25001852k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T25001855</v>
          </cell>
          <cell r="AP719">
            <v>0</v>
          </cell>
          <cell r="AQ719">
            <v>0</v>
          </cell>
          <cell r="AV719">
            <v>1825000</v>
          </cell>
        </row>
        <row r="720">
          <cell r="E720" t="str">
            <v>T25001876K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D25019523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B26000624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D26001188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B26001145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D26001379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D26001511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T26000102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B26001729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D26001884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R26000002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D25019537</v>
          </cell>
          <cell r="AP731">
            <v>0</v>
          </cell>
          <cell r="AQ731">
            <v>0</v>
          </cell>
          <cell r="AV731">
            <v>2000000</v>
          </cell>
        </row>
        <row r="732">
          <cell r="E732" t="str">
            <v>D25019537</v>
          </cell>
          <cell r="AP732">
            <v>0</v>
          </cell>
          <cell r="AQ732">
            <v>0</v>
          </cell>
          <cell r="AV732">
            <v>1000000</v>
          </cell>
        </row>
        <row r="733">
          <cell r="E733" t="str">
            <v>D25019537</v>
          </cell>
          <cell r="AP733">
            <v>0</v>
          </cell>
          <cell r="AQ733">
            <v>0</v>
          </cell>
          <cell r="AV733">
            <v>1600000</v>
          </cell>
        </row>
        <row r="734">
          <cell r="E734" t="str">
            <v>B26000319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D26001100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B26001632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D26000833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D26000837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R25000110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R25000112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B25016164</v>
          </cell>
          <cell r="AP741">
            <v>0</v>
          </cell>
          <cell r="AQ741">
            <v>0</v>
          </cell>
          <cell r="AV741">
            <v>550000</v>
          </cell>
        </row>
        <row r="742">
          <cell r="E742" t="str">
            <v>B26000017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D26000130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B26000322</v>
          </cell>
          <cell r="AP744">
            <v>0</v>
          </cell>
          <cell r="AQ744">
            <v>0</v>
          </cell>
          <cell r="AV744">
            <v>840000</v>
          </cell>
        </row>
        <row r="745">
          <cell r="E745" t="str">
            <v>B26000848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B26001470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D26001890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D25014349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T25001500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B25014182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D25016537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B25014607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B25014608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D25017082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D25017821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B25015456</v>
          </cell>
          <cell r="AP756">
            <v>0</v>
          </cell>
          <cell r="AQ756">
            <v>0</v>
          </cell>
          <cell r="AV756">
            <v>0</v>
          </cell>
        </row>
        <row r="757">
          <cell r="E757" t="str">
            <v>T25001758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B25015814</v>
          </cell>
          <cell r="AP758">
            <v>0</v>
          </cell>
          <cell r="AQ758">
            <v>0</v>
          </cell>
          <cell r="AV758">
            <v>0</v>
          </cell>
        </row>
        <row r="759">
          <cell r="E759" t="str">
            <v>B25015842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B25016842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D25019422</v>
          </cell>
          <cell r="AP761">
            <v>0</v>
          </cell>
          <cell r="AQ761">
            <v>0</v>
          </cell>
          <cell r="AV761">
            <v>0</v>
          </cell>
        </row>
        <row r="762">
          <cell r="E762" t="str">
            <v>D25019489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D25019666</v>
          </cell>
          <cell r="AP763">
            <v>0</v>
          </cell>
          <cell r="AQ763">
            <v>0</v>
          </cell>
          <cell r="AV763">
            <v>0</v>
          </cell>
        </row>
        <row r="764">
          <cell r="E764" t="str">
            <v>D26000624</v>
          </cell>
          <cell r="AP764">
            <v>0</v>
          </cell>
          <cell r="AQ764">
            <v>0</v>
          </cell>
          <cell r="AV764">
            <v>0</v>
          </cell>
        </row>
        <row r="765">
          <cell r="E765" t="str">
            <v>D26001160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D26001161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D26001996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>
            <v>260012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D26002101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D26002102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D26002369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D26001338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B26001872</v>
          </cell>
          <cell r="AP773">
            <v>0</v>
          </cell>
          <cell r="AQ773">
            <v>0</v>
          </cell>
          <cell r="AV773">
            <v>285000000</v>
          </cell>
        </row>
        <row r="774">
          <cell r="E774" t="str">
            <v>B26001872</v>
          </cell>
          <cell r="AP774">
            <v>0</v>
          </cell>
          <cell r="AQ774">
            <v>0</v>
          </cell>
          <cell r="AV774">
            <v>200000000</v>
          </cell>
        </row>
        <row r="775">
          <cell r="E775" t="str">
            <v>B26001872</v>
          </cell>
          <cell r="AP775">
            <v>0</v>
          </cell>
          <cell r="AQ775">
            <v>0</v>
          </cell>
          <cell r="AV775">
            <v>70000000</v>
          </cell>
        </row>
        <row r="776">
          <cell r="E776" t="str">
            <v>B26001872</v>
          </cell>
          <cell r="AP776">
            <v>0</v>
          </cell>
          <cell r="AQ776">
            <v>0</v>
          </cell>
          <cell r="AV776">
            <v>175000000</v>
          </cell>
        </row>
        <row r="777">
          <cell r="E777" t="str">
            <v>B26001872</v>
          </cell>
          <cell r="AP777">
            <v>0</v>
          </cell>
          <cell r="AQ777">
            <v>0</v>
          </cell>
          <cell r="AV777">
            <v>16000000</v>
          </cell>
        </row>
        <row r="778">
          <cell r="E778" t="str">
            <v>D26002159</v>
          </cell>
          <cell r="AP778">
            <v>0</v>
          </cell>
          <cell r="AQ778">
            <v>0</v>
          </cell>
          <cell r="AV778">
            <v>546000000</v>
          </cell>
        </row>
        <row r="779">
          <cell r="E779" t="str">
            <v>D26002283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D26002441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D25017231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B26002152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D25018661</v>
          </cell>
          <cell r="AP783">
            <v>0</v>
          </cell>
          <cell r="AQ783">
            <v>0</v>
          </cell>
          <cell r="AV783">
            <v>778500</v>
          </cell>
        </row>
        <row r="784">
          <cell r="E784" t="str">
            <v>B25016677</v>
          </cell>
          <cell r="AP784">
            <v>0</v>
          </cell>
          <cell r="AQ784">
            <v>0</v>
          </cell>
          <cell r="AV784">
            <v>451500</v>
          </cell>
        </row>
        <row r="785">
          <cell r="E785" t="str">
            <v>B25016677</v>
          </cell>
          <cell r="AP785">
            <v>0</v>
          </cell>
          <cell r="AQ785">
            <v>0</v>
          </cell>
          <cell r="AV785">
            <v>493500</v>
          </cell>
        </row>
        <row r="786">
          <cell r="E786" t="str">
            <v>B25017088</v>
          </cell>
          <cell r="AP786">
            <v>0</v>
          </cell>
          <cell r="AQ786">
            <v>0</v>
          </cell>
          <cell r="AV786">
            <v>406500</v>
          </cell>
        </row>
        <row r="787">
          <cell r="E787" t="str">
            <v>D25019689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D26000388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B26000677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D26001068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D26001822</v>
          </cell>
          <cell r="AP791">
            <v>0</v>
          </cell>
          <cell r="AQ791">
            <v>0</v>
          </cell>
          <cell r="AV791">
            <v>3275000</v>
          </cell>
        </row>
        <row r="792">
          <cell r="E792" t="str">
            <v>D25014948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D25015234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B25013096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B25013448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D25015924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D25016080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D25016533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D25016996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D25016997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D25017102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B25014869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D25017610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D25017855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B25015717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D25018080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D25018085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D25018086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D25018439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B25016097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D25018769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D25018770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D25018813</v>
          </cell>
          <cell r="AP813">
            <v>0</v>
          </cell>
          <cell r="AQ813">
            <v>0</v>
          </cell>
          <cell r="AV813">
            <v>0</v>
          </cell>
        </row>
        <row r="814">
          <cell r="E814" t="str">
            <v>D25018838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D25019180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D25019218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B25016789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B25016790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D25019273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D25019547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D25019548</v>
          </cell>
          <cell r="AP821">
            <v>0</v>
          </cell>
          <cell r="AQ821">
            <v>0</v>
          </cell>
          <cell r="AV821">
            <v>0</v>
          </cell>
        </row>
        <row r="822">
          <cell r="E822" t="str">
            <v>D26000094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D26001266</v>
          </cell>
          <cell r="AP823">
            <v>0</v>
          </cell>
          <cell r="AQ823">
            <v>0</v>
          </cell>
          <cell r="AV823">
            <v>66500000</v>
          </cell>
        </row>
        <row r="824">
          <cell r="E824" t="str">
            <v>D26001588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D26001629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D26001630</v>
          </cell>
          <cell r="AP826">
            <v>0</v>
          </cell>
          <cell r="AQ826">
            <v>0</v>
          </cell>
          <cell r="AV826">
            <v>21700000</v>
          </cell>
        </row>
        <row r="827">
          <cell r="E827" t="str">
            <v>D26001673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B26001596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B26001912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D26002087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B26001952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D26002121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D26002137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D26002286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D26002383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B26002047</v>
          </cell>
          <cell r="AP836">
            <v>0</v>
          </cell>
          <cell r="AQ836">
            <v>0</v>
          </cell>
          <cell r="AV836">
            <v>2520000</v>
          </cell>
        </row>
        <row r="837">
          <cell r="E837" t="str">
            <v>B26002048</v>
          </cell>
          <cell r="AP837">
            <v>0</v>
          </cell>
          <cell r="AQ837">
            <v>0</v>
          </cell>
          <cell r="AV837">
            <v>3187500</v>
          </cell>
        </row>
        <row r="838">
          <cell r="E838" t="str">
            <v>T26000158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B25014894</v>
          </cell>
          <cell r="AP839">
            <v>0</v>
          </cell>
          <cell r="AQ839">
            <v>0</v>
          </cell>
          <cell r="AV839">
            <v>1301000</v>
          </cell>
        </row>
        <row r="840">
          <cell r="E840" t="str">
            <v>D25018772</v>
          </cell>
          <cell r="AP840">
            <v>0</v>
          </cell>
          <cell r="AQ840">
            <v>0</v>
          </cell>
          <cell r="AV840">
            <v>1425000</v>
          </cell>
        </row>
        <row r="841">
          <cell r="E841" t="str">
            <v>B26001777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Z26000276</v>
          </cell>
          <cell r="AP842">
            <v>0</v>
          </cell>
          <cell r="AQ842">
            <v>0</v>
          </cell>
          <cell r="AV842">
            <v>248000</v>
          </cell>
        </row>
        <row r="843">
          <cell r="E843" t="str">
            <v>Z26000276</v>
          </cell>
          <cell r="AP843">
            <v>1500000</v>
          </cell>
          <cell r="AQ843">
            <v>0</v>
          </cell>
          <cell r="AV843">
            <v>0</v>
          </cell>
        </row>
        <row r="844">
          <cell r="E844" t="str">
            <v>Z26000277</v>
          </cell>
          <cell r="AP844">
            <v>0</v>
          </cell>
          <cell r="AQ844">
            <v>0</v>
          </cell>
          <cell r="AV844">
            <v>1224000</v>
          </cell>
        </row>
        <row r="845">
          <cell r="E845" t="str">
            <v>Z26000324</v>
          </cell>
          <cell r="AP845">
            <v>0</v>
          </cell>
          <cell r="AQ845">
            <v>0</v>
          </cell>
          <cell r="AV845">
            <v>3340000</v>
          </cell>
        </row>
        <row r="846">
          <cell r="E846" t="str">
            <v>Z26000331</v>
          </cell>
          <cell r="AP846">
            <v>0</v>
          </cell>
          <cell r="AQ846">
            <v>0</v>
          </cell>
          <cell r="AV846">
            <v>3960000</v>
          </cell>
        </row>
        <row r="847">
          <cell r="E847" t="str">
            <v>Z26000405</v>
          </cell>
          <cell r="AP847">
            <v>0</v>
          </cell>
          <cell r="AQ847">
            <v>0</v>
          </cell>
          <cell r="AV847">
            <v>13240000</v>
          </cell>
        </row>
        <row r="848">
          <cell r="E848" t="str">
            <v>Z26000406</v>
          </cell>
          <cell r="AP848">
            <v>0</v>
          </cell>
          <cell r="AQ848">
            <v>0</v>
          </cell>
          <cell r="AV848">
            <v>920000</v>
          </cell>
        </row>
        <row r="849">
          <cell r="E849" t="str">
            <v>T26000163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B26000075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B26001577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D25018699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D25019326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D26000844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T25001420</v>
          </cell>
          <cell r="AP855">
            <v>0</v>
          </cell>
          <cell r="AQ855">
            <v>0</v>
          </cell>
          <cell r="AV855">
            <v>1700000</v>
          </cell>
        </row>
        <row r="856">
          <cell r="E856" t="str">
            <v>T25001781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B26001689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D26000566</v>
          </cell>
          <cell r="AP858">
            <v>0</v>
          </cell>
          <cell r="AQ858">
            <v>0</v>
          </cell>
          <cell r="AV858">
            <v>8400000</v>
          </cell>
        </row>
        <row r="859">
          <cell r="E859" t="str">
            <v>D26000629</v>
          </cell>
          <cell r="AP859">
            <v>0</v>
          </cell>
          <cell r="AQ859">
            <v>0</v>
          </cell>
          <cell r="AV859">
            <v>3382400</v>
          </cell>
        </row>
        <row r="860">
          <cell r="E860" t="str">
            <v>D26001695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D26001759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D25018788</v>
          </cell>
          <cell r="AP862">
            <v>0</v>
          </cell>
          <cell r="AQ862">
            <v>0</v>
          </cell>
          <cell r="AV862">
            <v>2955000</v>
          </cell>
        </row>
        <row r="863">
          <cell r="E863" t="str">
            <v>B26002202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B25016487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D25019482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D26000025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D26000189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B26000554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D26000643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D26001778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B26002000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B26002003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D26002243</v>
          </cell>
          <cell r="AP873">
            <v>0</v>
          </cell>
          <cell r="AQ873">
            <v>0</v>
          </cell>
          <cell r="AV873">
            <v>5340000</v>
          </cell>
        </row>
        <row r="874">
          <cell r="E874" t="str">
            <v>B25012415</v>
          </cell>
          <cell r="AP874">
            <v>0</v>
          </cell>
          <cell r="AQ874">
            <v>0</v>
          </cell>
          <cell r="AV874">
            <v>7300000</v>
          </cell>
        </row>
        <row r="875">
          <cell r="E875" t="str">
            <v>D25018298</v>
          </cell>
          <cell r="AP875">
            <v>0</v>
          </cell>
          <cell r="AQ875">
            <v>0</v>
          </cell>
          <cell r="AV875">
            <v>1344000</v>
          </cell>
        </row>
        <row r="876">
          <cell r="E876" t="str">
            <v>B26000027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D25019611</v>
          </cell>
          <cell r="AP877">
            <v>0</v>
          </cell>
          <cell r="AQ877">
            <v>0</v>
          </cell>
          <cell r="AV877">
            <v>1000000</v>
          </cell>
        </row>
        <row r="878">
          <cell r="E878" t="str">
            <v>D25019631</v>
          </cell>
          <cell r="AP878">
            <v>0</v>
          </cell>
          <cell r="AQ878">
            <v>0</v>
          </cell>
          <cell r="AV878">
            <v>10125000</v>
          </cell>
        </row>
        <row r="879">
          <cell r="E879" t="str">
            <v>D25019670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D26002081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D26002081</v>
          </cell>
          <cell r="AP881">
            <v>0</v>
          </cell>
          <cell r="AQ881">
            <v>0</v>
          </cell>
          <cell r="AV881">
            <v>5008000</v>
          </cell>
        </row>
        <row r="882">
          <cell r="E882" t="str">
            <v>D26002164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B26002140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B25016413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B25014588</v>
          </cell>
          <cell r="AP885">
            <v>0</v>
          </cell>
          <cell r="AQ885">
            <v>0</v>
          </cell>
          <cell r="AV885">
            <v>3800000</v>
          </cell>
        </row>
        <row r="886">
          <cell r="E886" t="str">
            <v>B25014724</v>
          </cell>
          <cell r="AP886">
            <v>0</v>
          </cell>
          <cell r="AQ886">
            <v>0</v>
          </cell>
          <cell r="AV886">
            <v>3500000</v>
          </cell>
        </row>
        <row r="887">
          <cell r="E887" t="str">
            <v>B25014724</v>
          </cell>
          <cell r="AP887">
            <v>0</v>
          </cell>
          <cell r="AQ887">
            <v>0</v>
          </cell>
          <cell r="AV887">
            <v>3500000</v>
          </cell>
        </row>
        <row r="888">
          <cell r="E888" t="str">
            <v>B25014724</v>
          </cell>
          <cell r="AP888">
            <v>0</v>
          </cell>
          <cell r="AQ888">
            <v>0</v>
          </cell>
          <cell r="AV888">
            <v>2000000</v>
          </cell>
        </row>
        <row r="889">
          <cell r="E889" t="str">
            <v>B25014791</v>
          </cell>
          <cell r="AP889">
            <v>0</v>
          </cell>
          <cell r="AQ889">
            <v>0</v>
          </cell>
          <cell r="AV889">
            <v>1950000</v>
          </cell>
        </row>
        <row r="890">
          <cell r="E890" t="str">
            <v>B25014795</v>
          </cell>
          <cell r="AP890">
            <v>0</v>
          </cell>
          <cell r="AQ890">
            <v>0</v>
          </cell>
          <cell r="AV890">
            <v>3500000</v>
          </cell>
        </row>
        <row r="891">
          <cell r="E891" t="str">
            <v>B25014795</v>
          </cell>
          <cell r="AP891">
            <v>0</v>
          </cell>
          <cell r="AQ891">
            <v>0</v>
          </cell>
          <cell r="AV891">
            <v>4500000</v>
          </cell>
        </row>
        <row r="892">
          <cell r="E892" t="str">
            <v>B25014795</v>
          </cell>
          <cell r="AP892">
            <v>0</v>
          </cell>
          <cell r="AQ892">
            <v>0</v>
          </cell>
          <cell r="AV892">
            <v>2060000</v>
          </cell>
        </row>
        <row r="893">
          <cell r="E893" t="str">
            <v>D25017192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D25017199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B25014956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D25017383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D25017395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D25017616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B25015231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B25015232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D25017670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D25017719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B25015304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B25015318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B25015319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B25015415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D25017912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B25015523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D25018187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D25018248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D25018273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N25000073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B25015953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D25018350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D25018354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B25016052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D25018680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B25016296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D25018697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D25018734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D25018763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D25018876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B25016497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B25016502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D25019009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B25016772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D25019274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B25017014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D25019561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B25017039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B25017045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B25017053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D25019633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B25017108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D26000134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B26000170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B26000173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B26000241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B26000345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B26000346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B26000382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B26000635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B26000688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D26000805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D26000859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B26000821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B26000846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B26000901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B26000902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B26000944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D26001057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D26001103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D26001148</v>
          </cell>
          <cell r="AP953">
            <v>0</v>
          </cell>
          <cell r="AQ953">
            <v>0</v>
          </cell>
          <cell r="AV953">
            <v>4000000</v>
          </cell>
        </row>
        <row r="954">
          <cell r="E954" t="str">
            <v>B26001169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D26001404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D26001427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B26001452</v>
          </cell>
          <cell r="AP957">
            <v>0</v>
          </cell>
          <cell r="AQ957">
            <v>0</v>
          </cell>
          <cell r="AV957">
            <v>0</v>
          </cell>
        </row>
        <row r="958">
          <cell r="E958" t="str">
            <v>D26001539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N26000015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D26001613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D26001669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B26001619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B26001633</v>
          </cell>
          <cell r="AP963">
            <v>0</v>
          </cell>
          <cell r="AQ963">
            <v>0</v>
          </cell>
          <cell r="AV963">
            <v>2075000</v>
          </cell>
        </row>
        <row r="964">
          <cell r="E964" t="str">
            <v>B26001634</v>
          </cell>
          <cell r="AP964">
            <v>0</v>
          </cell>
          <cell r="AQ964">
            <v>0</v>
          </cell>
          <cell r="AV964">
            <v>0</v>
          </cell>
        </row>
        <row r="965">
          <cell r="E965" t="str">
            <v>D26001841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B26001710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D26001856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B26001841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D26001985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D26002012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B26001935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B26001936</v>
          </cell>
          <cell r="AP972">
            <v>0</v>
          </cell>
          <cell r="AQ972">
            <v>0</v>
          </cell>
          <cell r="AV972">
            <v>17990000</v>
          </cell>
        </row>
        <row r="973">
          <cell r="E973" t="str">
            <v>B26001937</v>
          </cell>
          <cell r="AP973">
            <v>0</v>
          </cell>
          <cell r="AQ973">
            <v>0</v>
          </cell>
          <cell r="AV973">
            <v>23750000</v>
          </cell>
        </row>
        <row r="974">
          <cell r="E974" t="str">
            <v>B26001937</v>
          </cell>
          <cell r="AP974">
            <v>0</v>
          </cell>
          <cell r="AQ974">
            <v>0</v>
          </cell>
          <cell r="AV974">
            <v>19000000</v>
          </cell>
        </row>
        <row r="975">
          <cell r="E975" t="str">
            <v>B26002007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B26002089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B26002142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D26002257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B25015269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B25015270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D25017684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T25001754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D25017920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D25018112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D25018463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B25016134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B25016274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B25016379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D25018868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D25019071</v>
          </cell>
          <cell r="AP990">
            <v>0</v>
          </cell>
          <cell r="AQ990">
            <v>0</v>
          </cell>
          <cell r="AV990">
            <v>0</v>
          </cell>
        </row>
        <row r="991">
          <cell r="E991" t="str">
            <v>D25019310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T25001890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B25016917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B25016953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B25016954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D25019577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D25019632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D25019655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B25017134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B26001260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B26001261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B26001279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D26001464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B26001473</v>
          </cell>
          <cell r="AP1004">
            <v>0</v>
          </cell>
          <cell r="AQ1004">
            <v>0</v>
          </cell>
          <cell r="AV1004">
            <v>0</v>
          </cell>
        </row>
        <row r="1005">
          <cell r="E1005" t="str">
            <v>B26001563</v>
          </cell>
          <cell r="AP1005">
            <v>0</v>
          </cell>
          <cell r="AQ1005">
            <v>0</v>
          </cell>
          <cell r="AV1005">
            <v>10500000</v>
          </cell>
        </row>
        <row r="1006">
          <cell r="E1006" t="str">
            <v>B26001564</v>
          </cell>
          <cell r="AP1006">
            <v>0</v>
          </cell>
          <cell r="AQ1006">
            <v>0</v>
          </cell>
          <cell r="AV1006">
            <v>0</v>
          </cell>
        </row>
        <row r="1007">
          <cell r="E1007" t="str">
            <v>B26001654</v>
          </cell>
          <cell r="AP1007">
            <v>0</v>
          </cell>
          <cell r="AQ1007">
            <v>0</v>
          </cell>
          <cell r="AV1007">
            <v>0</v>
          </cell>
        </row>
        <row r="1008">
          <cell r="E1008" t="str">
            <v>D26001836</v>
          </cell>
          <cell r="AP1008">
            <v>0</v>
          </cell>
          <cell r="AQ1008">
            <v>0</v>
          </cell>
          <cell r="AV1008">
            <v>0</v>
          </cell>
        </row>
        <row r="1009">
          <cell r="E1009" t="str">
            <v>B26001734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D26001865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B26001874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D26002073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B26002031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B26002068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B26002121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D26002315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D26002342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D26002426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B25013715</v>
          </cell>
          <cell r="AP1019">
            <v>0</v>
          </cell>
          <cell r="AQ1019">
            <v>0</v>
          </cell>
          <cell r="AV1019">
            <v>11640000</v>
          </cell>
        </row>
        <row r="1020">
          <cell r="E1020" t="str">
            <v>B25014025</v>
          </cell>
          <cell r="AP1020">
            <v>0</v>
          </cell>
          <cell r="AQ1020">
            <v>0</v>
          </cell>
          <cell r="AV1020">
            <v>51250000</v>
          </cell>
        </row>
        <row r="1021">
          <cell r="E1021" t="str">
            <v>B25014284</v>
          </cell>
          <cell r="AP1021">
            <v>0</v>
          </cell>
          <cell r="AQ1021">
            <v>0</v>
          </cell>
          <cell r="AV1021">
            <v>8160000</v>
          </cell>
        </row>
        <row r="1022">
          <cell r="E1022" t="str">
            <v>D25016563</v>
          </cell>
          <cell r="AP1022">
            <v>0</v>
          </cell>
          <cell r="AQ1022">
            <v>0</v>
          </cell>
          <cell r="AV1022">
            <v>3980000</v>
          </cell>
        </row>
        <row r="1023">
          <cell r="E1023" t="str">
            <v>D25016564</v>
          </cell>
          <cell r="AP1023">
            <v>0</v>
          </cell>
          <cell r="AQ1023">
            <v>0</v>
          </cell>
          <cell r="AV1023">
            <v>4200000</v>
          </cell>
        </row>
        <row r="1024">
          <cell r="E1024" t="str">
            <v>B25014473</v>
          </cell>
          <cell r="AP1024">
            <v>0</v>
          </cell>
          <cell r="AQ1024">
            <v>0</v>
          </cell>
          <cell r="AV1024">
            <v>20000000</v>
          </cell>
        </row>
        <row r="1025">
          <cell r="E1025" t="str">
            <v>B25014474</v>
          </cell>
          <cell r="AP1025">
            <v>0</v>
          </cell>
          <cell r="AQ1025">
            <v>0</v>
          </cell>
          <cell r="AV1025">
            <v>22000000</v>
          </cell>
        </row>
        <row r="1026">
          <cell r="E1026" t="str">
            <v>B25014475</v>
          </cell>
          <cell r="AP1026">
            <v>0</v>
          </cell>
          <cell r="AQ1026">
            <v>0</v>
          </cell>
          <cell r="AV1026">
            <v>23445000</v>
          </cell>
        </row>
        <row r="1027">
          <cell r="E1027" t="str">
            <v>B25014486</v>
          </cell>
          <cell r="AP1027">
            <v>0</v>
          </cell>
          <cell r="AQ1027">
            <v>0</v>
          </cell>
          <cell r="AV1027">
            <v>20745000</v>
          </cell>
        </row>
        <row r="1028">
          <cell r="E1028" t="str">
            <v>B25014620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D25017006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D25017007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>
            <v>250181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D25017216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D25017288</v>
          </cell>
          <cell r="AP1033">
            <v>0</v>
          </cell>
          <cell r="AQ1033">
            <v>0</v>
          </cell>
          <cell r="AV1033">
            <v>0</v>
          </cell>
        </row>
        <row r="1034">
          <cell r="E1034" t="str">
            <v>D25018150</v>
          </cell>
          <cell r="AP1034">
            <v>0</v>
          </cell>
          <cell r="AQ1034">
            <v>0</v>
          </cell>
          <cell r="AV1034">
            <v>0</v>
          </cell>
        </row>
        <row r="1035">
          <cell r="E1035" t="str">
            <v>D25018927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B25017021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B25017029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B26000563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B26000564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B26000717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B26000888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D26000960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 t="str">
            <v>D26001019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D26001020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B25016861</v>
          </cell>
          <cell r="AP1045">
            <v>0</v>
          </cell>
          <cell r="AQ1045">
            <v>0</v>
          </cell>
          <cell r="AV1045">
            <v>2000000</v>
          </cell>
        </row>
        <row r="1046">
          <cell r="E1046" t="str">
            <v>B25016861</v>
          </cell>
          <cell r="AP1046">
            <v>0</v>
          </cell>
          <cell r="AQ1046">
            <v>0</v>
          </cell>
          <cell r="AV1046">
            <v>2300000</v>
          </cell>
        </row>
        <row r="1047">
          <cell r="E1047" t="str">
            <v>D26000200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B26000297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B26000743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D26000981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D26001365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D26001465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D25019431</v>
          </cell>
          <cell r="AP1053">
            <v>0</v>
          </cell>
          <cell r="AQ1053">
            <v>0</v>
          </cell>
          <cell r="AV1053">
            <v>51634137</v>
          </cell>
        </row>
        <row r="1054">
          <cell r="E1054" t="str">
            <v>D26000015</v>
          </cell>
          <cell r="AP1054">
            <v>0</v>
          </cell>
          <cell r="AQ1054">
            <v>0</v>
          </cell>
          <cell r="AV1054">
            <v>39175863</v>
          </cell>
        </row>
        <row r="1055">
          <cell r="E1055" t="str">
            <v>D26000015</v>
          </cell>
          <cell r="AP1055">
            <v>0</v>
          </cell>
          <cell r="AQ1055">
            <v>0</v>
          </cell>
          <cell r="AV1055">
            <v>202324137</v>
          </cell>
        </row>
        <row r="1056">
          <cell r="E1056" t="str">
            <v>D26000016</v>
          </cell>
          <cell r="AP1056">
            <v>0</v>
          </cell>
          <cell r="AQ1056">
            <v>0</v>
          </cell>
          <cell r="AV1056">
            <v>73890000</v>
          </cell>
        </row>
        <row r="1057">
          <cell r="E1057" t="str">
            <v>D26000262</v>
          </cell>
          <cell r="AP1057">
            <v>0</v>
          </cell>
          <cell r="AQ1057">
            <v>0</v>
          </cell>
          <cell r="AV1057">
            <v>35300000</v>
          </cell>
        </row>
        <row r="1058">
          <cell r="E1058" t="str">
            <v>D26000427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B26002143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D26002253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D26001036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B25017067</v>
          </cell>
          <cell r="AP1062">
            <v>0</v>
          </cell>
          <cell r="AQ1062">
            <v>0</v>
          </cell>
          <cell r="AV1062">
            <v>21200000</v>
          </cell>
        </row>
        <row r="1063">
          <cell r="E1063" t="str">
            <v>D25019643</v>
          </cell>
          <cell r="AP1063">
            <v>0</v>
          </cell>
          <cell r="AQ1063">
            <v>0</v>
          </cell>
          <cell r="AV1063">
            <v>5040000</v>
          </cell>
        </row>
        <row r="1064">
          <cell r="E1064" t="str">
            <v>T26000017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B26000285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D26000292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B26000383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B26000794</v>
          </cell>
          <cell r="AP1068">
            <v>0</v>
          </cell>
          <cell r="AQ1068">
            <v>0</v>
          </cell>
          <cell r="AV1068">
            <v>0</v>
          </cell>
        </row>
        <row r="1069">
          <cell r="E1069" t="str">
            <v>B26001540</v>
          </cell>
          <cell r="AP1069">
            <v>0</v>
          </cell>
          <cell r="AQ1069">
            <v>0</v>
          </cell>
          <cell r="AV1069">
            <v>0</v>
          </cell>
        </row>
        <row r="1070">
          <cell r="E1070" t="str">
            <v>B26001542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B26001780</v>
          </cell>
          <cell r="AP1071">
            <v>0</v>
          </cell>
          <cell r="AQ1071">
            <v>0</v>
          </cell>
          <cell r="AV1071">
            <v>4950000</v>
          </cell>
        </row>
        <row r="1072">
          <cell r="E1072" t="str">
            <v>B26001781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B26000165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D26000559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D26001900</v>
          </cell>
          <cell r="AP1075">
            <v>0</v>
          </cell>
          <cell r="AQ1075">
            <v>0</v>
          </cell>
          <cell r="AV1075">
            <v>1425000</v>
          </cell>
        </row>
        <row r="1076">
          <cell r="E1076" t="str">
            <v>D25017215</v>
          </cell>
          <cell r="AP1076">
            <v>0</v>
          </cell>
          <cell r="AQ1076">
            <v>0</v>
          </cell>
          <cell r="AV1076">
            <v>2143100</v>
          </cell>
        </row>
        <row r="1077">
          <cell r="E1077" t="str">
            <v>B25014980</v>
          </cell>
          <cell r="AP1077">
            <v>0</v>
          </cell>
          <cell r="AQ1077">
            <v>0</v>
          </cell>
          <cell r="AV1077">
            <v>1280000</v>
          </cell>
        </row>
        <row r="1078">
          <cell r="E1078" t="str">
            <v>D25017286</v>
          </cell>
          <cell r="AP1078">
            <v>0</v>
          </cell>
          <cell r="AQ1078">
            <v>0</v>
          </cell>
          <cell r="AV1078">
            <v>6080000</v>
          </cell>
        </row>
        <row r="1079">
          <cell r="E1079" t="str">
            <v>B25015081</v>
          </cell>
          <cell r="AP1079">
            <v>0</v>
          </cell>
          <cell r="AQ1079">
            <v>0</v>
          </cell>
          <cell r="AV1079">
            <v>2560000</v>
          </cell>
        </row>
        <row r="1080">
          <cell r="E1080" t="str">
            <v>D25017402</v>
          </cell>
          <cell r="AP1080">
            <v>0</v>
          </cell>
          <cell r="AQ1080">
            <v>0</v>
          </cell>
          <cell r="AV1080">
            <v>8000000</v>
          </cell>
        </row>
        <row r="1081">
          <cell r="E1081" t="str">
            <v>D25017410</v>
          </cell>
          <cell r="AP1081">
            <v>0</v>
          </cell>
          <cell r="AQ1081">
            <v>0</v>
          </cell>
          <cell r="AV1081">
            <v>4800000</v>
          </cell>
        </row>
        <row r="1082">
          <cell r="E1082" t="str">
            <v>B25015151</v>
          </cell>
          <cell r="AP1082">
            <v>0</v>
          </cell>
          <cell r="AQ1082">
            <v>0</v>
          </cell>
          <cell r="AV1082">
            <v>38800000</v>
          </cell>
        </row>
        <row r="1083">
          <cell r="E1083" t="str">
            <v>D25017521</v>
          </cell>
          <cell r="AP1083">
            <v>0</v>
          </cell>
          <cell r="AQ1083">
            <v>0</v>
          </cell>
          <cell r="AV1083">
            <v>148200000</v>
          </cell>
        </row>
        <row r="1084">
          <cell r="E1084" t="str">
            <v>D25017599</v>
          </cell>
          <cell r="AP1084">
            <v>0</v>
          </cell>
          <cell r="AQ1084">
            <v>0</v>
          </cell>
          <cell r="AV1084">
            <v>60000000</v>
          </cell>
        </row>
        <row r="1085">
          <cell r="E1085" t="str">
            <v>B25015236</v>
          </cell>
          <cell r="AP1085">
            <v>0</v>
          </cell>
          <cell r="AQ1085">
            <v>0</v>
          </cell>
          <cell r="AV1085">
            <v>4480000</v>
          </cell>
        </row>
        <row r="1086">
          <cell r="E1086" t="str">
            <v>D25017740</v>
          </cell>
          <cell r="AP1086">
            <v>0</v>
          </cell>
          <cell r="AQ1086">
            <v>0</v>
          </cell>
          <cell r="AV1086">
            <v>194000000</v>
          </cell>
        </row>
        <row r="1087">
          <cell r="E1087" t="str">
            <v>B25015383</v>
          </cell>
          <cell r="AP1087">
            <v>0</v>
          </cell>
          <cell r="AQ1087">
            <v>0</v>
          </cell>
          <cell r="AV1087">
            <v>3200000</v>
          </cell>
        </row>
        <row r="1088">
          <cell r="E1088" t="str">
            <v>B25015413</v>
          </cell>
          <cell r="AP1088">
            <v>0</v>
          </cell>
          <cell r="AQ1088">
            <v>0</v>
          </cell>
          <cell r="AV1088">
            <v>170000000</v>
          </cell>
        </row>
        <row r="1089">
          <cell r="E1089" t="str">
            <v>D25017944</v>
          </cell>
          <cell r="AP1089">
            <v>0</v>
          </cell>
          <cell r="AQ1089">
            <v>0</v>
          </cell>
          <cell r="AV1089">
            <v>8000000</v>
          </cell>
        </row>
        <row r="1090">
          <cell r="E1090" t="str">
            <v>B25015552</v>
          </cell>
          <cell r="AP1090">
            <v>0</v>
          </cell>
          <cell r="AQ1090">
            <v>0</v>
          </cell>
          <cell r="AV1090">
            <v>5760000</v>
          </cell>
        </row>
        <row r="1091">
          <cell r="E1091" t="str">
            <v>D25018015</v>
          </cell>
          <cell r="AP1091">
            <v>0</v>
          </cell>
          <cell r="AQ1091">
            <v>0</v>
          </cell>
          <cell r="AV1091">
            <v>16000000</v>
          </cell>
        </row>
        <row r="1092">
          <cell r="E1092" t="str">
            <v>D25018055</v>
          </cell>
          <cell r="AP1092">
            <v>0</v>
          </cell>
          <cell r="AQ1092">
            <v>0</v>
          </cell>
          <cell r="AV1092">
            <v>1600000</v>
          </cell>
        </row>
        <row r="1093">
          <cell r="E1093" t="str">
            <v>B25015689</v>
          </cell>
          <cell r="AP1093">
            <v>0</v>
          </cell>
          <cell r="AQ1093">
            <v>0</v>
          </cell>
          <cell r="AV1093">
            <v>13800000</v>
          </cell>
        </row>
        <row r="1094">
          <cell r="E1094" t="str">
            <v>D25018270</v>
          </cell>
          <cell r="AP1094">
            <v>0</v>
          </cell>
          <cell r="AQ1094">
            <v>0</v>
          </cell>
          <cell r="AV1094">
            <v>37800000</v>
          </cell>
        </row>
        <row r="1095">
          <cell r="E1095" t="str">
            <v>D25018367</v>
          </cell>
          <cell r="AP1095">
            <v>0</v>
          </cell>
          <cell r="AQ1095">
            <v>0</v>
          </cell>
          <cell r="AV1095">
            <v>8000000</v>
          </cell>
        </row>
        <row r="1096">
          <cell r="E1096" t="str">
            <v>B25016032</v>
          </cell>
          <cell r="AP1096">
            <v>0</v>
          </cell>
          <cell r="AQ1096">
            <v>0</v>
          </cell>
          <cell r="AV1096">
            <v>53800000</v>
          </cell>
        </row>
        <row r="1097">
          <cell r="E1097" t="str">
            <v>B25016075</v>
          </cell>
          <cell r="AP1097">
            <v>0</v>
          </cell>
          <cell r="AQ1097">
            <v>0</v>
          </cell>
          <cell r="AV1097">
            <v>3840000</v>
          </cell>
        </row>
        <row r="1098">
          <cell r="E1098" t="str">
            <v>B25016076</v>
          </cell>
          <cell r="AP1098">
            <v>0</v>
          </cell>
          <cell r="AQ1098">
            <v>0</v>
          </cell>
          <cell r="AV1098">
            <v>149400000</v>
          </cell>
        </row>
        <row r="1099">
          <cell r="E1099" t="str">
            <v>D25018479</v>
          </cell>
          <cell r="AP1099">
            <v>0</v>
          </cell>
          <cell r="AQ1099">
            <v>0</v>
          </cell>
          <cell r="AV1099">
            <v>66875000</v>
          </cell>
        </row>
        <row r="1100">
          <cell r="E1100" t="str">
            <v>B25016145</v>
          </cell>
          <cell r="AP1100">
            <v>0</v>
          </cell>
          <cell r="AQ1100">
            <v>0</v>
          </cell>
          <cell r="AV1100">
            <v>2560000</v>
          </cell>
        </row>
        <row r="1101">
          <cell r="E1101" t="str">
            <v>B25016217</v>
          </cell>
          <cell r="AP1101">
            <v>0</v>
          </cell>
          <cell r="AQ1101">
            <v>0</v>
          </cell>
          <cell r="AV1101">
            <v>16000000</v>
          </cell>
        </row>
        <row r="1102">
          <cell r="E1102" t="str">
            <v>B25016223</v>
          </cell>
          <cell r="AP1102">
            <v>0</v>
          </cell>
          <cell r="AQ1102">
            <v>0</v>
          </cell>
          <cell r="AV1102">
            <v>12600000</v>
          </cell>
        </row>
        <row r="1103">
          <cell r="E1103" t="str">
            <v>B25016364</v>
          </cell>
          <cell r="AP1103">
            <v>0</v>
          </cell>
          <cell r="AQ1103">
            <v>0</v>
          </cell>
          <cell r="AV1103">
            <v>1600000</v>
          </cell>
        </row>
        <row r="1104">
          <cell r="E1104" t="str">
            <v>D25018791</v>
          </cell>
          <cell r="AP1104">
            <v>0</v>
          </cell>
          <cell r="AQ1104">
            <v>0</v>
          </cell>
          <cell r="AV1104">
            <v>1600000</v>
          </cell>
        </row>
        <row r="1105">
          <cell r="E1105" t="str">
            <v>D25018883</v>
          </cell>
          <cell r="AP1105">
            <v>0</v>
          </cell>
          <cell r="AQ1105">
            <v>0</v>
          </cell>
          <cell r="AV1105">
            <v>4160000</v>
          </cell>
        </row>
        <row r="1106">
          <cell r="E1106" t="str">
            <v>B25016493</v>
          </cell>
          <cell r="AP1106">
            <v>0</v>
          </cell>
          <cell r="AQ1106">
            <v>0</v>
          </cell>
          <cell r="AV1106">
            <v>6400000</v>
          </cell>
        </row>
        <row r="1107">
          <cell r="E1107" t="str">
            <v>B25016520</v>
          </cell>
          <cell r="AP1107">
            <v>0</v>
          </cell>
          <cell r="AQ1107">
            <v>0</v>
          </cell>
          <cell r="AV1107">
            <v>1600000</v>
          </cell>
        </row>
        <row r="1108">
          <cell r="E1108" t="str">
            <v>D25019158</v>
          </cell>
          <cell r="AP1108">
            <v>0</v>
          </cell>
          <cell r="AQ1108">
            <v>0</v>
          </cell>
          <cell r="AV1108">
            <v>13800000</v>
          </cell>
        </row>
        <row r="1109">
          <cell r="E1109" t="str">
            <v>B25016811</v>
          </cell>
          <cell r="AP1109">
            <v>0</v>
          </cell>
          <cell r="AQ1109">
            <v>0</v>
          </cell>
          <cell r="AV1109">
            <v>207000000</v>
          </cell>
        </row>
        <row r="1110">
          <cell r="E1110" t="str">
            <v>D25019421</v>
          </cell>
          <cell r="AP1110">
            <v>0</v>
          </cell>
          <cell r="AQ1110">
            <v>0</v>
          </cell>
          <cell r="AV1110">
            <v>32480000</v>
          </cell>
        </row>
        <row r="1111">
          <cell r="E1111" t="str">
            <v>B26000084</v>
          </cell>
          <cell r="AP1111">
            <v>0</v>
          </cell>
          <cell r="AQ1111">
            <v>0</v>
          </cell>
          <cell r="AV1111">
            <v>2560000</v>
          </cell>
        </row>
        <row r="1112">
          <cell r="E1112" t="str">
            <v>D26000151</v>
          </cell>
          <cell r="AP1112">
            <v>0</v>
          </cell>
          <cell r="AQ1112">
            <v>0</v>
          </cell>
          <cell r="AV1112">
            <v>2560000</v>
          </cell>
        </row>
        <row r="1113">
          <cell r="E1113" t="str">
            <v>D26000247</v>
          </cell>
          <cell r="AP1113">
            <v>0</v>
          </cell>
          <cell r="AQ1113">
            <v>0</v>
          </cell>
          <cell r="AV1113">
            <v>1280000</v>
          </cell>
        </row>
        <row r="1114">
          <cell r="E1114" t="str">
            <v>B26000344</v>
          </cell>
          <cell r="AP1114">
            <v>0</v>
          </cell>
          <cell r="AQ1114">
            <v>0</v>
          </cell>
          <cell r="AV1114">
            <v>12600000</v>
          </cell>
        </row>
        <row r="1115">
          <cell r="E1115" t="str">
            <v>B26000401</v>
          </cell>
          <cell r="AP1115">
            <v>0</v>
          </cell>
          <cell r="AQ1115">
            <v>0</v>
          </cell>
          <cell r="AV1115">
            <v>6400000</v>
          </cell>
        </row>
        <row r="1116">
          <cell r="E1116" t="str">
            <v>D26000540</v>
          </cell>
          <cell r="AP1116">
            <v>0</v>
          </cell>
          <cell r="AQ1116">
            <v>0</v>
          </cell>
          <cell r="AV1116">
            <v>32500000</v>
          </cell>
        </row>
        <row r="1117">
          <cell r="E1117" t="str">
            <v>B26000986</v>
          </cell>
          <cell r="AP1117">
            <v>0</v>
          </cell>
          <cell r="AQ1117">
            <v>0</v>
          </cell>
          <cell r="AV1117">
            <v>3840000</v>
          </cell>
        </row>
        <row r="1118">
          <cell r="E1118" t="str">
            <v>D26001078</v>
          </cell>
          <cell r="AP1118">
            <v>0</v>
          </cell>
          <cell r="AQ1118">
            <v>0</v>
          </cell>
          <cell r="AV1118">
            <v>17940000</v>
          </cell>
        </row>
        <row r="1119">
          <cell r="E1119" t="str">
            <v>B26001068</v>
          </cell>
          <cell r="AP1119">
            <v>0</v>
          </cell>
          <cell r="AQ1119">
            <v>0</v>
          </cell>
          <cell r="AV1119">
            <v>3840000</v>
          </cell>
        </row>
        <row r="1120">
          <cell r="E1120" t="str">
            <v>B26001147</v>
          </cell>
          <cell r="AP1120">
            <v>0</v>
          </cell>
          <cell r="AQ1120">
            <v>0</v>
          </cell>
          <cell r="AV1120">
            <v>78000000</v>
          </cell>
        </row>
        <row r="1121">
          <cell r="E1121" t="str">
            <v>B26001202</v>
          </cell>
          <cell r="AP1121">
            <v>0</v>
          </cell>
          <cell r="AQ1121">
            <v>0</v>
          </cell>
          <cell r="AV1121">
            <v>1280000</v>
          </cell>
        </row>
        <row r="1122">
          <cell r="E1122" t="str">
            <v>B26001245</v>
          </cell>
          <cell r="AP1122">
            <v>0</v>
          </cell>
          <cell r="AQ1122">
            <v>0</v>
          </cell>
          <cell r="AV1122">
            <v>34500000</v>
          </cell>
        </row>
        <row r="1123">
          <cell r="E1123" t="str">
            <v>D26001540</v>
          </cell>
          <cell r="AP1123">
            <v>0</v>
          </cell>
          <cell r="AQ1123">
            <v>0</v>
          </cell>
          <cell r="AV1123">
            <v>3840000</v>
          </cell>
        </row>
        <row r="1124">
          <cell r="E1124" t="str">
            <v>B26001610</v>
          </cell>
          <cell r="AP1124">
            <v>0</v>
          </cell>
          <cell r="AQ1124">
            <v>0</v>
          </cell>
          <cell r="AV1124">
            <v>20700000</v>
          </cell>
        </row>
        <row r="1125">
          <cell r="E1125" t="str">
            <v>B26001614</v>
          </cell>
          <cell r="AP1125">
            <v>0</v>
          </cell>
          <cell r="AQ1125">
            <v>0</v>
          </cell>
          <cell r="AV1125">
            <v>20700000</v>
          </cell>
        </row>
        <row r="1126">
          <cell r="E1126" t="str">
            <v>D26001866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D26002115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B26002201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D25019107</v>
          </cell>
          <cell r="AP1129">
            <v>0</v>
          </cell>
          <cell r="AQ1129">
            <v>0</v>
          </cell>
          <cell r="AV1129">
            <v>3840000</v>
          </cell>
        </row>
        <row r="1130">
          <cell r="E1130" t="str">
            <v>B25016648</v>
          </cell>
          <cell r="AP1130">
            <v>0</v>
          </cell>
          <cell r="AQ1130">
            <v>0</v>
          </cell>
          <cell r="AV1130">
            <v>3870000</v>
          </cell>
        </row>
        <row r="1131">
          <cell r="E1131" t="str">
            <v>B26000184</v>
          </cell>
          <cell r="AP1131">
            <v>0</v>
          </cell>
          <cell r="AQ1131">
            <v>0</v>
          </cell>
          <cell r="AV1131">
            <v>2300000</v>
          </cell>
        </row>
        <row r="1132">
          <cell r="E1132" t="str">
            <v>B26000185</v>
          </cell>
          <cell r="AP1132">
            <v>0</v>
          </cell>
          <cell r="AQ1132">
            <v>0</v>
          </cell>
          <cell r="AV1132">
            <v>11035000</v>
          </cell>
        </row>
        <row r="1133">
          <cell r="E1133" t="str">
            <v>D26000879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D26000880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B26000837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D26001174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D26001179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N26000012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B26001346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B26001347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B26001497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B26001498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B26001510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B26001511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D26002348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D26002349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D26000760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D26000761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D26000762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D26001498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D26001843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D26002308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B26000813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D26002299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B26002195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B25014453</v>
          </cell>
          <cell r="AP1156">
            <v>0</v>
          </cell>
          <cell r="AQ1156">
            <v>0</v>
          </cell>
          <cell r="AV1156">
            <v>5670000</v>
          </cell>
        </row>
        <row r="1157">
          <cell r="E1157" t="str">
            <v>B25014483</v>
          </cell>
          <cell r="AP1157">
            <v>0</v>
          </cell>
          <cell r="AQ1157">
            <v>0</v>
          </cell>
          <cell r="AV1157">
            <v>4176000</v>
          </cell>
        </row>
        <row r="1158">
          <cell r="E1158" t="str">
            <v>B25014673</v>
          </cell>
          <cell r="AP1158">
            <v>0</v>
          </cell>
          <cell r="AQ1158">
            <v>0</v>
          </cell>
          <cell r="AV1158">
            <v>2125000</v>
          </cell>
        </row>
        <row r="1159">
          <cell r="E1159" t="str">
            <v>D25017473</v>
          </cell>
          <cell r="AP1159">
            <v>0</v>
          </cell>
          <cell r="AQ1159">
            <v>0</v>
          </cell>
          <cell r="AV1159">
            <v>4837500</v>
          </cell>
        </row>
        <row r="1160">
          <cell r="E1160" t="str">
            <v>B25015740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D25018146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B25016419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D25018985</v>
          </cell>
          <cell r="AP1163">
            <v>0</v>
          </cell>
          <cell r="AQ1163">
            <v>0</v>
          </cell>
          <cell r="AV1163">
            <v>2787500</v>
          </cell>
        </row>
        <row r="1164">
          <cell r="E1164" t="str">
            <v>D25018994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B26000198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B26000496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B26000914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B26001150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D26001233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>
            <v>260009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T26000160</v>
          </cell>
          <cell r="AP1171">
            <v>0</v>
          </cell>
          <cell r="AQ1171">
            <v>0</v>
          </cell>
          <cell r="AV1171">
            <v>470000</v>
          </cell>
        </row>
        <row r="1172">
          <cell r="E1172" t="str">
            <v>B26001762</v>
          </cell>
          <cell r="AP1172">
            <v>0</v>
          </cell>
          <cell r="AQ1172">
            <v>0</v>
          </cell>
          <cell r="AV1172">
            <v>126000</v>
          </cell>
        </row>
        <row r="1173">
          <cell r="E1173" t="str">
            <v>D26001862</v>
          </cell>
          <cell r="AP1173">
            <v>0</v>
          </cell>
          <cell r="AQ1173">
            <v>0</v>
          </cell>
          <cell r="AV1173">
            <v>3340000</v>
          </cell>
        </row>
        <row r="1174">
          <cell r="E1174" t="str">
            <v>T26000032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B26001687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D26000502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D26001038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B26001445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B26001808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D26001947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B26002137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B26002138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B26001533</v>
          </cell>
          <cell r="AP1183">
            <v>0</v>
          </cell>
          <cell r="AQ1183">
            <v>0</v>
          </cell>
          <cell r="AV1183">
            <v>10600000</v>
          </cell>
        </row>
        <row r="1184">
          <cell r="E1184" t="str">
            <v>B26001676</v>
          </cell>
          <cell r="AP1184">
            <v>0</v>
          </cell>
          <cell r="AQ1184">
            <v>0</v>
          </cell>
          <cell r="AV1184">
            <v>19010000</v>
          </cell>
        </row>
        <row r="1185">
          <cell r="E1185" t="str">
            <v>B26002250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D26001610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B26002101</v>
          </cell>
          <cell r="AP1187">
            <v>0</v>
          </cell>
          <cell r="AQ1187">
            <v>0</v>
          </cell>
          <cell r="AV1187">
            <v>11300000</v>
          </cell>
        </row>
        <row r="1188">
          <cell r="E1188" t="str">
            <v>D25017170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D25019292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B26001825</v>
          </cell>
          <cell r="AP1190">
            <v>0</v>
          </cell>
          <cell r="AQ1190">
            <v>0</v>
          </cell>
          <cell r="AV1190">
            <v>12300000</v>
          </cell>
        </row>
        <row r="1191">
          <cell r="E1191" t="str">
            <v>B25016822</v>
          </cell>
          <cell r="AP1191">
            <v>0</v>
          </cell>
          <cell r="AQ1191">
            <v>0</v>
          </cell>
          <cell r="AV1191">
            <v>13700000</v>
          </cell>
        </row>
        <row r="1192">
          <cell r="E1192" t="str">
            <v>D25019508</v>
          </cell>
          <cell r="AP1192">
            <v>0</v>
          </cell>
          <cell r="AQ1192">
            <v>0</v>
          </cell>
          <cell r="AV1192">
            <v>8175000</v>
          </cell>
        </row>
        <row r="1193">
          <cell r="E1193" t="str">
            <v>D25019509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D25019536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B26000207</v>
          </cell>
          <cell r="AP1195">
            <v>0</v>
          </cell>
          <cell r="AQ1195">
            <v>0</v>
          </cell>
          <cell r="AV1195">
            <v>6247500</v>
          </cell>
        </row>
        <row r="1196">
          <cell r="E1196" t="str">
            <v>D26000233</v>
          </cell>
          <cell r="AP1196">
            <v>0</v>
          </cell>
          <cell r="AQ1196">
            <v>0</v>
          </cell>
          <cell r="AV1196">
            <v>8550000</v>
          </cell>
        </row>
        <row r="1197">
          <cell r="E1197" t="str">
            <v>D26000637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B26001031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B26001189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D26001514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D26001807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D26001930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B26001882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D26001999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B26002180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D25018470</v>
          </cell>
          <cell r="AP1206">
            <v>0</v>
          </cell>
          <cell r="AQ1206">
            <v>0</v>
          </cell>
          <cell r="AV1206">
            <v>290000000</v>
          </cell>
        </row>
        <row r="1207">
          <cell r="E1207" t="str">
            <v>B25016647</v>
          </cell>
          <cell r="AP1207">
            <v>0</v>
          </cell>
          <cell r="AQ1207">
            <v>0</v>
          </cell>
          <cell r="AV1207">
            <v>63560000</v>
          </cell>
        </row>
        <row r="1208">
          <cell r="E1208" t="str">
            <v>D25019502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D26000303</v>
          </cell>
          <cell r="AP1209">
            <v>0</v>
          </cell>
          <cell r="AQ1209">
            <v>0</v>
          </cell>
          <cell r="AV1209">
            <v>292160000</v>
          </cell>
        </row>
        <row r="1210">
          <cell r="E1210" t="str">
            <v>B26001524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B26001955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B25017124</v>
          </cell>
          <cell r="AP1212">
            <v>0</v>
          </cell>
          <cell r="AQ1212">
            <v>0</v>
          </cell>
          <cell r="AV1212">
            <v>2250000</v>
          </cell>
        </row>
        <row r="1213">
          <cell r="E1213" t="str">
            <v>B25017145</v>
          </cell>
          <cell r="AP1213">
            <v>0</v>
          </cell>
          <cell r="AQ1213">
            <v>0</v>
          </cell>
          <cell r="AV1213">
            <v>6295000</v>
          </cell>
        </row>
        <row r="1214">
          <cell r="E1214" t="str">
            <v>B26000008</v>
          </cell>
          <cell r="AP1214">
            <v>0</v>
          </cell>
          <cell r="AQ1214">
            <v>0</v>
          </cell>
          <cell r="AV1214">
            <v>33200000</v>
          </cell>
        </row>
        <row r="1215">
          <cell r="E1215" t="str">
            <v>D26000289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B26000304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D26000338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B26000350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D26000423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B26000521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D26000613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D26000676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B26000650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D26000713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B26000691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D26000969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B26001006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D26001232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B26001216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D26001299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D26001337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B26001267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B26001268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B26001299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D26001358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B26001381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D26001538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B26001588</v>
          </cell>
          <cell r="AP1238">
            <v>0</v>
          </cell>
          <cell r="AQ1238">
            <v>0</v>
          </cell>
          <cell r="AV1238">
            <v>10640000</v>
          </cell>
        </row>
        <row r="1239">
          <cell r="E1239" t="str">
            <v>B26001589</v>
          </cell>
          <cell r="AP1239">
            <v>0</v>
          </cell>
          <cell r="AQ1239">
            <v>0</v>
          </cell>
          <cell r="AV1239">
            <v>51250000</v>
          </cell>
        </row>
        <row r="1240">
          <cell r="E1240" t="str">
            <v>B26001761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D26001949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B26001943</v>
          </cell>
          <cell r="AP1242">
            <v>0</v>
          </cell>
          <cell r="AQ1242">
            <v>0</v>
          </cell>
          <cell r="AV1242">
            <v>131000000</v>
          </cell>
        </row>
        <row r="1243">
          <cell r="E1243" t="str">
            <v>B26002065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B26002135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B26002139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B26002164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D26002331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D26002358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D26002393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T25001779</v>
          </cell>
          <cell r="AP1250">
            <v>0</v>
          </cell>
          <cell r="AQ1250">
            <v>0</v>
          </cell>
          <cell r="AV1250">
            <v>7031250</v>
          </cell>
        </row>
        <row r="1251">
          <cell r="E1251" t="str">
            <v>D25018317</v>
          </cell>
          <cell r="AP1251">
            <v>0</v>
          </cell>
          <cell r="AQ1251">
            <v>0</v>
          </cell>
          <cell r="AV1251">
            <v>10000000</v>
          </cell>
        </row>
        <row r="1252">
          <cell r="E1252" t="str">
            <v>D25018317</v>
          </cell>
          <cell r="AP1252">
            <v>0</v>
          </cell>
          <cell r="AQ1252">
            <v>0</v>
          </cell>
          <cell r="AV1252">
            <v>10000000</v>
          </cell>
        </row>
        <row r="1253">
          <cell r="E1253" t="str">
            <v>D25018317</v>
          </cell>
          <cell r="AP1253">
            <v>0</v>
          </cell>
          <cell r="AQ1253">
            <v>0</v>
          </cell>
          <cell r="AV1253">
            <v>10000000</v>
          </cell>
        </row>
        <row r="1254">
          <cell r="E1254" t="str">
            <v>D25018317</v>
          </cell>
          <cell r="AP1254">
            <v>0</v>
          </cell>
          <cell r="AQ1254">
            <v>0</v>
          </cell>
          <cell r="AV1254">
            <v>8356000</v>
          </cell>
        </row>
        <row r="1255">
          <cell r="E1255" t="str">
            <v>D25018318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D25018319</v>
          </cell>
          <cell r="AP1256">
            <v>0</v>
          </cell>
          <cell r="AQ1256">
            <v>0</v>
          </cell>
          <cell r="AV1256">
            <v>12940000</v>
          </cell>
        </row>
        <row r="1257">
          <cell r="E1257" t="str">
            <v>D25018403</v>
          </cell>
          <cell r="AP1257">
            <v>0</v>
          </cell>
          <cell r="AQ1257">
            <v>0</v>
          </cell>
          <cell r="AV1257">
            <v>2860000</v>
          </cell>
        </row>
        <row r="1258">
          <cell r="E1258" t="str">
            <v>B25016132</v>
          </cell>
          <cell r="AP1258">
            <v>0</v>
          </cell>
          <cell r="AQ1258">
            <v>0</v>
          </cell>
          <cell r="AV1258">
            <v>1540000</v>
          </cell>
        </row>
        <row r="1259">
          <cell r="E1259" t="str">
            <v>B25016149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B25016153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D25018608</v>
          </cell>
          <cell r="AP1261">
            <v>0</v>
          </cell>
          <cell r="AQ1261">
            <v>0</v>
          </cell>
          <cell r="AV1261">
            <v>3650000</v>
          </cell>
        </row>
        <row r="1262">
          <cell r="E1262" t="str">
            <v>D25018693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D25018794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D25018795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B25016609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B25016637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D25019217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B25016896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B25016897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B25017070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D26000070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D26000171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B26000275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B26000391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D26000687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B26000720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B26000748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B26000776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B26000866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D26000946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B26001227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B26001240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B26001285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D26001403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B26001463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D26001691</v>
          </cell>
          <cell r="AP1286">
            <v>0</v>
          </cell>
          <cell r="AQ1286">
            <v>0</v>
          </cell>
          <cell r="AV1286">
            <v>0</v>
          </cell>
        </row>
        <row r="1287">
          <cell r="E1287" t="str">
            <v>B26001656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D26001777</v>
          </cell>
          <cell r="AP1288">
            <v>0</v>
          </cell>
          <cell r="AQ1288">
            <v>0</v>
          </cell>
          <cell r="AV1288">
            <v>9950000</v>
          </cell>
        </row>
        <row r="1289">
          <cell r="E1289" t="str">
            <v>D26001780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B26001768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B26002104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B26002132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D26002239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B26001184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B26000060</v>
          </cell>
          <cell r="AP1295">
            <v>0</v>
          </cell>
          <cell r="AQ1295">
            <v>0</v>
          </cell>
          <cell r="AV1295">
            <v>2560000</v>
          </cell>
        </row>
        <row r="1296">
          <cell r="E1296" t="str">
            <v>D26002230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B26001103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D25017204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D25017712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B26000012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B26000534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B26000987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B26001168</v>
          </cell>
          <cell r="AP1303">
            <v>0</v>
          </cell>
          <cell r="AQ1303">
            <v>0</v>
          </cell>
          <cell r="AV1303">
            <v>0</v>
          </cell>
        </row>
        <row r="1304">
          <cell r="E1304" t="str">
            <v>B25017072</v>
          </cell>
          <cell r="AP1304">
            <v>0</v>
          </cell>
          <cell r="AQ1304">
            <v>0</v>
          </cell>
          <cell r="AV1304">
            <v>12360000</v>
          </cell>
        </row>
        <row r="1305">
          <cell r="E1305" t="str">
            <v>B26000003</v>
          </cell>
          <cell r="AP1305">
            <v>0</v>
          </cell>
          <cell r="AQ1305">
            <v>0</v>
          </cell>
          <cell r="AV1305">
            <v>7940000</v>
          </cell>
        </row>
        <row r="1306">
          <cell r="E1306" t="str">
            <v>D26000452</v>
          </cell>
          <cell r="AP1306">
            <v>0</v>
          </cell>
          <cell r="AQ1306">
            <v>0</v>
          </cell>
          <cell r="AV1306">
            <v>2880000</v>
          </cell>
        </row>
        <row r="1307">
          <cell r="E1307" t="str">
            <v>B26001993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D25019430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B25017010</v>
          </cell>
          <cell r="AP1309">
            <v>0</v>
          </cell>
          <cell r="AQ1309">
            <v>0</v>
          </cell>
          <cell r="AV1309">
            <v>4600000</v>
          </cell>
        </row>
        <row r="1310">
          <cell r="E1310" t="str">
            <v>B25017011</v>
          </cell>
          <cell r="AP1310">
            <v>0</v>
          </cell>
          <cell r="AQ1310">
            <v>0</v>
          </cell>
          <cell r="AV1310">
            <v>23030000</v>
          </cell>
        </row>
        <row r="1311">
          <cell r="E1311" t="str">
            <v>D26000137</v>
          </cell>
          <cell r="AP1311">
            <v>0</v>
          </cell>
          <cell r="AQ1311">
            <v>0</v>
          </cell>
          <cell r="AV1311">
            <v>29400000</v>
          </cell>
        </row>
        <row r="1312">
          <cell r="E1312" t="str">
            <v>B26000438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B26000439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B26000442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B26000445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D26000696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D26000698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D26001126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B26001124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B26001126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B26001128</v>
          </cell>
          <cell r="AP1321">
            <v>0</v>
          </cell>
          <cell r="AQ1321">
            <v>0</v>
          </cell>
          <cell r="AV1321">
            <v>0</v>
          </cell>
        </row>
        <row r="1322">
          <cell r="E1322" t="str">
            <v>D26001529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D26002061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D26002062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B26001954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B26001998</v>
          </cell>
          <cell r="AP1326">
            <v>0</v>
          </cell>
          <cell r="AQ1326">
            <v>0</v>
          </cell>
          <cell r="AV1326">
            <v>2520000</v>
          </cell>
        </row>
        <row r="1327">
          <cell r="E1327" t="str">
            <v>D26002107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D26002185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B26002116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B26002117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B26002118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D25011387</v>
          </cell>
          <cell r="AP1332">
            <v>0</v>
          </cell>
          <cell r="AQ1332">
            <v>0</v>
          </cell>
          <cell r="AV1332">
            <v>50000000</v>
          </cell>
        </row>
        <row r="1333">
          <cell r="E1333" t="str">
            <v>D25011387</v>
          </cell>
          <cell r="AP1333">
            <v>0</v>
          </cell>
          <cell r="AQ1333">
            <v>0</v>
          </cell>
          <cell r="AV1333">
            <v>50000000</v>
          </cell>
        </row>
        <row r="1334">
          <cell r="E1334" t="str">
            <v>B25009852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B25015251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D26000095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B26000435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B26000767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D26001251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D26001556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D26001557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B25015808</v>
          </cell>
          <cell r="AP1342">
            <v>0</v>
          </cell>
          <cell r="AQ1342">
            <v>0</v>
          </cell>
          <cell r="AV1342">
            <v>3415000</v>
          </cell>
        </row>
        <row r="1343">
          <cell r="E1343" t="str">
            <v>T25001794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D25018744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D25017893</v>
          </cell>
          <cell r="AP1345">
            <v>0</v>
          </cell>
          <cell r="AQ1345">
            <v>0</v>
          </cell>
          <cell r="AV1345">
            <v>1254750</v>
          </cell>
        </row>
        <row r="1346">
          <cell r="E1346" t="str">
            <v>B25015444</v>
          </cell>
          <cell r="AP1346">
            <v>0</v>
          </cell>
          <cell r="AQ1346">
            <v>0</v>
          </cell>
          <cell r="AV1346">
            <v>5100000</v>
          </cell>
        </row>
        <row r="1347">
          <cell r="E1347" t="str">
            <v>B25015958</v>
          </cell>
          <cell r="AP1347">
            <v>0</v>
          </cell>
          <cell r="AQ1347">
            <v>0</v>
          </cell>
          <cell r="AV1347">
            <v>8645250</v>
          </cell>
        </row>
        <row r="1348">
          <cell r="E1348" t="str">
            <v>B25015958</v>
          </cell>
          <cell r="AP1348">
            <v>0</v>
          </cell>
          <cell r="AQ1348">
            <v>0</v>
          </cell>
          <cell r="AV1348">
            <v>4294750</v>
          </cell>
        </row>
        <row r="1349">
          <cell r="E1349" t="str">
            <v>B25016375</v>
          </cell>
          <cell r="AP1349">
            <v>0</v>
          </cell>
          <cell r="AQ1349">
            <v>0</v>
          </cell>
          <cell r="AV1349">
            <v>2705250</v>
          </cell>
        </row>
        <row r="1350">
          <cell r="E1350" t="str">
            <v>B25016375</v>
          </cell>
          <cell r="AP1350">
            <v>0</v>
          </cell>
          <cell r="AQ1350">
            <v>0</v>
          </cell>
          <cell r="AV1350">
            <v>5000000</v>
          </cell>
        </row>
        <row r="1351">
          <cell r="E1351" t="str">
            <v>B25016838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D25019378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D26000090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B26001795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B26001820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D25019656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T25001564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B25013893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D25019014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D25019015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B26000176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B26000177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B26000178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D25015607</v>
          </cell>
          <cell r="AP1364">
            <v>896000</v>
          </cell>
          <cell r="AQ1364">
            <v>0</v>
          </cell>
          <cell r="AV1364">
            <v>0</v>
          </cell>
        </row>
        <row r="1365">
          <cell r="E1365" t="str">
            <v>D26001368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D26001543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D26001741</v>
          </cell>
          <cell r="AP1367">
            <v>0</v>
          </cell>
          <cell r="AQ1367">
            <v>0</v>
          </cell>
          <cell r="AV1367">
            <v>1687500</v>
          </cell>
        </row>
        <row r="1368">
          <cell r="E1368" t="str">
            <v>D26002371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B25014546</v>
          </cell>
          <cell r="AP1369">
            <v>0</v>
          </cell>
          <cell r="AQ1369">
            <v>0</v>
          </cell>
          <cell r="AV1369">
            <v>775000</v>
          </cell>
        </row>
        <row r="1370">
          <cell r="E1370" t="str">
            <v>T25001672</v>
          </cell>
          <cell r="AP1370">
            <v>0</v>
          </cell>
          <cell r="AQ1370">
            <v>0</v>
          </cell>
          <cell r="AV1370">
            <v>1387500</v>
          </cell>
        </row>
        <row r="1371">
          <cell r="E1371">
            <v>260003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D26000243</v>
          </cell>
          <cell r="AP1372">
            <v>0</v>
          </cell>
          <cell r="AQ1372">
            <v>0</v>
          </cell>
          <cell r="AV1372">
            <v>2160000</v>
          </cell>
        </row>
        <row r="1373">
          <cell r="E1373" t="str">
            <v>D26000244</v>
          </cell>
          <cell r="AP1373">
            <v>0</v>
          </cell>
          <cell r="AQ1373">
            <v>0</v>
          </cell>
          <cell r="AV1373">
            <v>7100000</v>
          </cell>
        </row>
        <row r="1374">
          <cell r="E1374" t="str">
            <v>D26000246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D26000250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B26000089</v>
          </cell>
          <cell r="AP1376">
            <v>0</v>
          </cell>
          <cell r="AQ1376">
            <v>0</v>
          </cell>
          <cell r="AV1376">
            <v>21550000</v>
          </cell>
        </row>
        <row r="1377">
          <cell r="E1377" t="str">
            <v>D26000798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D26001265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D26001286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B25013863</v>
          </cell>
          <cell r="AP1380">
            <v>0</v>
          </cell>
          <cell r="AQ1380">
            <v>0</v>
          </cell>
          <cell r="AV1380">
            <v>21200000</v>
          </cell>
        </row>
        <row r="1381">
          <cell r="E1381" t="str">
            <v>B25014067</v>
          </cell>
          <cell r="AP1381">
            <v>0</v>
          </cell>
          <cell r="AQ1381">
            <v>0</v>
          </cell>
          <cell r="AV1381">
            <v>27000000</v>
          </cell>
        </row>
        <row r="1382">
          <cell r="E1382" t="str">
            <v>B25014858</v>
          </cell>
          <cell r="AP1382">
            <v>0</v>
          </cell>
          <cell r="AQ1382">
            <v>0</v>
          </cell>
          <cell r="AV1382">
            <v>9510000</v>
          </cell>
        </row>
        <row r="1383">
          <cell r="E1383" t="str">
            <v>D25019205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D26000957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D26001547</v>
          </cell>
          <cell r="AP1385">
            <v>0</v>
          </cell>
          <cell r="AQ1385">
            <v>0</v>
          </cell>
          <cell r="AV1385">
            <v>263400000</v>
          </cell>
        </row>
        <row r="1386">
          <cell r="E1386" t="str">
            <v>D26001547</v>
          </cell>
          <cell r="AP1386">
            <v>0</v>
          </cell>
          <cell r="AQ1386">
            <v>0</v>
          </cell>
          <cell r="AV1386">
            <v>1408000</v>
          </cell>
        </row>
        <row r="1387">
          <cell r="E1387" t="str">
            <v>D26001595</v>
          </cell>
          <cell r="AP1387">
            <v>0</v>
          </cell>
          <cell r="AQ1387">
            <v>0</v>
          </cell>
          <cell r="AV1387">
            <v>130000000</v>
          </cell>
        </row>
        <row r="1388">
          <cell r="E1388" t="str">
            <v>D26001774</v>
          </cell>
          <cell r="AP1388">
            <v>0</v>
          </cell>
          <cell r="AQ1388">
            <v>0</v>
          </cell>
          <cell r="AV1388">
            <v>756000000</v>
          </cell>
        </row>
        <row r="1389">
          <cell r="E1389" t="str">
            <v>D26001808</v>
          </cell>
          <cell r="AP1389">
            <v>0</v>
          </cell>
          <cell r="AQ1389">
            <v>0</v>
          </cell>
          <cell r="AV1389">
            <v>250000000</v>
          </cell>
        </row>
        <row r="1390">
          <cell r="E1390" t="str">
            <v>D26001868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D26001868</v>
          </cell>
          <cell r="AP1391">
            <v>0</v>
          </cell>
          <cell r="AQ1391">
            <v>0</v>
          </cell>
          <cell r="AV1391">
            <v>303500000</v>
          </cell>
        </row>
        <row r="1392">
          <cell r="E1392" t="str">
            <v>D26001868</v>
          </cell>
          <cell r="AP1392">
            <v>0</v>
          </cell>
          <cell r="AQ1392">
            <v>0</v>
          </cell>
          <cell r="AV1392">
            <v>400000000</v>
          </cell>
        </row>
        <row r="1393">
          <cell r="E1393" t="str">
            <v>D26001869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D26001971</v>
          </cell>
          <cell r="AP1394">
            <v>0</v>
          </cell>
          <cell r="AQ1394">
            <v>0</v>
          </cell>
          <cell r="AV1394">
            <v>356000000</v>
          </cell>
        </row>
        <row r="1395">
          <cell r="E1395" t="str">
            <v>D26001971</v>
          </cell>
          <cell r="AP1395">
            <v>0</v>
          </cell>
          <cell r="AQ1395">
            <v>0</v>
          </cell>
          <cell r="AV1395">
            <v>292000000</v>
          </cell>
        </row>
        <row r="1396">
          <cell r="E1396" t="str">
            <v>D26001972</v>
          </cell>
          <cell r="AP1396">
            <v>0</v>
          </cell>
          <cell r="AQ1396">
            <v>0</v>
          </cell>
          <cell r="AV1396">
            <v>108000000</v>
          </cell>
        </row>
        <row r="1397">
          <cell r="E1397" t="str">
            <v>D26001972</v>
          </cell>
          <cell r="AP1397">
            <v>0</v>
          </cell>
          <cell r="AQ1397">
            <v>0</v>
          </cell>
          <cell r="AV1397">
            <v>130000000</v>
          </cell>
        </row>
        <row r="1398">
          <cell r="E1398" t="str">
            <v>D26001990</v>
          </cell>
          <cell r="AP1398">
            <v>0</v>
          </cell>
          <cell r="AQ1398">
            <v>0</v>
          </cell>
          <cell r="AV1398">
            <v>403500000</v>
          </cell>
        </row>
        <row r="1399">
          <cell r="E1399" t="str">
            <v>D26002079</v>
          </cell>
          <cell r="AP1399">
            <v>0</v>
          </cell>
          <cell r="AQ1399">
            <v>0</v>
          </cell>
          <cell r="AV1399">
            <v>130000000</v>
          </cell>
        </row>
        <row r="1400">
          <cell r="E1400" t="str">
            <v>D26002097</v>
          </cell>
          <cell r="AP1400">
            <v>0</v>
          </cell>
          <cell r="AQ1400">
            <v>0</v>
          </cell>
          <cell r="AV1400">
            <v>260000000</v>
          </cell>
        </row>
        <row r="1401">
          <cell r="E1401" t="str">
            <v>D26002130</v>
          </cell>
          <cell r="AP1401">
            <v>0</v>
          </cell>
          <cell r="AQ1401">
            <v>0</v>
          </cell>
          <cell r="AV1401">
            <v>232500000</v>
          </cell>
        </row>
        <row r="1402">
          <cell r="E1402" t="str">
            <v>D26002220</v>
          </cell>
          <cell r="AP1402">
            <v>0</v>
          </cell>
          <cell r="AQ1402">
            <v>0</v>
          </cell>
          <cell r="AV1402">
            <v>260000000</v>
          </cell>
        </row>
        <row r="1403">
          <cell r="E1403" t="str">
            <v>B26002215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D26002433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D26001102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D26001132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T26000148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B26001307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D26000380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D26000381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T26000029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B26000716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B26000825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B26000974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B26001980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D25018137</v>
          </cell>
          <cell r="AP1416">
            <v>0</v>
          </cell>
          <cell r="AQ1416">
            <v>0</v>
          </cell>
          <cell r="AV1416">
            <v>250000000</v>
          </cell>
        </row>
        <row r="1417">
          <cell r="E1417" t="str">
            <v>D25018137</v>
          </cell>
          <cell r="AP1417">
            <v>0</v>
          </cell>
          <cell r="AQ1417">
            <v>0</v>
          </cell>
          <cell r="AV1417">
            <v>183000000</v>
          </cell>
        </row>
        <row r="1418">
          <cell r="E1418" t="str">
            <v>D25019051</v>
          </cell>
          <cell r="AP1418">
            <v>0</v>
          </cell>
          <cell r="AQ1418">
            <v>0</v>
          </cell>
          <cell r="AV1418">
            <v>1900000</v>
          </cell>
        </row>
        <row r="1419">
          <cell r="E1419" t="str">
            <v>T24001625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D24017664</v>
          </cell>
          <cell r="AP1420">
            <v>0</v>
          </cell>
          <cell r="AQ1420">
            <v>0</v>
          </cell>
          <cell r="AV1420">
            <v>10000000</v>
          </cell>
        </row>
        <row r="1421">
          <cell r="E1421" t="str">
            <v>D25017240</v>
          </cell>
          <cell r="AP1421">
            <v>0</v>
          </cell>
          <cell r="AQ1421">
            <v>0</v>
          </cell>
          <cell r="AV1421">
            <v>25428500</v>
          </cell>
        </row>
        <row r="1422">
          <cell r="E1422" t="str">
            <v>D25017240</v>
          </cell>
          <cell r="AP1422">
            <v>0</v>
          </cell>
          <cell r="AQ1422">
            <v>0</v>
          </cell>
          <cell r="AV1422">
            <v>200000000</v>
          </cell>
        </row>
        <row r="1423">
          <cell r="E1423" t="str">
            <v>D25017240</v>
          </cell>
          <cell r="AP1423">
            <v>0</v>
          </cell>
          <cell r="AQ1423">
            <v>0</v>
          </cell>
          <cell r="AV1423">
            <v>211470000</v>
          </cell>
        </row>
        <row r="1424">
          <cell r="E1424" t="str">
            <v>D25017241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D25017454</v>
          </cell>
          <cell r="AP1425">
            <v>0</v>
          </cell>
          <cell r="AQ1425">
            <v>0</v>
          </cell>
          <cell r="AV1425">
            <v>3196500</v>
          </cell>
        </row>
        <row r="1426">
          <cell r="E1426" t="str">
            <v>D25017458</v>
          </cell>
          <cell r="AP1426">
            <v>0</v>
          </cell>
          <cell r="AQ1426">
            <v>0</v>
          </cell>
          <cell r="AV1426">
            <v>5350000</v>
          </cell>
        </row>
        <row r="1427">
          <cell r="E1427" t="str">
            <v>T25001722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B25015276</v>
          </cell>
          <cell r="AP1428">
            <v>0</v>
          </cell>
          <cell r="AQ1428">
            <v>0</v>
          </cell>
          <cell r="AV1428">
            <v>7600000</v>
          </cell>
        </row>
        <row r="1429">
          <cell r="E1429" t="str">
            <v>B25015442</v>
          </cell>
          <cell r="AP1429">
            <v>0</v>
          </cell>
          <cell r="AQ1429">
            <v>0</v>
          </cell>
          <cell r="AV1429">
            <v>8675000</v>
          </cell>
        </row>
        <row r="1430">
          <cell r="E1430" t="str">
            <v>D25017959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D25018410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B25016093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D25018716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D25019055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B25016834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D25019534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D25019598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D25019599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D26000145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D26000152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D26000153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D26000154</v>
          </cell>
          <cell r="AP1442">
            <v>0</v>
          </cell>
          <cell r="AQ1442">
            <v>0</v>
          </cell>
          <cell r="AV1442">
            <v>0</v>
          </cell>
        </row>
        <row r="1443">
          <cell r="E1443" t="str">
            <v>D26000257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D26000590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B26000573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D26000830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B26000819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B26000881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D26000937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T26000065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D26001210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B26001129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D26001333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D26001437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D26001533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D26001534</v>
          </cell>
          <cell r="AP1456">
            <v>0</v>
          </cell>
          <cell r="AQ1456">
            <v>0</v>
          </cell>
          <cell r="AV1456">
            <v>66000000</v>
          </cell>
        </row>
        <row r="1457">
          <cell r="E1457" t="str">
            <v>B26001519</v>
          </cell>
          <cell r="AP1457">
            <v>0</v>
          </cell>
          <cell r="AQ1457">
            <v>0</v>
          </cell>
          <cell r="AV1457">
            <v>33750000</v>
          </cell>
        </row>
        <row r="1458">
          <cell r="E1458" t="str">
            <v>D26001636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T26000104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D26001752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B26001741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D26001845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D26001855</v>
          </cell>
          <cell r="AP1463">
            <v>0</v>
          </cell>
          <cell r="AQ1463">
            <v>0</v>
          </cell>
          <cell r="AV1463">
            <v>153750000</v>
          </cell>
        </row>
        <row r="1464">
          <cell r="E1464" t="str">
            <v>D26001988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D26001989</v>
          </cell>
          <cell r="AP1465">
            <v>0</v>
          </cell>
          <cell r="AQ1465">
            <v>0</v>
          </cell>
          <cell r="AV1465">
            <v>46250000</v>
          </cell>
        </row>
        <row r="1466">
          <cell r="E1466" t="str">
            <v>D26002036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D26002142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D26002144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D26002274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D26002292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B26002204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D26002432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D25018504</v>
          </cell>
          <cell r="AP1473">
            <v>0</v>
          </cell>
          <cell r="AQ1473">
            <v>0</v>
          </cell>
          <cell r="AV1473">
            <v>4300000</v>
          </cell>
        </row>
        <row r="1474">
          <cell r="E1474" t="str">
            <v>B26000800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D26001655</v>
          </cell>
          <cell r="AP1475">
            <v>0</v>
          </cell>
          <cell r="AQ1475">
            <v>0</v>
          </cell>
          <cell r="AV1475">
            <v>15200000</v>
          </cell>
        </row>
        <row r="1476">
          <cell r="E1476" t="str">
            <v>B26002066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D26000219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B26001024</v>
          </cell>
          <cell r="AP1478">
            <v>0</v>
          </cell>
          <cell r="AQ1478">
            <v>0</v>
          </cell>
          <cell r="AV1478">
            <v>0</v>
          </cell>
        </row>
        <row r="1479">
          <cell r="E1479" t="str">
            <v>B26001367</v>
          </cell>
          <cell r="AP1479">
            <v>0</v>
          </cell>
          <cell r="AQ1479">
            <v>0</v>
          </cell>
          <cell r="AV1479">
            <v>10874500</v>
          </cell>
        </row>
        <row r="1480">
          <cell r="E1480" t="str">
            <v>B26001368</v>
          </cell>
          <cell r="AP1480">
            <v>0</v>
          </cell>
          <cell r="AQ1480">
            <v>0</v>
          </cell>
          <cell r="AV1480">
            <v>2252000</v>
          </cell>
        </row>
        <row r="1481">
          <cell r="E1481" t="str">
            <v>B26001427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D26002113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T26000063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Z25002724</v>
          </cell>
          <cell r="AP1484">
            <v>0</v>
          </cell>
          <cell r="AQ1484">
            <v>0</v>
          </cell>
          <cell r="AV1484">
            <v>5950500</v>
          </cell>
        </row>
        <row r="1485">
          <cell r="E1485" t="str">
            <v>Z25002724</v>
          </cell>
          <cell r="AP1485">
            <v>0</v>
          </cell>
          <cell r="AQ1485">
            <v>0</v>
          </cell>
          <cell r="AV1485">
            <v>38000000</v>
          </cell>
        </row>
        <row r="1486">
          <cell r="E1486" t="str">
            <v>Z25002724</v>
          </cell>
          <cell r="AP1486">
            <v>0</v>
          </cell>
          <cell r="AQ1486">
            <v>0</v>
          </cell>
          <cell r="AV1486">
            <v>12000000</v>
          </cell>
        </row>
        <row r="1487">
          <cell r="E1487" t="str">
            <v>D25017604</v>
          </cell>
          <cell r="AP1487">
            <v>0</v>
          </cell>
          <cell r="AQ1487">
            <v>0</v>
          </cell>
          <cell r="AV1487">
            <v>3500000</v>
          </cell>
        </row>
        <row r="1488">
          <cell r="E1488" t="str">
            <v>D25017604</v>
          </cell>
          <cell r="AP1488">
            <v>5440000</v>
          </cell>
          <cell r="AQ1488">
            <v>0</v>
          </cell>
          <cell r="AV1488">
            <v>0</v>
          </cell>
        </row>
        <row r="1489">
          <cell r="E1489" t="str">
            <v>D25017604</v>
          </cell>
          <cell r="AP1489">
            <v>0</v>
          </cell>
          <cell r="AQ1489">
            <v>0</v>
          </cell>
          <cell r="AV1489">
            <v>37729500</v>
          </cell>
        </row>
        <row r="1490">
          <cell r="E1490" t="str">
            <v>D25017676</v>
          </cell>
          <cell r="AP1490">
            <v>0</v>
          </cell>
          <cell r="AQ1490">
            <v>0</v>
          </cell>
          <cell r="AV1490">
            <v>2070000</v>
          </cell>
        </row>
        <row r="1491">
          <cell r="E1491" t="str">
            <v>D25017717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D25017753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D25017787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D25017817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D25017818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B25015360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B25015424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B25015436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D25017839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D25017985</v>
          </cell>
          <cell r="AP1500">
            <v>0</v>
          </cell>
          <cell r="AQ1500">
            <v>0</v>
          </cell>
          <cell r="AV1500">
            <v>0</v>
          </cell>
        </row>
        <row r="1501">
          <cell r="E1501" t="str">
            <v>B25015596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D25018121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D25018128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B25015983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D25018460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D25018475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D25018537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D25018561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B25016286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D25018733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D25018751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B25016434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B25016498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D25018991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B25016567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B25016636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B25016679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B25016681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B25016699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B25016741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B25016752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B25016905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D25019569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D25019570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B25017037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D25019649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D25019684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B26000039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D26000092</v>
          </cell>
          <cell r="AP1529">
            <v>0</v>
          </cell>
          <cell r="AQ1529">
            <v>0</v>
          </cell>
          <cell r="AV1529">
            <v>2400000</v>
          </cell>
        </row>
        <row r="1530">
          <cell r="E1530" t="str">
            <v>D26000167</v>
          </cell>
          <cell r="AP1530">
            <v>0</v>
          </cell>
          <cell r="AQ1530">
            <v>0</v>
          </cell>
          <cell r="AV1530">
            <v>0</v>
          </cell>
        </row>
        <row r="1531">
          <cell r="E1531" t="str">
            <v>D26000229</v>
          </cell>
          <cell r="AP1531">
            <v>0</v>
          </cell>
          <cell r="AQ1531">
            <v>0</v>
          </cell>
          <cell r="AV1531">
            <v>0</v>
          </cell>
        </row>
        <row r="1532">
          <cell r="E1532" t="str">
            <v>D26000230</v>
          </cell>
          <cell r="AP1532">
            <v>0</v>
          </cell>
          <cell r="AQ1532">
            <v>0</v>
          </cell>
          <cell r="AV1532">
            <v>0</v>
          </cell>
        </row>
        <row r="1533">
          <cell r="E1533" t="str">
            <v>B26000332</v>
          </cell>
          <cell r="AP1533">
            <v>0</v>
          </cell>
          <cell r="AQ1533">
            <v>0</v>
          </cell>
          <cell r="AV1533">
            <v>0</v>
          </cell>
        </row>
        <row r="1534">
          <cell r="E1534" t="str">
            <v>B26000365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B26000367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B26000374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B26000403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B26000404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B26000411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B26000412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B26000490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B26000588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D26000673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B26000683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B26000863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B26000864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D26001128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D26001139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B26001217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B26001244</v>
          </cell>
          <cell r="AP1550">
            <v>0</v>
          </cell>
          <cell r="AQ1550">
            <v>0</v>
          </cell>
          <cell r="AV1550">
            <v>50000000</v>
          </cell>
        </row>
        <row r="1551">
          <cell r="E1551" t="str">
            <v>B26001244</v>
          </cell>
          <cell r="AP1551">
            <v>0</v>
          </cell>
          <cell r="AQ1551">
            <v>0</v>
          </cell>
          <cell r="AV1551">
            <v>25000000</v>
          </cell>
        </row>
        <row r="1552">
          <cell r="E1552" t="str">
            <v>B26001244</v>
          </cell>
          <cell r="AP1552">
            <v>0</v>
          </cell>
          <cell r="AQ1552">
            <v>0</v>
          </cell>
          <cell r="AV1552">
            <v>17500000</v>
          </cell>
        </row>
        <row r="1553">
          <cell r="E1553" t="str">
            <v>B26001290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B26001399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D26001433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D26001490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B26001483</v>
          </cell>
          <cell r="AP1557">
            <v>0</v>
          </cell>
          <cell r="AQ1557">
            <v>0</v>
          </cell>
          <cell r="AV1557">
            <v>14000000</v>
          </cell>
        </row>
        <row r="1558">
          <cell r="E1558" t="str">
            <v>B26001553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B26001554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D26001765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B26001798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B26001803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B26001909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B26001929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B26001930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D26002067</v>
          </cell>
          <cell r="AP1566">
            <v>0</v>
          </cell>
          <cell r="AQ1566">
            <v>0</v>
          </cell>
          <cell r="AV1566">
            <v>54250000</v>
          </cell>
        </row>
        <row r="1567">
          <cell r="E1567" t="str">
            <v>B26002090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D26002157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D26002158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Z26000404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Z26000411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Z26000412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Z26000413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Z26000414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Z26000415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Z26000418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B25015690</v>
          </cell>
          <cell r="AP1577">
            <v>0</v>
          </cell>
          <cell r="AQ1577">
            <v>0</v>
          </cell>
          <cell r="AV1577">
            <v>50000000</v>
          </cell>
        </row>
        <row r="1578">
          <cell r="E1578" t="str">
            <v>B25015690</v>
          </cell>
          <cell r="AP1578">
            <v>0</v>
          </cell>
          <cell r="AQ1578">
            <v>0</v>
          </cell>
          <cell r="AV1578">
            <v>50000000</v>
          </cell>
        </row>
        <row r="1579">
          <cell r="E1579" t="str">
            <v>B25015690</v>
          </cell>
          <cell r="AP1579">
            <v>355000</v>
          </cell>
          <cell r="AQ1579">
            <v>0</v>
          </cell>
          <cell r="AV1579">
            <v>0</v>
          </cell>
        </row>
        <row r="1580">
          <cell r="E1580" t="str">
            <v>D26000913</v>
          </cell>
          <cell r="AP1580">
            <v>1205000</v>
          </cell>
          <cell r="AQ1580">
            <v>0</v>
          </cell>
          <cell r="AV1580">
            <v>0</v>
          </cell>
        </row>
        <row r="1581">
          <cell r="E1581" t="str">
            <v>T26000060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T26000061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T26000062</v>
          </cell>
          <cell r="AP1583">
            <v>0</v>
          </cell>
          <cell r="AQ1583">
            <v>0</v>
          </cell>
          <cell r="AV1583">
            <v>0</v>
          </cell>
        </row>
        <row r="1584">
          <cell r="E1584" t="str">
            <v>D26001682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C25001129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B26001885</v>
          </cell>
          <cell r="AP1586">
            <v>0</v>
          </cell>
          <cell r="AQ1586">
            <v>0</v>
          </cell>
          <cell r="AV1586">
            <v>7400000</v>
          </cell>
        </row>
        <row r="1587">
          <cell r="E1587" t="str">
            <v>B26002141</v>
          </cell>
          <cell r="AP1587">
            <v>0</v>
          </cell>
          <cell r="AQ1587">
            <v>0</v>
          </cell>
          <cell r="AV1587">
            <v>3300000</v>
          </cell>
        </row>
        <row r="1588">
          <cell r="E1588" t="str">
            <v>D25019225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B26000054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B25014145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B25014223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T25001636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Z25002935</v>
          </cell>
          <cell r="AP1593">
            <v>0</v>
          </cell>
          <cell r="AQ1593">
            <v>0</v>
          </cell>
          <cell r="AV1593">
            <v>34160000</v>
          </cell>
        </row>
        <row r="1594">
          <cell r="E1594" t="str">
            <v>B25015058</v>
          </cell>
          <cell r="AP1594">
            <v>0</v>
          </cell>
          <cell r="AQ1594">
            <v>0</v>
          </cell>
          <cell r="AV1594">
            <v>31150000</v>
          </cell>
        </row>
        <row r="1595">
          <cell r="E1595" t="str">
            <v>Z25002997</v>
          </cell>
          <cell r="AP1595">
            <v>0</v>
          </cell>
          <cell r="AQ1595">
            <v>0</v>
          </cell>
          <cell r="AV1595">
            <v>34690000</v>
          </cell>
        </row>
        <row r="1596">
          <cell r="E1596" t="str">
            <v>Z25002997</v>
          </cell>
          <cell r="AP1596">
            <v>0</v>
          </cell>
          <cell r="AQ1596">
            <v>0</v>
          </cell>
          <cell r="AV1596">
            <v>70000000</v>
          </cell>
        </row>
        <row r="1597">
          <cell r="E1597" t="str">
            <v>Z25002997</v>
          </cell>
          <cell r="AP1597">
            <v>1608750</v>
          </cell>
          <cell r="AQ1597">
            <v>0</v>
          </cell>
          <cell r="AV1597">
            <v>0</v>
          </cell>
        </row>
        <row r="1598">
          <cell r="E1598" t="str">
            <v>Z25002997</v>
          </cell>
          <cell r="AP1598">
            <v>0</v>
          </cell>
          <cell r="AQ1598">
            <v>0</v>
          </cell>
          <cell r="AV1598">
            <v>7701250</v>
          </cell>
        </row>
        <row r="1599">
          <cell r="E1599" t="str">
            <v>D25017624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D25017734</v>
          </cell>
          <cell r="AP1600">
            <v>0</v>
          </cell>
          <cell r="AQ1600">
            <v>0</v>
          </cell>
          <cell r="AV1600">
            <v>20500000</v>
          </cell>
        </row>
        <row r="1601">
          <cell r="E1601" t="str">
            <v>Z25003042</v>
          </cell>
          <cell r="AP1601">
            <v>0</v>
          </cell>
          <cell r="AQ1601">
            <v>0</v>
          </cell>
          <cell r="AV1601">
            <v>21798750</v>
          </cell>
        </row>
        <row r="1602">
          <cell r="E1602" t="str">
            <v>Z25003042</v>
          </cell>
          <cell r="AP1602">
            <v>0</v>
          </cell>
          <cell r="AQ1602">
            <v>0</v>
          </cell>
          <cell r="AV1602">
            <v>61351250</v>
          </cell>
        </row>
        <row r="1603">
          <cell r="E1603" t="str">
            <v>Z25003049</v>
          </cell>
          <cell r="AP1603">
            <v>0</v>
          </cell>
          <cell r="AQ1603">
            <v>0</v>
          </cell>
          <cell r="AV1603">
            <v>38648750</v>
          </cell>
        </row>
        <row r="1604">
          <cell r="E1604" t="str">
            <v>Z25003049</v>
          </cell>
          <cell r="AP1604">
            <v>0</v>
          </cell>
          <cell r="AQ1604">
            <v>0</v>
          </cell>
          <cell r="AV1604">
            <v>13647250</v>
          </cell>
        </row>
        <row r="1605">
          <cell r="E1605" t="str">
            <v>B25015411</v>
          </cell>
          <cell r="AP1605">
            <v>0</v>
          </cell>
          <cell r="AQ1605">
            <v>0</v>
          </cell>
          <cell r="AV1605">
            <v>43000000</v>
          </cell>
        </row>
        <row r="1606">
          <cell r="E1606" t="str">
            <v>B25015419</v>
          </cell>
          <cell r="AP1606">
            <v>0</v>
          </cell>
          <cell r="AQ1606">
            <v>0</v>
          </cell>
          <cell r="AV1606">
            <v>4000000</v>
          </cell>
        </row>
        <row r="1607">
          <cell r="E1607" t="str">
            <v>B25015420</v>
          </cell>
          <cell r="AP1607">
            <v>0</v>
          </cell>
          <cell r="AQ1607">
            <v>0</v>
          </cell>
          <cell r="AV1607">
            <v>1720000</v>
          </cell>
        </row>
        <row r="1608">
          <cell r="E1608" t="str">
            <v>B25015650</v>
          </cell>
          <cell r="AP1608">
            <v>0</v>
          </cell>
          <cell r="AQ1608">
            <v>0</v>
          </cell>
          <cell r="AV1608">
            <v>7034000</v>
          </cell>
        </row>
        <row r="1609">
          <cell r="E1609" t="str">
            <v>Z25003073</v>
          </cell>
          <cell r="AP1609">
            <v>0</v>
          </cell>
          <cell r="AQ1609">
            <v>0</v>
          </cell>
          <cell r="AV1609">
            <v>7000000</v>
          </cell>
        </row>
        <row r="1610">
          <cell r="E1610" t="str">
            <v>B25015679</v>
          </cell>
          <cell r="AP1610">
            <v>0</v>
          </cell>
          <cell r="AQ1610">
            <v>0</v>
          </cell>
          <cell r="AV1610">
            <v>6000000</v>
          </cell>
        </row>
        <row r="1611">
          <cell r="E1611" t="str">
            <v>B25015722</v>
          </cell>
          <cell r="AP1611">
            <v>0</v>
          </cell>
          <cell r="AQ1611">
            <v>0</v>
          </cell>
          <cell r="AV1611">
            <v>2880000</v>
          </cell>
        </row>
        <row r="1612">
          <cell r="E1612" t="str">
            <v>B25015726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Z25003099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B25015823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D25018213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D25018256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B25015907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B25016015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Z25003163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Z25003166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Z25003169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B25016175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B25016271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D25018881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D25018971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Z25003294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B25016697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Z25003321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D25019448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D25019496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D25019504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Z25003354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B25017019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B25017026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Z25003356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D25019620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Z25003374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Z25003397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B26000429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D26000565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Z26000091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B26000651</v>
          </cell>
          <cell r="AP1642">
            <v>0</v>
          </cell>
          <cell r="AQ1642">
            <v>0</v>
          </cell>
          <cell r="AV1642">
            <v>2250000</v>
          </cell>
        </row>
        <row r="1643">
          <cell r="E1643" t="str">
            <v>D26000711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D26000775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D26000776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D26000887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D26001205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Z26000194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B26001567</v>
          </cell>
          <cell r="AP1649">
            <v>0</v>
          </cell>
          <cell r="AQ1649">
            <v>0</v>
          </cell>
          <cell r="AV1649">
            <v>705000</v>
          </cell>
        </row>
        <row r="1650">
          <cell r="E1650" t="str">
            <v>B26001638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D26001751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D26001824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D26001832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B26001738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D26001880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D26001881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D26001882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D26001883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Z26000329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Z26000349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D26002089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B26002041</v>
          </cell>
          <cell r="AP1662">
            <v>0</v>
          </cell>
          <cell r="AQ1662">
            <v>0</v>
          </cell>
          <cell r="AV1662">
            <v>14000000</v>
          </cell>
        </row>
        <row r="1663">
          <cell r="E1663" t="str">
            <v>D26002192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B26002173</v>
          </cell>
          <cell r="AP1664">
            <v>0</v>
          </cell>
          <cell r="AQ1664">
            <v>0</v>
          </cell>
          <cell r="AV1664">
            <v>2610000</v>
          </cell>
        </row>
        <row r="1665">
          <cell r="E1665" t="str">
            <v>D26002316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D26002394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B26001195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D26001628</v>
          </cell>
          <cell r="AP1668">
            <v>0</v>
          </cell>
          <cell r="AQ1668">
            <v>0</v>
          </cell>
          <cell r="AV1668">
            <v>984000</v>
          </cell>
        </row>
        <row r="1669">
          <cell r="E1669" t="str">
            <v>B26001863</v>
          </cell>
          <cell r="AP1669">
            <v>0</v>
          </cell>
          <cell r="AQ1669">
            <v>0</v>
          </cell>
          <cell r="AV1669">
            <v>4500000</v>
          </cell>
        </row>
        <row r="1670">
          <cell r="E1670" t="str">
            <v>B26001989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B26000455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B26000658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D26000790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B26000754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D26000874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D26000875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D26001201</v>
          </cell>
          <cell r="AP1677">
            <v>0</v>
          </cell>
          <cell r="AQ1677">
            <v>0</v>
          </cell>
          <cell r="AV1677">
            <v>3250000</v>
          </cell>
        </row>
        <row r="1678">
          <cell r="E1678" t="str">
            <v>T25001609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B25015779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B25016451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B25016452</v>
          </cell>
          <cell r="AP1681">
            <v>0</v>
          </cell>
          <cell r="AQ1681">
            <v>0</v>
          </cell>
          <cell r="AV1681">
            <v>8400000</v>
          </cell>
        </row>
        <row r="1682">
          <cell r="E1682" t="str">
            <v>T25001859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B25016731</v>
          </cell>
          <cell r="AP1683">
            <v>0</v>
          </cell>
          <cell r="AQ1683">
            <v>0</v>
          </cell>
          <cell r="AV1683">
            <v>7000000</v>
          </cell>
        </row>
        <row r="1684">
          <cell r="E1684" t="str">
            <v>B25016731</v>
          </cell>
          <cell r="AP1684">
            <v>0</v>
          </cell>
          <cell r="AQ1684">
            <v>0</v>
          </cell>
          <cell r="AV1684">
            <v>5190000</v>
          </cell>
        </row>
        <row r="1685">
          <cell r="E1685" t="str">
            <v>D25019246</v>
          </cell>
          <cell r="AP1685">
            <v>0</v>
          </cell>
          <cell r="AQ1685">
            <v>0</v>
          </cell>
          <cell r="AV1685">
            <v>11280000</v>
          </cell>
        </row>
        <row r="1686">
          <cell r="E1686" t="str">
            <v>B25016843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B26000238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B26000239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B26000240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B26000745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B26000746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D26001239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T26000083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D26001277</v>
          </cell>
          <cell r="AP1694">
            <v>0</v>
          </cell>
          <cell r="AQ1694">
            <v>0</v>
          </cell>
          <cell r="AV1694">
            <v>0</v>
          </cell>
        </row>
        <row r="1695">
          <cell r="E1695" t="str">
            <v>D26001287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B26001228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B26001248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B26001264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B26001275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B26001390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B26002071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B26002072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D26002365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B26002008</v>
          </cell>
          <cell r="AP1704">
            <v>0</v>
          </cell>
          <cell r="AQ1704">
            <v>0</v>
          </cell>
          <cell r="AV1704">
            <v>60000</v>
          </cell>
        </row>
        <row r="1705">
          <cell r="E1705" t="str">
            <v>B26002016</v>
          </cell>
          <cell r="AP1705">
            <v>0</v>
          </cell>
          <cell r="AQ1705">
            <v>0</v>
          </cell>
          <cell r="AV1705">
            <v>2900000</v>
          </cell>
        </row>
        <row r="1706">
          <cell r="E1706" t="str">
            <v>D26002384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T26000025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B26002245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D25019642</v>
          </cell>
          <cell r="AP1709">
            <v>0</v>
          </cell>
          <cell r="AQ1709">
            <v>0</v>
          </cell>
          <cell r="AV1709">
            <v>750000</v>
          </cell>
        </row>
        <row r="1710">
          <cell r="E1710" t="str">
            <v>B26000274</v>
          </cell>
          <cell r="AP1710">
            <v>0</v>
          </cell>
          <cell r="AQ1710">
            <v>0</v>
          </cell>
          <cell r="AV1710">
            <v>1500000</v>
          </cell>
        </row>
        <row r="1711">
          <cell r="E1711" t="str">
            <v>D26001376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B26001440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B26001923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D26002385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D25017361</v>
          </cell>
          <cell r="AP1715">
            <v>0</v>
          </cell>
          <cell r="AQ1715">
            <v>0</v>
          </cell>
          <cell r="AV1715">
            <v>3500000</v>
          </cell>
        </row>
        <row r="1716">
          <cell r="E1716" t="str">
            <v>D26000757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D25019567</v>
          </cell>
          <cell r="AP1717">
            <v>0</v>
          </cell>
          <cell r="AQ1717">
            <v>0</v>
          </cell>
          <cell r="AV1717">
            <v>6529500</v>
          </cell>
        </row>
        <row r="1718">
          <cell r="E1718" t="str">
            <v>D25019568</v>
          </cell>
          <cell r="AP1718">
            <v>0</v>
          </cell>
          <cell r="AQ1718">
            <v>0</v>
          </cell>
          <cell r="AV1718">
            <v>2449750</v>
          </cell>
        </row>
        <row r="1719">
          <cell r="E1719" t="str">
            <v>D26000718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D26000744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D26001932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D26001933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D26001934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D26001935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D26001936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D26001936</v>
          </cell>
          <cell r="AP1726">
            <v>0</v>
          </cell>
          <cell r="AQ1726">
            <v>0</v>
          </cell>
          <cell r="AV1726">
            <v>2320000</v>
          </cell>
        </row>
        <row r="1727">
          <cell r="E1727" t="str">
            <v>D26000765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D26000806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D26000824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D26001212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D26001281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D25019385</v>
          </cell>
          <cell r="AP1732">
            <v>0</v>
          </cell>
          <cell r="AQ1732">
            <v>0</v>
          </cell>
          <cell r="AV1732">
            <v>0</v>
          </cell>
        </row>
        <row r="1733">
          <cell r="E1733" t="str">
            <v>D25016327</v>
          </cell>
          <cell r="AP1733">
            <v>0</v>
          </cell>
          <cell r="AQ1733">
            <v>0</v>
          </cell>
          <cell r="AV1733">
            <v>2500000</v>
          </cell>
        </row>
        <row r="1734">
          <cell r="E1734" t="str">
            <v>B26000179</v>
          </cell>
          <cell r="AP1734">
            <v>0</v>
          </cell>
          <cell r="AQ1734">
            <v>0</v>
          </cell>
          <cell r="AV1734">
            <v>0</v>
          </cell>
        </row>
        <row r="1735">
          <cell r="E1735" t="str">
            <v>B26002244</v>
          </cell>
          <cell r="AP1735">
            <v>0</v>
          </cell>
          <cell r="AQ1735">
            <v>0</v>
          </cell>
          <cell r="AV1735">
            <v>0</v>
          </cell>
        </row>
        <row r="1736">
          <cell r="E1736" t="str">
            <v>D25018311</v>
          </cell>
          <cell r="AP1736">
            <v>0</v>
          </cell>
          <cell r="AQ1736">
            <v>0</v>
          </cell>
          <cell r="AV1736">
            <v>8777500</v>
          </cell>
        </row>
        <row r="1737">
          <cell r="E1737" t="str">
            <v>D26000223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D26000334</v>
          </cell>
          <cell r="AP1738">
            <v>0</v>
          </cell>
          <cell r="AQ1738">
            <v>0</v>
          </cell>
          <cell r="AV1738">
            <v>16520000</v>
          </cell>
        </row>
        <row r="1739">
          <cell r="E1739" t="str">
            <v>D26000336</v>
          </cell>
          <cell r="AP1739">
            <v>0</v>
          </cell>
          <cell r="AQ1739">
            <v>0</v>
          </cell>
          <cell r="AV1739">
            <v>3870000</v>
          </cell>
        </row>
        <row r="1740">
          <cell r="E1740" t="str">
            <v>D26000367</v>
          </cell>
          <cell r="AP1740">
            <v>0</v>
          </cell>
          <cell r="AQ1740">
            <v>0</v>
          </cell>
          <cell r="AV1740">
            <v>1067000</v>
          </cell>
        </row>
        <row r="1741">
          <cell r="E1741" t="str">
            <v>D26001177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D26001178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D26001197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B26001389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B26001896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B26001897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D25017318</v>
          </cell>
          <cell r="AP1747">
            <v>0</v>
          </cell>
          <cell r="AQ1747">
            <v>0</v>
          </cell>
          <cell r="AV1747">
            <v>13990200</v>
          </cell>
        </row>
        <row r="1748">
          <cell r="E1748" t="str">
            <v>B25015380</v>
          </cell>
          <cell r="AP1748">
            <v>0</v>
          </cell>
          <cell r="AQ1748">
            <v>0</v>
          </cell>
          <cell r="AV1748">
            <v>1350000</v>
          </cell>
        </row>
        <row r="1749">
          <cell r="E1749" t="str">
            <v>B25015502</v>
          </cell>
          <cell r="AP1749">
            <v>0</v>
          </cell>
          <cell r="AQ1749">
            <v>0</v>
          </cell>
          <cell r="AV1749">
            <v>1760000</v>
          </cell>
        </row>
        <row r="1750">
          <cell r="E1750" t="str">
            <v>D25018160</v>
          </cell>
          <cell r="AP1750">
            <v>0</v>
          </cell>
          <cell r="AQ1750">
            <v>0</v>
          </cell>
          <cell r="AV1750">
            <v>2899800</v>
          </cell>
        </row>
        <row r="1751">
          <cell r="E1751" t="str">
            <v>D25018160</v>
          </cell>
          <cell r="AP1751">
            <v>0</v>
          </cell>
          <cell r="AQ1751">
            <v>0</v>
          </cell>
          <cell r="AV1751">
            <v>6960200</v>
          </cell>
        </row>
        <row r="1752">
          <cell r="E1752" t="str">
            <v>B25016063</v>
          </cell>
          <cell r="AP1752">
            <v>0</v>
          </cell>
          <cell r="AQ1752">
            <v>0</v>
          </cell>
          <cell r="AV1752">
            <v>2520000</v>
          </cell>
        </row>
        <row r="1753">
          <cell r="E1753" t="str">
            <v>B25016154</v>
          </cell>
          <cell r="AP1753">
            <v>0</v>
          </cell>
          <cell r="AQ1753">
            <v>0</v>
          </cell>
          <cell r="AV1753">
            <v>8736000</v>
          </cell>
        </row>
        <row r="1754">
          <cell r="E1754" t="str">
            <v>B25016418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B25016550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D25019411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B25017052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B26000047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B26000244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B26000324</v>
          </cell>
          <cell r="AP1760">
            <v>0</v>
          </cell>
          <cell r="AQ1760">
            <v>0</v>
          </cell>
          <cell r="AV1760">
            <v>1783800</v>
          </cell>
        </row>
        <row r="1761">
          <cell r="E1761" t="str">
            <v>B26000701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D26000758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B26001359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B26001578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B26001629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B26001675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B26001704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D26001945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D26000861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D25016535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D25017076</v>
          </cell>
          <cell r="AP1771">
            <v>0</v>
          </cell>
          <cell r="AQ1771">
            <v>0</v>
          </cell>
          <cell r="AV1771">
            <v>3360000</v>
          </cell>
        </row>
        <row r="1772">
          <cell r="E1772" t="str">
            <v>B25014981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D25017295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B25016007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B25016087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B25016228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B25016798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B25016802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B25017093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D26000237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B26000783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B26001561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B25014225</v>
          </cell>
          <cell r="AP1783">
            <v>0</v>
          </cell>
          <cell r="AQ1783">
            <v>0</v>
          </cell>
          <cell r="AV1783">
            <v>46055000</v>
          </cell>
        </row>
        <row r="1784">
          <cell r="E1784" t="str">
            <v>B25014226</v>
          </cell>
          <cell r="AP1784">
            <v>0</v>
          </cell>
          <cell r="AQ1784">
            <v>0</v>
          </cell>
          <cell r="AV1784">
            <v>13900000</v>
          </cell>
        </row>
        <row r="1785">
          <cell r="E1785" t="str">
            <v>B25014517</v>
          </cell>
          <cell r="AP1785">
            <v>0</v>
          </cell>
          <cell r="AQ1785">
            <v>0</v>
          </cell>
          <cell r="AV1785">
            <v>27800000</v>
          </cell>
        </row>
        <row r="1786">
          <cell r="E1786" t="str">
            <v>D25017414</v>
          </cell>
          <cell r="AP1786">
            <v>0</v>
          </cell>
          <cell r="AQ1786">
            <v>0</v>
          </cell>
          <cell r="AV1786">
            <v>4200000</v>
          </cell>
        </row>
        <row r="1787">
          <cell r="E1787" t="str">
            <v>T25001720K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D25017650</v>
          </cell>
          <cell r="AP1788">
            <v>0</v>
          </cell>
          <cell r="AQ1788">
            <v>0</v>
          </cell>
          <cell r="AV1788">
            <v>22050000</v>
          </cell>
        </row>
        <row r="1789">
          <cell r="E1789" t="str">
            <v>B25015494</v>
          </cell>
          <cell r="AP1789">
            <v>0</v>
          </cell>
          <cell r="AQ1789">
            <v>0</v>
          </cell>
          <cell r="AV1789">
            <v>22880000</v>
          </cell>
        </row>
        <row r="1790">
          <cell r="E1790" t="str">
            <v>D25018030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D25018036</v>
          </cell>
          <cell r="AP1791">
            <v>0</v>
          </cell>
          <cell r="AQ1791">
            <v>0</v>
          </cell>
          <cell r="AV1791">
            <v>11120000</v>
          </cell>
        </row>
        <row r="1792">
          <cell r="E1792" t="str">
            <v>B25015871</v>
          </cell>
          <cell r="AP1792">
            <v>0</v>
          </cell>
          <cell r="AQ1792">
            <v>0</v>
          </cell>
          <cell r="AV1792">
            <v>9450000</v>
          </cell>
        </row>
        <row r="1793">
          <cell r="E1793" t="str">
            <v>B25015935</v>
          </cell>
          <cell r="AP1793">
            <v>0</v>
          </cell>
          <cell r="AQ1793">
            <v>0</v>
          </cell>
          <cell r="AV1793">
            <v>8400000</v>
          </cell>
        </row>
        <row r="1794">
          <cell r="E1794" t="str">
            <v>B25015936</v>
          </cell>
          <cell r="AP1794">
            <v>0</v>
          </cell>
          <cell r="AQ1794">
            <v>0</v>
          </cell>
          <cell r="AV1794">
            <v>5400000</v>
          </cell>
        </row>
        <row r="1795">
          <cell r="E1795" t="str">
            <v>B25016022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B25016035</v>
          </cell>
          <cell r="AP1796">
            <v>0</v>
          </cell>
          <cell r="AQ1796">
            <v>0</v>
          </cell>
          <cell r="AV1796">
            <v>59920000</v>
          </cell>
        </row>
        <row r="1797">
          <cell r="E1797" t="str">
            <v>D25018449</v>
          </cell>
          <cell r="AP1797">
            <v>0</v>
          </cell>
          <cell r="AQ1797">
            <v>0</v>
          </cell>
          <cell r="AV1797">
            <v>14700000</v>
          </cell>
        </row>
        <row r="1798">
          <cell r="E1798" t="str">
            <v>D25018452</v>
          </cell>
          <cell r="AP1798">
            <v>0</v>
          </cell>
          <cell r="AQ1798">
            <v>0</v>
          </cell>
          <cell r="AV1798">
            <v>20350000</v>
          </cell>
        </row>
        <row r="1799">
          <cell r="E1799" t="str">
            <v>D25018462</v>
          </cell>
          <cell r="AP1799">
            <v>0</v>
          </cell>
          <cell r="AQ1799">
            <v>0</v>
          </cell>
          <cell r="AV1799">
            <v>3000000</v>
          </cell>
        </row>
        <row r="1800">
          <cell r="E1800" t="str">
            <v>B25016099</v>
          </cell>
          <cell r="AP1800">
            <v>0</v>
          </cell>
          <cell r="AQ1800">
            <v>0</v>
          </cell>
          <cell r="AV1800">
            <v>3600000</v>
          </cell>
        </row>
        <row r="1801">
          <cell r="E1801" t="str">
            <v>D25018538</v>
          </cell>
          <cell r="AP1801">
            <v>0</v>
          </cell>
          <cell r="AQ1801">
            <v>0</v>
          </cell>
          <cell r="AV1801">
            <v>5832000</v>
          </cell>
        </row>
        <row r="1802">
          <cell r="E1802" t="str">
            <v>B25016381</v>
          </cell>
          <cell r="AP1802">
            <v>0</v>
          </cell>
          <cell r="AQ1802">
            <v>0</v>
          </cell>
          <cell r="AV1802">
            <v>38820000</v>
          </cell>
        </row>
        <row r="1803">
          <cell r="E1803" t="str">
            <v>D25018937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B25016507</v>
          </cell>
          <cell r="AP1804">
            <v>0</v>
          </cell>
          <cell r="AQ1804">
            <v>0</v>
          </cell>
          <cell r="AV1804">
            <v>3320000</v>
          </cell>
        </row>
        <row r="1805">
          <cell r="E1805" t="str">
            <v>B25016519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B25016585</v>
          </cell>
          <cell r="AP1806">
            <v>0</v>
          </cell>
          <cell r="AQ1806">
            <v>0</v>
          </cell>
          <cell r="AV1806">
            <v>6300000</v>
          </cell>
        </row>
        <row r="1807">
          <cell r="E1807" t="str">
            <v>B25016610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D25019152</v>
          </cell>
          <cell r="AP1808">
            <v>0</v>
          </cell>
          <cell r="AQ1808">
            <v>0</v>
          </cell>
          <cell r="AV1808">
            <v>36000000</v>
          </cell>
        </row>
        <row r="1809">
          <cell r="E1809" t="str">
            <v>B25016775</v>
          </cell>
          <cell r="AP1809">
            <v>0</v>
          </cell>
          <cell r="AQ1809">
            <v>0</v>
          </cell>
          <cell r="AV1809">
            <v>50000000</v>
          </cell>
        </row>
        <row r="1810">
          <cell r="E1810" t="str">
            <v>D25019315</v>
          </cell>
          <cell r="AP1810">
            <v>0</v>
          </cell>
          <cell r="AQ1810">
            <v>0</v>
          </cell>
          <cell r="AV1810">
            <v>119900000</v>
          </cell>
        </row>
        <row r="1811">
          <cell r="E1811" t="str">
            <v>D25019343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D25019376</v>
          </cell>
          <cell r="AP1812">
            <v>0</v>
          </cell>
          <cell r="AQ1812">
            <v>0</v>
          </cell>
          <cell r="AV1812">
            <v>10625000</v>
          </cell>
        </row>
        <row r="1813">
          <cell r="E1813" t="str">
            <v>D25019377</v>
          </cell>
          <cell r="AP1813">
            <v>0</v>
          </cell>
          <cell r="AQ1813">
            <v>0</v>
          </cell>
          <cell r="AV1813">
            <v>8400000</v>
          </cell>
        </row>
        <row r="1814">
          <cell r="E1814" t="str">
            <v>B25016973</v>
          </cell>
          <cell r="AP1814">
            <v>0</v>
          </cell>
          <cell r="AQ1814">
            <v>0</v>
          </cell>
          <cell r="AV1814">
            <v>43575000</v>
          </cell>
        </row>
        <row r="1815">
          <cell r="E1815" t="str">
            <v>B25016974</v>
          </cell>
          <cell r="AP1815">
            <v>0</v>
          </cell>
          <cell r="AQ1815">
            <v>0</v>
          </cell>
          <cell r="AV1815">
            <v>1260000</v>
          </cell>
        </row>
        <row r="1816">
          <cell r="E1816" t="str">
            <v>B25016975</v>
          </cell>
          <cell r="AP1816">
            <v>0</v>
          </cell>
          <cell r="AQ1816">
            <v>0</v>
          </cell>
          <cell r="AV1816">
            <v>7440000</v>
          </cell>
        </row>
        <row r="1817">
          <cell r="E1817" t="str">
            <v>B26000267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B26000268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B26000284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B26000323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D26000387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D26000391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B26000395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B26000666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D26000737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D26000873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D26000882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D26000884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B26000827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B26000831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B26000872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D26000914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B26000926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D26001016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B26001032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B26001033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B26001047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D26001140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D26001157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B26001163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D26001214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B26001239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D26001300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D26001326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D26001367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D26001574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B26001538</v>
          </cell>
          <cell r="AP1847">
            <v>0</v>
          </cell>
          <cell r="AQ1847">
            <v>0</v>
          </cell>
          <cell r="AV1847">
            <v>2250000</v>
          </cell>
        </row>
        <row r="1848">
          <cell r="E1848" t="str">
            <v>B26001560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D26001685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D26001686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D26001687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D26001742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D26001796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B26001730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D26001867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B26001840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B26001844</v>
          </cell>
          <cell r="AP1857">
            <v>0</v>
          </cell>
          <cell r="AQ1857">
            <v>0</v>
          </cell>
          <cell r="AV1857">
            <v>8750000</v>
          </cell>
        </row>
        <row r="1858">
          <cell r="E1858" t="str">
            <v>B26001854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B26001859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D26001967</v>
          </cell>
          <cell r="AP1860">
            <v>0</v>
          </cell>
          <cell r="AQ1860">
            <v>0</v>
          </cell>
          <cell r="AV1860">
            <v>13200000</v>
          </cell>
        </row>
        <row r="1861">
          <cell r="E1861" t="str">
            <v>T26000139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D26002202</v>
          </cell>
          <cell r="AP1862">
            <v>0</v>
          </cell>
          <cell r="AQ1862">
            <v>0</v>
          </cell>
          <cell r="AV1862">
            <v>14000000</v>
          </cell>
        </row>
        <row r="1863">
          <cell r="E1863" t="str">
            <v>B26002153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D26002256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Z26000401</v>
          </cell>
          <cell r="AP1865">
            <v>335000</v>
          </cell>
          <cell r="AQ1865">
            <v>0</v>
          </cell>
          <cell r="AV1865">
            <v>0</v>
          </cell>
        </row>
        <row r="1866">
          <cell r="E1866" t="str">
            <v>B26002228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B26002246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D26002440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D26000060</v>
          </cell>
          <cell r="AP1869">
            <v>0</v>
          </cell>
          <cell r="AQ1869">
            <v>355000</v>
          </cell>
          <cell r="AV1869">
            <v>0</v>
          </cell>
        </row>
        <row r="1870">
          <cell r="E1870" t="str">
            <v>D26000060</v>
          </cell>
          <cell r="AP1870">
            <v>0</v>
          </cell>
          <cell r="AQ1870">
            <v>0</v>
          </cell>
          <cell r="AV1870">
            <v>95000</v>
          </cell>
        </row>
        <row r="1871">
          <cell r="E1871" t="str">
            <v>B26000190</v>
          </cell>
          <cell r="AP1871">
            <v>0</v>
          </cell>
          <cell r="AQ1871">
            <v>1500000</v>
          </cell>
          <cell r="AV1871">
            <v>0</v>
          </cell>
        </row>
        <row r="1872">
          <cell r="E1872" t="str">
            <v>B26000214</v>
          </cell>
          <cell r="AP1872">
            <v>0</v>
          </cell>
          <cell r="AQ1872">
            <v>1200000</v>
          </cell>
          <cell r="AV1872">
            <v>0</v>
          </cell>
        </row>
        <row r="1873">
          <cell r="E1873" t="str">
            <v>D26000496</v>
          </cell>
          <cell r="AP1873">
            <v>0</v>
          </cell>
          <cell r="AQ1873">
            <v>870000</v>
          </cell>
          <cell r="AV1873">
            <v>0</v>
          </cell>
        </row>
        <row r="1874">
          <cell r="E1874" t="str">
            <v>D26000497</v>
          </cell>
          <cell r="AP1874">
            <v>0</v>
          </cell>
          <cell r="AQ1874">
            <v>2862500</v>
          </cell>
          <cell r="AV1874">
            <v>0</v>
          </cell>
        </row>
        <row r="1875">
          <cell r="E1875" t="str">
            <v>D26000878</v>
          </cell>
          <cell r="AP1875">
            <v>0</v>
          </cell>
          <cell r="AQ1875">
            <v>1275000</v>
          </cell>
          <cell r="AV1875">
            <v>0</v>
          </cell>
        </row>
        <row r="1876">
          <cell r="E1876" t="str">
            <v>T26000054</v>
          </cell>
          <cell r="AP1876">
            <v>0</v>
          </cell>
          <cell r="AQ1876">
            <v>2740000</v>
          </cell>
          <cell r="AV1876">
            <v>0</v>
          </cell>
        </row>
        <row r="1877">
          <cell r="E1877" t="str">
            <v>T26000055</v>
          </cell>
          <cell r="AP1877">
            <v>0</v>
          </cell>
          <cell r="AQ1877">
            <v>937500</v>
          </cell>
          <cell r="AV1877">
            <v>0</v>
          </cell>
        </row>
        <row r="1878">
          <cell r="E1878" t="str">
            <v>B26001384</v>
          </cell>
          <cell r="AP1878">
            <v>0</v>
          </cell>
          <cell r="AQ1878">
            <v>1210000</v>
          </cell>
          <cell r="AV1878">
            <v>0</v>
          </cell>
        </row>
        <row r="1879">
          <cell r="E1879" t="str">
            <v>B26001385</v>
          </cell>
          <cell r="AP1879">
            <v>0</v>
          </cell>
          <cell r="AQ1879">
            <v>2020000</v>
          </cell>
          <cell r="AV1879">
            <v>0</v>
          </cell>
        </row>
        <row r="1880">
          <cell r="E1880" t="str">
            <v>D26001559</v>
          </cell>
          <cell r="AP1880">
            <v>0</v>
          </cell>
          <cell r="AQ1880">
            <v>1670000</v>
          </cell>
          <cell r="AV1880">
            <v>0</v>
          </cell>
        </row>
        <row r="1881">
          <cell r="E1881" t="str">
            <v>B26001568</v>
          </cell>
          <cell r="AP1881">
            <v>0</v>
          </cell>
          <cell r="AQ1881">
            <v>1360000</v>
          </cell>
          <cell r="AV1881">
            <v>0</v>
          </cell>
        </row>
        <row r="1882">
          <cell r="E1882" t="str">
            <v>D26002181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D26002182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B26002125</v>
          </cell>
          <cell r="AP1884">
            <v>0</v>
          </cell>
          <cell r="AQ1884">
            <v>0</v>
          </cell>
          <cell r="AV1884">
            <v>470000</v>
          </cell>
        </row>
        <row r="1885">
          <cell r="E1885" t="str">
            <v>D26002310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D26002311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B25015550</v>
          </cell>
          <cell r="AP1887">
            <v>0</v>
          </cell>
          <cell r="AQ1887">
            <v>0</v>
          </cell>
          <cell r="AV1887">
            <v>6135000</v>
          </cell>
        </row>
        <row r="1888">
          <cell r="E1888" t="str">
            <v>B25015864</v>
          </cell>
          <cell r="AP1888">
            <v>0</v>
          </cell>
          <cell r="AQ1888">
            <v>0</v>
          </cell>
          <cell r="AV1888">
            <v>10840000</v>
          </cell>
        </row>
        <row r="1889">
          <cell r="E1889" t="str">
            <v>B25016092</v>
          </cell>
          <cell r="AP1889">
            <v>0</v>
          </cell>
          <cell r="AQ1889">
            <v>0</v>
          </cell>
          <cell r="AV1889">
            <v>2750000</v>
          </cell>
        </row>
        <row r="1890">
          <cell r="E1890" t="str">
            <v>B25016384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D25019393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D25019652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B26000606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B26000956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B26001207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C26000117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D26000012</v>
          </cell>
          <cell r="AP1897">
            <v>0</v>
          </cell>
          <cell r="AQ1897">
            <v>0</v>
          </cell>
          <cell r="AV1897">
            <v>7440000</v>
          </cell>
        </row>
        <row r="1898">
          <cell r="E1898" t="str">
            <v>D26000395</v>
          </cell>
          <cell r="AP1898">
            <v>0</v>
          </cell>
          <cell r="AQ1898">
            <v>0</v>
          </cell>
          <cell r="AV1898">
            <v>5520000</v>
          </cell>
        </row>
        <row r="1899">
          <cell r="E1899" t="str">
            <v>B26000722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B26001094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D26001151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B26001635</v>
          </cell>
          <cell r="AP1902">
            <v>0</v>
          </cell>
          <cell r="AQ1902">
            <v>0</v>
          </cell>
          <cell r="AV1902">
            <v>12950000</v>
          </cell>
        </row>
        <row r="1903">
          <cell r="E1903" t="str">
            <v>D26001766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B26001763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B26001974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D25019621</v>
          </cell>
          <cell r="AP1906">
            <v>0</v>
          </cell>
          <cell r="AQ1906">
            <v>0</v>
          </cell>
          <cell r="AV1906">
            <v>2580000</v>
          </cell>
        </row>
        <row r="1907">
          <cell r="E1907" t="str">
            <v>D25019622</v>
          </cell>
          <cell r="AP1907">
            <v>0</v>
          </cell>
          <cell r="AQ1907">
            <v>0</v>
          </cell>
          <cell r="AV1907">
            <v>4782500</v>
          </cell>
        </row>
        <row r="1908">
          <cell r="E1908" t="str">
            <v>D25019623</v>
          </cell>
          <cell r="AP1908">
            <v>0</v>
          </cell>
          <cell r="AQ1908">
            <v>0</v>
          </cell>
          <cell r="AV1908">
            <v>1497500</v>
          </cell>
        </row>
        <row r="1909">
          <cell r="E1909" t="str">
            <v>D25019624</v>
          </cell>
          <cell r="AP1909">
            <v>0</v>
          </cell>
          <cell r="AQ1909">
            <v>0</v>
          </cell>
          <cell r="AV1909">
            <v>1440000</v>
          </cell>
        </row>
        <row r="1910">
          <cell r="E1910" t="str">
            <v>T25001894</v>
          </cell>
          <cell r="AP1910">
            <v>0</v>
          </cell>
          <cell r="AQ1910">
            <v>0</v>
          </cell>
          <cell r="AV1910">
            <v>180000</v>
          </cell>
        </row>
        <row r="1911">
          <cell r="E1911" t="str">
            <v>B25017101</v>
          </cell>
          <cell r="AP1911">
            <v>0</v>
          </cell>
          <cell r="AQ1911">
            <v>0</v>
          </cell>
          <cell r="AV1911">
            <v>5120000</v>
          </cell>
        </row>
        <row r="1912">
          <cell r="E1912" t="str">
            <v>D26000201</v>
          </cell>
          <cell r="AP1912">
            <v>0</v>
          </cell>
          <cell r="AQ1912">
            <v>0</v>
          </cell>
          <cell r="AV1912">
            <v>2800000</v>
          </cell>
        </row>
        <row r="1913">
          <cell r="E1913" t="str">
            <v>D26000220</v>
          </cell>
          <cell r="AP1913">
            <v>0</v>
          </cell>
          <cell r="AQ1913">
            <v>0</v>
          </cell>
          <cell r="AV1913">
            <v>273000</v>
          </cell>
        </row>
        <row r="1914">
          <cell r="E1914" t="str">
            <v>D26000568</v>
          </cell>
          <cell r="AP1914">
            <v>0</v>
          </cell>
          <cell r="AQ1914">
            <v>0</v>
          </cell>
          <cell r="AV1914">
            <v>937500</v>
          </cell>
        </row>
        <row r="1915">
          <cell r="E1915" t="str">
            <v>D26000569</v>
          </cell>
          <cell r="AP1915">
            <v>0</v>
          </cell>
          <cell r="AQ1915">
            <v>0</v>
          </cell>
          <cell r="AV1915">
            <v>2115000</v>
          </cell>
        </row>
        <row r="1916">
          <cell r="E1916" t="str">
            <v>D26000570</v>
          </cell>
          <cell r="AP1916">
            <v>0</v>
          </cell>
          <cell r="AQ1916">
            <v>0</v>
          </cell>
          <cell r="AV1916">
            <v>2325000</v>
          </cell>
        </row>
        <row r="1917">
          <cell r="E1917" t="str">
            <v>D26000571</v>
          </cell>
          <cell r="AP1917">
            <v>0</v>
          </cell>
          <cell r="AQ1917">
            <v>0</v>
          </cell>
          <cell r="AV1917">
            <v>1765000</v>
          </cell>
        </row>
        <row r="1918">
          <cell r="E1918" t="str">
            <v>D26000572</v>
          </cell>
          <cell r="AP1918">
            <v>0</v>
          </cell>
          <cell r="AQ1918">
            <v>0</v>
          </cell>
          <cell r="AV1918">
            <v>683500</v>
          </cell>
        </row>
        <row r="1919">
          <cell r="E1919" t="str">
            <v>D26000573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B26000585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B26000640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B26001196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B26001197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B26001198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B26001199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B26001200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D26001307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B26001786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B26001787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B26001788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B26001789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B26001790</v>
          </cell>
          <cell r="AP1932">
            <v>0</v>
          </cell>
          <cell r="AQ1932">
            <v>0</v>
          </cell>
          <cell r="AV1932">
            <v>3880000</v>
          </cell>
        </row>
        <row r="1933">
          <cell r="E1933" t="str">
            <v>B26001791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B26002020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B26002021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B26002022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D26002249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D26001149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B26001901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B26002107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D25018262</v>
          </cell>
          <cell r="AP1941">
            <v>0</v>
          </cell>
          <cell r="AQ1941">
            <v>0</v>
          </cell>
          <cell r="AV1941">
            <v>6000000</v>
          </cell>
        </row>
        <row r="1942">
          <cell r="E1942" t="str">
            <v>B26002062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D26002017</v>
          </cell>
          <cell r="AP1943">
            <v>0</v>
          </cell>
          <cell r="AQ1943">
            <v>0</v>
          </cell>
          <cell r="AV1943">
            <v>5700000</v>
          </cell>
        </row>
        <row r="1944">
          <cell r="E1944" t="str">
            <v>T25001796</v>
          </cell>
          <cell r="AP1944">
            <v>0</v>
          </cell>
          <cell r="AQ1944">
            <v>0</v>
          </cell>
          <cell r="AV1944">
            <v>10400000</v>
          </cell>
        </row>
        <row r="1945">
          <cell r="E1945" t="str">
            <v>D26000332</v>
          </cell>
          <cell r="AP1945">
            <v>0</v>
          </cell>
          <cell r="AQ1945">
            <v>0</v>
          </cell>
          <cell r="AV1945">
            <v>7500000</v>
          </cell>
        </row>
        <row r="1946">
          <cell r="E1946" t="str">
            <v>B26000333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D26001846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D26002410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D26001670</v>
          </cell>
          <cell r="AP1949">
            <v>7140000</v>
          </cell>
          <cell r="AQ1949">
            <v>0</v>
          </cell>
          <cell r="AV1949">
            <v>0</v>
          </cell>
        </row>
        <row r="1950">
          <cell r="E1950" t="str">
            <v>D26001738</v>
          </cell>
          <cell r="AP1950">
            <v>0</v>
          </cell>
          <cell r="AQ1950">
            <v>0</v>
          </cell>
          <cell r="AV1950">
            <v>115000000</v>
          </cell>
        </row>
        <row r="1951">
          <cell r="E1951" t="str">
            <v>B26001650</v>
          </cell>
          <cell r="AP1951">
            <v>0</v>
          </cell>
          <cell r="AQ1951">
            <v>0</v>
          </cell>
          <cell r="AV1951">
            <v>27200000</v>
          </cell>
        </row>
        <row r="1952">
          <cell r="E1952" t="str">
            <v>B26001735</v>
          </cell>
          <cell r="AP1952">
            <v>0</v>
          </cell>
          <cell r="AQ1952">
            <v>0</v>
          </cell>
          <cell r="AV1952">
            <v>96660000</v>
          </cell>
        </row>
        <row r="1953">
          <cell r="E1953" t="str">
            <v>B26001751</v>
          </cell>
          <cell r="AP1953">
            <v>0</v>
          </cell>
          <cell r="AQ1953">
            <v>0</v>
          </cell>
          <cell r="AV1953">
            <v>297375000</v>
          </cell>
        </row>
        <row r="1954">
          <cell r="E1954" t="str">
            <v>B26001802</v>
          </cell>
          <cell r="AP1954">
            <v>0</v>
          </cell>
          <cell r="AQ1954">
            <v>0</v>
          </cell>
          <cell r="AV1954">
            <v>184000000</v>
          </cell>
        </row>
        <row r="1955">
          <cell r="E1955" t="str">
            <v>D26001912</v>
          </cell>
          <cell r="AP1955">
            <v>0</v>
          </cell>
          <cell r="AQ1955">
            <v>0</v>
          </cell>
          <cell r="AV1955">
            <v>244250000</v>
          </cell>
        </row>
        <row r="1956">
          <cell r="E1956" t="str">
            <v>B26001847</v>
          </cell>
          <cell r="AP1956">
            <v>0</v>
          </cell>
          <cell r="AQ1956">
            <v>0</v>
          </cell>
          <cell r="AV1956">
            <v>30000000</v>
          </cell>
        </row>
        <row r="1957">
          <cell r="E1957" t="str">
            <v>B26001891</v>
          </cell>
          <cell r="AP1957">
            <v>0</v>
          </cell>
          <cell r="AQ1957">
            <v>0</v>
          </cell>
          <cell r="AV1957">
            <v>34750000</v>
          </cell>
        </row>
        <row r="1958">
          <cell r="E1958" t="str">
            <v>B26001939</v>
          </cell>
          <cell r="AP1958">
            <v>0</v>
          </cell>
          <cell r="AQ1958">
            <v>0</v>
          </cell>
          <cell r="AV1958">
            <v>270000000</v>
          </cell>
        </row>
        <row r="1959">
          <cell r="E1959" t="str">
            <v>D26002066</v>
          </cell>
          <cell r="AP1959">
            <v>0</v>
          </cell>
          <cell r="AQ1959">
            <v>0</v>
          </cell>
          <cell r="AV1959">
            <v>338400000</v>
          </cell>
        </row>
        <row r="1960">
          <cell r="E1960" t="str">
            <v>D26002088</v>
          </cell>
          <cell r="AP1960">
            <v>0</v>
          </cell>
          <cell r="AQ1960">
            <v>0</v>
          </cell>
          <cell r="AV1960">
            <v>66800000</v>
          </cell>
        </row>
        <row r="1961">
          <cell r="E1961" t="str">
            <v>B26002001</v>
          </cell>
          <cell r="AP1961">
            <v>0</v>
          </cell>
          <cell r="AQ1961">
            <v>0</v>
          </cell>
          <cell r="AV1961">
            <v>69382000</v>
          </cell>
        </row>
        <row r="1962">
          <cell r="E1962" t="str">
            <v>D26002211</v>
          </cell>
          <cell r="AP1962">
            <v>0</v>
          </cell>
          <cell r="AQ1962">
            <v>0</v>
          </cell>
          <cell r="AV1962">
            <v>165750000</v>
          </cell>
        </row>
        <row r="1963">
          <cell r="E1963" t="str">
            <v>D26002227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D26002238</v>
          </cell>
          <cell r="AP1964">
            <v>0</v>
          </cell>
          <cell r="AQ1964">
            <v>0</v>
          </cell>
          <cell r="AV1964">
            <v>224000000</v>
          </cell>
        </row>
        <row r="1965">
          <cell r="E1965" t="str">
            <v>B25005869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D25010517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D26002022</v>
          </cell>
          <cell r="AP1967">
            <v>500</v>
          </cell>
          <cell r="AQ1967">
            <v>0</v>
          </cell>
          <cell r="AV1967">
            <v>1780000</v>
          </cell>
        </row>
        <row r="1968">
          <cell r="E1968" t="str">
            <v>B25015254</v>
          </cell>
          <cell r="AP1968">
            <v>0</v>
          </cell>
          <cell r="AQ1968">
            <v>0</v>
          </cell>
          <cell r="AV1968">
            <v>20000000</v>
          </cell>
        </row>
        <row r="1969">
          <cell r="E1969" t="str">
            <v>B26000617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D26002255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D25019574</v>
          </cell>
          <cell r="AP1971">
            <v>0</v>
          </cell>
          <cell r="AQ1971">
            <v>0</v>
          </cell>
          <cell r="AV1971">
            <v>6750000</v>
          </cell>
        </row>
        <row r="1972">
          <cell r="E1972" t="str">
            <v>D26002082</v>
          </cell>
          <cell r="AP1972">
            <v>0</v>
          </cell>
          <cell r="AQ1972">
            <v>0</v>
          </cell>
          <cell r="AV1972">
            <v>0</v>
          </cell>
        </row>
        <row r="1973">
          <cell r="E1973" t="str">
            <v>T26000147</v>
          </cell>
          <cell r="AP1973">
            <v>0</v>
          </cell>
          <cell r="AQ1973">
            <v>0</v>
          </cell>
          <cell r="AV1973">
            <v>0</v>
          </cell>
        </row>
        <row r="1974">
          <cell r="E1974" t="str">
            <v>B26002027</v>
          </cell>
          <cell r="AP1974">
            <v>0</v>
          </cell>
          <cell r="AQ1974">
            <v>0</v>
          </cell>
          <cell r="AV1974">
            <v>28500000</v>
          </cell>
        </row>
        <row r="1975">
          <cell r="E1975" t="str">
            <v>B26000044</v>
          </cell>
          <cell r="AP1975">
            <v>0</v>
          </cell>
          <cell r="AQ1975">
            <v>0</v>
          </cell>
          <cell r="AV1975">
            <v>7200000</v>
          </cell>
        </row>
        <row r="1976">
          <cell r="E1976" t="str">
            <v>D26000105</v>
          </cell>
          <cell r="AP1976">
            <v>0</v>
          </cell>
          <cell r="AQ1976">
            <v>0</v>
          </cell>
          <cell r="AV1976">
            <v>2900000</v>
          </cell>
        </row>
        <row r="1977">
          <cell r="E1977" t="str">
            <v>D26001797</v>
          </cell>
          <cell r="AP1977">
            <v>0</v>
          </cell>
          <cell r="AQ1977">
            <v>0</v>
          </cell>
          <cell r="AV1977">
            <v>0</v>
          </cell>
        </row>
        <row r="1978">
          <cell r="E1978" t="str">
            <v>B25014910</v>
          </cell>
          <cell r="AP1978">
            <v>0</v>
          </cell>
          <cell r="AQ1978">
            <v>0</v>
          </cell>
          <cell r="AV1978">
            <v>128375000</v>
          </cell>
        </row>
        <row r="1979">
          <cell r="E1979" t="str">
            <v>B25014911</v>
          </cell>
          <cell r="AP1979">
            <v>0</v>
          </cell>
          <cell r="AQ1979">
            <v>0</v>
          </cell>
          <cell r="AV1979">
            <v>23950000</v>
          </cell>
        </row>
        <row r="1980">
          <cell r="E1980" t="str">
            <v>B25014912</v>
          </cell>
          <cell r="AP1980">
            <v>0</v>
          </cell>
          <cell r="AQ1980">
            <v>0</v>
          </cell>
          <cell r="AV1980">
            <v>31500000</v>
          </cell>
        </row>
        <row r="1981">
          <cell r="E1981" t="str">
            <v>D25018930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D25018967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D26002047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D26002047</v>
          </cell>
          <cell r="AP1984">
            <v>0</v>
          </cell>
          <cell r="AQ1984">
            <v>0</v>
          </cell>
          <cell r="AV1984">
            <v>2688000</v>
          </cell>
        </row>
        <row r="1985">
          <cell r="E1985" t="str">
            <v>C26000095</v>
          </cell>
          <cell r="AP1985">
            <v>0</v>
          </cell>
          <cell r="AQ1985">
            <v>0</v>
          </cell>
          <cell r="AV1985">
            <v>1488000</v>
          </cell>
        </row>
        <row r="1986">
          <cell r="E1986" t="str">
            <v>C26000096</v>
          </cell>
          <cell r="AP1986">
            <v>0</v>
          </cell>
          <cell r="AQ1986">
            <v>0</v>
          </cell>
          <cell r="AV1986">
            <v>595000</v>
          </cell>
        </row>
        <row r="1987">
          <cell r="E1987" t="str">
            <v>M26000023</v>
          </cell>
          <cell r="AP1987">
            <v>0</v>
          </cell>
          <cell r="AQ1987">
            <v>0</v>
          </cell>
          <cell r="AV1987">
            <v>17500</v>
          </cell>
        </row>
        <row r="1988">
          <cell r="E1988" t="str">
            <v>C26000103</v>
          </cell>
          <cell r="AP1988">
            <v>0</v>
          </cell>
          <cell r="AQ1988">
            <v>0</v>
          </cell>
          <cell r="AV1988">
            <v>1625000</v>
          </cell>
        </row>
        <row r="1989">
          <cell r="E1989" t="str">
            <v>C26000105</v>
          </cell>
          <cell r="AP1989">
            <v>0</v>
          </cell>
          <cell r="AQ1989">
            <v>0</v>
          </cell>
          <cell r="AV1989">
            <v>126000</v>
          </cell>
        </row>
        <row r="1990">
          <cell r="E1990" t="str">
            <v>C26000106</v>
          </cell>
          <cell r="AP1990">
            <v>0</v>
          </cell>
          <cell r="AQ1990">
            <v>0</v>
          </cell>
          <cell r="AV1990">
            <v>66000</v>
          </cell>
        </row>
        <row r="1991">
          <cell r="E1991" t="str">
            <v>C26000108</v>
          </cell>
          <cell r="AP1991">
            <v>0</v>
          </cell>
          <cell r="AQ1991">
            <v>0</v>
          </cell>
          <cell r="AV1991">
            <v>1123500</v>
          </cell>
        </row>
        <row r="1992">
          <cell r="E1992" t="str">
            <v>C26000111</v>
          </cell>
          <cell r="AP1992">
            <v>0</v>
          </cell>
          <cell r="AQ1992">
            <v>0</v>
          </cell>
          <cell r="AV1992">
            <v>657000</v>
          </cell>
        </row>
        <row r="1993">
          <cell r="E1993" t="str">
            <v>C26000113</v>
          </cell>
          <cell r="AP1993">
            <v>0</v>
          </cell>
          <cell r="AQ1993">
            <v>0</v>
          </cell>
          <cell r="AV1993">
            <v>309500</v>
          </cell>
        </row>
        <row r="1994">
          <cell r="E1994" t="str">
            <v>M26000031</v>
          </cell>
          <cell r="AP1994">
            <v>0</v>
          </cell>
          <cell r="AQ1994">
            <v>0</v>
          </cell>
          <cell r="AV1994">
            <v>115500</v>
          </cell>
        </row>
        <row r="1995">
          <cell r="E1995" t="str">
            <v>M26000031</v>
          </cell>
          <cell r="AP1995">
            <v>0</v>
          </cell>
          <cell r="AQ1995">
            <v>0</v>
          </cell>
          <cell r="AV1995">
            <v>46000</v>
          </cell>
        </row>
        <row r="1996">
          <cell r="E1996" t="str">
            <v>M26000031</v>
          </cell>
          <cell r="AP1996">
            <v>0</v>
          </cell>
          <cell r="AQ1996">
            <v>0</v>
          </cell>
          <cell r="AV1996">
            <v>138500</v>
          </cell>
        </row>
        <row r="1997">
          <cell r="E1997" t="str">
            <v>C26000115</v>
          </cell>
          <cell r="AP1997">
            <v>0</v>
          </cell>
          <cell r="AQ1997">
            <v>0</v>
          </cell>
          <cell r="AV1997">
            <v>680000</v>
          </cell>
        </row>
        <row r="1998">
          <cell r="E1998" t="str">
            <v>C26000118</v>
          </cell>
          <cell r="AP1998">
            <v>0</v>
          </cell>
          <cell r="AQ1998">
            <v>0</v>
          </cell>
          <cell r="AV1998">
            <v>455000</v>
          </cell>
        </row>
        <row r="1999">
          <cell r="E1999" t="str">
            <v>C26000119</v>
          </cell>
          <cell r="AP1999">
            <v>0</v>
          </cell>
          <cell r="AQ1999">
            <v>0</v>
          </cell>
          <cell r="AV1999">
            <v>247000</v>
          </cell>
        </row>
        <row r="2000">
          <cell r="E2000" t="str">
            <v>M26000032</v>
          </cell>
          <cell r="AP2000">
            <v>0</v>
          </cell>
          <cell r="AQ2000">
            <v>0</v>
          </cell>
          <cell r="AV2000">
            <v>117500</v>
          </cell>
        </row>
        <row r="2001">
          <cell r="E2001" t="str">
            <v>C26000120</v>
          </cell>
          <cell r="AP2001">
            <v>0</v>
          </cell>
          <cell r="AQ2001">
            <v>0</v>
          </cell>
          <cell r="AV2001">
            <v>699500</v>
          </cell>
        </row>
        <row r="2002">
          <cell r="E2002" t="str">
            <v>C26000124</v>
          </cell>
          <cell r="AP2002">
            <v>0</v>
          </cell>
          <cell r="AQ2002">
            <v>0</v>
          </cell>
          <cell r="AV2002">
            <v>2156500</v>
          </cell>
        </row>
        <row r="2003">
          <cell r="E2003" t="str">
            <v>M26000033</v>
          </cell>
          <cell r="AP2003">
            <v>0</v>
          </cell>
          <cell r="AQ2003">
            <v>0</v>
          </cell>
          <cell r="AV2003">
            <v>57000</v>
          </cell>
        </row>
        <row r="2004">
          <cell r="E2004" t="str">
            <v>C26000132</v>
          </cell>
          <cell r="AP2004">
            <v>0</v>
          </cell>
          <cell r="AQ2004">
            <v>0</v>
          </cell>
          <cell r="AV2004">
            <v>439500</v>
          </cell>
        </row>
        <row r="2005">
          <cell r="E2005" t="str">
            <v>D26002372</v>
          </cell>
          <cell r="AP2005">
            <v>0</v>
          </cell>
          <cell r="AQ2005">
            <v>0</v>
          </cell>
          <cell r="AV2005">
            <v>1350000</v>
          </cell>
        </row>
        <row r="2006">
          <cell r="E2006" t="str">
            <v>C26000133</v>
          </cell>
          <cell r="AP2006">
            <v>0</v>
          </cell>
          <cell r="AQ2006">
            <v>0</v>
          </cell>
          <cell r="AV2006">
            <v>204000</v>
          </cell>
        </row>
        <row r="2007">
          <cell r="E2007" t="str">
            <v>B26001977</v>
          </cell>
          <cell r="AP2007">
            <v>0</v>
          </cell>
          <cell r="AQ2007">
            <v>0</v>
          </cell>
          <cell r="AV2007">
            <v>3940000</v>
          </cell>
        </row>
        <row r="2008">
          <cell r="E2008" t="str">
            <v>T26000149K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D25019067</v>
          </cell>
          <cell r="AP2009">
            <v>0</v>
          </cell>
          <cell r="AQ2009">
            <v>0</v>
          </cell>
          <cell r="AV2009">
            <v>579500</v>
          </cell>
        </row>
        <row r="2010">
          <cell r="E2010" t="str">
            <v>B25016684</v>
          </cell>
          <cell r="AP2010">
            <v>0</v>
          </cell>
          <cell r="AQ2010">
            <v>0</v>
          </cell>
          <cell r="AV2010">
            <v>560000</v>
          </cell>
        </row>
        <row r="2011">
          <cell r="E2011" t="str">
            <v>B26000154</v>
          </cell>
          <cell r="AP2011">
            <v>0</v>
          </cell>
          <cell r="AQ2011">
            <v>0</v>
          </cell>
          <cell r="AV2011">
            <v>860500</v>
          </cell>
        </row>
        <row r="2012">
          <cell r="E2012" t="str">
            <v>D26001055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D26001521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D26001554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D26001568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B26001889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D26002000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B26002156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D25017840</v>
          </cell>
          <cell r="AP2019">
            <v>0</v>
          </cell>
          <cell r="AQ2019">
            <v>0</v>
          </cell>
          <cell r="AV2019">
            <v>1620000</v>
          </cell>
        </row>
        <row r="2020">
          <cell r="E2020" t="str">
            <v>D25018603</v>
          </cell>
          <cell r="AP2020">
            <v>0</v>
          </cell>
          <cell r="AQ2020">
            <v>0</v>
          </cell>
          <cell r="AV2020">
            <v>9200000</v>
          </cell>
        </row>
        <row r="2021">
          <cell r="E2021" t="str">
            <v>D25018672</v>
          </cell>
          <cell r="AP2021">
            <v>0</v>
          </cell>
          <cell r="AQ2021">
            <v>0</v>
          </cell>
          <cell r="AV2021">
            <v>11000000</v>
          </cell>
        </row>
        <row r="2022">
          <cell r="E2022" t="str">
            <v>D25018799</v>
          </cell>
          <cell r="AP2022">
            <v>0</v>
          </cell>
          <cell r="AQ2022">
            <v>0</v>
          </cell>
          <cell r="AV2022">
            <v>9470000</v>
          </cell>
        </row>
        <row r="2023">
          <cell r="E2023" t="str">
            <v>B25016397</v>
          </cell>
          <cell r="AP2023">
            <v>0</v>
          </cell>
          <cell r="AQ2023">
            <v>0</v>
          </cell>
          <cell r="AV2023">
            <v>15870000</v>
          </cell>
        </row>
        <row r="2024">
          <cell r="E2024" t="str">
            <v>B25016408</v>
          </cell>
          <cell r="AP2024">
            <v>0</v>
          </cell>
          <cell r="AQ2024">
            <v>0</v>
          </cell>
          <cell r="AV2024">
            <v>6840000</v>
          </cell>
        </row>
        <row r="2025">
          <cell r="E2025" t="str">
            <v>B25016446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D25018938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D25018939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D25018940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D26001386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D26001392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D25019335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Z26000236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Z26000335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Z26000313</v>
          </cell>
          <cell r="AP2034">
            <v>0</v>
          </cell>
          <cell r="AQ2034">
            <v>0</v>
          </cell>
          <cell r="AV2034">
            <v>2025000</v>
          </cell>
        </row>
        <row r="2035">
          <cell r="E2035" t="str">
            <v>Z26000396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D26000317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B26001203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B26002247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T25001533K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T25001617</v>
          </cell>
          <cell r="AP2040">
            <v>0</v>
          </cell>
          <cell r="AQ2040">
            <v>0</v>
          </cell>
          <cell r="AV2040">
            <v>2000000</v>
          </cell>
        </row>
        <row r="2041">
          <cell r="E2041" t="str">
            <v>T26000086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D25017894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D25017895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D25017897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B25012755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D25015098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T25001556K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D26000323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B26001924</v>
          </cell>
          <cell r="AP2049">
            <v>0</v>
          </cell>
          <cell r="AQ2049">
            <v>0</v>
          </cell>
          <cell r="AV2049">
            <v>4062500</v>
          </cell>
        </row>
        <row r="2050">
          <cell r="E2050" t="str">
            <v>D25019539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D26000840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B26001123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B26001136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B26001590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B26001591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D26002416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Z25003263</v>
          </cell>
          <cell r="AP2057">
            <v>0</v>
          </cell>
          <cell r="AQ2057">
            <v>0</v>
          </cell>
          <cell r="AV2057">
            <v>14125000</v>
          </cell>
        </row>
        <row r="2058">
          <cell r="E2058" t="str">
            <v>Z25003273</v>
          </cell>
          <cell r="AP2058">
            <v>0</v>
          </cell>
          <cell r="AQ2058">
            <v>0</v>
          </cell>
          <cell r="AV2058">
            <v>2400000</v>
          </cell>
        </row>
        <row r="2059">
          <cell r="E2059" t="str">
            <v>Z26000020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Z26000021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Z26000024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Z26000231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Z26000232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D26000400</v>
          </cell>
          <cell r="AP2064">
            <v>800</v>
          </cell>
          <cell r="AQ2064">
            <v>0</v>
          </cell>
          <cell r="AV2064">
            <v>39980000</v>
          </cell>
        </row>
        <row r="2065">
          <cell r="E2065" t="str">
            <v>D26000401</v>
          </cell>
          <cell r="AP2065">
            <v>0</v>
          </cell>
          <cell r="AQ2065">
            <v>0</v>
          </cell>
          <cell r="AV2065">
            <v>6120000</v>
          </cell>
        </row>
        <row r="2066">
          <cell r="E2066" t="str">
            <v>B25015510</v>
          </cell>
          <cell r="AP2066">
            <v>0</v>
          </cell>
          <cell r="AQ2066">
            <v>0</v>
          </cell>
          <cell r="AV2066">
            <v>7000000</v>
          </cell>
        </row>
        <row r="2067">
          <cell r="E2067" t="str">
            <v>B25015647</v>
          </cell>
          <cell r="AP2067">
            <v>0</v>
          </cell>
          <cell r="AQ2067">
            <v>0</v>
          </cell>
          <cell r="AV2067">
            <v>105000000</v>
          </cell>
        </row>
        <row r="2068">
          <cell r="E2068" t="str">
            <v>B25015928</v>
          </cell>
          <cell r="AP2068">
            <v>0</v>
          </cell>
          <cell r="AQ2068">
            <v>0</v>
          </cell>
          <cell r="AV2068">
            <v>59350000</v>
          </cell>
        </row>
        <row r="2069">
          <cell r="E2069" t="str">
            <v>B25015929</v>
          </cell>
          <cell r="AP2069">
            <v>0</v>
          </cell>
          <cell r="AQ2069">
            <v>0</v>
          </cell>
          <cell r="AV2069">
            <v>46062500</v>
          </cell>
        </row>
        <row r="2070">
          <cell r="E2070" t="str">
            <v>B25015930</v>
          </cell>
          <cell r="AP2070">
            <v>0</v>
          </cell>
          <cell r="AQ2070">
            <v>0</v>
          </cell>
          <cell r="AV2070">
            <v>44050000</v>
          </cell>
        </row>
        <row r="2071">
          <cell r="E2071" t="str">
            <v>B25015991</v>
          </cell>
          <cell r="AP2071">
            <v>0</v>
          </cell>
          <cell r="AQ2071">
            <v>0</v>
          </cell>
          <cell r="AV2071">
            <v>7000000</v>
          </cell>
        </row>
        <row r="2072">
          <cell r="E2072" t="str">
            <v>D25018525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D25018606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B25016177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B25016825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B25016837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B25017008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D25019579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D26000036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D26000149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D26000150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B26000166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B26000347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D26000810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B26000982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B26000983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B26001042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B26001049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D26001275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D26001314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B26001274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B26001388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B26001410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B26001446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B26001574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B26001580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D26001839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B26001745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D26002091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D26002297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D26002058</v>
          </cell>
          <cell r="AP2101">
            <v>0</v>
          </cell>
          <cell r="AQ2101">
            <v>0</v>
          </cell>
          <cell r="AV2101">
            <v>20000000</v>
          </cell>
        </row>
        <row r="2102">
          <cell r="E2102" t="str">
            <v>B25015694</v>
          </cell>
          <cell r="AP2102">
            <v>0</v>
          </cell>
          <cell r="AQ2102">
            <v>0</v>
          </cell>
          <cell r="AV2102">
            <v>1630000</v>
          </cell>
        </row>
        <row r="2103">
          <cell r="E2103" t="str">
            <v>B25015943</v>
          </cell>
          <cell r="AP2103">
            <v>0</v>
          </cell>
          <cell r="AQ2103">
            <v>0</v>
          </cell>
          <cell r="AV2103">
            <v>5300000</v>
          </cell>
        </row>
        <row r="2104">
          <cell r="E2104" t="str">
            <v>D25019008</v>
          </cell>
          <cell r="AP2104">
            <v>0</v>
          </cell>
          <cell r="AQ2104">
            <v>0</v>
          </cell>
          <cell r="AV2104">
            <v>4125000</v>
          </cell>
        </row>
        <row r="2105">
          <cell r="E2105" t="str">
            <v>B25016619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D25019634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B25013203</v>
          </cell>
          <cell r="AP2107">
            <v>0</v>
          </cell>
          <cell r="AQ2107">
            <v>0</v>
          </cell>
          <cell r="AV2107">
            <v>1725000</v>
          </cell>
        </row>
        <row r="2108">
          <cell r="E2108" t="str">
            <v>B25013215</v>
          </cell>
          <cell r="AP2108">
            <v>0</v>
          </cell>
          <cell r="AQ2108">
            <v>0</v>
          </cell>
          <cell r="AV2108">
            <v>275000</v>
          </cell>
        </row>
        <row r="2109">
          <cell r="E2109" t="str">
            <v>B25013285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T24000347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E23005700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B25008183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D25017488</v>
          </cell>
          <cell r="AP2113">
            <v>0</v>
          </cell>
          <cell r="AQ2113">
            <v>0</v>
          </cell>
          <cell r="AV2113">
            <v>8600000</v>
          </cell>
        </row>
        <row r="2114">
          <cell r="E2114" t="str">
            <v>B26001004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D26002404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B25016804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B25016832</v>
          </cell>
          <cell r="AP2117">
            <v>0</v>
          </cell>
          <cell r="AQ2117">
            <v>0</v>
          </cell>
          <cell r="AV2117">
            <v>850000</v>
          </cell>
        </row>
        <row r="2118">
          <cell r="E2118" t="str">
            <v>B26002150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>
            <v>250190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>
            <v>250190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B25015868</v>
          </cell>
          <cell r="AP2121">
            <v>0</v>
          </cell>
          <cell r="AQ2121">
            <v>0</v>
          </cell>
          <cell r="AV2121">
            <v>4187500</v>
          </cell>
        </row>
        <row r="2122">
          <cell r="E2122" t="str">
            <v>B25016678</v>
          </cell>
          <cell r="AP2122">
            <v>0</v>
          </cell>
          <cell r="AQ2122">
            <v>0</v>
          </cell>
          <cell r="AV2122">
            <v>7000000</v>
          </cell>
        </row>
        <row r="2123">
          <cell r="E2123" t="str">
            <v>B25016955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D26000664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T25001725K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B25015538</v>
          </cell>
          <cell r="AP2126">
            <v>0</v>
          </cell>
          <cell r="AQ2126">
            <v>0</v>
          </cell>
          <cell r="AV2126">
            <v>11750000</v>
          </cell>
        </row>
        <row r="2127">
          <cell r="E2127" t="str">
            <v>B25015969</v>
          </cell>
          <cell r="AP2127">
            <v>0</v>
          </cell>
          <cell r="AQ2127">
            <v>0</v>
          </cell>
          <cell r="AV2127">
            <v>5312500</v>
          </cell>
        </row>
        <row r="2128">
          <cell r="E2128" t="str">
            <v>T26000030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D26000770</v>
          </cell>
          <cell r="AP2129">
            <v>0</v>
          </cell>
          <cell r="AQ2129">
            <v>0</v>
          </cell>
          <cell r="AV2129">
            <v>4500</v>
          </cell>
        </row>
        <row r="2130">
          <cell r="E2130" t="str">
            <v>D26000899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T26000064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T26000089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B26002113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D25015378</v>
          </cell>
          <cell r="AP2134">
            <v>0</v>
          </cell>
          <cell r="AQ2134">
            <v>0</v>
          </cell>
          <cell r="AV2134">
            <v>675000</v>
          </cell>
        </row>
        <row r="2135">
          <cell r="E2135" t="str">
            <v>D25019511</v>
          </cell>
          <cell r="AP2135">
            <v>0</v>
          </cell>
          <cell r="AQ2135">
            <v>0</v>
          </cell>
          <cell r="AV2135">
            <v>4300000</v>
          </cell>
        </row>
        <row r="2136">
          <cell r="E2136" t="str">
            <v>D26000811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B26002069</v>
          </cell>
          <cell r="AP2137">
            <v>0</v>
          </cell>
          <cell r="AQ2137">
            <v>0</v>
          </cell>
          <cell r="AV2137">
            <v>19600000</v>
          </cell>
        </row>
        <row r="2138">
          <cell r="E2138" t="str">
            <v>D26002364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D25015654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D26002401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B25015473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T25001759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D25018034</v>
          </cell>
          <cell r="AP2143">
            <v>0</v>
          </cell>
          <cell r="AQ2143">
            <v>0</v>
          </cell>
          <cell r="AV2143">
            <v>4500000</v>
          </cell>
        </row>
        <row r="2144">
          <cell r="E2144" t="str">
            <v>T25001854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D25019148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B26000046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B26000125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B26000508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B26001344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D26002160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D26001318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D26001747</v>
          </cell>
          <cell r="AP2152">
            <v>0</v>
          </cell>
          <cell r="AQ2152">
            <v>0</v>
          </cell>
          <cell r="AV2152">
            <v>11500000</v>
          </cell>
        </row>
        <row r="2153">
          <cell r="E2153" t="str">
            <v>Z26000424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B25015743</v>
          </cell>
          <cell r="AP2154">
            <v>0</v>
          </cell>
          <cell r="AQ2154">
            <v>0</v>
          </cell>
          <cell r="AV2154">
            <v>4500000</v>
          </cell>
        </row>
        <row r="2155">
          <cell r="E2155" t="str">
            <v>B25015755</v>
          </cell>
          <cell r="AP2155">
            <v>12665000</v>
          </cell>
          <cell r="AQ2155">
            <v>0</v>
          </cell>
          <cell r="AV2155">
            <v>0</v>
          </cell>
        </row>
        <row r="2156">
          <cell r="E2156" t="str">
            <v>B25015755</v>
          </cell>
          <cell r="AP2156">
            <v>0</v>
          </cell>
          <cell r="AQ2156">
            <v>0</v>
          </cell>
          <cell r="AV2156">
            <v>101585000</v>
          </cell>
        </row>
        <row r="2157">
          <cell r="E2157" t="str">
            <v>B25015756</v>
          </cell>
          <cell r="AP2157">
            <v>0</v>
          </cell>
          <cell r="AQ2157">
            <v>0</v>
          </cell>
          <cell r="AV2157">
            <v>124980500</v>
          </cell>
        </row>
        <row r="2158">
          <cell r="E2158" t="str">
            <v>B25015830</v>
          </cell>
          <cell r="AP2158">
            <v>0</v>
          </cell>
          <cell r="AQ2158">
            <v>0</v>
          </cell>
          <cell r="AV2158">
            <v>17305000</v>
          </cell>
        </row>
        <row r="2159">
          <cell r="E2159" t="str">
            <v>D25018201</v>
          </cell>
          <cell r="AP2159">
            <v>0</v>
          </cell>
          <cell r="AQ2159">
            <v>0</v>
          </cell>
          <cell r="AV2159">
            <v>88800000</v>
          </cell>
        </row>
        <row r="2160">
          <cell r="E2160" t="str">
            <v>D25018385</v>
          </cell>
          <cell r="AP2160">
            <v>0</v>
          </cell>
          <cell r="AQ2160">
            <v>0</v>
          </cell>
          <cell r="AV2160">
            <v>3840000</v>
          </cell>
        </row>
        <row r="2161">
          <cell r="E2161" t="str">
            <v>D25018386</v>
          </cell>
          <cell r="AP2161">
            <v>0</v>
          </cell>
          <cell r="AQ2161">
            <v>0</v>
          </cell>
          <cell r="AV2161">
            <v>46250000</v>
          </cell>
        </row>
        <row r="2162">
          <cell r="E2162" t="str">
            <v>D25018392</v>
          </cell>
          <cell r="AP2162">
            <v>0</v>
          </cell>
          <cell r="AQ2162">
            <v>0</v>
          </cell>
          <cell r="AV2162">
            <v>6739500</v>
          </cell>
        </row>
        <row r="2163">
          <cell r="E2163" t="str">
            <v>D25018392</v>
          </cell>
          <cell r="AP2163">
            <v>0</v>
          </cell>
          <cell r="AQ2163">
            <v>0</v>
          </cell>
          <cell r="AV2163">
            <v>10500</v>
          </cell>
        </row>
        <row r="2164">
          <cell r="E2164" t="str">
            <v>B25015993</v>
          </cell>
          <cell r="AP2164">
            <v>0</v>
          </cell>
          <cell r="AQ2164">
            <v>0</v>
          </cell>
          <cell r="AV2164">
            <v>6850000</v>
          </cell>
        </row>
        <row r="2165">
          <cell r="E2165" t="str">
            <v>D25018437</v>
          </cell>
          <cell r="AP2165">
            <v>0</v>
          </cell>
          <cell r="AQ2165">
            <v>0</v>
          </cell>
          <cell r="AV2165">
            <v>19905000</v>
          </cell>
        </row>
        <row r="2166">
          <cell r="E2166" t="str">
            <v>D25018500</v>
          </cell>
          <cell r="AP2166">
            <v>0</v>
          </cell>
          <cell r="AQ2166">
            <v>0</v>
          </cell>
          <cell r="AV2166">
            <v>25025000</v>
          </cell>
        </row>
        <row r="2167">
          <cell r="E2167" t="str">
            <v>D25018523</v>
          </cell>
          <cell r="AP2167">
            <v>0</v>
          </cell>
          <cell r="AQ2167">
            <v>0</v>
          </cell>
          <cell r="AV2167">
            <v>150000000</v>
          </cell>
        </row>
        <row r="2168">
          <cell r="E2168" t="str">
            <v>D25018567</v>
          </cell>
          <cell r="AP2168">
            <v>0</v>
          </cell>
          <cell r="AQ2168">
            <v>0</v>
          </cell>
          <cell r="AV2168">
            <v>670000</v>
          </cell>
        </row>
        <row r="2169">
          <cell r="E2169" t="str">
            <v>D25018663</v>
          </cell>
          <cell r="AP2169">
            <v>0</v>
          </cell>
          <cell r="AQ2169">
            <v>0</v>
          </cell>
          <cell r="AV2169">
            <v>915000</v>
          </cell>
        </row>
        <row r="2170">
          <cell r="E2170" t="str">
            <v>D25018692</v>
          </cell>
          <cell r="AP2170">
            <v>0</v>
          </cell>
          <cell r="AQ2170">
            <v>0</v>
          </cell>
          <cell r="AV2170">
            <v>190000</v>
          </cell>
        </row>
        <row r="2171">
          <cell r="E2171" t="str">
            <v>D25018729</v>
          </cell>
          <cell r="AP2171">
            <v>0</v>
          </cell>
          <cell r="AQ2171">
            <v>0</v>
          </cell>
          <cell r="AV2171">
            <v>6750000</v>
          </cell>
        </row>
        <row r="2172">
          <cell r="E2172" t="str">
            <v>B25016347</v>
          </cell>
          <cell r="AP2172">
            <v>0</v>
          </cell>
          <cell r="AQ2172">
            <v>0</v>
          </cell>
          <cell r="AV2172">
            <v>114250000</v>
          </cell>
        </row>
        <row r="2173">
          <cell r="E2173" t="str">
            <v>B25016352</v>
          </cell>
          <cell r="AP2173">
            <v>0</v>
          </cell>
          <cell r="AQ2173">
            <v>0</v>
          </cell>
          <cell r="AV2173">
            <v>16080000</v>
          </cell>
        </row>
        <row r="2174">
          <cell r="E2174" t="str">
            <v>B25016411</v>
          </cell>
          <cell r="AP2174">
            <v>0</v>
          </cell>
          <cell r="AQ2174">
            <v>0</v>
          </cell>
          <cell r="AV2174">
            <v>12000000</v>
          </cell>
        </row>
        <row r="2175">
          <cell r="E2175" t="str">
            <v>B25016412</v>
          </cell>
          <cell r="AP2175">
            <v>0</v>
          </cell>
          <cell r="AQ2175">
            <v>0</v>
          </cell>
          <cell r="AV2175">
            <v>7830000</v>
          </cell>
        </row>
        <row r="2176">
          <cell r="E2176" t="str">
            <v>B25016458</v>
          </cell>
          <cell r="AP2176">
            <v>0</v>
          </cell>
          <cell r="AQ2176">
            <v>0</v>
          </cell>
          <cell r="AV2176">
            <v>24800000</v>
          </cell>
        </row>
        <row r="2177">
          <cell r="E2177" t="str">
            <v>B25016459</v>
          </cell>
          <cell r="AP2177">
            <v>0</v>
          </cell>
          <cell r="AQ2177">
            <v>0</v>
          </cell>
          <cell r="AV2177">
            <v>420000</v>
          </cell>
        </row>
        <row r="2178">
          <cell r="E2178" t="str">
            <v>B25016534</v>
          </cell>
          <cell r="AP2178">
            <v>0</v>
          </cell>
          <cell r="AQ2178">
            <v>0</v>
          </cell>
          <cell r="AV2178">
            <v>190000</v>
          </cell>
        </row>
        <row r="2179">
          <cell r="E2179" t="str">
            <v>B25016535</v>
          </cell>
          <cell r="AP2179">
            <v>0</v>
          </cell>
          <cell r="AQ2179">
            <v>0</v>
          </cell>
          <cell r="AV2179">
            <v>14114500</v>
          </cell>
        </row>
        <row r="2180">
          <cell r="E2180" t="str">
            <v>B25016535</v>
          </cell>
          <cell r="AP2180">
            <v>0</v>
          </cell>
          <cell r="AQ2180">
            <v>0</v>
          </cell>
          <cell r="AV2180">
            <v>27885500</v>
          </cell>
        </row>
        <row r="2181">
          <cell r="E2181" t="str">
            <v>D25019100</v>
          </cell>
          <cell r="AP2181">
            <v>0</v>
          </cell>
          <cell r="AQ2181">
            <v>0</v>
          </cell>
          <cell r="AV2181">
            <v>80950000</v>
          </cell>
        </row>
        <row r="2182">
          <cell r="E2182" t="str">
            <v>D25019105</v>
          </cell>
          <cell r="AP2182">
            <v>0</v>
          </cell>
          <cell r="AQ2182">
            <v>0</v>
          </cell>
          <cell r="AV2182">
            <v>15000000</v>
          </cell>
        </row>
        <row r="2183">
          <cell r="E2183" t="str">
            <v>D25019194</v>
          </cell>
          <cell r="AP2183">
            <v>0</v>
          </cell>
          <cell r="AQ2183">
            <v>0</v>
          </cell>
          <cell r="AV2183">
            <v>46706000</v>
          </cell>
        </row>
        <row r="2184">
          <cell r="E2184" t="str">
            <v>D25019195</v>
          </cell>
          <cell r="AP2184">
            <v>0</v>
          </cell>
          <cell r="AQ2184">
            <v>0</v>
          </cell>
          <cell r="AV2184">
            <v>6940000</v>
          </cell>
        </row>
        <row r="2185">
          <cell r="E2185" t="str">
            <v>D25019247</v>
          </cell>
          <cell r="AP2185">
            <v>0</v>
          </cell>
          <cell r="AQ2185">
            <v>0</v>
          </cell>
          <cell r="AV2185">
            <v>15000000</v>
          </cell>
        </row>
        <row r="2186">
          <cell r="E2186" t="str">
            <v>D25019294</v>
          </cell>
          <cell r="AP2186">
            <v>0</v>
          </cell>
          <cell r="AQ2186">
            <v>0</v>
          </cell>
          <cell r="AV2186">
            <v>2925000</v>
          </cell>
        </row>
        <row r="2187">
          <cell r="E2187" t="str">
            <v>D25019325</v>
          </cell>
          <cell r="AP2187">
            <v>0</v>
          </cell>
          <cell r="AQ2187">
            <v>0</v>
          </cell>
          <cell r="AV2187">
            <v>95287500</v>
          </cell>
        </row>
        <row r="2188">
          <cell r="E2188" t="str">
            <v>B25016828</v>
          </cell>
          <cell r="AP2188">
            <v>0</v>
          </cell>
          <cell r="AQ2188">
            <v>0</v>
          </cell>
          <cell r="AV2188">
            <v>7800000</v>
          </cell>
        </row>
        <row r="2189">
          <cell r="E2189" t="str">
            <v>B25016877</v>
          </cell>
          <cell r="AP2189">
            <v>0</v>
          </cell>
          <cell r="AQ2189">
            <v>0</v>
          </cell>
          <cell r="AV2189">
            <v>12000000</v>
          </cell>
        </row>
        <row r="2190">
          <cell r="E2190" t="str">
            <v>B25016878</v>
          </cell>
          <cell r="AP2190">
            <v>0</v>
          </cell>
          <cell r="AQ2190">
            <v>0</v>
          </cell>
          <cell r="AV2190">
            <v>14770000</v>
          </cell>
        </row>
        <row r="2191">
          <cell r="E2191" t="str">
            <v>B25016884</v>
          </cell>
          <cell r="AP2191">
            <v>0</v>
          </cell>
          <cell r="AQ2191">
            <v>0</v>
          </cell>
          <cell r="AV2191">
            <v>3920000</v>
          </cell>
        </row>
        <row r="2192">
          <cell r="E2192" t="str">
            <v>B25016885</v>
          </cell>
          <cell r="AP2192">
            <v>0</v>
          </cell>
          <cell r="AQ2192">
            <v>0</v>
          </cell>
          <cell r="AV2192">
            <v>19800000</v>
          </cell>
        </row>
        <row r="2193">
          <cell r="E2193" t="str">
            <v>B25016908</v>
          </cell>
          <cell r="AP2193">
            <v>0</v>
          </cell>
          <cell r="AQ2193">
            <v>0</v>
          </cell>
          <cell r="AV2193">
            <v>4980000</v>
          </cell>
        </row>
        <row r="2194">
          <cell r="E2194" t="str">
            <v>B25016950</v>
          </cell>
          <cell r="AP2194">
            <v>0</v>
          </cell>
          <cell r="AQ2194">
            <v>0</v>
          </cell>
          <cell r="AV2194">
            <v>44675000</v>
          </cell>
        </row>
        <row r="2195">
          <cell r="E2195" t="str">
            <v>B25016957</v>
          </cell>
          <cell r="AP2195">
            <v>0</v>
          </cell>
          <cell r="AQ2195">
            <v>0</v>
          </cell>
          <cell r="AV2195">
            <v>1361000</v>
          </cell>
        </row>
        <row r="2196">
          <cell r="E2196" t="str">
            <v>B25016957</v>
          </cell>
          <cell r="AP2196">
            <v>0</v>
          </cell>
          <cell r="AQ2196">
            <v>0</v>
          </cell>
          <cell r="AV2196">
            <v>5639000</v>
          </cell>
        </row>
        <row r="2197">
          <cell r="E2197" t="str">
            <v>D25019538</v>
          </cell>
          <cell r="AP2197">
            <v>0</v>
          </cell>
          <cell r="AQ2197">
            <v>0</v>
          </cell>
          <cell r="AV2197">
            <v>4200000</v>
          </cell>
        </row>
        <row r="2198">
          <cell r="E2198" t="str">
            <v>B25017082</v>
          </cell>
          <cell r="AP2198">
            <v>0</v>
          </cell>
          <cell r="AQ2198">
            <v>0</v>
          </cell>
          <cell r="AV2198">
            <v>8775000</v>
          </cell>
        </row>
        <row r="2199">
          <cell r="E2199" t="str">
            <v>D25019671</v>
          </cell>
          <cell r="AP2199">
            <v>0</v>
          </cell>
          <cell r="AQ2199">
            <v>0</v>
          </cell>
          <cell r="AV2199">
            <v>15000000</v>
          </cell>
        </row>
        <row r="2200">
          <cell r="E2200" t="str">
            <v>B25017106</v>
          </cell>
          <cell r="AP2200">
            <v>0</v>
          </cell>
          <cell r="AQ2200">
            <v>0</v>
          </cell>
          <cell r="AV2200">
            <v>14625000</v>
          </cell>
        </row>
        <row r="2201">
          <cell r="E2201" t="str">
            <v>D25019697</v>
          </cell>
          <cell r="AP2201">
            <v>0</v>
          </cell>
          <cell r="AQ2201">
            <v>0</v>
          </cell>
          <cell r="AV2201">
            <v>60125000</v>
          </cell>
        </row>
        <row r="2202">
          <cell r="E2202" t="str">
            <v>B26000001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B26000052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B26000053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B26000062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B26000102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D26000066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D26000222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D26000314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B26000311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B26000314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D26000382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D26000383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D26000460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D26000513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D26000514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D26000515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B26000502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B26000531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B26000580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D26000633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D26000655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B26000665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B26000679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D26000708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D26000712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B26000731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D26000812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B26000778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D26000848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B26000811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B26000842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B26000843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B26000894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B26000895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B26000907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D26001026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D26001084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B26001113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D26001153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D26001171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D26001172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B26001146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D26001224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B26001218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B26001219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D26001283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D26001297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B26001238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B26001295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D26001383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D26001466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B26001433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B26001434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B26001459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B26001480</v>
          </cell>
          <cell r="AP2256">
            <v>0</v>
          </cell>
          <cell r="AQ2256">
            <v>0</v>
          </cell>
          <cell r="AV2256">
            <v>32250000</v>
          </cell>
        </row>
        <row r="2257">
          <cell r="E2257" t="str">
            <v>D26001631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D26001632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D26001684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D26001732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B26001655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B26001669</v>
          </cell>
          <cell r="AP2262">
            <v>0</v>
          </cell>
          <cell r="AQ2262">
            <v>0</v>
          </cell>
          <cell r="AV2262">
            <v>46250000</v>
          </cell>
        </row>
        <row r="2263">
          <cell r="E2263" t="str">
            <v>B26001670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D26001858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D26001859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D26001902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B26001821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B26001822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B26001869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B26001870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D26002052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D26002053</v>
          </cell>
          <cell r="AP2272">
            <v>0</v>
          </cell>
          <cell r="AQ2272">
            <v>0</v>
          </cell>
          <cell r="AV2272">
            <v>9700000</v>
          </cell>
        </row>
        <row r="2273">
          <cell r="E2273" t="str">
            <v>B26001985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B26001986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B26002024</v>
          </cell>
          <cell r="AP2275">
            <v>0</v>
          </cell>
          <cell r="AQ2275">
            <v>0</v>
          </cell>
          <cell r="AV2275">
            <v>16250000</v>
          </cell>
        </row>
        <row r="2276">
          <cell r="E2276" t="str">
            <v>B26002054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B26002055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B26002133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B26002134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D26002277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D26002374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B26002209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B26000024</v>
          </cell>
          <cell r="AP2283">
            <v>0</v>
          </cell>
          <cell r="AQ2283">
            <v>0</v>
          </cell>
          <cell r="AV2283">
            <v>2255000</v>
          </cell>
        </row>
        <row r="2284">
          <cell r="E2284" t="str">
            <v>D26000047</v>
          </cell>
          <cell r="AP2284">
            <v>0</v>
          </cell>
          <cell r="AQ2284">
            <v>0</v>
          </cell>
          <cell r="AV2284">
            <v>1600000</v>
          </cell>
        </row>
        <row r="2285">
          <cell r="E2285" t="str">
            <v>B26000878</v>
          </cell>
          <cell r="AP2285">
            <v>0</v>
          </cell>
          <cell r="AQ2285">
            <v>0</v>
          </cell>
          <cell r="AV2285">
            <v>5367500</v>
          </cell>
        </row>
        <row r="2286">
          <cell r="E2286" t="str">
            <v>B26001725</v>
          </cell>
          <cell r="AP2286">
            <v>0</v>
          </cell>
          <cell r="AQ2286">
            <v>0</v>
          </cell>
          <cell r="AV2286">
            <v>2632500</v>
          </cell>
        </row>
        <row r="2287">
          <cell r="E2287" t="str">
            <v>B26001726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D26002272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D26002273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B26000025</v>
          </cell>
          <cell r="AP2290">
            <v>0</v>
          </cell>
          <cell r="AQ2290">
            <v>0</v>
          </cell>
          <cell r="AV2290">
            <v>270000</v>
          </cell>
        </row>
        <row r="2291">
          <cell r="E2291" t="str">
            <v>B26000847</v>
          </cell>
          <cell r="AP2291">
            <v>0</v>
          </cell>
          <cell r="AQ2291">
            <v>0</v>
          </cell>
          <cell r="AV2291">
            <v>2550000</v>
          </cell>
        </row>
        <row r="2292">
          <cell r="E2292" t="str">
            <v>D26001361</v>
          </cell>
          <cell r="AP2292">
            <v>0</v>
          </cell>
          <cell r="AQ2292">
            <v>0</v>
          </cell>
          <cell r="AV2292">
            <v>3600000</v>
          </cell>
        </row>
        <row r="2293">
          <cell r="E2293" t="str">
            <v>D26001875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D26001969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D26002111</v>
          </cell>
          <cell r="AP2295">
            <v>0</v>
          </cell>
          <cell r="AQ2295">
            <v>0</v>
          </cell>
          <cell r="AV2295">
            <v>2400000</v>
          </cell>
        </row>
        <row r="2296">
          <cell r="E2296" t="str">
            <v>D26001101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B26001374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D26001733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B26001753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D26001879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D25019617</v>
          </cell>
          <cell r="AP2301">
            <v>0</v>
          </cell>
          <cell r="AQ2301">
            <v>0</v>
          </cell>
          <cell r="AV2301">
            <v>7470000</v>
          </cell>
        </row>
        <row r="2302">
          <cell r="E2302" t="str">
            <v>D25019692</v>
          </cell>
          <cell r="AP2302">
            <v>0</v>
          </cell>
          <cell r="AQ2302">
            <v>0</v>
          </cell>
          <cell r="AV2302">
            <v>1350000</v>
          </cell>
        </row>
        <row r="2303">
          <cell r="E2303" t="str">
            <v>D25019694</v>
          </cell>
          <cell r="AP2303">
            <v>0</v>
          </cell>
          <cell r="AQ2303">
            <v>0</v>
          </cell>
          <cell r="AV2303">
            <v>7440000</v>
          </cell>
        </row>
        <row r="2304">
          <cell r="E2304" t="str">
            <v>D26000648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B26000637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B26000870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D26000924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D26001053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D26001062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B26001055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D26001319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B26001537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B26001550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D25018610</v>
          </cell>
          <cell r="AP2314">
            <v>0</v>
          </cell>
          <cell r="AQ2314">
            <v>0</v>
          </cell>
          <cell r="AV2314">
            <v>8500000</v>
          </cell>
        </row>
        <row r="2315">
          <cell r="E2315" t="str">
            <v>D25019233</v>
          </cell>
          <cell r="AP2315">
            <v>0</v>
          </cell>
          <cell r="AQ2315">
            <v>0</v>
          </cell>
          <cell r="AV2315">
            <v>13600000</v>
          </cell>
        </row>
        <row r="2316">
          <cell r="E2316" t="str">
            <v>D25019485</v>
          </cell>
          <cell r="AP2316">
            <v>0</v>
          </cell>
          <cell r="AQ2316">
            <v>0</v>
          </cell>
          <cell r="AV2316">
            <v>19500000</v>
          </cell>
        </row>
        <row r="2317">
          <cell r="E2317" t="str">
            <v>B26000108</v>
          </cell>
          <cell r="AP2317">
            <v>0</v>
          </cell>
          <cell r="AQ2317">
            <v>0</v>
          </cell>
          <cell r="AV2317">
            <v>5100000</v>
          </cell>
        </row>
        <row r="2318">
          <cell r="E2318" t="str">
            <v>B26000315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B26001243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D26001524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D26001596</v>
          </cell>
          <cell r="AP2321">
            <v>0</v>
          </cell>
          <cell r="AQ2321">
            <v>0</v>
          </cell>
          <cell r="AV2321">
            <v>13400000</v>
          </cell>
        </row>
        <row r="2322">
          <cell r="E2322" t="str">
            <v>B26001575</v>
          </cell>
          <cell r="AP2322">
            <v>0</v>
          </cell>
          <cell r="AQ2322">
            <v>0</v>
          </cell>
          <cell r="AV2322">
            <v>11350000</v>
          </cell>
        </row>
        <row r="2323">
          <cell r="E2323" t="str">
            <v>B26001576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B26001846</v>
          </cell>
          <cell r="AP2324">
            <v>0</v>
          </cell>
          <cell r="AQ2324">
            <v>0</v>
          </cell>
          <cell r="AV2324">
            <v>67000000</v>
          </cell>
        </row>
        <row r="2325">
          <cell r="E2325" t="str">
            <v>D26001982</v>
          </cell>
          <cell r="AP2325">
            <v>0</v>
          </cell>
          <cell r="AQ2325">
            <v>0</v>
          </cell>
          <cell r="AV2325">
            <v>11350000</v>
          </cell>
        </row>
        <row r="2326">
          <cell r="E2326" t="str">
            <v>D26002146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D26002300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D25016516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N25000063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B25016278</v>
          </cell>
          <cell r="AP2330">
            <v>0</v>
          </cell>
          <cell r="AQ2330">
            <v>0</v>
          </cell>
          <cell r="AV2330">
            <v>83250000</v>
          </cell>
        </row>
        <row r="2331">
          <cell r="E2331" t="str">
            <v>B26000678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B25014533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B25014549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D25017159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D25017524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B25015180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B25015962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D25018402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B25016026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D25019077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B26000050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B26000726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D26000942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D26001481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D26001580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B25014904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B25015817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B25016025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B26000049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B26001029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T26000092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T26000093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B25015882</v>
          </cell>
          <cell r="AP2353">
            <v>0</v>
          </cell>
          <cell r="AQ2353">
            <v>0</v>
          </cell>
          <cell r="AV2353">
            <v>5400000</v>
          </cell>
        </row>
        <row r="2354">
          <cell r="E2354" t="str">
            <v>D25018793</v>
          </cell>
          <cell r="AP2354">
            <v>0</v>
          </cell>
          <cell r="AQ2354">
            <v>0</v>
          </cell>
          <cell r="AV2354">
            <v>5680000</v>
          </cell>
        </row>
        <row r="2355">
          <cell r="E2355" t="str">
            <v>D25019576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D26000315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D26000316</v>
          </cell>
          <cell r="AP2357">
            <v>500</v>
          </cell>
          <cell r="AQ2357">
            <v>0</v>
          </cell>
          <cell r="AV2357">
            <v>1357000</v>
          </cell>
        </row>
        <row r="2358">
          <cell r="E2358" t="str">
            <v>B26000653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B26001059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D26001184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D26002063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D26002119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D26002183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B26002218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B26002219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Z25003159</v>
          </cell>
          <cell r="AP2366">
            <v>0</v>
          </cell>
          <cell r="AQ2366">
            <v>0</v>
          </cell>
          <cell r="AV2366">
            <v>5759000</v>
          </cell>
        </row>
        <row r="2367">
          <cell r="E2367" t="str">
            <v>Z25003176</v>
          </cell>
          <cell r="AP2367">
            <v>0</v>
          </cell>
          <cell r="AQ2367">
            <v>0</v>
          </cell>
          <cell r="AV2367">
            <v>16350000</v>
          </cell>
        </row>
        <row r="2368">
          <cell r="E2368" t="str">
            <v>Z25003193</v>
          </cell>
          <cell r="AP2368">
            <v>0</v>
          </cell>
          <cell r="AQ2368">
            <v>0</v>
          </cell>
          <cell r="AV2368">
            <v>3000000</v>
          </cell>
        </row>
        <row r="2369">
          <cell r="E2369" t="str">
            <v>Z25003205</v>
          </cell>
          <cell r="AP2369">
            <v>0</v>
          </cell>
          <cell r="AQ2369">
            <v>0</v>
          </cell>
          <cell r="AV2369">
            <v>4891000</v>
          </cell>
        </row>
        <row r="2370">
          <cell r="E2370" t="str">
            <v>Z25003261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Z25003267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Z25003314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Z25003333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Z25003346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Z25003348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Z25003358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Z25003375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Z26000012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Z26000029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Z26000094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Z26000102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Z26000130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Z26000153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Z26000177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Z26000220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Z26000279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Z26000372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B26001903</v>
          </cell>
          <cell r="AP2388">
            <v>0</v>
          </cell>
          <cell r="AQ2388">
            <v>0</v>
          </cell>
          <cell r="AV2388">
            <v>4800000</v>
          </cell>
        </row>
        <row r="2389">
          <cell r="E2389" t="str">
            <v>D25017662</v>
          </cell>
          <cell r="AP2389">
            <v>0</v>
          </cell>
          <cell r="AQ2389">
            <v>0</v>
          </cell>
          <cell r="AV2389">
            <v>194719825</v>
          </cell>
        </row>
        <row r="2390">
          <cell r="E2390" t="str">
            <v>D25017911</v>
          </cell>
          <cell r="AP2390">
            <v>0</v>
          </cell>
          <cell r="AQ2390">
            <v>0</v>
          </cell>
          <cell r="AV2390">
            <v>7850000</v>
          </cell>
        </row>
        <row r="2391">
          <cell r="E2391" t="str">
            <v>D25017932</v>
          </cell>
          <cell r="AP2391">
            <v>0</v>
          </cell>
          <cell r="AQ2391">
            <v>0</v>
          </cell>
          <cell r="AV2391">
            <v>116640000</v>
          </cell>
        </row>
        <row r="2392">
          <cell r="E2392" t="str">
            <v>D25017933</v>
          </cell>
          <cell r="AP2392">
            <v>0</v>
          </cell>
          <cell r="AQ2392">
            <v>0</v>
          </cell>
          <cell r="AV2392">
            <v>171440000</v>
          </cell>
        </row>
        <row r="2393">
          <cell r="E2393" t="str">
            <v>D25018001</v>
          </cell>
          <cell r="AP2393">
            <v>0</v>
          </cell>
          <cell r="AQ2393">
            <v>0</v>
          </cell>
          <cell r="AV2393">
            <v>24000000</v>
          </cell>
        </row>
        <row r="2394">
          <cell r="E2394" t="str">
            <v>D25018139</v>
          </cell>
          <cell r="AP2394">
            <v>0</v>
          </cell>
          <cell r="AQ2394">
            <v>0</v>
          </cell>
          <cell r="AV2394">
            <v>177350175</v>
          </cell>
        </row>
        <row r="2395">
          <cell r="E2395" t="str">
            <v>D25018229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B25015912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D25018287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D25018353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D25018429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D25018492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D25018617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B25016247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B25016267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B25016447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B25016509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B25016792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D25019469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B26000118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D26000102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B26000292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B26000293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B26000528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B26000572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B26000621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B26000671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B26000696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B26000829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B26000865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B26001201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B26001231</v>
          </cell>
          <cell r="AP2420">
            <v>0</v>
          </cell>
          <cell r="AQ2420">
            <v>0</v>
          </cell>
          <cell r="AV2420">
            <v>463500000</v>
          </cell>
        </row>
        <row r="2421">
          <cell r="E2421" t="str">
            <v>B26001233</v>
          </cell>
          <cell r="AP2421">
            <v>0</v>
          </cell>
          <cell r="AQ2421">
            <v>0</v>
          </cell>
          <cell r="AV2421">
            <v>51500000</v>
          </cell>
        </row>
        <row r="2422">
          <cell r="E2422" t="str">
            <v>B26001289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B26001340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B26001341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B26001348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B26001382</v>
          </cell>
          <cell r="AP2426">
            <v>0</v>
          </cell>
          <cell r="AQ2426">
            <v>0</v>
          </cell>
          <cell r="AV2426">
            <v>264000000</v>
          </cell>
        </row>
        <row r="2427">
          <cell r="E2427" t="str">
            <v>B26001383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B26001464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B26001466</v>
          </cell>
          <cell r="AP2429">
            <v>0</v>
          </cell>
          <cell r="AQ2429">
            <v>0</v>
          </cell>
          <cell r="AV2429">
            <v>221000000</v>
          </cell>
        </row>
        <row r="2430">
          <cell r="E2430" t="str">
            <v>B26001466</v>
          </cell>
          <cell r="AP2430">
            <v>0</v>
          </cell>
          <cell r="AQ2430">
            <v>0</v>
          </cell>
          <cell r="AV2430">
            <v>43000000</v>
          </cell>
        </row>
        <row r="2431">
          <cell r="E2431" t="str">
            <v>B26001551</v>
          </cell>
          <cell r="AP2431">
            <v>0</v>
          </cell>
          <cell r="AQ2431">
            <v>0</v>
          </cell>
          <cell r="AV2431">
            <v>0</v>
          </cell>
        </row>
        <row r="2432">
          <cell r="E2432" t="str">
            <v>B26001552</v>
          </cell>
          <cell r="AP2432">
            <v>0</v>
          </cell>
          <cell r="AQ2432">
            <v>0</v>
          </cell>
          <cell r="AV2432">
            <v>957000000</v>
          </cell>
        </row>
        <row r="2433">
          <cell r="E2433" t="str">
            <v>B26001552</v>
          </cell>
          <cell r="AP2433">
            <v>0</v>
          </cell>
          <cell r="AQ2433">
            <v>0</v>
          </cell>
          <cell r="AV2433">
            <v>308000000</v>
          </cell>
        </row>
        <row r="2434">
          <cell r="E2434" t="str">
            <v>B26001664</v>
          </cell>
          <cell r="AP2434">
            <v>0</v>
          </cell>
          <cell r="AQ2434">
            <v>0</v>
          </cell>
          <cell r="AV2434">
            <v>546000000</v>
          </cell>
        </row>
        <row r="2435">
          <cell r="E2435" t="str">
            <v>B26001665</v>
          </cell>
          <cell r="AP2435">
            <v>0</v>
          </cell>
          <cell r="AQ2435">
            <v>0</v>
          </cell>
          <cell r="AV2435">
            <v>39000000</v>
          </cell>
        </row>
        <row r="2436">
          <cell r="E2436" t="str">
            <v>B26001698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B26001774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B26001779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B26001782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D26001927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D26001928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D26001938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D26002002</v>
          </cell>
          <cell r="AP2443">
            <v>0</v>
          </cell>
          <cell r="AQ2443">
            <v>0</v>
          </cell>
          <cell r="AV2443">
            <v>132000000</v>
          </cell>
        </row>
        <row r="2444">
          <cell r="E2444" t="str">
            <v>D26002049</v>
          </cell>
          <cell r="AP2444">
            <v>0</v>
          </cell>
          <cell r="AQ2444">
            <v>0</v>
          </cell>
          <cell r="AV2444">
            <v>283000000</v>
          </cell>
        </row>
        <row r="2445">
          <cell r="E2445" t="str">
            <v>D26002050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D26002051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D26002094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D26002098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D26002167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D26002193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D26002270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D26002301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D26002302</v>
          </cell>
          <cell r="AP2453">
            <v>0</v>
          </cell>
          <cell r="AQ2453">
            <v>0</v>
          </cell>
          <cell r="AV2453">
            <v>0</v>
          </cell>
        </row>
        <row r="2454">
          <cell r="E2454" t="str">
            <v>B26002210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D26002437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B26000380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D26002180</v>
          </cell>
          <cell r="AP2457">
            <v>0</v>
          </cell>
          <cell r="AQ2457">
            <v>0</v>
          </cell>
          <cell r="AV2457">
            <v>780000</v>
          </cell>
        </row>
        <row r="2458">
          <cell r="E2458" t="str">
            <v>D26002180</v>
          </cell>
          <cell r="AP2458">
            <v>0</v>
          </cell>
          <cell r="AQ2458">
            <v>0</v>
          </cell>
          <cell r="AV2458">
            <v>5700000</v>
          </cell>
        </row>
        <row r="2459">
          <cell r="E2459" t="str">
            <v>B25002140</v>
          </cell>
          <cell r="AP2459">
            <v>0</v>
          </cell>
          <cell r="AQ2459">
            <v>0</v>
          </cell>
          <cell r="AV2459">
            <v>0</v>
          </cell>
        </row>
        <row r="2460">
          <cell r="E2460" t="str">
            <v>B25016848</v>
          </cell>
          <cell r="AP2460">
            <v>0</v>
          </cell>
          <cell r="AQ2460">
            <v>0</v>
          </cell>
          <cell r="AV2460">
            <v>19800000</v>
          </cell>
        </row>
        <row r="2461">
          <cell r="E2461" t="str">
            <v>D25019429</v>
          </cell>
          <cell r="AP2461">
            <v>0</v>
          </cell>
          <cell r="AQ2461">
            <v>0</v>
          </cell>
          <cell r="AV2461">
            <v>2100000</v>
          </cell>
        </row>
        <row r="2462">
          <cell r="E2462" t="str">
            <v>B26000013</v>
          </cell>
          <cell r="AP2462">
            <v>0</v>
          </cell>
          <cell r="AQ2462">
            <v>0</v>
          </cell>
          <cell r="AV2462">
            <v>12828000</v>
          </cell>
        </row>
        <row r="2463">
          <cell r="E2463" t="str">
            <v>D26000461</v>
          </cell>
          <cell r="AP2463">
            <v>0</v>
          </cell>
          <cell r="AQ2463">
            <v>0</v>
          </cell>
          <cell r="AV2463">
            <v>0</v>
          </cell>
        </row>
        <row r="2464">
          <cell r="E2464" t="str">
            <v>B26000517</v>
          </cell>
          <cell r="AP2464">
            <v>0</v>
          </cell>
          <cell r="AQ2464">
            <v>0</v>
          </cell>
          <cell r="AV2464">
            <v>21550000</v>
          </cell>
        </row>
        <row r="2465">
          <cell r="E2465" t="str">
            <v>B26000690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D26001024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B26001581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B26002005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B26002040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B26002051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D26002357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Z25003195</v>
          </cell>
          <cell r="AP2472">
            <v>0</v>
          </cell>
          <cell r="AQ2472">
            <v>0</v>
          </cell>
          <cell r="AV2472">
            <v>16600000</v>
          </cell>
        </row>
        <row r="2473">
          <cell r="E2473" t="str">
            <v>Z25003204</v>
          </cell>
          <cell r="AP2473">
            <v>0</v>
          </cell>
          <cell r="AQ2473">
            <v>0</v>
          </cell>
          <cell r="AV2473">
            <v>14005000</v>
          </cell>
        </row>
        <row r="2474">
          <cell r="E2474" t="str">
            <v>Z25003286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Z25003297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Z26000140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Z26000160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Z26000402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B25016833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B25016892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D26000030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D25018540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D25018671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B25016259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D25019399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B25016922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B26001649</v>
          </cell>
          <cell r="AP2487">
            <v>0</v>
          </cell>
          <cell r="AQ2487">
            <v>0</v>
          </cell>
          <cell r="AV2487">
            <v>0</v>
          </cell>
        </row>
        <row r="2488">
          <cell r="E2488" t="str">
            <v>B26001714</v>
          </cell>
          <cell r="AP2488">
            <v>0</v>
          </cell>
          <cell r="AQ2488">
            <v>0</v>
          </cell>
          <cell r="AV2488">
            <v>0</v>
          </cell>
        </row>
        <row r="2489">
          <cell r="E2489" t="str">
            <v>C25000307</v>
          </cell>
          <cell r="AP2489">
            <v>0</v>
          </cell>
          <cell r="AQ2489">
            <v>0</v>
          </cell>
          <cell r="AV2489">
            <v>0</v>
          </cell>
        </row>
        <row r="2490">
          <cell r="E2490" t="str">
            <v>D24015365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D24015541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C25000192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C25000195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C25000196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C25000197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C25000198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C25000445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B25008299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B25008808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B25009712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M25000081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D25018593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D26002033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B26000145</v>
          </cell>
          <cell r="AP2504">
            <v>0</v>
          </cell>
          <cell r="AQ2504">
            <v>0</v>
          </cell>
          <cell r="AV2504">
            <v>2261000</v>
          </cell>
        </row>
        <row r="2505">
          <cell r="E2505" t="str">
            <v>B26000146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D26000177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D26001775</v>
          </cell>
          <cell r="AP2507">
            <v>0</v>
          </cell>
          <cell r="AQ2507">
            <v>0</v>
          </cell>
          <cell r="AV2507">
            <v>1800000</v>
          </cell>
        </row>
        <row r="2508">
          <cell r="E2508" t="str">
            <v>B26002123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D26002233</v>
          </cell>
          <cell r="AP2509">
            <v>0</v>
          </cell>
          <cell r="AQ2509">
            <v>0</v>
          </cell>
          <cell r="AV2509">
            <v>0</v>
          </cell>
        </row>
        <row r="2510">
          <cell r="E2510" t="str">
            <v>D26001416</v>
          </cell>
          <cell r="AP2510">
            <v>0</v>
          </cell>
          <cell r="AQ2510">
            <v>0</v>
          </cell>
          <cell r="AV2510">
            <v>0</v>
          </cell>
        </row>
        <row r="2511">
          <cell r="E2511" t="str">
            <v>D26001537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D26001621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B26002254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D25018553</v>
          </cell>
          <cell r="AP2514">
            <v>0</v>
          </cell>
          <cell r="AQ2514">
            <v>0</v>
          </cell>
          <cell r="AV2514">
            <v>30000000</v>
          </cell>
        </row>
        <row r="2515">
          <cell r="E2515" t="str">
            <v>D26001327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T25001822</v>
          </cell>
          <cell r="AP2516">
            <v>0</v>
          </cell>
          <cell r="AQ2516">
            <v>0</v>
          </cell>
          <cell r="AV2516">
            <v>650000</v>
          </cell>
        </row>
        <row r="2517">
          <cell r="E2517" t="str">
            <v>B25016227</v>
          </cell>
          <cell r="AP2517">
            <v>0</v>
          </cell>
          <cell r="AQ2517">
            <v>0</v>
          </cell>
          <cell r="AV2517">
            <v>2660000</v>
          </cell>
        </row>
        <row r="2518">
          <cell r="E2518" t="str">
            <v>D25019423</v>
          </cell>
          <cell r="AP2518">
            <v>0</v>
          </cell>
          <cell r="AQ2518">
            <v>0</v>
          </cell>
          <cell r="AV2518">
            <v>1062500</v>
          </cell>
        </row>
        <row r="2519">
          <cell r="E2519" t="str">
            <v>B25016972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B25017133</v>
          </cell>
          <cell r="AP2520">
            <v>0</v>
          </cell>
          <cell r="AQ2520">
            <v>0</v>
          </cell>
          <cell r="AV2520">
            <v>2252000</v>
          </cell>
        </row>
        <row r="2521">
          <cell r="E2521" t="str">
            <v>B26000326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B26001041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B26001680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B26000030</v>
          </cell>
          <cell r="AP2524">
            <v>0</v>
          </cell>
          <cell r="AQ2524">
            <v>0</v>
          </cell>
          <cell r="AV2524">
            <v>1395000</v>
          </cell>
        </row>
        <row r="2525">
          <cell r="E2525" t="str">
            <v>B26000073</v>
          </cell>
          <cell r="AP2525">
            <v>0</v>
          </cell>
          <cell r="AQ2525">
            <v>0</v>
          </cell>
          <cell r="AV2525">
            <v>5340000</v>
          </cell>
        </row>
        <row r="2526">
          <cell r="E2526" t="str">
            <v>D26000190</v>
          </cell>
          <cell r="AP2526">
            <v>0</v>
          </cell>
          <cell r="AQ2526">
            <v>0</v>
          </cell>
          <cell r="AV2526">
            <v>1580000</v>
          </cell>
        </row>
        <row r="2527">
          <cell r="E2527" t="str">
            <v>D26000235</v>
          </cell>
          <cell r="AP2527">
            <v>0</v>
          </cell>
          <cell r="AQ2527">
            <v>0</v>
          </cell>
          <cell r="AV2527">
            <v>5300000</v>
          </cell>
        </row>
        <row r="2528">
          <cell r="E2528" t="str">
            <v>B26000281</v>
          </cell>
          <cell r="AP2528">
            <v>0</v>
          </cell>
          <cell r="AQ2528">
            <v>0</v>
          </cell>
          <cell r="AV2528">
            <v>4755000</v>
          </cell>
        </row>
        <row r="2529">
          <cell r="E2529" t="str">
            <v>B26000487</v>
          </cell>
          <cell r="AP2529">
            <v>0</v>
          </cell>
          <cell r="AQ2529">
            <v>0</v>
          </cell>
          <cell r="AV2529">
            <v>5300000</v>
          </cell>
        </row>
        <row r="2530">
          <cell r="E2530" t="str">
            <v>B26000556</v>
          </cell>
          <cell r="AP2530">
            <v>0</v>
          </cell>
          <cell r="AQ2530">
            <v>0</v>
          </cell>
          <cell r="AV2530">
            <v>3680000</v>
          </cell>
        </row>
        <row r="2531">
          <cell r="E2531" t="str">
            <v>B26000557</v>
          </cell>
          <cell r="AP2531">
            <v>0</v>
          </cell>
          <cell r="AQ2531">
            <v>0</v>
          </cell>
          <cell r="AV2531">
            <v>920000</v>
          </cell>
        </row>
        <row r="2532">
          <cell r="E2532" t="str">
            <v>B26000730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B26000777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B26000781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D26001025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B26001246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D26001520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D26001769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B26001766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B26001767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T26000124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D26001924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B26002166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D26002309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D26002350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N26000021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D26002389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D26001929</v>
          </cell>
          <cell r="AP2548">
            <v>0</v>
          </cell>
          <cell r="AQ2548">
            <v>0</v>
          </cell>
          <cell r="AV2548">
            <v>278000000</v>
          </cell>
        </row>
        <row r="2549">
          <cell r="E2549" t="str">
            <v>D26002124</v>
          </cell>
          <cell r="AP2549">
            <v>0</v>
          </cell>
          <cell r="AQ2549">
            <v>0</v>
          </cell>
          <cell r="AV2549">
            <v>57500000</v>
          </cell>
        </row>
        <row r="2550">
          <cell r="E2550" t="str">
            <v>D25019707</v>
          </cell>
          <cell r="AP2550">
            <v>0</v>
          </cell>
          <cell r="AQ2550">
            <v>0</v>
          </cell>
          <cell r="AV2550">
            <v>45600000</v>
          </cell>
        </row>
        <row r="2551">
          <cell r="E2551" t="str">
            <v>D25019707</v>
          </cell>
          <cell r="AP2551">
            <v>0</v>
          </cell>
          <cell r="AQ2551">
            <v>0</v>
          </cell>
          <cell r="AV2551">
            <v>130000000</v>
          </cell>
        </row>
        <row r="2552">
          <cell r="E2552" t="str">
            <v>D25019707</v>
          </cell>
          <cell r="AP2552">
            <v>0</v>
          </cell>
          <cell r="AQ2552">
            <v>0</v>
          </cell>
          <cell r="AV2552">
            <v>10000000</v>
          </cell>
        </row>
        <row r="2553">
          <cell r="E2553" t="str">
            <v>B26000288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D26000547</v>
          </cell>
          <cell r="AP2554">
            <v>0</v>
          </cell>
          <cell r="AQ2554">
            <v>0</v>
          </cell>
          <cell r="AV2554">
            <v>64000000</v>
          </cell>
        </row>
        <row r="2555">
          <cell r="E2555" t="str">
            <v>D26000547</v>
          </cell>
          <cell r="AP2555">
            <v>0</v>
          </cell>
          <cell r="AQ2555">
            <v>0</v>
          </cell>
          <cell r="AV2555">
            <v>174800000</v>
          </cell>
        </row>
        <row r="2556">
          <cell r="E2556" t="str">
            <v>D26000547</v>
          </cell>
          <cell r="AP2556">
            <v>0</v>
          </cell>
          <cell r="AQ2556">
            <v>0</v>
          </cell>
          <cell r="AV2556">
            <v>90000000</v>
          </cell>
        </row>
        <row r="2557">
          <cell r="E2557" t="str">
            <v>T26000034</v>
          </cell>
          <cell r="AP2557">
            <v>0</v>
          </cell>
          <cell r="AQ2557">
            <v>0</v>
          </cell>
          <cell r="AV2557">
            <v>2450000</v>
          </cell>
        </row>
        <row r="2558">
          <cell r="E2558" t="str">
            <v>D26000779</v>
          </cell>
          <cell r="AP2558">
            <v>0</v>
          </cell>
          <cell r="AQ2558">
            <v>0</v>
          </cell>
          <cell r="AV2558">
            <v>8000</v>
          </cell>
        </row>
        <row r="2559">
          <cell r="E2559" t="str">
            <v>D26000780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D26000885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D26001196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D26001504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D26001571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D26001745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D26001800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D26001801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D26001817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B26001712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D26002019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B26001898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D26002042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B26002167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B26002168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B25016747</v>
          </cell>
          <cell r="AP2574">
            <v>0</v>
          </cell>
          <cell r="AQ2574">
            <v>0</v>
          </cell>
          <cell r="AV2574">
            <v>1680000</v>
          </cell>
        </row>
        <row r="2575">
          <cell r="E2575" t="str">
            <v>B25016748</v>
          </cell>
          <cell r="AP2575">
            <v>0</v>
          </cell>
          <cell r="AQ2575">
            <v>0</v>
          </cell>
          <cell r="AV2575">
            <v>1500000</v>
          </cell>
        </row>
        <row r="2576">
          <cell r="E2576" t="str">
            <v>B26000037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D26000089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D26001302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D26001303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B26001765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D26002387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D26002388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T26000122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D26002120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D26000752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D26000093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B26000913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T25001849</v>
          </cell>
          <cell r="AP2588">
            <v>0</v>
          </cell>
          <cell r="AQ2588">
            <v>0</v>
          </cell>
          <cell r="AV2588">
            <v>2630000</v>
          </cell>
        </row>
        <row r="2589">
          <cell r="E2589" t="str">
            <v>T25001850</v>
          </cell>
          <cell r="AP2589">
            <v>0</v>
          </cell>
          <cell r="AQ2589">
            <v>0</v>
          </cell>
          <cell r="AV2589">
            <v>11380000</v>
          </cell>
        </row>
        <row r="2590">
          <cell r="E2590" t="str">
            <v>B26000357</v>
          </cell>
          <cell r="AP2590">
            <v>0</v>
          </cell>
          <cell r="AQ2590">
            <v>0</v>
          </cell>
          <cell r="AV2590">
            <v>5990000</v>
          </cell>
        </row>
        <row r="2591">
          <cell r="E2591" t="str">
            <v>D26000440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B25009894</v>
          </cell>
          <cell r="AP2592">
            <v>0</v>
          </cell>
          <cell r="AQ2592">
            <v>0</v>
          </cell>
          <cell r="AV2592">
            <v>525000000</v>
          </cell>
        </row>
        <row r="2593">
          <cell r="E2593" t="str">
            <v>D25014407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B26001733</v>
          </cell>
          <cell r="AP2594">
            <v>0</v>
          </cell>
          <cell r="AQ2594">
            <v>0</v>
          </cell>
          <cell r="AV2594">
            <v>3300000</v>
          </cell>
        </row>
        <row r="2595">
          <cell r="E2595" t="str">
            <v>D25019157</v>
          </cell>
          <cell r="AP2595">
            <v>0</v>
          </cell>
          <cell r="AQ2595">
            <v>0</v>
          </cell>
          <cell r="AV2595">
            <v>2260000</v>
          </cell>
        </row>
        <row r="2596">
          <cell r="E2596" t="str">
            <v>D26001468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D26001781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B26000171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D26001079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T25001881k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D25019605</v>
          </cell>
          <cell r="AP2601">
            <v>0</v>
          </cell>
          <cell r="AQ2601">
            <v>0</v>
          </cell>
          <cell r="AV2601">
            <v>3380000</v>
          </cell>
        </row>
        <row r="2602">
          <cell r="E2602" t="str">
            <v>T26000023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D26000738</v>
          </cell>
          <cell r="AP2603">
            <v>0</v>
          </cell>
          <cell r="AQ2603">
            <v>0</v>
          </cell>
          <cell r="AV2603">
            <v>3930000</v>
          </cell>
        </row>
        <row r="2604">
          <cell r="E2604" t="str">
            <v>B26001319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D26002055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B25016739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B25016739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B25016739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B25016740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B25016740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D25019250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D25019250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D25019250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B25016887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B25016947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D26001633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D25017428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B25016171</v>
          </cell>
          <cell r="AP2618">
            <v>0</v>
          </cell>
          <cell r="AQ2618">
            <v>0</v>
          </cell>
          <cell r="AV2618">
            <v>2120000</v>
          </cell>
        </row>
        <row r="2619">
          <cell r="E2619" t="str">
            <v>D25019645</v>
          </cell>
          <cell r="AP2619">
            <v>0</v>
          </cell>
          <cell r="AQ2619">
            <v>0</v>
          </cell>
          <cell r="AV2619">
            <v>3640000</v>
          </cell>
        </row>
        <row r="2620">
          <cell r="E2620" t="str">
            <v>D26000850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B26001089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B26001313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B26001585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D25016631</v>
          </cell>
          <cell r="AP2624">
            <v>0</v>
          </cell>
          <cell r="AQ2624">
            <v>0</v>
          </cell>
          <cell r="AV2624">
            <v>981000</v>
          </cell>
        </row>
        <row r="2625">
          <cell r="E2625" t="str">
            <v>T25001655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D25016872</v>
          </cell>
          <cell r="AP2626">
            <v>0</v>
          </cell>
          <cell r="AQ2626">
            <v>0</v>
          </cell>
          <cell r="AV2626">
            <v>1480000</v>
          </cell>
        </row>
        <row r="2627">
          <cell r="E2627" t="str">
            <v>D25016902</v>
          </cell>
          <cell r="AP2627">
            <v>0</v>
          </cell>
          <cell r="AQ2627">
            <v>0</v>
          </cell>
          <cell r="AV2627">
            <v>4800000</v>
          </cell>
        </row>
        <row r="2628">
          <cell r="E2628" t="str">
            <v>T25001703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B25015308</v>
          </cell>
          <cell r="AP2629">
            <v>0</v>
          </cell>
          <cell r="AQ2629">
            <v>0</v>
          </cell>
          <cell r="AV2629">
            <v>1800000</v>
          </cell>
        </row>
        <row r="2630">
          <cell r="E2630" t="str">
            <v>B25016198</v>
          </cell>
          <cell r="AP2630">
            <v>0</v>
          </cell>
          <cell r="AQ2630">
            <v>0</v>
          </cell>
          <cell r="AV2630">
            <v>2629000</v>
          </cell>
        </row>
        <row r="2631">
          <cell r="E2631" t="str">
            <v>B25016199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B25016200</v>
          </cell>
          <cell r="AP2632">
            <v>0</v>
          </cell>
          <cell r="AQ2632">
            <v>0</v>
          </cell>
          <cell r="AV2632">
            <v>3310000</v>
          </cell>
        </row>
        <row r="2633">
          <cell r="E2633" t="str">
            <v>D26000630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D26000631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T26000033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D26000911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B26001613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T26000165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D25018823</v>
          </cell>
          <cell r="AP2639">
            <v>0</v>
          </cell>
          <cell r="AQ2639">
            <v>0</v>
          </cell>
          <cell r="AV2639">
            <v>5472000</v>
          </cell>
        </row>
        <row r="2640">
          <cell r="E2640" t="str">
            <v>D25019101</v>
          </cell>
          <cell r="AP2640">
            <v>0</v>
          </cell>
          <cell r="AQ2640">
            <v>0</v>
          </cell>
          <cell r="AV2640">
            <v>1600000</v>
          </cell>
        </row>
        <row r="2641">
          <cell r="E2641" t="str">
            <v>D25019298</v>
          </cell>
          <cell r="AP2641">
            <v>0</v>
          </cell>
          <cell r="AQ2641">
            <v>0</v>
          </cell>
          <cell r="AV2641">
            <v>13250000</v>
          </cell>
        </row>
        <row r="2642">
          <cell r="E2642" t="str">
            <v>B25016923</v>
          </cell>
          <cell r="AP2642">
            <v>0</v>
          </cell>
          <cell r="AQ2642">
            <v>0</v>
          </cell>
          <cell r="AV2642">
            <v>4535000</v>
          </cell>
        </row>
        <row r="2643">
          <cell r="E2643" t="str">
            <v>D25019463</v>
          </cell>
          <cell r="AP2643">
            <v>0</v>
          </cell>
          <cell r="AQ2643">
            <v>0</v>
          </cell>
          <cell r="AV2643">
            <v>6475000</v>
          </cell>
        </row>
        <row r="2644">
          <cell r="E2644" t="str">
            <v>D26000125</v>
          </cell>
          <cell r="AP2644">
            <v>0</v>
          </cell>
          <cell r="AQ2644">
            <v>0</v>
          </cell>
          <cell r="AV2644">
            <v>4500000</v>
          </cell>
        </row>
        <row r="2645">
          <cell r="E2645" t="str">
            <v>D26000501</v>
          </cell>
          <cell r="AP2645">
            <v>0</v>
          </cell>
          <cell r="AQ2645">
            <v>0</v>
          </cell>
          <cell r="AV2645">
            <v>3500000</v>
          </cell>
        </row>
        <row r="2646">
          <cell r="E2646" t="str">
            <v>D26000524</v>
          </cell>
          <cell r="AP2646">
            <v>0</v>
          </cell>
          <cell r="AQ2646">
            <v>0</v>
          </cell>
          <cell r="AV2646">
            <v>1932000</v>
          </cell>
        </row>
        <row r="2647">
          <cell r="E2647" t="str">
            <v>D26000525</v>
          </cell>
          <cell r="AP2647">
            <v>0</v>
          </cell>
          <cell r="AQ2647">
            <v>0</v>
          </cell>
          <cell r="AV2647">
            <v>1610000</v>
          </cell>
        </row>
        <row r="2648">
          <cell r="E2648" t="str">
            <v>D26000541</v>
          </cell>
          <cell r="AP2648">
            <v>0</v>
          </cell>
          <cell r="AQ2648">
            <v>0</v>
          </cell>
          <cell r="AV2648">
            <v>15200000</v>
          </cell>
        </row>
        <row r="2649">
          <cell r="E2649" t="str">
            <v>D26000542</v>
          </cell>
          <cell r="AP2649">
            <v>0</v>
          </cell>
          <cell r="AQ2649">
            <v>0</v>
          </cell>
          <cell r="AV2649">
            <v>7600000</v>
          </cell>
        </row>
        <row r="2650">
          <cell r="E2650" t="str">
            <v>B26001159</v>
          </cell>
          <cell r="AP2650">
            <v>0</v>
          </cell>
          <cell r="AQ2650">
            <v>0</v>
          </cell>
          <cell r="AV2650">
            <v>7755000</v>
          </cell>
        </row>
        <row r="2651">
          <cell r="E2651" t="str">
            <v>B26001164</v>
          </cell>
          <cell r="AP2651">
            <v>0</v>
          </cell>
          <cell r="AQ2651">
            <v>0</v>
          </cell>
          <cell r="AV2651">
            <v>26571000</v>
          </cell>
        </row>
        <row r="2652">
          <cell r="E2652" t="str">
            <v>D26001298</v>
          </cell>
          <cell r="AP2652">
            <v>0</v>
          </cell>
          <cell r="AQ2652">
            <v>0</v>
          </cell>
          <cell r="AV2652">
            <v>0</v>
          </cell>
        </row>
        <row r="2653">
          <cell r="E2653" t="str">
            <v>D26001313</v>
          </cell>
          <cell r="AP2653">
            <v>0</v>
          </cell>
          <cell r="AQ2653">
            <v>0</v>
          </cell>
          <cell r="AV2653">
            <v>0</v>
          </cell>
        </row>
        <row r="2654">
          <cell r="E2654" t="str">
            <v>D26001380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D26001382</v>
          </cell>
          <cell r="AP2655">
            <v>0</v>
          </cell>
          <cell r="AQ2655">
            <v>0</v>
          </cell>
          <cell r="AV2655">
            <v>0</v>
          </cell>
        </row>
        <row r="2656">
          <cell r="E2656" t="str">
            <v>D26001428</v>
          </cell>
          <cell r="AP2656">
            <v>0</v>
          </cell>
          <cell r="AQ2656">
            <v>0</v>
          </cell>
          <cell r="AV2656">
            <v>0</v>
          </cell>
        </row>
        <row r="2657">
          <cell r="E2657" t="str">
            <v>B26001435</v>
          </cell>
          <cell r="AP2657">
            <v>0</v>
          </cell>
          <cell r="AQ2657">
            <v>0</v>
          </cell>
          <cell r="AV2657">
            <v>0</v>
          </cell>
        </row>
        <row r="2658">
          <cell r="E2658" t="str">
            <v>D26001644</v>
          </cell>
          <cell r="AP2658">
            <v>0</v>
          </cell>
          <cell r="AQ2658">
            <v>0</v>
          </cell>
          <cell r="AV2658">
            <v>0</v>
          </cell>
        </row>
        <row r="2659">
          <cell r="E2659" t="str">
            <v>D26001645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D26001854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B26001851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D26002080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B26002052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B26002100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B26002240</v>
          </cell>
          <cell r="AP2665">
            <v>0</v>
          </cell>
          <cell r="AQ2665">
            <v>0</v>
          </cell>
          <cell r="AV2665">
            <v>1720000</v>
          </cell>
        </row>
        <row r="2666">
          <cell r="E2666" t="str">
            <v>D26000259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D26000265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D26000384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B26000695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D26001111</v>
          </cell>
          <cell r="AP2670">
            <v>0</v>
          </cell>
          <cell r="AQ2670">
            <v>2750000</v>
          </cell>
          <cell r="AV2670">
            <v>0</v>
          </cell>
        </row>
        <row r="2671">
          <cell r="E2671" t="str">
            <v>B26001065</v>
          </cell>
          <cell r="AP2671">
            <v>0</v>
          </cell>
          <cell r="AQ2671">
            <v>17250000</v>
          </cell>
          <cell r="AV2671">
            <v>0</v>
          </cell>
        </row>
        <row r="2672">
          <cell r="E2672" t="str">
            <v>B26001065</v>
          </cell>
          <cell r="AP2672">
            <v>0</v>
          </cell>
          <cell r="AQ2672">
            <v>18301750</v>
          </cell>
          <cell r="AV2672">
            <v>0</v>
          </cell>
        </row>
        <row r="2673">
          <cell r="E2673" t="str">
            <v>D26001794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D26001811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B26001834</v>
          </cell>
          <cell r="AP2675">
            <v>0</v>
          </cell>
          <cell r="AQ2675">
            <v>0</v>
          </cell>
          <cell r="AV2675">
            <v>860000</v>
          </cell>
        </row>
        <row r="2676">
          <cell r="E2676" t="str">
            <v>D26002059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D26001917</v>
          </cell>
          <cell r="AP2677">
            <v>0</v>
          </cell>
          <cell r="AQ2677">
            <v>0</v>
          </cell>
          <cell r="AV2677">
            <v>18000000</v>
          </cell>
        </row>
        <row r="2678">
          <cell r="E2678" t="str">
            <v>B26002124</v>
          </cell>
          <cell r="AP2678">
            <v>0</v>
          </cell>
          <cell r="AQ2678">
            <v>0</v>
          </cell>
          <cell r="AV2678">
            <v>2740000</v>
          </cell>
        </row>
        <row r="2679">
          <cell r="E2679" t="str">
            <v>D26000393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D26000431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B26000625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D26000901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D26000916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D26001146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B26001472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B26001555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B26001902</v>
          </cell>
          <cell r="AP2687">
            <v>0</v>
          </cell>
          <cell r="AQ2687">
            <v>0</v>
          </cell>
          <cell r="AV2687">
            <v>11000000</v>
          </cell>
        </row>
        <row r="2688">
          <cell r="E2688" t="str">
            <v>B26001855</v>
          </cell>
          <cell r="AP2688">
            <v>0</v>
          </cell>
          <cell r="AQ2688">
            <v>0</v>
          </cell>
          <cell r="AV2688">
            <v>1360000</v>
          </cell>
        </row>
        <row r="2689">
          <cell r="E2689" t="str">
            <v>B26001856</v>
          </cell>
          <cell r="AP2689">
            <v>0</v>
          </cell>
          <cell r="AQ2689">
            <v>0</v>
          </cell>
          <cell r="AV2689">
            <v>2314500</v>
          </cell>
        </row>
        <row r="2690">
          <cell r="E2690" t="str">
            <v>B26001857</v>
          </cell>
          <cell r="AP2690">
            <v>0</v>
          </cell>
          <cell r="AQ2690">
            <v>0</v>
          </cell>
          <cell r="AV2690">
            <v>260000</v>
          </cell>
        </row>
        <row r="2691">
          <cell r="E2691" t="str">
            <v>D26001719</v>
          </cell>
          <cell r="AP2691">
            <v>0</v>
          </cell>
          <cell r="AQ2691">
            <v>0</v>
          </cell>
          <cell r="AV2691">
            <v>6300000</v>
          </cell>
        </row>
        <row r="2692">
          <cell r="E2692" t="str">
            <v>B26002114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T25000698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T25000700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D25016721</v>
          </cell>
          <cell r="AP2695">
            <v>0</v>
          </cell>
          <cell r="AQ2695">
            <v>0</v>
          </cell>
          <cell r="AV2695">
            <v>4440000</v>
          </cell>
        </row>
        <row r="2696">
          <cell r="E2696" t="str">
            <v>D25016721</v>
          </cell>
          <cell r="AP2696">
            <v>0</v>
          </cell>
          <cell r="AQ2696">
            <v>0</v>
          </cell>
          <cell r="AV2696">
            <v>5000000</v>
          </cell>
        </row>
        <row r="2697">
          <cell r="E2697" t="str">
            <v>B25014674</v>
          </cell>
          <cell r="AP2697">
            <v>0</v>
          </cell>
          <cell r="AQ2697">
            <v>0</v>
          </cell>
          <cell r="AV2697">
            <v>3852750</v>
          </cell>
        </row>
        <row r="2698">
          <cell r="E2698" t="str">
            <v>B25014675</v>
          </cell>
          <cell r="AP2698">
            <v>0</v>
          </cell>
          <cell r="AQ2698">
            <v>0</v>
          </cell>
          <cell r="AV2698">
            <v>147250</v>
          </cell>
        </row>
        <row r="2699">
          <cell r="E2699" t="str">
            <v>D25017210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B25015697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D25018775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D25018776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D25019491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B25016962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D26001199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D25015491</v>
          </cell>
          <cell r="AP2706">
            <v>0</v>
          </cell>
          <cell r="AQ2706">
            <v>0</v>
          </cell>
          <cell r="AV2706">
            <v>50000000</v>
          </cell>
        </row>
        <row r="2707">
          <cell r="E2707" t="str">
            <v>D25015491</v>
          </cell>
          <cell r="AP2707">
            <v>0</v>
          </cell>
          <cell r="AQ2707">
            <v>0</v>
          </cell>
          <cell r="AV2707">
            <v>4242500</v>
          </cell>
        </row>
        <row r="2708">
          <cell r="E2708" t="str">
            <v>D25015492</v>
          </cell>
          <cell r="AP2708">
            <v>0</v>
          </cell>
          <cell r="AQ2708">
            <v>0</v>
          </cell>
          <cell r="AV2708">
            <v>7775000</v>
          </cell>
        </row>
        <row r="2709">
          <cell r="E2709" t="str">
            <v>D25015518</v>
          </cell>
          <cell r="AP2709">
            <v>0</v>
          </cell>
          <cell r="AQ2709">
            <v>0</v>
          </cell>
          <cell r="AV2709">
            <v>21070000</v>
          </cell>
        </row>
        <row r="2710">
          <cell r="E2710" t="str">
            <v>D25015519</v>
          </cell>
          <cell r="AP2710">
            <v>0</v>
          </cell>
          <cell r="AQ2710">
            <v>0</v>
          </cell>
          <cell r="AV2710">
            <v>16912500</v>
          </cell>
        </row>
        <row r="2711">
          <cell r="E2711" t="str">
            <v>D25018010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D25018011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B26001039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D26001222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B25012709</v>
          </cell>
          <cell r="AP2715">
            <v>0</v>
          </cell>
          <cell r="AQ2715">
            <v>0</v>
          </cell>
          <cell r="AV2715">
            <v>32757750</v>
          </cell>
        </row>
        <row r="2716">
          <cell r="E2716" t="str">
            <v>B25012875</v>
          </cell>
          <cell r="AP2716">
            <v>0</v>
          </cell>
          <cell r="AQ2716">
            <v>0</v>
          </cell>
          <cell r="AV2716">
            <v>16887750</v>
          </cell>
        </row>
        <row r="2717">
          <cell r="E2717" t="str">
            <v>B25012876</v>
          </cell>
          <cell r="AP2717">
            <v>0</v>
          </cell>
          <cell r="AQ2717">
            <v>0</v>
          </cell>
          <cell r="AV2717">
            <v>57743200</v>
          </cell>
        </row>
        <row r="2718">
          <cell r="E2718" t="str">
            <v>B25012907</v>
          </cell>
          <cell r="AP2718">
            <v>0</v>
          </cell>
          <cell r="AQ2718">
            <v>0</v>
          </cell>
          <cell r="AV2718">
            <v>30119000</v>
          </cell>
        </row>
        <row r="2719">
          <cell r="E2719" t="str">
            <v>D25016022</v>
          </cell>
          <cell r="AP2719">
            <v>0</v>
          </cell>
          <cell r="AQ2719">
            <v>0</v>
          </cell>
          <cell r="AV2719">
            <v>120625000</v>
          </cell>
        </row>
        <row r="2720">
          <cell r="E2720" t="str">
            <v>D25016347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B25014255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B25014494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D25016931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D25016947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D25016948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B25014783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B25015004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B25015067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D25017412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B25015250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B25015395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D25017843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B25015533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D25017972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D25018032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B25015677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D25018648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D25018929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B25016629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D25019093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D25019171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B25016746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D25019258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B25017047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B25017107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B25017109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D26000485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D26000506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D26000575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D26000852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D26001446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D26001587</v>
          </cell>
          <cell r="AP2752">
            <v>0</v>
          </cell>
          <cell r="AQ2752">
            <v>0</v>
          </cell>
          <cell r="AV2752">
            <v>0</v>
          </cell>
        </row>
        <row r="2753">
          <cell r="E2753" t="str">
            <v>D26001625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D26001850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D26002100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D26002356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T22000046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T22000053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T22000087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T22000122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T22000134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T22000139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T22000141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T22000167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T22000207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T22000231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T22000254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T22000265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T22000282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T22000316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T22000338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T22000378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T22000394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T22000405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T22000425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T22000456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T22000472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T22000491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T22000520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T22000560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T22000561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T22000580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T22000604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T22000664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T22000725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T22000772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T22000799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T23000003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T23000012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T23000013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T23000057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T23000064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T23000087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T23000120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D23001207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T23000149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T23000180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T23000184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T23000187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T23000252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T23000257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T23000275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T23000285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T23000332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T23000355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T23000382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T23000419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T23000426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T23000485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T23000492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T23000504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T23000507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T23000508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T23000509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T23000522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T23000524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T23000577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T23000584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T23000594</v>
          </cell>
          <cell r="AP2819">
            <v>0</v>
          </cell>
          <cell r="AQ2819">
            <v>0</v>
          </cell>
          <cell r="AV2819">
            <v>0</v>
          </cell>
        </row>
        <row r="2820">
          <cell r="E2820" t="str">
            <v>T23000630</v>
          </cell>
          <cell r="AP2820">
            <v>0</v>
          </cell>
          <cell r="AQ2820">
            <v>0</v>
          </cell>
          <cell r="AV2820">
            <v>0</v>
          </cell>
        </row>
        <row r="2821">
          <cell r="E2821" t="str">
            <v>T23000644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T23000686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T23000695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T23000741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T23000742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T23000772</v>
          </cell>
          <cell r="AP2826">
            <v>0</v>
          </cell>
          <cell r="AQ2826">
            <v>0</v>
          </cell>
          <cell r="AV2826">
            <v>0</v>
          </cell>
        </row>
        <row r="2827">
          <cell r="E2827" t="str">
            <v>T23000781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T23000782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T23000809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T23000845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T23000846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T23000860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T23000881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T23000884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T23000911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T23000912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T23000914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T23000919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T23000924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T23000935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T23000936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T23000986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T23000989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T23000994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T23000998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T23000999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T23001024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T23001025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T23001026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T23001057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T23001090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T23001094</v>
          </cell>
          <cell r="AP2852">
            <v>0</v>
          </cell>
          <cell r="AQ2852">
            <v>0</v>
          </cell>
          <cell r="AV2852">
            <v>0</v>
          </cell>
        </row>
        <row r="2853">
          <cell r="E2853" t="str">
            <v>T23001095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T23001103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T24000001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T24000018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T24000040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T24000113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T24000118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T24000126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T24000149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T24000166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T24000175</v>
          </cell>
          <cell r="AP2863">
            <v>0</v>
          </cell>
          <cell r="AQ2863">
            <v>0</v>
          </cell>
          <cell r="AV2863">
            <v>0</v>
          </cell>
        </row>
        <row r="2864">
          <cell r="E2864" t="str">
            <v>T24000176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T24000250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T24000251</v>
          </cell>
          <cell r="AP2866">
            <v>0</v>
          </cell>
          <cell r="AQ2866">
            <v>0</v>
          </cell>
          <cell r="AV2866">
            <v>0</v>
          </cell>
        </row>
        <row r="2867">
          <cell r="E2867" t="str">
            <v>T24000260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T24000265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T24000279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T24000299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T24000376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T24000384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T24000391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T24000392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T24000419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T24000448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T24000488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T24000489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T24000495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T24000496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T24000497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T24000498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T24000499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T24000519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T24000527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T24000598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T24000600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T24000601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T24000602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T24000603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T24000612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T24000631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T24000635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T24000673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T24000717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T24000718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T24000719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T24000720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T24000726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T24000727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T24000754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T24000755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T24000787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T24000936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T24000937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T24000938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T24000939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T24000946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T24000983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T24000984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T24000985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T24001077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T24001078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T24001079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T24001085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T24001086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T24001087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T24001088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T24001108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T24001119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T24001120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T24001121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T24001210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T24001211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T24001215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T24001220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T24001241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T24001249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T24001250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T24001265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T24001359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T24001360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T24001361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T24001369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T24001372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T24001380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T24001423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T24001424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T24001446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T24001447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T24001638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T24001639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T24001651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T24001652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T24001653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T24001654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T24001655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T24001697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T24001717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T24001721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T24001842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T25000023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T25000025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T25000026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T25000027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T25000028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T25000029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T25000035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T25000036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T25000091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T25000142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T25000157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T25000158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T25000161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T25000171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T25000172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T25000178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T25000328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T25000329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T25000357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T25000363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 t="str">
            <v>T25000364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T25000365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T25000366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T25000367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T25000368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T25000372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T25000432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T25000523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T25000546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T25000547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T25000548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T25000558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T25000559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T25000563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T25000564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T25000578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T25000626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T25000685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T25000686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T25000702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T25000706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T25000707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T25000734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T25000735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T25000740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T25000764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T25000770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R25000015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T25000878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T25000886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T25000887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T25000888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T25000895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T25000902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T25000903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T25000912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T25000914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T25000915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C25000475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T25000936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T25000956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T25000957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T25000958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D25009205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T25000988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T25000997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T25000999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T25001020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T25001022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T25001023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T25001024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T25001025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T25001033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T25001062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T25001078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T25001110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T25001162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T25001165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T25001173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T25001189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T25001203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T25001207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T25001222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T25001269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T25001294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T25001317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T25001323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T25001329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T25001330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T25001336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T25001343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T25001395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T25001408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T25001452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T25001456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T25001457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T25001458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T25001459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T25001460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T25001463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T25001464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T25001485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T25001497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T25001546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T25001592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T25001593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T25001604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T25001608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T25001627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T25001628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T25001629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T25001630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T25001683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T25001712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T25001729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T25001741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T25001742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T25001746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T25001750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T25001751</v>
          </cell>
          <cell r="AP3071">
            <v>0</v>
          </cell>
          <cell r="AQ3071">
            <v>0</v>
          </cell>
          <cell r="AV3071">
            <v>0</v>
          </cell>
        </row>
        <row r="3072">
          <cell r="E3072" t="str">
            <v>T25001752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T25001756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T25001757</v>
          </cell>
          <cell r="AP3074">
            <v>0</v>
          </cell>
          <cell r="AQ3074">
            <v>0</v>
          </cell>
          <cell r="AV3074">
            <v>0</v>
          </cell>
        </row>
        <row r="3075">
          <cell r="E3075" t="str">
            <v>T25001764</v>
          </cell>
          <cell r="AP3075">
            <v>0</v>
          </cell>
          <cell r="AQ3075">
            <v>0</v>
          </cell>
          <cell r="AV3075">
            <v>0</v>
          </cell>
        </row>
        <row r="3076">
          <cell r="E3076" t="str">
            <v>T25001765</v>
          </cell>
          <cell r="AP3076">
            <v>0</v>
          </cell>
          <cell r="AQ3076">
            <v>0</v>
          </cell>
          <cell r="AV3076">
            <v>0</v>
          </cell>
        </row>
        <row r="3077">
          <cell r="E3077" t="str">
            <v>T25001766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T25001767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T25001768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T25001769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T25001807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T25001832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T25001896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T26000004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T26000005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T26000007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T26000011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T26000012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T26000015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T26000020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T26000048</v>
          </cell>
          <cell r="AP3091">
            <v>0</v>
          </cell>
          <cell r="AQ3091">
            <v>0</v>
          </cell>
          <cell r="AV3091">
            <v>0</v>
          </cell>
        </row>
        <row r="3092">
          <cell r="E3092" t="str">
            <v>T26000069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T26000080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T26000084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C26000100</v>
          </cell>
          <cell r="AP3095">
            <v>0</v>
          </cell>
          <cell r="AQ3095">
            <v>0</v>
          </cell>
          <cell r="AV3095">
            <v>189500</v>
          </cell>
        </row>
        <row r="3096">
          <cell r="E3096" t="str">
            <v>T26000112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T26000113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T26000119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Z26000323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T26000130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T26000131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Z26000332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T26000137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T26000138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B26001858</v>
          </cell>
          <cell r="AP3105">
            <v>0</v>
          </cell>
          <cell r="AQ3105">
            <v>0</v>
          </cell>
          <cell r="AV3105">
            <v>2654955</v>
          </cell>
        </row>
        <row r="3106">
          <cell r="E3106" t="str">
            <v>T26000141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C26000114</v>
          </cell>
          <cell r="AP3107">
            <v>0</v>
          </cell>
          <cell r="AQ3107">
            <v>0</v>
          </cell>
          <cell r="AV3107">
            <v>690000</v>
          </cell>
        </row>
        <row r="3108">
          <cell r="E3108" t="str">
            <v>D25016874</v>
          </cell>
          <cell r="AP3108">
            <v>0</v>
          </cell>
          <cell r="AQ3108">
            <v>0</v>
          </cell>
          <cell r="AV3108">
            <v>2060000</v>
          </cell>
        </row>
        <row r="3109">
          <cell r="E3109" t="str">
            <v>D25016915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B25016903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D25019699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T26000001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M26000024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M26000026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M26000027</v>
          </cell>
          <cell r="AP3115">
            <v>0</v>
          </cell>
          <cell r="AQ3115">
            <v>0</v>
          </cell>
          <cell r="AV3115">
            <v>51502.51</v>
          </cell>
        </row>
        <row r="3116">
          <cell r="E3116" t="str">
            <v>M26000028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M26000029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M26000030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N26000018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N26000019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B26000953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D26002231</v>
          </cell>
          <cell r="AP3122">
            <v>0</v>
          </cell>
          <cell r="AQ3122">
            <v>0</v>
          </cell>
          <cell r="AV3122">
            <v>1509000</v>
          </cell>
        </row>
        <row r="3123">
          <cell r="E3123" t="str">
            <v>D26002330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D26002366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Z26000115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Z26000316</v>
          </cell>
          <cell r="AP3126">
            <v>0</v>
          </cell>
          <cell r="AQ3126">
            <v>0</v>
          </cell>
          <cell r="AV3126">
            <v>2940000</v>
          </cell>
        </row>
        <row r="3127">
          <cell r="E3127" t="str">
            <v>Z26000358</v>
          </cell>
          <cell r="AP3127">
            <v>0</v>
          </cell>
          <cell r="AQ3127">
            <v>0</v>
          </cell>
          <cell r="AV3127">
            <v>6210000</v>
          </cell>
        </row>
        <row r="3128">
          <cell r="E3128" t="str">
            <v>Z26000377</v>
          </cell>
          <cell r="AP3128">
            <v>0</v>
          </cell>
          <cell r="AQ3128">
            <v>0</v>
          </cell>
          <cell r="AV3128">
            <v>840000</v>
          </cell>
        </row>
        <row r="3129">
          <cell r="E3129" t="str">
            <v>Z26000380</v>
          </cell>
          <cell r="AP3129">
            <v>0</v>
          </cell>
          <cell r="AQ3129">
            <v>0</v>
          </cell>
          <cell r="AV3129">
            <v>840000</v>
          </cell>
        </row>
        <row r="3130">
          <cell r="E3130" t="str">
            <v>Z26000383</v>
          </cell>
          <cell r="AP3130">
            <v>0</v>
          </cell>
          <cell r="AQ3130">
            <v>0</v>
          </cell>
          <cell r="AV3130">
            <v>25380000</v>
          </cell>
        </row>
        <row r="3131">
          <cell r="E3131" t="str">
            <v>Z26000384</v>
          </cell>
          <cell r="AP3131">
            <v>0</v>
          </cell>
          <cell r="AQ3131">
            <v>0</v>
          </cell>
          <cell r="AV3131">
            <v>3840000</v>
          </cell>
        </row>
        <row r="3132">
          <cell r="E3132" t="str">
            <v>Z26000421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D26001975</v>
          </cell>
          <cell r="AP3133">
            <v>0</v>
          </cell>
          <cell r="AQ3133">
            <v>0</v>
          </cell>
          <cell r="AV3133">
            <v>3110000</v>
          </cell>
        </row>
        <row r="3134">
          <cell r="E3134" t="str">
            <v>B25016592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B25016593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B25016626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B25016686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D25019320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B25016987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B25016996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B25016997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B26000162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D26000376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D26000585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D26000586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D26000864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D26000929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D26001042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B26001102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D26001825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D26001826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B26001830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B26002061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T25001845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B26000289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B26001305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Z25003207</v>
          </cell>
          <cell r="AP3157">
            <v>0</v>
          </cell>
          <cell r="AQ3157">
            <v>0</v>
          </cell>
          <cell r="AV3157">
            <v>8900000</v>
          </cell>
        </row>
        <row r="3158">
          <cell r="E3158" t="str">
            <v>Z26000041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Z26000045</v>
          </cell>
          <cell r="AP3159">
            <v>0</v>
          </cell>
          <cell r="AQ3159">
            <v>0</v>
          </cell>
          <cell r="AV3159">
            <v>9000000</v>
          </cell>
        </row>
        <row r="3160">
          <cell r="E3160" t="str">
            <v>Z26000288</v>
          </cell>
          <cell r="AP3160">
            <v>0</v>
          </cell>
          <cell r="AQ3160">
            <v>0</v>
          </cell>
          <cell r="AV3160">
            <v>39330000</v>
          </cell>
        </row>
        <row r="3161">
          <cell r="E3161" t="str">
            <v>Z26000292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T26000125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Z26000374</v>
          </cell>
          <cell r="AP3163">
            <v>0</v>
          </cell>
          <cell r="AQ3163">
            <v>0</v>
          </cell>
          <cell r="AV3163">
            <v>39600000</v>
          </cell>
        </row>
        <row r="3164">
          <cell r="E3164" t="str">
            <v>B26001144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B26001241</v>
          </cell>
          <cell r="AP3165">
            <v>0</v>
          </cell>
          <cell r="AQ3165">
            <v>0</v>
          </cell>
          <cell r="AV3165">
            <v>94600000</v>
          </cell>
        </row>
        <row r="3166">
          <cell r="E3166" t="str">
            <v>B26001406</v>
          </cell>
          <cell r="AP3166">
            <v>0</v>
          </cell>
          <cell r="AQ3166">
            <v>0</v>
          </cell>
          <cell r="AV3166">
            <v>40750000</v>
          </cell>
        </row>
        <row r="3167">
          <cell r="E3167" t="str">
            <v>B26001415</v>
          </cell>
          <cell r="AP3167">
            <v>0</v>
          </cell>
          <cell r="AQ3167">
            <v>0</v>
          </cell>
          <cell r="AV3167">
            <v>43600000</v>
          </cell>
        </row>
        <row r="3168">
          <cell r="E3168" t="str">
            <v>D26001810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B26002112</v>
          </cell>
          <cell r="AP3169">
            <v>0</v>
          </cell>
          <cell r="AQ3169">
            <v>0</v>
          </cell>
          <cell r="AV3169">
            <v>6750000</v>
          </cell>
        </row>
        <row r="3170">
          <cell r="E3170" t="str">
            <v>B25016070</v>
          </cell>
          <cell r="AP3170">
            <v>0</v>
          </cell>
          <cell r="AQ3170">
            <v>0</v>
          </cell>
          <cell r="AV3170">
            <v>5875000</v>
          </cell>
        </row>
        <row r="3171">
          <cell r="E3171" t="str">
            <v>D25018774</v>
          </cell>
          <cell r="AP3171">
            <v>0</v>
          </cell>
          <cell r="AQ3171">
            <v>0</v>
          </cell>
          <cell r="AV3171">
            <v>6250000</v>
          </cell>
        </row>
        <row r="3172">
          <cell r="E3172" t="str">
            <v>T25001898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D25016578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B26000464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B26001015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B26001016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D26002143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D26002276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T25001826</v>
          </cell>
          <cell r="AP3179">
            <v>0</v>
          </cell>
          <cell r="AQ3179">
            <v>0</v>
          </cell>
          <cell r="AV3179">
            <v>6562500</v>
          </cell>
        </row>
        <row r="3180">
          <cell r="E3180" t="str">
            <v>D26000017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B26001154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B26001167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B26001222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B26001223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B26001686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D26001901</v>
          </cell>
          <cell r="AP3186">
            <v>0</v>
          </cell>
          <cell r="AQ3186">
            <v>0</v>
          </cell>
          <cell r="AV3186">
            <v>52000000</v>
          </cell>
        </row>
        <row r="3187">
          <cell r="E3187" t="str">
            <v>D26002154</v>
          </cell>
          <cell r="AP3187">
            <v>0</v>
          </cell>
          <cell r="AQ3187">
            <v>0</v>
          </cell>
          <cell r="AV3187">
            <v>70000000</v>
          </cell>
        </row>
        <row r="3188">
          <cell r="E3188" t="str">
            <v>D26002154</v>
          </cell>
          <cell r="AP3188">
            <v>0</v>
          </cell>
          <cell r="AQ3188">
            <v>0</v>
          </cell>
          <cell r="AV3188">
            <v>47750000</v>
          </cell>
        </row>
        <row r="3189">
          <cell r="E3189" t="str">
            <v>D26002213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B26000048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D25018564</v>
          </cell>
          <cell r="AP3191">
            <v>0</v>
          </cell>
          <cell r="AQ3191">
            <v>0</v>
          </cell>
          <cell r="AV3191">
            <v>43275000</v>
          </cell>
        </row>
        <row r="3192">
          <cell r="E3192" t="str">
            <v>B25016409</v>
          </cell>
          <cell r="AP3192">
            <v>0</v>
          </cell>
          <cell r="AQ3192">
            <v>0</v>
          </cell>
          <cell r="AV3192">
            <v>156187500</v>
          </cell>
        </row>
        <row r="3193">
          <cell r="E3193" t="str">
            <v>B25016414</v>
          </cell>
          <cell r="AP3193">
            <v>0</v>
          </cell>
          <cell r="AQ3193">
            <v>0</v>
          </cell>
          <cell r="AV3193">
            <v>18600000</v>
          </cell>
        </row>
        <row r="3194">
          <cell r="E3194" t="str">
            <v>B25016421</v>
          </cell>
          <cell r="AP3194">
            <v>0</v>
          </cell>
          <cell r="AQ3194">
            <v>0</v>
          </cell>
          <cell r="AV3194">
            <v>13170000</v>
          </cell>
        </row>
        <row r="3195">
          <cell r="E3195" t="str">
            <v>B25016438</v>
          </cell>
          <cell r="AP3195">
            <v>0</v>
          </cell>
          <cell r="AQ3195">
            <v>0</v>
          </cell>
          <cell r="AV3195">
            <v>61312500</v>
          </cell>
        </row>
        <row r="3196">
          <cell r="E3196" t="str">
            <v>D26000472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D26000473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T26000028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B26000832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D26002037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D26002038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B25016762</v>
          </cell>
          <cell r="AP3202">
            <v>0</v>
          </cell>
          <cell r="AQ3202">
            <v>0</v>
          </cell>
          <cell r="AV3202">
            <v>113000</v>
          </cell>
        </row>
        <row r="3203">
          <cell r="E3203" t="str">
            <v>B26000183</v>
          </cell>
          <cell r="AP3203">
            <v>0</v>
          </cell>
          <cell r="AQ3203">
            <v>0</v>
          </cell>
          <cell r="AV3203">
            <v>72225000</v>
          </cell>
        </row>
        <row r="3204">
          <cell r="E3204" t="str">
            <v>D26000634</v>
          </cell>
          <cell r="AP3204">
            <v>0</v>
          </cell>
          <cell r="AQ3204">
            <v>0</v>
          </cell>
          <cell r="AV3204">
            <v>27662000</v>
          </cell>
        </row>
        <row r="3205">
          <cell r="E3205" t="str">
            <v>D26000797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B26001194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D26001311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B26001984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B26002004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B26002128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D26000188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B26000211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B25015599</v>
          </cell>
          <cell r="AP3213">
            <v>0</v>
          </cell>
          <cell r="AQ3213">
            <v>0</v>
          </cell>
          <cell r="AV3213">
            <v>3525000</v>
          </cell>
        </row>
        <row r="3214">
          <cell r="E3214" t="str">
            <v>D25018078</v>
          </cell>
          <cell r="AP3214">
            <v>0</v>
          </cell>
          <cell r="AQ3214">
            <v>0</v>
          </cell>
          <cell r="AV3214">
            <v>5575000</v>
          </cell>
        </row>
        <row r="3215">
          <cell r="E3215" t="str">
            <v>D25019361</v>
          </cell>
          <cell r="AP3215">
            <v>0</v>
          </cell>
          <cell r="AQ3215">
            <v>0</v>
          </cell>
          <cell r="AV3215">
            <v>6475000</v>
          </cell>
        </row>
        <row r="3216">
          <cell r="E3216" t="str">
            <v>B26000354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D26000448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B26000835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D26000920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B26000897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D26000963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B26001369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D26001450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D26001453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D26001482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D26001492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D26002109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B26001296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D26001432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D26000072</v>
          </cell>
          <cell r="AP3230">
            <v>0</v>
          </cell>
          <cell r="AQ3230">
            <v>0</v>
          </cell>
          <cell r="AV3230">
            <v>17000000</v>
          </cell>
        </row>
        <row r="3231">
          <cell r="E3231" t="str">
            <v>B26001645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D25019244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D26001058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D26001059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D25016207</v>
          </cell>
          <cell r="AP3235">
            <v>0</v>
          </cell>
          <cell r="AQ3235">
            <v>0</v>
          </cell>
          <cell r="AV3235">
            <v>12000000</v>
          </cell>
        </row>
        <row r="3236">
          <cell r="E3236" t="str">
            <v>D25016208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D26000628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D26000641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B26001101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T26000077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B26001913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B26001914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B26001864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B26001864</v>
          </cell>
          <cell r="AP3244">
            <v>0</v>
          </cell>
          <cell r="AQ3244">
            <v>0</v>
          </cell>
          <cell r="AV3244">
            <v>28935000</v>
          </cell>
        </row>
        <row r="3245">
          <cell r="E3245" t="str">
            <v>B26002148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B26001331</v>
          </cell>
          <cell r="AP3246">
            <v>0</v>
          </cell>
          <cell r="AQ3246">
            <v>0</v>
          </cell>
          <cell r="AV3246">
            <v>6600000</v>
          </cell>
        </row>
        <row r="3247">
          <cell r="E3247" t="str">
            <v>B26001620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B26001807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B26002193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Z26000046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Z26000118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Z26000147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Z26000325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Z26000373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D26001951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B26000769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D26000872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D26000888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D26000889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D26000890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B26001075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D26001352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D26001353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D26001487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D26001518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D26001995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B26002110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B26002111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D26002237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D26002291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D26002412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D26002413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D26002414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D26002375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T25001634K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T25001713K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T26000058K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B26001692</v>
          </cell>
          <cell r="AP3278">
            <v>0</v>
          </cell>
          <cell r="AQ3278">
            <v>0</v>
          </cell>
          <cell r="AV3278">
            <v>1650000</v>
          </cell>
        </row>
        <row r="3279">
          <cell r="E3279" t="str">
            <v>B26001628</v>
          </cell>
          <cell r="AP3279">
            <v>0</v>
          </cell>
          <cell r="AQ3279">
            <v>0</v>
          </cell>
          <cell r="AV3279">
            <v>4720000</v>
          </cell>
        </row>
        <row r="3280">
          <cell r="E3280" t="str">
            <v>D26001763</v>
          </cell>
          <cell r="AP3280">
            <v>0</v>
          </cell>
          <cell r="AQ3280">
            <v>0</v>
          </cell>
          <cell r="AV3280">
            <v>7050500</v>
          </cell>
        </row>
        <row r="3281">
          <cell r="E3281" t="str">
            <v>D26002295</v>
          </cell>
          <cell r="AP3281">
            <v>0</v>
          </cell>
          <cell r="AQ3281">
            <v>0</v>
          </cell>
          <cell r="AV3281">
            <v>26200000</v>
          </cell>
        </row>
        <row r="3282">
          <cell r="E3282" t="str">
            <v>D26001031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D26001032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B25016367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B25016369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T25001240K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D25018578</v>
          </cell>
          <cell r="AP3287">
            <v>0</v>
          </cell>
          <cell r="AQ3287">
            <v>0</v>
          </cell>
          <cell r="AV3287">
            <v>2000000</v>
          </cell>
        </row>
        <row r="3288">
          <cell r="E3288" t="str">
            <v>T25001802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T25001804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B25016613</v>
          </cell>
          <cell r="AP3290">
            <v>0</v>
          </cell>
          <cell r="AQ3290">
            <v>0</v>
          </cell>
          <cell r="AV3290">
            <v>26900000</v>
          </cell>
        </row>
        <row r="3291">
          <cell r="E3291" t="str">
            <v>B25016673</v>
          </cell>
          <cell r="AP3291">
            <v>0</v>
          </cell>
          <cell r="AQ3291">
            <v>0</v>
          </cell>
          <cell r="AV3291">
            <v>16300000</v>
          </cell>
        </row>
        <row r="3292">
          <cell r="E3292" t="str">
            <v>B25017077</v>
          </cell>
          <cell r="AP3292">
            <v>0</v>
          </cell>
          <cell r="AQ3292">
            <v>0</v>
          </cell>
          <cell r="AV3292">
            <v>26180000</v>
          </cell>
        </row>
        <row r="3293">
          <cell r="E3293" t="str">
            <v>D25019708</v>
          </cell>
          <cell r="AP3293">
            <v>0</v>
          </cell>
          <cell r="AQ3293">
            <v>0</v>
          </cell>
          <cell r="AV3293">
            <v>11600000</v>
          </cell>
        </row>
        <row r="3294">
          <cell r="E3294" t="str">
            <v>B26000538</v>
          </cell>
          <cell r="AP3294">
            <v>0</v>
          </cell>
          <cell r="AQ3294">
            <v>0</v>
          </cell>
          <cell r="AV3294">
            <v>18200000</v>
          </cell>
        </row>
        <row r="3295">
          <cell r="E3295" t="str">
            <v>D26000556</v>
          </cell>
          <cell r="AP3295">
            <v>0</v>
          </cell>
          <cell r="AQ3295">
            <v>0</v>
          </cell>
          <cell r="AV3295">
            <v>18200000</v>
          </cell>
        </row>
        <row r="3296">
          <cell r="E3296" t="str">
            <v>T26000031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D26000863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D26000868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D26000876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T26000049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T26000056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B26001091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B26001121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B26001122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B26001127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D26001370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D26001592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B26001587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T26000126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B26001938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D26002043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D26002069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D26002083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D25017349</v>
          </cell>
          <cell r="AP3314">
            <v>0</v>
          </cell>
          <cell r="AQ3314">
            <v>0</v>
          </cell>
          <cell r="AV3314">
            <v>13400000</v>
          </cell>
        </row>
        <row r="3315">
          <cell r="E3315" t="str">
            <v>B26000144</v>
          </cell>
          <cell r="AP3315">
            <v>0</v>
          </cell>
          <cell r="AQ3315">
            <v>0</v>
          </cell>
          <cell r="AV3315">
            <v>9275000</v>
          </cell>
        </row>
        <row r="3316">
          <cell r="E3316" t="str">
            <v>D26000192</v>
          </cell>
          <cell r="AP3316">
            <v>0</v>
          </cell>
          <cell r="AQ3316">
            <v>0</v>
          </cell>
          <cell r="AV3316">
            <v>12530000</v>
          </cell>
        </row>
        <row r="3317">
          <cell r="E3317" t="str">
            <v>D26000588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D26000589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D26000800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D26000823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B26001342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B26001343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B26001522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B26001852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B26001853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D26002332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T26000134</v>
          </cell>
          <cell r="AP3327">
            <v>0</v>
          </cell>
          <cell r="AQ3327">
            <v>0</v>
          </cell>
          <cell r="AV3327">
            <v>4590000</v>
          </cell>
        </row>
        <row r="3328">
          <cell r="E3328" t="str">
            <v>D26001740</v>
          </cell>
          <cell r="AP3328">
            <v>0</v>
          </cell>
          <cell r="AQ3328">
            <v>0</v>
          </cell>
          <cell r="AV3328">
            <v>2200000</v>
          </cell>
        </row>
        <row r="3329">
          <cell r="E3329" t="str">
            <v>D26002045</v>
          </cell>
          <cell r="AP3329">
            <v>0</v>
          </cell>
          <cell r="AQ3329">
            <v>0</v>
          </cell>
          <cell r="AV3329">
            <v>4547500</v>
          </cell>
        </row>
        <row r="3330">
          <cell r="E3330" t="str">
            <v>B25015214</v>
          </cell>
          <cell r="AP3330">
            <v>0</v>
          </cell>
          <cell r="AQ3330">
            <v>0</v>
          </cell>
          <cell r="AV3330">
            <v>110000000</v>
          </cell>
        </row>
        <row r="3331">
          <cell r="E3331" t="str">
            <v>B25015214</v>
          </cell>
          <cell r="AP3331">
            <v>0</v>
          </cell>
          <cell r="AQ3331">
            <v>0</v>
          </cell>
          <cell r="AV3331">
            <v>4735000</v>
          </cell>
        </row>
        <row r="3332">
          <cell r="E3332" t="str">
            <v>B25015215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D25017683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B25015403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B25015712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B25015714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B25015862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B25015863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B25016045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B25016365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B25016370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D25018821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B25016386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B25016466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B25016695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B25016696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B25017117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B25017118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B26000110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B26000111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D26000050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D26000159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D26000160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T26000010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B26000174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D26000481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B26000547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B26000548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B26000549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B26000820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D26000934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D26001000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D26001001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D26001252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D26001253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D26001397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D26001406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B26001746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B26001747</v>
          </cell>
          <cell r="AP3369">
            <v>0</v>
          </cell>
          <cell r="AQ3369">
            <v>0</v>
          </cell>
          <cell r="AV3369">
            <v>0</v>
          </cell>
        </row>
        <row r="3370">
          <cell r="E3370" t="str">
            <v>B26001748</v>
          </cell>
          <cell r="AP3370">
            <v>0</v>
          </cell>
          <cell r="AQ3370">
            <v>0</v>
          </cell>
          <cell r="AV3370">
            <v>0</v>
          </cell>
        </row>
        <row r="3371">
          <cell r="E3371" t="str">
            <v>B26001749</v>
          </cell>
          <cell r="AP3371">
            <v>0</v>
          </cell>
          <cell r="AQ3371">
            <v>0</v>
          </cell>
          <cell r="AV3371">
            <v>0</v>
          </cell>
        </row>
        <row r="3372">
          <cell r="E3372" t="str">
            <v>B26001827</v>
          </cell>
          <cell r="AP3372">
            <v>0</v>
          </cell>
          <cell r="AQ3372">
            <v>0</v>
          </cell>
          <cell r="AV3372">
            <v>0</v>
          </cell>
        </row>
        <row r="3373">
          <cell r="E3373" t="str">
            <v>B26001828</v>
          </cell>
          <cell r="AP3373">
            <v>0</v>
          </cell>
          <cell r="AQ3373">
            <v>0</v>
          </cell>
          <cell r="AV3373">
            <v>0</v>
          </cell>
        </row>
        <row r="3374">
          <cell r="E3374" t="str">
            <v>B26001951</v>
          </cell>
          <cell r="AP3374">
            <v>0</v>
          </cell>
          <cell r="AQ3374">
            <v>0</v>
          </cell>
          <cell r="AV3374">
            <v>2840000</v>
          </cell>
        </row>
        <row r="3375">
          <cell r="E3375" t="str">
            <v>B25016758</v>
          </cell>
          <cell r="AP3375">
            <v>0</v>
          </cell>
          <cell r="AQ3375">
            <v>0</v>
          </cell>
          <cell r="AV3375">
            <v>18000000</v>
          </cell>
        </row>
        <row r="3376">
          <cell r="E3376" t="str">
            <v>D25019709</v>
          </cell>
          <cell r="AP3376">
            <v>0</v>
          </cell>
          <cell r="AQ3376">
            <v>0</v>
          </cell>
          <cell r="AV3376">
            <v>6250000</v>
          </cell>
        </row>
        <row r="3377">
          <cell r="E3377" t="str">
            <v>D26000706</v>
          </cell>
          <cell r="AP3377">
            <v>0</v>
          </cell>
          <cell r="AQ3377">
            <v>0</v>
          </cell>
          <cell r="AV3377">
            <v>25400000</v>
          </cell>
        </row>
        <row r="3378">
          <cell r="E3378" t="str">
            <v>T26000081</v>
          </cell>
          <cell r="AP3378">
            <v>0</v>
          </cell>
          <cell r="AQ3378">
            <v>0</v>
          </cell>
          <cell r="AV3378">
            <v>0</v>
          </cell>
        </row>
        <row r="3379">
          <cell r="E3379" t="str">
            <v>D26001293</v>
          </cell>
          <cell r="AP3379">
            <v>0</v>
          </cell>
          <cell r="AQ3379">
            <v>0</v>
          </cell>
          <cell r="AV3379">
            <v>0</v>
          </cell>
        </row>
        <row r="3380">
          <cell r="E3380" t="str">
            <v>D26001649</v>
          </cell>
          <cell r="AP3380">
            <v>0</v>
          </cell>
          <cell r="AQ3380">
            <v>0</v>
          </cell>
          <cell r="AV3380">
            <v>0</v>
          </cell>
        </row>
        <row r="3381">
          <cell r="E3381" t="str">
            <v>T26000107</v>
          </cell>
          <cell r="AP3381">
            <v>0</v>
          </cell>
          <cell r="AQ3381">
            <v>0</v>
          </cell>
          <cell r="AV3381">
            <v>0</v>
          </cell>
        </row>
        <row r="3382">
          <cell r="E3382" t="str">
            <v>B26001915</v>
          </cell>
          <cell r="AP3382">
            <v>0</v>
          </cell>
          <cell r="AQ3382">
            <v>0</v>
          </cell>
          <cell r="AV3382">
            <v>0</v>
          </cell>
        </row>
        <row r="3383">
          <cell r="E3383" t="str">
            <v>D26002335</v>
          </cell>
          <cell r="AP3383">
            <v>0</v>
          </cell>
          <cell r="AQ3383">
            <v>0</v>
          </cell>
          <cell r="AV3383">
            <v>0</v>
          </cell>
        </row>
        <row r="3384">
          <cell r="E3384" t="str">
            <v>D26002336</v>
          </cell>
          <cell r="AP3384">
            <v>0</v>
          </cell>
          <cell r="AQ3384">
            <v>0</v>
          </cell>
          <cell r="AV3384">
            <v>0</v>
          </cell>
        </row>
        <row r="3385">
          <cell r="E3385" t="str">
            <v>D25019163</v>
          </cell>
          <cell r="AP3385">
            <v>0</v>
          </cell>
          <cell r="AQ3385">
            <v>0</v>
          </cell>
          <cell r="AV3385">
            <v>39800000</v>
          </cell>
        </row>
        <row r="3386">
          <cell r="E3386" t="str">
            <v>B25016853</v>
          </cell>
          <cell r="AP3386">
            <v>0</v>
          </cell>
          <cell r="AQ3386">
            <v>0</v>
          </cell>
          <cell r="AV3386">
            <v>3300000</v>
          </cell>
        </row>
        <row r="3387">
          <cell r="E3387" t="str">
            <v>D26000411</v>
          </cell>
          <cell r="AP3387">
            <v>0</v>
          </cell>
          <cell r="AQ3387">
            <v>0</v>
          </cell>
          <cell r="AV3387">
            <v>0</v>
          </cell>
        </row>
        <row r="3388">
          <cell r="E3388" t="str">
            <v>D26000748</v>
          </cell>
          <cell r="AP3388">
            <v>0</v>
          </cell>
          <cell r="AQ3388">
            <v>0</v>
          </cell>
          <cell r="AV3388">
            <v>0</v>
          </cell>
        </row>
        <row r="3389">
          <cell r="E3389" t="str">
            <v>D26000966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B26001804</v>
          </cell>
          <cell r="AP3390">
            <v>0</v>
          </cell>
          <cell r="AQ3390">
            <v>0</v>
          </cell>
          <cell r="AV3390">
            <v>0</v>
          </cell>
        </row>
        <row r="3391">
          <cell r="E3391" t="str">
            <v>D26002103</v>
          </cell>
          <cell r="AP3391">
            <v>0</v>
          </cell>
          <cell r="AQ3391">
            <v>0</v>
          </cell>
          <cell r="AV3391">
            <v>0</v>
          </cell>
        </row>
        <row r="3392">
          <cell r="E3392" t="str">
            <v>D25018954</v>
          </cell>
          <cell r="AP3392">
            <v>0</v>
          </cell>
          <cell r="AQ3392">
            <v>0</v>
          </cell>
          <cell r="AV3392">
            <v>2000000</v>
          </cell>
        </row>
        <row r="3393">
          <cell r="E3393" t="str">
            <v>B26001208</v>
          </cell>
          <cell r="AP3393">
            <v>0</v>
          </cell>
          <cell r="AQ3393">
            <v>0</v>
          </cell>
          <cell r="AV3393">
            <v>0</v>
          </cell>
        </row>
        <row r="3394">
          <cell r="E3394" t="str">
            <v>B26001209</v>
          </cell>
          <cell r="AP3394">
            <v>0</v>
          </cell>
          <cell r="AQ3394">
            <v>0</v>
          </cell>
          <cell r="AV3394">
            <v>0</v>
          </cell>
        </row>
        <row r="3395">
          <cell r="E3395" t="str">
            <v>B25016542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B26001414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D26000532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D26001348</v>
          </cell>
          <cell r="AP3398">
            <v>0</v>
          </cell>
          <cell r="AQ3398">
            <v>0</v>
          </cell>
          <cell r="AV3398">
            <v>1600000</v>
          </cell>
        </row>
        <row r="3399">
          <cell r="E3399" t="str">
            <v>D26001348</v>
          </cell>
          <cell r="AP3399">
            <v>0</v>
          </cell>
          <cell r="AQ3399">
            <v>0</v>
          </cell>
          <cell r="AV3399">
            <v>1500000</v>
          </cell>
        </row>
        <row r="3400">
          <cell r="E3400" t="str">
            <v>D26001964</v>
          </cell>
          <cell r="AP3400">
            <v>0</v>
          </cell>
          <cell r="AQ3400">
            <v>0</v>
          </cell>
          <cell r="AV3400">
            <v>2670000</v>
          </cell>
        </row>
        <row r="3401">
          <cell r="E3401" t="str">
            <v>Z26000290</v>
          </cell>
          <cell r="AP3401">
            <v>0</v>
          </cell>
          <cell r="AQ3401">
            <v>0</v>
          </cell>
          <cell r="AV3401">
            <v>8280000</v>
          </cell>
        </row>
        <row r="3402">
          <cell r="E3402" t="str">
            <v>Z26000293</v>
          </cell>
          <cell r="AP3402">
            <v>0</v>
          </cell>
          <cell r="AQ3402">
            <v>0</v>
          </cell>
          <cell r="AV3402">
            <v>18300000</v>
          </cell>
        </row>
        <row r="3403">
          <cell r="E3403" t="str">
            <v>Z26000296</v>
          </cell>
          <cell r="AP3403">
            <v>0</v>
          </cell>
          <cell r="AQ3403">
            <v>0</v>
          </cell>
          <cell r="AV3403">
            <v>53300000</v>
          </cell>
        </row>
        <row r="3404">
          <cell r="E3404" t="str">
            <v>Z26000297</v>
          </cell>
          <cell r="AP3404">
            <v>0</v>
          </cell>
          <cell r="AQ3404">
            <v>0</v>
          </cell>
          <cell r="AV3404">
            <v>5820000</v>
          </cell>
        </row>
        <row r="3405">
          <cell r="E3405" t="str">
            <v>Z26000299</v>
          </cell>
          <cell r="AP3405">
            <v>0</v>
          </cell>
          <cell r="AQ3405">
            <v>0</v>
          </cell>
          <cell r="AV3405">
            <v>3500000</v>
          </cell>
        </row>
        <row r="3406">
          <cell r="E3406" t="str">
            <v>D26001805</v>
          </cell>
          <cell r="AP3406">
            <v>0</v>
          </cell>
          <cell r="AQ3406">
            <v>0</v>
          </cell>
          <cell r="AV3406">
            <v>8280000</v>
          </cell>
        </row>
        <row r="3407">
          <cell r="E3407" t="str">
            <v>Z26000308</v>
          </cell>
          <cell r="AP3407">
            <v>0</v>
          </cell>
          <cell r="AQ3407">
            <v>0</v>
          </cell>
          <cell r="AV3407">
            <v>570000</v>
          </cell>
        </row>
        <row r="3408">
          <cell r="E3408" t="str">
            <v>Z26000311</v>
          </cell>
          <cell r="AP3408">
            <v>0</v>
          </cell>
          <cell r="AQ3408">
            <v>0</v>
          </cell>
          <cell r="AV3408">
            <v>7968000</v>
          </cell>
        </row>
        <row r="3409">
          <cell r="E3409" t="str">
            <v>Z26000314</v>
          </cell>
          <cell r="AP3409">
            <v>0</v>
          </cell>
          <cell r="AQ3409">
            <v>0</v>
          </cell>
          <cell r="AV3409">
            <v>2420000</v>
          </cell>
        </row>
        <row r="3410">
          <cell r="E3410" t="str">
            <v>Z26000315</v>
          </cell>
          <cell r="AP3410">
            <v>0</v>
          </cell>
          <cell r="AQ3410">
            <v>0</v>
          </cell>
          <cell r="AV3410">
            <v>5520000</v>
          </cell>
        </row>
        <row r="3411">
          <cell r="E3411" t="str">
            <v>Z26000334</v>
          </cell>
          <cell r="AP3411">
            <v>0</v>
          </cell>
          <cell r="AQ3411">
            <v>0</v>
          </cell>
          <cell r="AV3411">
            <v>14200000</v>
          </cell>
        </row>
        <row r="3412">
          <cell r="E3412" t="str">
            <v>Z26000339</v>
          </cell>
          <cell r="AP3412">
            <v>0</v>
          </cell>
          <cell r="AQ3412">
            <v>0</v>
          </cell>
          <cell r="AV3412">
            <v>3200000</v>
          </cell>
        </row>
        <row r="3413">
          <cell r="E3413" t="str">
            <v>Z26000340</v>
          </cell>
          <cell r="AP3413">
            <v>0</v>
          </cell>
          <cell r="AQ3413">
            <v>0</v>
          </cell>
          <cell r="AV3413">
            <v>2420000</v>
          </cell>
        </row>
        <row r="3414">
          <cell r="E3414" t="str">
            <v>Z26000341</v>
          </cell>
          <cell r="AP3414">
            <v>0</v>
          </cell>
          <cell r="AQ3414">
            <v>0</v>
          </cell>
          <cell r="AV3414">
            <v>18300000</v>
          </cell>
        </row>
        <row r="3415">
          <cell r="E3415" t="str">
            <v>Z26000342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Z26000342</v>
          </cell>
          <cell r="AP3416">
            <v>0</v>
          </cell>
          <cell r="AQ3416">
            <v>0</v>
          </cell>
          <cell r="AV3416">
            <v>39020000</v>
          </cell>
        </row>
        <row r="3417">
          <cell r="E3417" t="str">
            <v>B26001848</v>
          </cell>
          <cell r="AP3417">
            <v>0</v>
          </cell>
          <cell r="AQ3417">
            <v>0</v>
          </cell>
          <cell r="AV3417">
            <v>5700000</v>
          </cell>
        </row>
        <row r="3418">
          <cell r="E3418" t="str">
            <v>Z26000346</v>
          </cell>
          <cell r="AP3418">
            <v>0</v>
          </cell>
          <cell r="AQ3418">
            <v>0</v>
          </cell>
          <cell r="AV3418">
            <v>2630000</v>
          </cell>
        </row>
        <row r="3419">
          <cell r="E3419" t="str">
            <v>Z26000347</v>
          </cell>
          <cell r="AP3419">
            <v>0</v>
          </cell>
          <cell r="AQ3419">
            <v>0</v>
          </cell>
          <cell r="AV3419">
            <v>3400000</v>
          </cell>
        </row>
        <row r="3420">
          <cell r="E3420" t="str">
            <v>Z26000350</v>
          </cell>
          <cell r="AP3420">
            <v>0</v>
          </cell>
          <cell r="AQ3420">
            <v>0</v>
          </cell>
          <cell r="AV3420">
            <v>10980000</v>
          </cell>
        </row>
        <row r="3421">
          <cell r="E3421" t="str">
            <v>Z26000351</v>
          </cell>
          <cell r="AP3421">
            <v>0</v>
          </cell>
          <cell r="AQ3421">
            <v>0</v>
          </cell>
          <cell r="AV3421">
            <v>1060000</v>
          </cell>
        </row>
        <row r="3422">
          <cell r="E3422" t="str">
            <v>Z26000353</v>
          </cell>
          <cell r="AP3422">
            <v>0</v>
          </cell>
          <cell r="AQ3422">
            <v>0</v>
          </cell>
          <cell r="AV3422">
            <v>11400000</v>
          </cell>
        </row>
        <row r="3423">
          <cell r="E3423" t="str">
            <v>Z26000355</v>
          </cell>
          <cell r="AP3423">
            <v>0</v>
          </cell>
          <cell r="AQ3423">
            <v>0</v>
          </cell>
          <cell r="AV3423">
            <v>22600000</v>
          </cell>
        </row>
        <row r="3424">
          <cell r="E3424" t="str">
            <v>Z26000356</v>
          </cell>
          <cell r="AP3424">
            <v>0</v>
          </cell>
          <cell r="AQ3424">
            <v>0</v>
          </cell>
          <cell r="AV3424">
            <v>4859000</v>
          </cell>
        </row>
        <row r="3425">
          <cell r="E3425" t="str">
            <v>Z26000360</v>
          </cell>
          <cell r="AP3425">
            <v>0</v>
          </cell>
          <cell r="AQ3425">
            <v>0</v>
          </cell>
          <cell r="AV3425">
            <v>8300000</v>
          </cell>
        </row>
        <row r="3426">
          <cell r="E3426" t="str">
            <v>Z26000361</v>
          </cell>
          <cell r="AP3426">
            <v>0</v>
          </cell>
          <cell r="AQ3426">
            <v>0</v>
          </cell>
          <cell r="AV3426">
            <v>46233600</v>
          </cell>
        </row>
        <row r="3427">
          <cell r="E3427" t="str">
            <v>Z26000362</v>
          </cell>
          <cell r="AP3427">
            <v>0</v>
          </cell>
          <cell r="AQ3427">
            <v>0</v>
          </cell>
          <cell r="AV3427">
            <v>49800000</v>
          </cell>
        </row>
        <row r="3428">
          <cell r="E3428" t="str">
            <v>Z26000363</v>
          </cell>
          <cell r="AP3428">
            <v>0</v>
          </cell>
          <cell r="AQ3428">
            <v>0</v>
          </cell>
          <cell r="AV3428">
            <v>193175000</v>
          </cell>
        </row>
        <row r="3429">
          <cell r="E3429" t="str">
            <v>Z26000364</v>
          </cell>
          <cell r="AP3429">
            <v>0</v>
          </cell>
          <cell r="AQ3429">
            <v>0</v>
          </cell>
          <cell r="AV3429">
            <v>25200000</v>
          </cell>
        </row>
        <row r="3430">
          <cell r="E3430" t="str">
            <v>Z26000365</v>
          </cell>
          <cell r="AP3430">
            <v>0</v>
          </cell>
          <cell r="AQ3430">
            <v>0</v>
          </cell>
          <cell r="AV3430">
            <v>7890000</v>
          </cell>
        </row>
        <row r="3431">
          <cell r="E3431" t="str">
            <v>Z26000366</v>
          </cell>
          <cell r="AP3431">
            <v>0</v>
          </cell>
          <cell r="AQ3431">
            <v>0</v>
          </cell>
          <cell r="AV3431">
            <v>3200000</v>
          </cell>
        </row>
        <row r="3432">
          <cell r="E3432" t="str">
            <v>Z26000391</v>
          </cell>
          <cell r="AP3432">
            <v>0</v>
          </cell>
          <cell r="AQ3432">
            <v>0</v>
          </cell>
          <cell r="AV3432">
            <v>30240000</v>
          </cell>
        </row>
        <row r="3433">
          <cell r="E3433" t="str">
            <v>Z26000395</v>
          </cell>
          <cell r="AP3433">
            <v>0</v>
          </cell>
          <cell r="AQ3433">
            <v>0</v>
          </cell>
          <cell r="AV3433">
            <v>9800000</v>
          </cell>
        </row>
        <row r="3434">
          <cell r="E3434" t="str">
            <v>Z26000416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Z26000417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Z26000425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B25014986</v>
          </cell>
          <cell r="AP3437">
            <v>0</v>
          </cell>
          <cell r="AQ3437">
            <v>0</v>
          </cell>
          <cell r="AV3437">
            <v>100000000</v>
          </cell>
        </row>
        <row r="3438">
          <cell r="E3438" t="str">
            <v>D25019317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D25019601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D26000157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D26000158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B26000947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B26000948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B26000966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B26001118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B26001119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B26001249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B26001250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B26001475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B26001478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B26001642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B26001643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D26001961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D26001962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D25015134</v>
          </cell>
          <cell r="AP3455">
            <v>0</v>
          </cell>
          <cell r="AQ3455">
            <v>0</v>
          </cell>
          <cell r="AV3455">
            <v>12582500</v>
          </cell>
        </row>
        <row r="3456">
          <cell r="E3456" t="str">
            <v>D25015237</v>
          </cell>
          <cell r="AP3456">
            <v>0</v>
          </cell>
          <cell r="AQ3456">
            <v>0</v>
          </cell>
          <cell r="AV3456">
            <v>5360000</v>
          </cell>
        </row>
        <row r="3457">
          <cell r="E3457" t="str">
            <v>B25012977</v>
          </cell>
          <cell r="AP3457">
            <v>0</v>
          </cell>
          <cell r="AQ3457">
            <v>0</v>
          </cell>
          <cell r="AV3457">
            <v>2057500</v>
          </cell>
        </row>
        <row r="3458">
          <cell r="E3458" t="str">
            <v>B25012977</v>
          </cell>
          <cell r="AP3458">
            <v>0</v>
          </cell>
          <cell r="AQ3458">
            <v>0</v>
          </cell>
          <cell r="AV3458">
            <v>1442500</v>
          </cell>
        </row>
        <row r="3459">
          <cell r="E3459" t="str">
            <v>D25015318</v>
          </cell>
          <cell r="AP3459">
            <v>0</v>
          </cell>
          <cell r="AQ3459">
            <v>0</v>
          </cell>
          <cell r="AV3459">
            <v>3557500</v>
          </cell>
        </row>
        <row r="3460">
          <cell r="E3460" t="str">
            <v>D25015318</v>
          </cell>
          <cell r="AP3460">
            <v>0</v>
          </cell>
          <cell r="AQ3460">
            <v>0</v>
          </cell>
          <cell r="AV3460">
            <v>3642500</v>
          </cell>
        </row>
        <row r="3461">
          <cell r="E3461" t="str">
            <v>T25001535</v>
          </cell>
          <cell r="AP3461">
            <v>0</v>
          </cell>
          <cell r="AQ3461">
            <v>0</v>
          </cell>
          <cell r="AV3461">
            <v>2650000</v>
          </cell>
        </row>
        <row r="3462">
          <cell r="E3462" t="str">
            <v>T25001567</v>
          </cell>
          <cell r="AP3462">
            <v>0</v>
          </cell>
          <cell r="AQ3462">
            <v>0</v>
          </cell>
          <cell r="AV3462">
            <v>7100000</v>
          </cell>
        </row>
        <row r="3463">
          <cell r="E3463" t="str">
            <v>D25016827</v>
          </cell>
          <cell r="AP3463">
            <v>0</v>
          </cell>
          <cell r="AQ3463">
            <v>0</v>
          </cell>
          <cell r="AV3463">
            <v>2250000</v>
          </cell>
        </row>
        <row r="3464">
          <cell r="E3464" t="str">
            <v>D25017607</v>
          </cell>
          <cell r="AP3464">
            <v>0</v>
          </cell>
          <cell r="AQ3464">
            <v>0</v>
          </cell>
          <cell r="AV3464">
            <v>6450000</v>
          </cell>
        </row>
        <row r="3465">
          <cell r="E3465" t="str">
            <v>D25017620</v>
          </cell>
          <cell r="AP3465">
            <v>0</v>
          </cell>
          <cell r="AQ3465">
            <v>0</v>
          </cell>
          <cell r="AV3465">
            <v>8640000</v>
          </cell>
        </row>
        <row r="3466">
          <cell r="E3466" t="str">
            <v>D25017774</v>
          </cell>
          <cell r="AP3466">
            <v>0</v>
          </cell>
          <cell r="AQ3466">
            <v>0</v>
          </cell>
          <cell r="AV3466">
            <v>3000000</v>
          </cell>
        </row>
        <row r="3467">
          <cell r="E3467" t="str">
            <v>D25018154</v>
          </cell>
          <cell r="AP3467">
            <v>0</v>
          </cell>
          <cell r="AQ3467">
            <v>0</v>
          </cell>
          <cell r="AV3467">
            <v>1900000</v>
          </cell>
        </row>
        <row r="3468">
          <cell r="E3468" t="str">
            <v>B25016005</v>
          </cell>
          <cell r="AP3468">
            <v>0</v>
          </cell>
          <cell r="AQ3468">
            <v>0</v>
          </cell>
          <cell r="AV3468">
            <v>157500</v>
          </cell>
        </row>
        <row r="3469">
          <cell r="E3469" t="str">
            <v>B25016005</v>
          </cell>
          <cell r="AP3469">
            <v>0</v>
          </cell>
          <cell r="AQ3469">
            <v>0</v>
          </cell>
          <cell r="AV3469">
            <v>2592500</v>
          </cell>
        </row>
        <row r="3470">
          <cell r="E3470" t="str">
            <v>D25018740</v>
          </cell>
          <cell r="AP3470">
            <v>0</v>
          </cell>
          <cell r="AQ3470">
            <v>0</v>
          </cell>
          <cell r="AV3470">
            <v>23115000</v>
          </cell>
        </row>
        <row r="3471">
          <cell r="E3471" t="str">
            <v>B25016651</v>
          </cell>
          <cell r="AP3471">
            <v>0</v>
          </cell>
          <cell r="AQ3471">
            <v>0</v>
          </cell>
          <cell r="AV3471">
            <v>472500</v>
          </cell>
        </row>
        <row r="3472">
          <cell r="E3472" t="str">
            <v>D25019319</v>
          </cell>
          <cell r="AP3472">
            <v>0</v>
          </cell>
          <cell r="AQ3472">
            <v>0</v>
          </cell>
          <cell r="AV3472">
            <v>2750000</v>
          </cell>
        </row>
        <row r="3473">
          <cell r="E3473" t="str">
            <v>D25019704</v>
          </cell>
          <cell r="AP3473">
            <v>0</v>
          </cell>
          <cell r="AQ3473">
            <v>0</v>
          </cell>
          <cell r="AV3473">
            <v>5280000</v>
          </cell>
        </row>
        <row r="3474">
          <cell r="E3474" t="str">
            <v>B26000642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D26000695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B26000765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D26001107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D26001255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D26001507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B26001502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D26002281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D26002367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D26002420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T25001562k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B25016773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B25016778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B26000578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B26000657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D26000766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B26001187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D26001270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D26001401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D26001431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D26002165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B26002176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B26000978</v>
          </cell>
          <cell r="AP3496">
            <v>0</v>
          </cell>
          <cell r="AQ3496">
            <v>0</v>
          </cell>
          <cell r="AV3496">
            <v>1000000</v>
          </cell>
        </row>
        <row r="3497">
          <cell r="E3497" t="str">
            <v>T26000067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T25001828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T25001833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B26000222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B26001178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B26001179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D26001703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T25001654</v>
          </cell>
          <cell r="AP3504">
            <v>0</v>
          </cell>
          <cell r="AQ3504">
            <v>0</v>
          </cell>
          <cell r="AV3504">
            <v>2792500</v>
          </cell>
        </row>
        <row r="3505">
          <cell r="E3505" t="str">
            <v>T25001690</v>
          </cell>
          <cell r="AP3505">
            <v>0</v>
          </cell>
          <cell r="AQ3505">
            <v>0</v>
          </cell>
          <cell r="AV3505">
            <v>1040000</v>
          </cell>
        </row>
        <row r="3506">
          <cell r="E3506" t="str">
            <v>T25001745</v>
          </cell>
          <cell r="AP3506">
            <v>0</v>
          </cell>
          <cell r="AQ3506">
            <v>0</v>
          </cell>
          <cell r="AV3506">
            <v>167500</v>
          </cell>
        </row>
        <row r="3507">
          <cell r="E3507" t="str">
            <v>B25015470</v>
          </cell>
          <cell r="AP3507">
            <v>0</v>
          </cell>
          <cell r="AQ3507">
            <v>0</v>
          </cell>
          <cell r="AV3507">
            <v>2400000</v>
          </cell>
        </row>
        <row r="3508">
          <cell r="E3508">
            <v>250207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>
            <v>250207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B25017090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B26000159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D26000121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T26000008</v>
          </cell>
          <cell r="AP3513">
            <v>0</v>
          </cell>
          <cell r="AQ3513">
            <v>0</v>
          </cell>
          <cell r="AV3513">
            <v>0</v>
          </cell>
        </row>
        <row r="3514">
          <cell r="E3514" t="str">
            <v>D26000439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D26000742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T26000037K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T26000087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D26001362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T26000111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B26002145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D26002235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T26000154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B26002224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B26002225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B26001967</v>
          </cell>
          <cell r="AP3525">
            <v>0</v>
          </cell>
          <cell r="AQ3525">
            <v>0</v>
          </cell>
          <cell r="AV3525">
            <v>5935000</v>
          </cell>
        </row>
        <row r="3526">
          <cell r="E3526" t="str">
            <v>B26001968</v>
          </cell>
          <cell r="AP3526">
            <v>0</v>
          </cell>
          <cell r="AQ3526">
            <v>0</v>
          </cell>
          <cell r="AV3526">
            <v>3200000</v>
          </cell>
        </row>
        <row r="3527">
          <cell r="E3527" t="str">
            <v>B26001969</v>
          </cell>
          <cell r="AP3527">
            <v>0</v>
          </cell>
          <cell r="AQ3527">
            <v>0</v>
          </cell>
          <cell r="AV3527">
            <v>250000</v>
          </cell>
        </row>
        <row r="3528">
          <cell r="E3528" t="str">
            <v>B25014948</v>
          </cell>
          <cell r="AP3528">
            <v>0</v>
          </cell>
          <cell r="AQ3528">
            <v>0</v>
          </cell>
          <cell r="AV3528">
            <v>362340000</v>
          </cell>
        </row>
        <row r="3529">
          <cell r="E3529" t="str">
            <v>D25018257</v>
          </cell>
          <cell r="AP3529">
            <v>0</v>
          </cell>
          <cell r="AQ3529">
            <v>0</v>
          </cell>
          <cell r="AV3529">
            <v>127500000</v>
          </cell>
        </row>
        <row r="3530">
          <cell r="E3530" t="str">
            <v>B25015870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B25016191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B25016709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D26000546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D26000623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D26001522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R26000001</v>
          </cell>
          <cell r="AP3536">
            <v>0</v>
          </cell>
          <cell r="AQ3536">
            <v>0</v>
          </cell>
          <cell r="AV3536">
            <v>0</v>
          </cell>
        </row>
        <row r="3537">
          <cell r="E3537" t="str">
            <v>T25001576</v>
          </cell>
          <cell r="AP3537">
            <v>0</v>
          </cell>
          <cell r="AQ3537">
            <v>0</v>
          </cell>
          <cell r="AV3537">
            <v>2500000</v>
          </cell>
        </row>
        <row r="3538">
          <cell r="E3538" t="str">
            <v>T25001576</v>
          </cell>
          <cell r="AP3538">
            <v>0</v>
          </cell>
          <cell r="AQ3538">
            <v>0</v>
          </cell>
          <cell r="AV3538">
            <v>2000000</v>
          </cell>
        </row>
        <row r="3539">
          <cell r="E3539" t="str">
            <v>B25014771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B25015904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D25019221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T26000072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T26000075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B26002165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T26000159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B26001333</v>
          </cell>
          <cell r="AP3546">
            <v>0</v>
          </cell>
          <cell r="AQ3546">
            <v>0</v>
          </cell>
          <cell r="AV3546">
            <v>5720000</v>
          </cell>
        </row>
        <row r="3547">
          <cell r="E3547" t="str">
            <v>B26001682</v>
          </cell>
          <cell r="AP3547">
            <v>0</v>
          </cell>
          <cell r="AQ3547">
            <v>0</v>
          </cell>
          <cell r="AV3547">
            <v>350000</v>
          </cell>
        </row>
        <row r="3548">
          <cell r="E3548" t="str">
            <v>D26000750</v>
          </cell>
          <cell r="AP3548">
            <v>0</v>
          </cell>
          <cell r="AQ3548">
            <v>0</v>
          </cell>
          <cell r="AV3548">
            <v>4919475</v>
          </cell>
        </row>
        <row r="3549">
          <cell r="E3549" t="str">
            <v>D26000851</v>
          </cell>
          <cell r="AP3549">
            <v>0</v>
          </cell>
          <cell r="AQ3549">
            <v>0</v>
          </cell>
          <cell r="AV3549">
            <v>10412500</v>
          </cell>
        </row>
        <row r="3550">
          <cell r="E3550" t="str">
            <v>D26001010</v>
          </cell>
          <cell r="AP3550">
            <v>0</v>
          </cell>
          <cell r="AQ3550">
            <v>0</v>
          </cell>
          <cell r="AV3550">
            <v>14668025</v>
          </cell>
        </row>
        <row r="3551">
          <cell r="E3551" t="str">
            <v>D26001589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B26002185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Z25003250</v>
          </cell>
          <cell r="AP3553">
            <v>0</v>
          </cell>
          <cell r="AQ3553">
            <v>0</v>
          </cell>
          <cell r="AV3553">
            <v>30000000</v>
          </cell>
        </row>
        <row r="3554">
          <cell r="E3554" t="str">
            <v>D25015849</v>
          </cell>
          <cell r="AP3554">
            <v>0</v>
          </cell>
          <cell r="AQ3554">
            <v>0</v>
          </cell>
          <cell r="AV3554">
            <v>6916800</v>
          </cell>
        </row>
        <row r="3555">
          <cell r="E3555">
            <v>250144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>
            <v>250144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>
            <v>250149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B25014405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B25015908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D25018315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D25018762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D25018851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B25016978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B25017020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D25019626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B26000278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B26000628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B26000074</v>
          </cell>
          <cell r="AP3568">
            <v>0</v>
          </cell>
          <cell r="AQ3568">
            <v>0</v>
          </cell>
          <cell r="AV3568">
            <v>1179500</v>
          </cell>
        </row>
        <row r="3569">
          <cell r="E3569" t="str">
            <v>B26000533</v>
          </cell>
          <cell r="AP3569">
            <v>0</v>
          </cell>
          <cell r="AQ3569">
            <v>0</v>
          </cell>
          <cell r="AV3569">
            <v>1152000</v>
          </cell>
        </row>
        <row r="3570">
          <cell r="E3570" t="str">
            <v>D26001597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D26002359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D25017597</v>
          </cell>
          <cell r="AP3572">
            <v>0</v>
          </cell>
          <cell r="AQ3572">
            <v>0</v>
          </cell>
          <cell r="AV3572">
            <v>15440000</v>
          </cell>
        </row>
        <row r="3573">
          <cell r="E3573" t="str">
            <v>D25019506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B26001471</v>
          </cell>
          <cell r="AP3574">
            <v>0</v>
          </cell>
          <cell r="AQ3574">
            <v>0</v>
          </cell>
          <cell r="AV3574">
            <v>42000000</v>
          </cell>
        </row>
        <row r="3575">
          <cell r="E3575" t="str">
            <v>B26001703</v>
          </cell>
          <cell r="AP3575">
            <v>0</v>
          </cell>
          <cell r="AQ3575">
            <v>0</v>
          </cell>
          <cell r="AV3575">
            <v>10000000</v>
          </cell>
        </row>
        <row r="3576">
          <cell r="E3576" t="str">
            <v>B26001703</v>
          </cell>
          <cell r="AP3576">
            <v>0</v>
          </cell>
          <cell r="AQ3576">
            <v>0</v>
          </cell>
          <cell r="AV3576">
            <v>8000000</v>
          </cell>
        </row>
        <row r="3577">
          <cell r="E3577" t="str">
            <v>T25001473</v>
          </cell>
          <cell r="AP3577">
            <v>0</v>
          </cell>
          <cell r="AQ3577">
            <v>0</v>
          </cell>
          <cell r="AV3577">
            <v>1700000</v>
          </cell>
        </row>
        <row r="3578">
          <cell r="E3578" t="str">
            <v>T25001831</v>
          </cell>
          <cell r="AP3578">
            <v>0</v>
          </cell>
          <cell r="AQ3578">
            <v>0</v>
          </cell>
          <cell r="AV3578">
            <v>2575000</v>
          </cell>
        </row>
        <row r="3579">
          <cell r="E3579" t="str">
            <v>D25019065</v>
          </cell>
          <cell r="AP3579">
            <v>0</v>
          </cell>
          <cell r="AQ3579">
            <v>0</v>
          </cell>
          <cell r="AV3579">
            <v>2700000</v>
          </cell>
        </row>
        <row r="3580">
          <cell r="E3580" t="str">
            <v>D25019213</v>
          </cell>
          <cell r="AP3580">
            <v>0</v>
          </cell>
          <cell r="AQ3580">
            <v>0</v>
          </cell>
          <cell r="AV3580">
            <v>1900000</v>
          </cell>
        </row>
        <row r="3581">
          <cell r="E3581" t="str">
            <v>D25019332</v>
          </cell>
          <cell r="AP3581">
            <v>0</v>
          </cell>
          <cell r="AQ3581">
            <v>0</v>
          </cell>
          <cell r="AV3581">
            <v>9800000</v>
          </cell>
        </row>
        <row r="3582">
          <cell r="E3582" t="str">
            <v>D25019445</v>
          </cell>
          <cell r="AP3582">
            <v>0</v>
          </cell>
          <cell r="AQ3582">
            <v>0</v>
          </cell>
          <cell r="AV3582">
            <v>5925000</v>
          </cell>
        </row>
        <row r="3583">
          <cell r="E3583" t="str">
            <v>D25019683</v>
          </cell>
          <cell r="AP3583">
            <v>0</v>
          </cell>
          <cell r="AQ3583">
            <v>0</v>
          </cell>
          <cell r="AV3583">
            <v>5400000</v>
          </cell>
        </row>
        <row r="3584">
          <cell r="E3584" t="str">
            <v>D26000422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B26000426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B26000457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B26000596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D26000936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D26001127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D26001360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B26001653</v>
          </cell>
          <cell r="AP3591">
            <v>0</v>
          </cell>
          <cell r="AQ3591">
            <v>0</v>
          </cell>
          <cell r="AV3591">
            <v>12000000</v>
          </cell>
        </row>
        <row r="3592">
          <cell r="E3592" t="str">
            <v>B26002014</v>
          </cell>
          <cell r="AP3592">
            <v>0</v>
          </cell>
          <cell r="AQ3592">
            <v>0</v>
          </cell>
          <cell r="AV3592">
            <v>33600000</v>
          </cell>
        </row>
        <row r="3593">
          <cell r="E3593" t="str">
            <v>D26002208</v>
          </cell>
          <cell r="AP3593">
            <v>0</v>
          </cell>
          <cell r="AQ3593">
            <v>0</v>
          </cell>
          <cell r="AV3593">
            <v>5600000</v>
          </cell>
        </row>
        <row r="3594">
          <cell r="E3594" t="str">
            <v>D26002314</v>
          </cell>
          <cell r="AP3594">
            <v>0</v>
          </cell>
          <cell r="AQ3594">
            <v>0</v>
          </cell>
          <cell r="AV3594">
            <v>75520000</v>
          </cell>
        </row>
        <row r="3595">
          <cell r="E3595" t="str">
            <v>D26002314</v>
          </cell>
          <cell r="AP3595">
            <v>0</v>
          </cell>
          <cell r="AQ3595">
            <v>0</v>
          </cell>
          <cell r="AV3595">
            <v>20480000</v>
          </cell>
        </row>
        <row r="3596">
          <cell r="E3596" t="str">
            <v>B26002232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D26002398</v>
          </cell>
          <cell r="AP3597">
            <v>0</v>
          </cell>
          <cell r="AQ3597">
            <v>0</v>
          </cell>
          <cell r="AV3597">
            <v>9520000</v>
          </cell>
        </row>
        <row r="3598">
          <cell r="E3598" t="str">
            <v>T25001873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D25019628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D25019721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B26000452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D26001889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B26001976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B26001908</v>
          </cell>
          <cell r="AP3604">
            <v>0</v>
          </cell>
          <cell r="AQ3604">
            <v>0</v>
          </cell>
          <cell r="AV3604">
            <v>10000000</v>
          </cell>
        </row>
        <row r="3605">
          <cell r="E3605" t="str">
            <v>T25001857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D26002005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B25016933</v>
          </cell>
          <cell r="AP3607">
            <v>0</v>
          </cell>
          <cell r="AQ3607">
            <v>0</v>
          </cell>
          <cell r="AV3607">
            <v>980000</v>
          </cell>
        </row>
        <row r="3608">
          <cell r="E3608" t="str">
            <v>D26000881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D26000954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D26000956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B26001363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B26002106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B26002108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B26002109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B26000488</v>
          </cell>
          <cell r="AP3615">
            <v>0</v>
          </cell>
          <cell r="AQ3615">
            <v>0</v>
          </cell>
          <cell r="AV3615">
            <v>4330000</v>
          </cell>
        </row>
        <row r="3616">
          <cell r="E3616" t="str">
            <v>D26001734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D26001735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B25016727</v>
          </cell>
          <cell r="AP3618">
            <v>0</v>
          </cell>
          <cell r="AQ3618">
            <v>0</v>
          </cell>
          <cell r="AV3618">
            <v>3960000</v>
          </cell>
        </row>
        <row r="3619">
          <cell r="E3619" t="str">
            <v>B26000129</v>
          </cell>
          <cell r="AP3619">
            <v>0</v>
          </cell>
          <cell r="AQ3619">
            <v>0</v>
          </cell>
          <cell r="AV3619">
            <v>2160000</v>
          </cell>
        </row>
        <row r="3620">
          <cell r="E3620" t="str">
            <v>B26000158</v>
          </cell>
          <cell r="AP3620">
            <v>0</v>
          </cell>
          <cell r="AQ3620">
            <v>0</v>
          </cell>
          <cell r="AV3620">
            <v>18120000</v>
          </cell>
        </row>
        <row r="3621">
          <cell r="E3621" t="str">
            <v>D26000198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D26000503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D26000716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D26000724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B26001025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D26001525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D26001590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B26001732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B26002038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B26001832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B26000447</v>
          </cell>
          <cell r="AP3631">
            <v>0</v>
          </cell>
          <cell r="AQ3631">
            <v>0</v>
          </cell>
          <cell r="AV3631">
            <v>9930000</v>
          </cell>
        </row>
        <row r="3632">
          <cell r="E3632" t="str">
            <v>D26001937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B26001877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B26001919</v>
          </cell>
          <cell r="AP3634">
            <v>0</v>
          </cell>
          <cell r="AQ3634">
            <v>0</v>
          </cell>
          <cell r="AV3634">
            <v>3840000</v>
          </cell>
        </row>
        <row r="3635">
          <cell r="E3635" t="str">
            <v>B26002085</v>
          </cell>
          <cell r="AP3635">
            <v>0</v>
          </cell>
          <cell r="AQ3635">
            <v>0</v>
          </cell>
          <cell r="AV3635">
            <v>19200000</v>
          </cell>
        </row>
        <row r="3636">
          <cell r="E3636" t="str">
            <v>B26002147</v>
          </cell>
          <cell r="AP3636">
            <v>0</v>
          </cell>
          <cell r="AQ3636">
            <v>0</v>
          </cell>
          <cell r="AV3636">
            <v>14040000</v>
          </cell>
        </row>
        <row r="3637">
          <cell r="E3637" t="str">
            <v>B26002147</v>
          </cell>
          <cell r="AP3637">
            <v>0</v>
          </cell>
          <cell r="AQ3637">
            <v>0</v>
          </cell>
          <cell r="AV3637">
            <v>5160000</v>
          </cell>
        </row>
        <row r="3638">
          <cell r="E3638" t="str">
            <v>B25016334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B25016529</v>
          </cell>
          <cell r="AP3639">
            <v>0</v>
          </cell>
          <cell r="AQ3639">
            <v>0</v>
          </cell>
          <cell r="AV3639">
            <v>10000000</v>
          </cell>
        </row>
        <row r="3640">
          <cell r="E3640" t="str">
            <v>B25016529</v>
          </cell>
          <cell r="AP3640">
            <v>0</v>
          </cell>
          <cell r="AQ3640">
            <v>0</v>
          </cell>
          <cell r="AV3640">
            <v>10000000</v>
          </cell>
        </row>
        <row r="3641">
          <cell r="E3641" t="str">
            <v>B26000414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B26001424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B26002026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B26002098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B26001671</v>
          </cell>
          <cell r="AP3645">
            <v>0</v>
          </cell>
          <cell r="AQ3645">
            <v>0</v>
          </cell>
          <cell r="AV3645">
            <v>26380000</v>
          </cell>
        </row>
        <row r="3646">
          <cell r="E3646" t="str">
            <v>D25018644</v>
          </cell>
          <cell r="AP3646">
            <v>0</v>
          </cell>
          <cell r="AQ3646">
            <v>0</v>
          </cell>
          <cell r="AV3646">
            <v>10000000</v>
          </cell>
        </row>
        <row r="3647">
          <cell r="E3647" t="str">
            <v>D25018644</v>
          </cell>
          <cell r="AP3647">
            <v>0</v>
          </cell>
          <cell r="AQ3647">
            <v>0</v>
          </cell>
          <cell r="AV3647">
            <v>2760000</v>
          </cell>
        </row>
        <row r="3648">
          <cell r="E3648" t="str">
            <v>D25019241</v>
          </cell>
          <cell r="AP3648">
            <v>0</v>
          </cell>
          <cell r="AQ3648">
            <v>0</v>
          </cell>
          <cell r="AV3648">
            <v>7240000</v>
          </cell>
        </row>
        <row r="3649">
          <cell r="E3649" t="str">
            <v>B25017119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D26000410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B26001140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B26001505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B26002099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B26002119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D25016662</v>
          </cell>
          <cell r="AP3655">
            <v>0</v>
          </cell>
          <cell r="AQ3655">
            <v>0</v>
          </cell>
          <cell r="AV3655">
            <v>1125000</v>
          </cell>
        </row>
        <row r="3656">
          <cell r="E3656" t="str">
            <v>B25014446</v>
          </cell>
          <cell r="AP3656">
            <v>0</v>
          </cell>
          <cell r="AQ3656">
            <v>0</v>
          </cell>
          <cell r="AV3656">
            <v>4510000</v>
          </cell>
        </row>
        <row r="3657">
          <cell r="E3657" t="str">
            <v>B25014447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D25019693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D26000787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B26001474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B26002102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B26000338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B26000339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B26000340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B26001085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B26001133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D26000958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D26000959</v>
          </cell>
          <cell r="AP3668">
            <v>0</v>
          </cell>
          <cell r="AQ3668">
            <v>0</v>
          </cell>
          <cell r="AV3668">
            <v>0</v>
          </cell>
        </row>
        <row r="3669">
          <cell r="E3669" t="str">
            <v>D26001641</v>
          </cell>
          <cell r="AP3669">
            <v>0</v>
          </cell>
          <cell r="AQ3669">
            <v>0</v>
          </cell>
          <cell r="AV3669">
            <v>148000000</v>
          </cell>
        </row>
        <row r="3670">
          <cell r="E3670" t="str">
            <v>D26001997</v>
          </cell>
          <cell r="AP3670">
            <v>0</v>
          </cell>
          <cell r="AQ3670">
            <v>0</v>
          </cell>
          <cell r="AV3670">
            <v>152000000</v>
          </cell>
        </row>
        <row r="3671">
          <cell r="E3671" t="str">
            <v>D25019256</v>
          </cell>
          <cell r="AP3671">
            <v>0</v>
          </cell>
          <cell r="AQ3671">
            <v>0</v>
          </cell>
          <cell r="AV3671">
            <v>566500000</v>
          </cell>
        </row>
        <row r="3672">
          <cell r="E3672" t="str">
            <v>B25016895</v>
          </cell>
          <cell r="AP3672">
            <v>0</v>
          </cell>
          <cell r="AQ3672">
            <v>0</v>
          </cell>
          <cell r="AV3672">
            <v>103000000</v>
          </cell>
        </row>
        <row r="3673">
          <cell r="E3673" t="str">
            <v>D26000225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D26001335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D26002318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D26000248</v>
          </cell>
          <cell r="AP3676">
            <v>0</v>
          </cell>
          <cell r="AQ3676">
            <v>0</v>
          </cell>
          <cell r="AV3676">
            <v>94000000</v>
          </cell>
        </row>
        <row r="3677">
          <cell r="E3677" t="str">
            <v>D25017916</v>
          </cell>
          <cell r="AP3677">
            <v>0</v>
          </cell>
          <cell r="AQ3677">
            <v>0</v>
          </cell>
          <cell r="AV3677">
            <v>2125000</v>
          </cell>
        </row>
        <row r="3678">
          <cell r="E3678" t="str">
            <v>T25001762</v>
          </cell>
          <cell r="AP3678">
            <v>500</v>
          </cell>
          <cell r="AQ3678">
            <v>0</v>
          </cell>
          <cell r="AV3678">
            <v>823000</v>
          </cell>
        </row>
        <row r="3679">
          <cell r="E3679" t="str">
            <v>B25016635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T25001862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T26000045k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D26001958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D26001959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B26002222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D21000994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D25015293</v>
          </cell>
          <cell r="AP3686">
            <v>0</v>
          </cell>
          <cell r="AQ3686">
            <v>0</v>
          </cell>
          <cell r="AV3686">
            <v>47000000</v>
          </cell>
        </row>
        <row r="3687">
          <cell r="E3687" t="str">
            <v>D25015583</v>
          </cell>
          <cell r="AP3687">
            <v>0</v>
          </cell>
          <cell r="AQ3687">
            <v>0</v>
          </cell>
          <cell r="AV3687">
            <v>56150000</v>
          </cell>
        </row>
        <row r="3688">
          <cell r="E3688" t="str">
            <v>D25015583</v>
          </cell>
          <cell r="AP3688">
            <v>0</v>
          </cell>
          <cell r="AQ3688">
            <v>0</v>
          </cell>
          <cell r="AV3688">
            <v>50000</v>
          </cell>
        </row>
        <row r="3689">
          <cell r="E3689" t="str">
            <v>D25016141</v>
          </cell>
          <cell r="AP3689">
            <v>0</v>
          </cell>
          <cell r="AQ3689">
            <v>0</v>
          </cell>
          <cell r="AV3689">
            <v>4000000</v>
          </cell>
        </row>
        <row r="3690">
          <cell r="E3690" t="str">
            <v>T25001595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B25014837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B25015409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B25016067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D25018472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D25018888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B25016767</v>
          </cell>
          <cell r="AP3696">
            <v>0</v>
          </cell>
          <cell r="AQ3696">
            <v>0</v>
          </cell>
          <cell r="AV3696">
            <v>0</v>
          </cell>
        </row>
        <row r="3697">
          <cell r="E3697" t="str">
            <v>B25016768</v>
          </cell>
          <cell r="AP3697">
            <v>0</v>
          </cell>
          <cell r="AQ3697">
            <v>0</v>
          </cell>
          <cell r="AV3697">
            <v>0</v>
          </cell>
        </row>
        <row r="3698">
          <cell r="E3698" t="str">
            <v>B25016769</v>
          </cell>
          <cell r="AP3698">
            <v>0</v>
          </cell>
          <cell r="AQ3698">
            <v>0</v>
          </cell>
          <cell r="AV3698">
            <v>0</v>
          </cell>
        </row>
        <row r="3699">
          <cell r="E3699" t="str">
            <v>T25001878</v>
          </cell>
          <cell r="AP3699">
            <v>0</v>
          </cell>
          <cell r="AQ3699">
            <v>0</v>
          </cell>
          <cell r="AV3699">
            <v>0</v>
          </cell>
        </row>
        <row r="3700">
          <cell r="E3700" t="str">
            <v>D25019426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D25019525</v>
          </cell>
          <cell r="AP3701">
            <v>0</v>
          </cell>
          <cell r="AQ3701">
            <v>0</v>
          </cell>
          <cell r="AV3701">
            <v>0</v>
          </cell>
        </row>
        <row r="3702">
          <cell r="E3702" t="str">
            <v>B26000135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D26000138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D26000258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D26000379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D26000443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T26000091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D26001793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D26001799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B26002045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B26002046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D26002265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D26001260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B26001673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D26001812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B26000210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D26000907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D25019115</v>
          </cell>
          <cell r="AP3718">
            <v>0</v>
          </cell>
          <cell r="AQ3718">
            <v>0</v>
          </cell>
          <cell r="AV3718">
            <v>5520000</v>
          </cell>
        </row>
        <row r="3719">
          <cell r="E3719" t="str">
            <v>D25019212</v>
          </cell>
          <cell r="AP3719">
            <v>0</v>
          </cell>
          <cell r="AQ3719">
            <v>0</v>
          </cell>
          <cell r="AV3719">
            <v>63480000</v>
          </cell>
        </row>
        <row r="3720">
          <cell r="E3720" t="str">
            <v>B26002206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B26002207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B26000007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B26000094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B26000232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D26000652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B26000855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D26001047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B26001565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D25016822</v>
          </cell>
          <cell r="AP3729">
            <v>0</v>
          </cell>
          <cell r="AQ3729">
            <v>0</v>
          </cell>
          <cell r="AV3729">
            <v>1505000</v>
          </cell>
        </row>
        <row r="3730">
          <cell r="E3730" t="str">
            <v>D25016823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D25016917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B25014748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D25017496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D25017925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B25015850</v>
          </cell>
          <cell r="AP3735">
            <v>0</v>
          </cell>
          <cell r="AQ3735">
            <v>0</v>
          </cell>
          <cell r="AV3735">
            <v>3180000</v>
          </cell>
        </row>
        <row r="3736">
          <cell r="E3736" t="str">
            <v>B25015851</v>
          </cell>
          <cell r="AP3736">
            <v>0</v>
          </cell>
          <cell r="AQ3736">
            <v>0</v>
          </cell>
          <cell r="AV3736">
            <v>920000</v>
          </cell>
        </row>
        <row r="3737">
          <cell r="E3737" t="str">
            <v>B25016043</v>
          </cell>
          <cell r="AP3737">
            <v>0</v>
          </cell>
          <cell r="AQ3737">
            <v>0</v>
          </cell>
          <cell r="AV3737">
            <v>0</v>
          </cell>
        </row>
        <row r="3738">
          <cell r="E3738" t="str">
            <v>B25016050</v>
          </cell>
          <cell r="AP3738">
            <v>0</v>
          </cell>
          <cell r="AQ3738">
            <v>0</v>
          </cell>
          <cell r="AV3738">
            <v>675000</v>
          </cell>
        </row>
        <row r="3739">
          <cell r="E3739" t="str">
            <v>B25016074</v>
          </cell>
          <cell r="AP3739">
            <v>0</v>
          </cell>
          <cell r="AQ3739">
            <v>0</v>
          </cell>
          <cell r="AV3739">
            <v>3720000</v>
          </cell>
        </row>
        <row r="3740">
          <cell r="E3740" t="str">
            <v>B25016744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T25001872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D26000340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B26000589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B26000664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D26000767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D26001109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D26001346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B26001518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B26001871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T25001684</v>
          </cell>
          <cell r="AP3750">
            <v>0</v>
          </cell>
          <cell r="AQ3750">
            <v>0</v>
          </cell>
          <cell r="AV3750">
            <v>3520000</v>
          </cell>
        </row>
        <row r="3751">
          <cell r="E3751" t="str">
            <v>Z25003200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Z25003359</v>
          </cell>
          <cell r="AP3752">
            <v>0</v>
          </cell>
          <cell r="AQ3752">
            <v>0</v>
          </cell>
          <cell r="AV3752">
            <v>204000000</v>
          </cell>
        </row>
        <row r="3753">
          <cell r="E3753" t="str">
            <v>Z25003386</v>
          </cell>
          <cell r="AP3753">
            <v>0</v>
          </cell>
          <cell r="AQ3753">
            <v>0</v>
          </cell>
          <cell r="AV3753">
            <v>23662000</v>
          </cell>
        </row>
        <row r="3754">
          <cell r="E3754" t="str">
            <v>Z25003387</v>
          </cell>
          <cell r="AP3754">
            <v>0</v>
          </cell>
          <cell r="AQ3754">
            <v>0</v>
          </cell>
          <cell r="AV3754">
            <v>5400000</v>
          </cell>
        </row>
        <row r="3755">
          <cell r="E3755" t="str">
            <v>Z25003396</v>
          </cell>
          <cell r="AP3755">
            <v>0</v>
          </cell>
          <cell r="AQ3755">
            <v>0</v>
          </cell>
          <cell r="AV3755">
            <v>25600000</v>
          </cell>
        </row>
        <row r="3756">
          <cell r="E3756" t="str">
            <v>Z26000002</v>
          </cell>
          <cell r="AP3756">
            <v>0</v>
          </cell>
          <cell r="AQ3756">
            <v>0</v>
          </cell>
          <cell r="AV3756">
            <v>36000000</v>
          </cell>
        </row>
        <row r="3757">
          <cell r="E3757" t="str">
            <v>Z26000015</v>
          </cell>
          <cell r="AP3757">
            <v>0</v>
          </cell>
          <cell r="AQ3757">
            <v>0</v>
          </cell>
          <cell r="AV3757">
            <v>0</v>
          </cell>
        </row>
        <row r="3758">
          <cell r="E3758" t="str">
            <v>Z26000028</v>
          </cell>
          <cell r="AP3758">
            <v>0</v>
          </cell>
          <cell r="AQ3758">
            <v>0</v>
          </cell>
          <cell r="AV3758">
            <v>2700000</v>
          </cell>
        </row>
        <row r="3759">
          <cell r="E3759" t="str">
            <v>Z26000032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Z26000059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Z26000064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Z26000067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Z26000075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Z26000076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Z26000090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Z26000099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Z26000107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Z26000113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Z26000114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Z26000134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Z26000141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Z26000156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Z26000171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Z26000179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Z26000183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Z26000184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Z26000185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Z26000187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Z26000190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Z26000196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Z26000223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Z26000224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Z26000248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Z26000251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Z26000253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Z26000254</v>
          </cell>
          <cell r="AP3786">
            <v>0</v>
          </cell>
          <cell r="AQ3786">
            <v>0</v>
          </cell>
          <cell r="AV3786">
            <v>0</v>
          </cell>
        </row>
        <row r="3787">
          <cell r="E3787" t="str">
            <v>Z26000289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Z26000294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Z26000301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Z260006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Z26000327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Z26000328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Z26000336</v>
          </cell>
          <cell r="AP3793">
            <v>0</v>
          </cell>
          <cell r="AQ3793">
            <v>0</v>
          </cell>
          <cell r="AV3793">
            <v>10375000</v>
          </cell>
        </row>
        <row r="3794">
          <cell r="E3794" t="str">
            <v>Z26000344</v>
          </cell>
          <cell r="AP3794">
            <v>0</v>
          </cell>
          <cell r="AQ3794">
            <v>0</v>
          </cell>
          <cell r="AV3794">
            <v>0</v>
          </cell>
        </row>
        <row r="3795">
          <cell r="E3795" t="str">
            <v>Z26000354</v>
          </cell>
          <cell r="AP3795">
            <v>0</v>
          </cell>
          <cell r="AQ3795">
            <v>0</v>
          </cell>
          <cell r="AV3795">
            <v>0</v>
          </cell>
        </row>
        <row r="3796">
          <cell r="E3796" t="str">
            <v>Z26000367</v>
          </cell>
          <cell r="AP3796">
            <v>0</v>
          </cell>
          <cell r="AQ3796">
            <v>0</v>
          </cell>
          <cell r="AV3796">
            <v>0</v>
          </cell>
        </row>
        <row r="3797">
          <cell r="E3797" t="str">
            <v>Z26000375</v>
          </cell>
          <cell r="AP3797">
            <v>0</v>
          </cell>
          <cell r="AQ3797">
            <v>0</v>
          </cell>
          <cell r="AV3797">
            <v>14000000</v>
          </cell>
        </row>
        <row r="3798">
          <cell r="E3798" t="str">
            <v>Z26000376</v>
          </cell>
          <cell r="AP3798">
            <v>0</v>
          </cell>
          <cell r="AQ3798">
            <v>0</v>
          </cell>
          <cell r="AV3798">
            <v>0</v>
          </cell>
        </row>
        <row r="3799">
          <cell r="E3799" t="str">
            <v>Z26000379</v>
          </cell>
          <cell r="AP3799">
            <v>0</v>
          </cell>
          <cell r="AQ3799">
            <v>0</v>
          </cell>
          <cell r="AV3799">
            <v>54500000</v>
          </cell>
        </row>
        <row r="3800">
          <cell r="E3800" t="str">
            <v>Z26000394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Z26000397</v>
          </cell>
          <cell r="AP3801">
            <v>0</v>
          </cell>
          <cell r="AQ3801">
            <v>0</v>
          </cell>
          <cell r="AV3801">
            <v>60952500</v>
          </cell>
        </row>
        <row r="3802">
          <cell r="E3802" t="str">
            <v>Z26000398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Z26000399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Z26000400</v>
          </cell>
          <cell r="AP3804">
            <v>0</v>
          </cell>
          <cell r="AQ3804">
            <v>0</v>
          </cell>
          <cell r="AV3804">
            <v>29047500</v>
          </cell>
        </row>
        <row r="3805">
          <cell r="E3805" t="str">
            <v>Z26000400</v>
          </cell>
          <cell r="AP3805">
            <v>0</v>
          </cell>
          <cell r="AQ3805">
            <v>0</v>
          </cell>
          <cell r="AV3805">
            <v>7352500</v>
          </cell>
        </row>
        <row r="3806">
          <cell r="E3806" t="str">
            <v>Z260007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B26000613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B26001035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D26001531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B26001523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B26000797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B26001396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B26001970</v>
          </cell>
          <cell r="AP3813">
            <v>0</v>
          </cell>
          <cell r="AQ3813">
            <v>0</v>
          </cell>
          <cell r="AV3813">
            <v>1465000</v>
          </cell>
        </row>
        <row r="3814">
          <cell r="E3814" t="str">
            <v>D26002444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D26000187</v>
          </cell>
          <cell r="AP3815">
            <v>0</v>
          </cell>
          <cell r="AQ3815">
            <v>0</v>
          </cell>
          <cell r="AV3815">
            <v>38000000</v>
          </cell>
        </row>
        <row r="3816">
          <cell r="E3816" t="str">
            <v>D26001166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D26001903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D26000368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B26001617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D26002275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D26002319</v>
          </cell>
          <cell r="AP3821">
            <v>0</v>
          </cell>
          <cell r="AQ3821">
            <v>0</v>
          </cell>
          <cell r="AV3821">
            <v>0</v>
          </cell>
        </row>
        <row r="3822">
          <cell r="E3822" t="str">
            <v>D25017927</v>
          </cell>
          <cell r="AP3822">
            <v>0</v>
          </cell>
          <cell r="AQ3822">
            <v>0</v>
          </cell>
          <cell r="AV3822">
            <v>3120000</v>
          </cell>
        </row>
        <row r="3823">
          <cell r="E3823" t="str">
            <v>B26001933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B26001934</v>
          </cell>
          <cell r="AP3824">
            <v>0</v>
          </cell>
          <cell r="AQ3824">
            <v>0</v>
          </cell>
          <cell r="AV3824">
            <v>0</v>
          </cell>
        </row>
        <row r="3825">
          <cell r="E3825" t="str">
            <v>D25018875</v>
          </cell>
          <cell r="AP3825">
            <v>0</v>
          </cell>
          <cell r="AQ3825">
            <v>0</v>
          </cell>
          <cell r="AV3825">
            <v>7300000</v>
          </cell>
        </row>
        <row r="3826">
          <cell r="E3826" t="str">
            <v>B26000196</v>
          </cell>
          <cell r="AP3826">
            <v>0</v>
          </cell>
          <cell r="AQ3826">
            <v>0</v>
          </cell>
          <cell r="AV3826">
            <v>2675000</v>
          </cell>
        </row>
        <row r="3827">
          <cell r="E3827" t="str">
            <v>B26000236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B26001165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D25019027</v>
          </cell>
          <cell r="AP3829">
            <v>0</v>
          </cell>
          <cell r="AQ3829">
            <v>0</v>
          </cell>
          <cell r="AV3829">
            <v>14110000</v>
          </cell>
        </row>
        <row r="3830">
          <cell r="E3830" t="str">
            <v>D25019224</v>
          </cell>
          <cell r="AP3830">
            <v>0</v>
          </cell>
          <cell r="AQ3830">
            <v>0</v>
          </cell>
          <cell r="AV3830">
            <v>2625000</v>
          </cell>
        </row>
        <row r="3831">
          <cell r="E3831" t="str">
            <v>B25016888</v>
          </cell>
          <cell r="AP3831">
            <v>0</v>
          </cell>
          <cell r="AQ3831">
            <v>0</v>
          </cell>
          <cell r="AV3831">
            <v>3920000</v>
          </cell>
        </row>
        <row r="3832">
          <cell r="E3832" t="str">
            <v>B25016889</v>
          </cell>
          <cell r="AP3832">
            <v>0</v>
          </cell>
          <cell r="AQ3832">
            <v>0</v>
          </cell>
          <cell r="AV3832">
            <v>4957500</v>
          </cell>
        </row>
        <row r="3833">
          <cell r="E3833" t="str">
            <v>B25016891</v>
          </cell>
          <cell r="AP3833">
            <v>0</v>
          </cell>
          <cell r="AQ3833">
            <v>0</v>
          </cell>
          <cell r="AV3833">
            <v>10532000</v>
          </cell>
        </row>
        <row r="3834">
          <cell r="E3834" t="str">
            <v>B25016893</v>
          </cell>
          <cell r="AP3834">
            <v>0</v>
          </cell>
          <cell r="AQ3834">
            <v>0</v>
          </cell>
          <cell r="AV3834">
            <v>1355000</v>
          </cell>
        </row>
        <row r="3835">
          <cell r="E3835" t="str">
            <v>B25016900</v>
          </cell>
          <cell r="AP3835">
            <v>0</v>
          </cell>
          <cell r="AQ3835">
            <v>0</v>
          </cell>
          <cell r="AV3835">
            <v>408000</v>
          </cell>
        </row>
        <row r="3836">
          <cell r="E3836" t="str">
            <v>B26000098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B26000099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B26000100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B26000282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B26000283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B26000749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B26000750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B26000751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B26000752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B26000753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B26000988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D26001423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D26001424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B26001393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D26001847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D26001871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D26001906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D26001915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B26002073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B26002074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B26002075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B26002076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B26002077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T25001704</v>
          </cell>
          <cell r="AP3859">
            <v>0</v>
          </cell>
          <cell r="AQ3859">
            <v>0</v>
          </cell>
          <cell r="AV3859">
            <v>1000000</v>
          </cell>
        </row>
        <row r="3860">
          <cell r="E3860" t="str">
            <v>T25001810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T25001813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T26000127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T26000128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Z25003043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Z25003090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Z25003155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Z25003160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Z25003231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Z26000132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Z26000165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Z26000295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B25017064</v>
          </cell>
          <cell r="AP3872">
            <v>0</v>
          </cell>
          <cell r="AQ3872">
            <v>0</v>
          </cell>
          <cell r="AV3872">
            <v>127500</v>
          </cell>
        </row>
        <row r="3873">
          <cell r="E3873" t="str">
            <v>B25017065</v>
          </cell>
          <cell r="AP3873">
            <v>0</v>
          </cell>
          <cell r="AQ3873">
            <v>0</v>
          </cell>
          <cell r="AV3873">
            <v>705000</v>
          </cell>
        </row>
        <row r="3874">
          <cell r="E3874" t="str">
            <v>D25019700</v>
          </cell>
          <cell r="AP3874">
            <v>0</v>
          </cell>
          <cell r="AQ3874">
            <v>0</v>
          </cell>
          <cell r="AV3874">
            <v>3400000</v>
          </cell>
        </row>
        <row r="3875">
          <cell r="E3875" t="str">
            <v>D26000005</v>
          </cell>
          <cell r="AP3875">
            <v>0</v>
          </cell>
          <cell r="AQ3875">
            <v>0</v>
          </cell>
          <cell r="AV3875">
            <v>5100000</v>
          </cell>
        </row>
        <row r="3876">
          <cell r="E3876" t="str">
            <v>D26001014</v>
          </cell>
          <cell r="AP3876">
            <v>0</v>
          </cell>
          <cell r="AQ3876">
            <v>0</v>
          </cell>
          <cell r="AV3876">
            <v>7817500</v>
          </cell>
        </row>
        <row r="3877">
          <cell r="E3877" t="str">
            <v>B26001940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D25017673</v>
          </cell>
          <cell r="AP3878">
            <v>0</v>
          </cell>
          <cell r="AQ3878">
            <v>0</v>
          </cell>
          <cell r="AV3878">
            <v>3750000</v>
          </cell>
        </row>
        <row r="3879">
          <cell r="E3879" t="str">
            <v>B26001151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B26001152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B26000491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B26001583</v>
          </cell>
          <cell r="AP3882">
            <v>0</v>
          </cell>
          <cell r="AQ3882">
            <v>0</v>
          </cell>
          <cell r="AV3882">
            <v>9700000</v>
          </cell>
        </row>
        <row r="3883">
          <cell r="E3883" t="str">
            <v>B26001701</v>
          </cell>
          <cell r="AP3883">
            <v>0</v>
          </cell>
          <cell r="AQ3883">
            <v>0</v>
          </cell>
          <cell r="AV3883">
            <v>3680000</v>
          </cell>
        </row>
        <row r="3884">
          <cell r="E3884" t="str">
            <v>T26000039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B26000251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B26002025</v>
          </cell>
          <cell r="AP3886">
            <v>0</v>
          </cell>
          <cell r="AQ3886">
            <v>0</v>
          </cell>
          <cell r="AV3886">
            <v>855000</v>
          </cell>
        </row>
        <row r="3887">
          <cell r="E3887" t="str">
            <v>D25017355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D25017877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T25001788</v>
          </cell>
          <cell r="AP3889">
            <v>0</v>
          </cell>
          <cell r="AQ3889">
            <v>0</v>
          </cell>
          <cell r="AV3889">
            <v>10000</v>
          </cell>
        </row>
        <row r="3890">
          <cell r="E3890" t="str">
            <v>B26000020</v>
          </cell>
          <cell r="AP3890">
            <v>0</v>
          </cell>
          <cell r="AQ3890">
            <v>0</v>
          </cell>
          <cell r="AV3890">
            <v>9540000</v>
          </cell>
        </row>
        <row r="3891">
          <cell r="E3891" t="str">
            <v>D26000163</v>
          </cell>
          <cell r="AP3891">
            <v>0</v>
          </cell>
          <cell r="AQ3891">
            <v>0</v>
          </cell>
          <cell r="AV3891">
            <v>12600000</v>
          </cell>
        </row>
        <row r="3892">
          <cell r="E3892" t="str">
            <v>B26000199</v>
          </cell>
          <cell r="AP3892">
            <v>0</v>
          </cell>
          <cell r="AQ3892">
            <v>0</v>
          </cell>
          <cell r="AV3892">
            <v>5600000</v>
          </cell>
        </row>
        <row r="3893">
          <cell r="E3893" t="str">
            <v>B26000279</v>
          </cell>
          <cell r="AP3893">
            <v>0</v>
          </cell>
          <cell r="AQ3893">
            <v>0</v>
          </cell>
          <cell r="AV3893">
            <v>3570000</v>
          </cell>
        </row>
        <row r="3894">
          <cell r="E3894" t="str">
            <v>D26000286</v>
          </cell>
          <cell r="AP3894">
            <v>0</v>
          </cell>
          <cell r="AQ3894">
            <v>0</v>
          </cell>
          <cell r="AV3894">
            <v>9900000</v>
          </cell>
        </row>
        <row r="3895">
          <cell r="E3895" t="str">
            <v>D26000287</v>
          </cell>
          <cell r="AP3895">
            <v>0</v>
          </cell>
          <cell r="AQ3895">
            <v>0</v>
          </cell>
          <cell r="AV3895">
            <v>1980000</v>
          </cell>
        </row>
        <row r="3896">
          <cell r="E3896" t="str">
            <v>D26000295</v>
          </cell>
          <cell r="AP3896">
            <v>0</v>
          </cell>
          <cell r="AQ3896">
            <v>0</v>
          </cell>
          <cell r="AV3896">
            <v>5550000</v>
          </cell>
        </row>
        <row r="3897">
          <cell r="E3897" t="str">
            <v>B26000368</v>
          </cell>
          <cell r="AP3897">
            <v>0</v>
          </cell>
          <cell r="AQ3897">
            <v>0</v>
          </cell>
          <cell r="AV3897">
            <v>3450000</v>
          </cell>
        </row>
        <row r="3898">
          <cell r="E3898" t="str">
            <v>B26000477</v>
          </cell>
          <cell r="AP3898">
            <v>0</v>
          </cell>
          <cell r="AQ3898">
            <v>0</v>
          </cell>
          <cell r="AV3898">
            <v>3450000</v>
          </cell>
        </row>
        <row r="3899">
          <cell r="E3899" t="str">
            <v>B26000506</v>
          </cell>
          <cell r="AP3899">
            <v>0</v>
          </cell>
          <cell r="AQ3899">
            <v>0</v>
          </cell>
          <cell r="AV3899">
            <v>4800000</v>
          </cell>
        </row>
        <row r="3900">
          <cell r="E3900" t="str">
            <v>D26000803</v>
          </cell>
          <cell r="AP3900">
            <v>0</v>
          </cell>
          <cell r="AQ3900">
            <v>0</v>
          </cell>
          <cell r="AV3900">
            <v>9230000</v>
          </cell>
        </row>
        <row r="3901">
          <cell r="E3901" t="str">
            <v>D26000856</v>
          </cell>
          <cell r="AP3901">
            <v>0</v>
          </cell>
          <cell r="AQ3901">
            <v>0</v>
          </cell>
          <cell r="AV3901">
            <v>3630000</v>
          </cell>
        </row>
        <row r="3902">
          <cell r="E3902" t="str">
            <v>D26000856</v>
          </cell>
          <cell r="AP3902">
            <v>0</v>
          </cell>
          <cell r="AQ3902">
            <v>0</v>
          </cell>
          <cell r="AV3902">
            <v>10000</v>
          </cell>
        </row>
        <row r="3903">
          <cell r="E3903" t="str">
            <v>B26000936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D26001023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D26001089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D26001213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D26001282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B26001392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D26001449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B26001503</v>
          </cell>
          <cell r="AP3910">
            <v>0</v>
          </cell>
          <cell r="AQ3910">
            <v>0</v>
          </cell>
          <cell r="AV3910">
            <v>0</v>
          </cell>
        </row>
        <row r="3911">
          <cell r="E3911" t="str">
            <v>D26001783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D26001784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D26001992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B26002034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B26002035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B26002122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D26002338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D26002339</v>
          </cell>
          <cell r="AP3918">
            <v>0</v>
          </cell>
          <cell r="AQ3918">
            <v>0</v>
          </cell>
          <cell r="AV3918">
            <v>4240000</v>
          </cell>
        </row>
        <row r="3919">
          <cell r="E3919" t="str">
            <v>D26002352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D26001707</v>
          </cell>
          <cell r="AP3920">
            <v>0</v>
          </cell>
          <cell r="AQ3920">
            <v>0</v>
          </cell>
          <cell r="AV3920">
            <v>1480000</v>
          </cell>
        </row>
        <row r="3921">
          <cell r="E3921" t="str">
            <v>B26000256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B26000257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D26000318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D26000480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B26000619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D26000685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D26000693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B26002018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B26002161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B26002162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B26002169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Z26000252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C26000126</v>
          </cell>
          <cell r="AP3933">
            <v>0</v>
          </cell>
          <cell r="AQ3933">
            <v>0</v>
          </cell>
          <cell r="AV3933">
            <v>860000</v>
          </cell>
        </row>
        <row r="3934">
          <cell r="E3934" t="str">
            <v>D25015709</v>
          </cell>
          <cell r="AP3934">
            <v>0</v>
          </cell>
          <cell r="AQ3934">
            <v>0</v>
          </cell>
          <cell r="AV3934">
            <v>10000000</v>
          </cell>
        </row>
        <row r="3935">
          <cell r="E3935" t="str">
            <v>B25014743</v>
          </cell>
          <cell r="AP3935">
            <v>0</v>
          </cell>
          <cell r="AQ3935">
            <v>0</v>
          </cell>
          <cell r="AV3935">
            <v>13060000</v>
          </cell>
        </row>
        <row r="3936">
          <cell r="E3936" t="str">
            <v>D25017479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D25018020</v>
          </cell>
          <cell r="AP3937">
            <v>0</v>
          </cell>
          <cell r="AQ3937">
            <v>0</v>
          </cell>
          <cell r="AV3937">
            <v>7400000</v>
          </cell>
        </row>
        <row r="3938">
          <cell r="E3938" t="str">
            <v>D25018021</v>
          </cell>
          <cell r="AP3938">
            <v>0</v>
          </cell>
          <cell r="AQ3938">
            <v>0</v>
          </cell>
          <cell r="AV3938">
            <v>17700000</v>
          </cell>
        </row>
        <row r="3939">
          <cell r="E3939" t="str">
            <v>D25018022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B25015872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B25015919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B25015920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B25015979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B25016020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B25016321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B25016322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B25016356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B25016719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T25001870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B25016949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D25019456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B25017120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D25019687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D26000526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D26000793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D26000794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B26000762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B26000763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B26000789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B26001310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B26001316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D26001513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B26001625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B26001648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D26001764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D26001893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D26002056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B26002063</v>
          </cell>
          <cell r="AP3968">
            <v>0</v>
          </cell>
          <cell r="AQ3968">
            <v>0</v>
          </cell>
          <cell r="AV3968">
            <v>8400000</v>
          </cell>
        </row>
        <row r="3969">
          <cell r="E3969" t="str">
            <v>D26002258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B26002199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B26002241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D26002155</v>
          </cell>
          <cell r="AP3972">
            <v>0</v>
          </cell>
          <cell r="AQ3972">
            <v>0</v>
          </cell>
          <cell r="AV3972">
            <v>18250000</v>
          </cell>
        </row>
        <row r="3973">
          <cell r="E3973" t="str">
            <v>T26000085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D26001736</v>
          </cell>
          <cell r="AP3974">
            <v>0</v>
          </cell>
          <cell r="AQ3974">
            <v>0</v>
          </cell>
          <cell r="AV3974">
            <v>13600000</v>
          </cell>
        </row>
        <row r="3975">
          <cell r="E3975" t="str">
            <v>B26002044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T25001809</v>
          </cell>
          <cell r="AP3976">
            <v>0</v>
          </cell>
          <cell r="AQ3976">
            <v>0</v>
          </cell>
          <cell r="AV3976">
            <v>5100000</v>
          </cell>
        </row>
        <row r="3977">
          <cell r="E3977" t="str">
            <v>D25018352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B26000071</v>
          </cell>
          <cell r="AP3978">
            <v>0</v>
          </cell>
          <cell r="AQ3978">
            <v>0</v>
          </cell>
          <cell r="AV3978">
            <v>8700000</v>
          </cell>
        </row>
        <row r="3979">
          <cell r="E3979" t="str">
            <v>D26000107</v>
          </cell>
          <cell r="AP3979">
            <v>0</v>
          </cell>
          <cell r="AQ3979">
            <v>0</v>
          </cell>
          <cell r="AV3979">
            <v>5700000</v>
          </cell>
        </row>
        <row r="3980">
          <cell r="E3980" t="str">
            <v>B26000208</v>
          </cell>
          <cell r="AP3980">
            <v>0</v>
          </cell>
          <cell r="AQ3980">
            <v>0</v>
          </cell>
          <cell r="AV3980">
            <v>30230000</v>
          </cell>
        </row>
        <row r="3981">
          <cell r="E3981" t="str">
            <v>D26000269</v>
          </cell>
          <cell r="AP3981">
            <v>0</v>
          </cell>
          <cell r="AQ3981">
            <v>0</v>
          </cell>
          <cell r="AV3981">
            <v>137500000</v>
          </cell>
        </row>
        <row r="3982">
          <cell r="E3982" t="str">
            <v>D26000433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D26000434</v>
          </cell>
          <cell r="AP3983">
            <v>0</v>
          </cell>
          <cell r="AQ3983">
            <v>0</v>
          </cell>
          <cell r="AV3983">
            <v>26700000</v>
          </cell>
        </row>
        <row r="3984">
          <cell r="E3984" t="str">
            <v>D26000478</v>
          </cell>
          <cell r="AP3984">
            <v>0</v>
          </cell>
          <cell r="AQ3984">
            <v>0</v>
          </cell>
          <cell r="AV3984">
            <v>960000</v>
          </cell>
        </row>
        <row r="3985">
          <cell r="E3985" t="str">
            <v>D26000479</v>
          </cell>
          <cell r="AP3985">
            <v>0</v>
          </cell>
          <cell r="AQ3985">
            <v>0</v>
          </cell>
          <cell r="AV3985">
            <v>240000</v>
          </cell>
        </row>
        <row r="3986">
          <cell r="E3986" t="str">
            <v>D26000530</v>
          </cell>
          <cell r="AP3986">
            <v>0</v>
          </cell>
          <cell r="AQ3986">
            <v>0</v>
          </cell>
          <cell r="AV3986">
            <v>15160000</v>
          </cell>
        </row>
        <row r="3987">
          <cell r="E3987" t="str">
            <v>D26000576</v>
          </cell>
          <cell r="AP3987">
            <v>0</v>
          </cell>
          <cell r="AQ3987">
            <v>0</v>
          </cell>
          <cell r="AV3987">
            <v>13600000</v>
          </cell>
        </row>
        <row r="3988">
          <cell r="E3988" t="str">
            <v>B26000654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D26000717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D26000720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D26000740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D26000967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D26000968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B26001048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D26001069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B26001108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D26001173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B26001171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D26001725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D26001726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D26001728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B26001713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D26001891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B26001884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D26002178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D26000001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B26000904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D25018828</v>
          </cell>
          <cell r="AP4008">
            <v>0</v>
          </cell>
          <cell r="AQ4008">
            <v>0</v>
          </cell>
          <cell r="AV4008">
            <v>12620000</v>
          </cell>
        </row>
        <row r="4009">
          <cell r="E4009" t="str">
            <v>D25018922</v>
          </cell>
          <cell r="AP4009">
            <v>0</v>
          </cell>
          <cell r="AQ4009">
            <v>0</v>
          </cell>
          <cell r="AV4009">
            <v>18300000</v>
          </cell>
        </row>
        <row r="4010">
          <cell r="E4010" t="str">
            <v>B25017069</v>
          </cell>
          <cell r="AP4010">
            <v>0</v>
          </cell>
          <cell r="AQ4010">
            <v>0</v>
          </cell>
          <cell r="AV4010">
            <v>4080000</v>
          </cell>
        </row>
        <row r="4011">
          <cell r="E4011" t="str">
            <v>D26000058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B26000793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D26000841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B26002220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D25016708</v>
          </cell>
          <cell r="AP4015">
            <v>0</v>
          </cell>
          <cell r="AQ4015">
            <v>0</v>
          </cell>
          <cell r="AV4015">
            <v>19000000</v>
          </cell>
        </row>
        <row r="4016">
          <cell r="E4016" t="str">
            <v>D25016757</v>
          </cell>
          <cell r="AP4016">
            <v>0</v>
          </cell>
          <cell r="AQ4016">
            <v>0</v>
          </cell>
          <cell r="AV4016">
            <v>21820000</v>
          </cell>
        </row>
        <row r="4017">
          <cell r="E4017" t="str">
            <v>D25016775</v>
          </cell>
          <cell r="AP4017">
            <v>0</v>
          </cell>
          <cell r="AQ4017">
            <v>0</v>
          </cell>
          <cell r="AV4017">
            <v>33750000</v>
          </cell>
        </row>
        <row r="4018">
          <cell r="E4018" t="str">
            <v>D25016810</v>
          </cell>
          <cell r="AP4018">
            <v>0</v>
          </cell>
          <cell r="AQ4018">
            <v>0</v>
          </cell>
          <cell r="AV4018">
            <v>63432000</v>
          </cell>
        </row>
        <row r="4019">
          <cell r="E4019" t="str">
            <v>D25017225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D25017226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B25015513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B25015514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B25015515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D25018069</v>
          </cell>
          <cell r="AP4024">
            <v>0</v>
          </cell>
          <cell r="AQ4024">
            <v>0</v>
          </cell>
          <cell r="AV4024">
            <v>11964000</v>
          </cell>
        </row>
        <row r="4025">
          <cell r="E4025" t="str">
            <v>B25015835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B25016212</v>
          </cell>
          <cell r="AP4026">
            <v>0</v>
          </cell>
          <cell r="AQ4026">
            <v>0</v>
          </cell>
          <cell r="AV4026">
            <v>21614000</v>
          </cell>
        </row>
        <row r="4027">
          <cell r="E4027" t="str">
            <v>B25016213</v>
          </cell>
          <cell r="AP4027">
            <v>0</v>
          </cell>
          <cell r="AQ4027">
            <v>0</v>
          </cell>
          <cell r="AV4027">
            <v>49260000</v>
          </cell>
        </row>
        <row r="4028">
          <cell r="E4028" t="str">
            <v>B25016214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D25018682</v>
          </cell>
          <cell r="AP4029">
            <v>0</v>
          </cell>
          <cell r="AQ4029">
            <v>0</v>
          </cell>
          <cell r="AV4029">
            <v>29160000</v>
          </cell>
        </row>
        <row r="4030">
          <cell r="E4030" t="str">
            <v>D25018981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D25018982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B25016652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D25019404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D25019412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B25016948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B26002130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B26002131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B26002144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D26002290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B26002175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D26002298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D26002306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B26000518</v>
          </cell>
          <cell r="AP4043">
            <v>0</v>
          </cell>
          <cell r="AQ4043">
            <v>0</v>
          </cell>
          <cell r="AV4043">
            <v>16800000</v>
          </cell>
        </row>
        <row r="4044">
          <cell r="E4044" t="str">
            <v>B26001491</v>
          </cell>
          <cell r="AP4044">
            <v>0</v>
          </cell>
          <cell r="AQ4044">
            <v>0</v>
          </cell>
          <cell r="AV4044">
            <v>55500000</v>
          </cell>
        </row>
        <row r="4045">
          <cell r="E4045" t="str">
            <v>B26001513</v>
          </cell>
          <cell r="AP4045">
            <v>0</v>
          </cell>
          <cell r="AQ4045">
            <v>0</v>
          </cell>
          <cell r="AV4045">
            <v>55860000</v>
          </cell>
        </row>
        <row r="4046">
          <cell r="E4046" t="str">
            <v>D26001987</v>
          </cell>
          <cell r="AP4046">
            <v>0</v>
          </cell>
          <cell r="AQ4046">
            <v>0</v>
          </cell>
          <cell r="AV4046">
            <v>66000000</v>
          </cell>
        </row>
        <row r="4047">
          <cell r="E4047" t="str">
            <v>D26000290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D26000359</v>
          </cell>
          <cell r="AP4048">
            <v>0</v>
          </cell>
          <cell r="AQ4048">
            <v>0</v>
          </cell>
          <cell r="AV4048">
            <v>5571000</v>
          </cell>
        </row>
        <row r="4049">
          <cell r="E4049" t="str">
            <v>T26000051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D26001215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B26002036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B26002037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Z25002766</v>
          </cell>
          <cell r="AP4053">
            <v>0</v>
          </cell>
          <cell r="AQ4053">
            <v>0</v>
          </cell>
          <cell r="AV4053">
            <v>38916887</v>
          </cell>
        </row>
        <row r="4054">
          <cell r="E4054" t="str">
            <v>Z25002766</v>
          </cell>
          <cell r="AP4054">
            <v>16083113</v>
          </cell>
          <cell r="AQ4054">
            <v>0</v>
          </cell>
          <cell r="AV4054">
            <v>0</v>
          </cell>
        </row>
        <row r="4055">
          <cell r="E4055" t="str">
            <v>Z25002859</v>
          </cell>
          <cell r="AP4055">
            <v>0</v>
          </cell>
          <cell r="AQ4055">
            <v>0</v>
          </cell>
          <cell r="AV4055">
            <v>8175000</v>
          </cell>
        </row>
        <row r="4056">
          <cell r="E4056" t="str">
            <v>T25001721k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T25001773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Z25003134</v>
          </cell>
          <cell r="AP4058">
            <v>0</v>
          </cell>
          <cell r="AQ4058">
            <v>0</v>
          </cell>
          <cell r="AV4058">
            <v>6300000</v>
          </cell>
        </row>
        <row r="4059">
          <cell r="E4059" t="str">
            <v>Z25003135</v>
          </cell>
          <cell r="AP4059">
            <v>0</v>
          </cell>
          <cell r="AQ4059">
            <v>0</v>
          </cell>
          <cell r="AV4059">
            <v>4680000</v>
          </cell>
        </row>
        <row r="4060">
          <cell r="E4060" t="str">
            <v>Z25003187</v>
          </cell>
          <cell r="AP4060">
            <v>0</v>
          </cell>
          <cell r="AQ4060">
            <v>0</v>
          </cell>
          <cell r="AV4060">
            <v>5520000</v>
          </cell>
        </row>
        <row r="4061">
          <cell r="E4061" t="str">
            <v>Z25003220</v>
          </cell>
          <cell r="AP4061">
            <v>0</v>
          </cell>
          <cell r="AQ4061">
            <v>0</v>
          </cell>
          <cell r="AV4061">
            <v>16102500</v>
          </cell>
        </row>
        <row r="4062">
          <cell r="E4062" t="str">
            <v>Z25003223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Z25003225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Z25003233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Z25003234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Z25003308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Z25003317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Z25003335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Z25003373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Z25003389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Z25003390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Z25003391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Z26000120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Z26000255</v>
          </cell>
          <cell r="AP4074">
            <v>0</v>
          </cell>
          <cell r="AQ4074">
            <v>0</v>
          </cell>
          <cell r="AV4074">
            <v>131000000</v>
          </cell>
        </row>
        <row r="4075">
          <cell r="E4075" t="str">
            <v>Z26000271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Z26000310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Z26000319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Z26000326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Z26000330</v>
          </cell>
          <cell r="AP4079">
            <v>0</v>
          </cell>
          <cell r="AQ4079">
            <v>0</v>
          </cell>
          <cell r="AV4079">
            <v>3222000</v>
          </cell>
        </row>
        <row r="4080">
          <cell r="E4080" t="str">
            <v>Z26000368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Z26000371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Z26000387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Z26000388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D25019524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D26000308</v>
          </cell>
          <cell r="AP4085">
            <v>0</v>
          </cell>
          <cell r="AQ4085">
            <v>0</v>
          </cell>
          <cell r="AV4085">
            <v>23340000</v>
          </cell>
        </row>
        <row r="4086">
          <cell r="E4086" t="str">
            <v>D26000335</v>
          </cell>
          <cell r="AP4086">
            <v>0</v>
          </cell>
          <cell r="AQ4086">
            <v>0</v>
          </cell>
          <cell r="AV4086">
            <v>5700000</v>
          </cell>
        </row>
        <row r="4087">
          <cell r="E4087" t="str">
            <v>D26000356</v>
          </cell>
          <cell r="AP4087">
            <v>0</v>
          </cell>
          <cell r="AQ4087">
            <v>0</v>
          </cell>
          <cell r="AV4087">
            <v>9100000</v>
          </cell>
        </row>
        <row r="4088">
          <cell r="E4088" t="str">
            <v>B26000542</v>
          </cell>
          <cell r="AP4088">
            <v>0</v>
          </cell>
          <cell r="AQ4088">
            <v>0</v>
          </cell>
          <cell r="AV4088">
            <v>18000000</v>
          </cell>
        </row>
        <row r="4089">
          <cell r="E4089" t="str">
            <v>D26000567</v>
          </cell>
          <cell r="AP4089">
            <v>0</v>
          </cell>
          <cell r="AQ4089">
            <v>0</v>
          </cell>
          <cell r="AV4089">
            <v>54600000</v>
          </cell>
        </row>
        <row r="4090">
          <cell r="E4090" t="str">
            <v>D26000580</v>
          </cell>
          <cell r="AP4090">
            <v>0</v>
          </cell>
          <cell r="AQ4090">
            <v>0</v>
          </cell>
          <cell r="AV4090">
            <v>9100000</v>
          </cell>
        </row>
        <row r="4091">
          <cell r="E4091" t="str">
            <v>B26000785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D26000902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D26000903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D26001077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D26001170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B26001441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B26001442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D26001593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D26001729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B26001739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D26002046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D26002068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D26002434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D26002439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D26000294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D25007848</v>
          </cell>
          <cell r="AP4106">
            <v>13754000</v>
          </cell>
          <cell r="AQ4106">
            <v>0</v>
          </cell>
          <cell r="AV4106">
            <v>0</v>
          </cell>
        </row>
        <row r="4107">
          <cell r="E4107" t="str">
            <v>D25018088</v>
          </cell>
          <cell r="AP4107">
            <v>0</v>
          </cell>
          <cell r="AQ4107">
            <v>0</v>
          </cell>
          <cell r="AV4107">
            <v>0</v>
          </cell>
        </row>
        <row r="4108">
          <cell r="E4108" t="str">
            <v>D25018089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D25018111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D25018518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D26002343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D26002344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D26002345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D26001840</v>
          </cell>
          <cell r="AP4114">
            <v>0</v>
          </cell>
          <cell r="AQ4114">
            <v>0</v>
          </cell>
          <cell r="AV4114">
            <v>4200000</v>
          </cell>
        </row>
        <row r="4115">
          <cell r="E4115" t="str">
            <v>D25018397</v>
          </cell>
          <cell r="AP4115">
            <v>0</v>
          </cell>
          <cell r="AQ4115">
            <v>0</v>
          </cell>
          <cell r="AV4115">
            <v>1900000</v>
          </cell>
        </row>
        <row r="4116">
          <cell r="E4116" t="str">
            <v>B25016387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B25016784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B26000121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T26000009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B26001639</v>
          </cell>
          <cell r="AP4120">
            <v>0</v>
          </cell>
          <cell r="AQ4120">
            <v>0</v>
          </cell>
          <cell r="AV4120">
            <v>0</v>
          </cell>
        </row>
        <row r="4121">
          <cell r="E4121" t="str">
            <v>D26002196</v>
          </cell>
          <cell r="AP4121">
            <v>0</v>
          </cell>
          <cell r="AQ4121">
            <v>0</v>
          </cell>
          <cell r="AV4121">
            <v>0</v>
          </cell>
        </row>
        <row r="4122">
          <cell r="E4122" t="str">
            <v>T26000151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C26000122</v>
          </cell>
          <cell r="AP4123">
            <v>0</v>
          </cell>
          <cell r="AQ4123">
            <v>0</v>
          </cell>
          <cell r="AV4123">
            <v>40000</v>
          </cell>
        </row>
        <row r="4124">
          <cell r="E4124" t="str">
            <v>C26000094</v>
          </cell>
          <cell r="AP4124">
            <v>0</v>
          </cell>
          <cell r="AQ4124">
            <v>0</v>
          </cell>
          <cell r="AV4124">
            <v>490000</v>
          </cell>
        </row>
        <row r="4125">
          <cell r="E4125" t="str">
            <v>C26000110</v>
          </cell>
          <cell r="AP4125">
            <v>0</v>
          </cell>
          <cell r="AQ4125">
            <v>0</v>
          </cell>
          <cell r="AV4125">
            <v>10000</v>
          </cell>
        </row>
        <row r="4126">
          <cell r="E4126" t="str">
            <v>C26000107</v>
          </cell>
          <cell r="AP4126">
            <v>0</v>
          </cell>
          <cell r="AQ4126">
            <v>0</v>
          </cell>
          <cell r="AV4126">
            <v>375000</v>
          </cell>
        </row>
        <row r="4127">
          <cell r="E4127" t="str">
            <v>C26000125</v>
          </cell>
          <cell r="AP4127">
            <v>0</v>
          </cell>
          <cell r="AQ4127">
            <v>0</v>
          </cell>
          <cell r="AV4127">
            <v>1060000</v>
          </cell>
        </row>
        <row r="4128">
          <cell r="E4128" t="str">
            <v>C26000104</v>
          </cell>
          <cell r="AP4128">
            <v>0</v>
          </cell>
          <cell r="AQ4128">
            <v>0</v>
          </cell>
          <cell r="AV4128">
            <v>183500</v>
          </cell>
        </row>
        <row r="4129">
          <cell r="E4129" t="str">
            <v>C26000112</v>
          </cell>
          <cell r="AP4129">
            <v>0</v>
          </cell>
          <cell r="AQ4129">
            <v>0</v>
          </cell>
          <cell r="AV4129">
            <v>36000</v>
          </cell>
        </row>
        <row r="4130">
          <cell r="E4130" t="str">
            <v>C26000101</v>
          </cell>
          <cell r="AP4130">
            <v>0</v>
          </cell>
          <cell r="AQ4130">
            <v>0</v>
          </cell>
          <cell r="AV4130">
            <v>120000</v>
          </cell>
        </row>
        <row r="4131">
          <cell r="E4131" t="str">
            <v>C26000121</v>
          </cell>
          <cell r="AP4131">
            <v>0</v>
          </cell>
          <cell r="AQ4131">
            <v>0</v>
          </cell>
          <cell r="AV4131">
            <v>48500</v>
          </cell>
        </row>
        <row r="4132">
          <cell r="E4132" t="str">
            <v>C26000097</v>
          </cell>
          <cell r="AP4132">
            <v>0</v>
          </cell>
          <cell r="AQ4132">
            <v>0</v>
          </cell>
          <cell r="AV4132">
            <v>107000</v>
          </cell>
        </row>
        <row r="4133">
          <cell r="E4133" t="str">
            <v>D26001905</v>
          </cell>
          <cell r="AP4133">
            <v>0</v>
          </cell>
          <cell r="AQ4133">
            <v>0</v>
          </cell>
          <cell r="AV4133">
            <v>65000</v>
          </cell>
        </row>
        <row r="4134">
          <cell r="E4134" t="str">
            <v>C26000099</v>
          </cell>
          <cell r="AP4134">
            <v>0</v>
          </cell>
          <cell r="AQ4134">
            <v>0</v>
          </cell>
          <cell r="AV4134">
            <v>300000</v>
          </cell>
        </row>
        <row r="4135">
          <cell r="E4135" t="str">
            <v>Z25001658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D25016592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D25016592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D25016593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B25014498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D25016986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B25014854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B25014854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B25014854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B25015007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B25015128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B25015128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D25017390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D25017390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D25017390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D25017390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D25017390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D25017390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D25017390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D25017390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D25017391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D25017398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D25017735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D25017735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D25017735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D25017752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D25017752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B25015422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B25015422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B25015422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B25015422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B25015422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B25015422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B25015561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D25018029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D25018029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D25018029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D25018065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D25018103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D25018268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D25018268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D25018268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D25018268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D25018268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B25015876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B25016042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B25016058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B25016058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B25016073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B25016323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B25016323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B25016323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B25016323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B25016368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B25016611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D25019062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D25019062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D25019062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D25019153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D25019210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D25019264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D25019264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D25019264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D25019268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D25019268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D25019269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D25019356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D25019356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D25019394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D25019394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D25019517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D25019517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D25019595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D25019595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D25019595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D25019596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D25019596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D25019596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D25019596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B25017086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B25017135</v>
          </cell>
          <cell r="AP4215">
            <v>0</v>
          </cell>
          <cell r="AQ4215">
            <v>15445000</v>
          </cell>
          <cell r="AV4215">
            <v>0</v>
          </cell>
        </row>
        <row r="4216">
          <cell r="E4216" t="str">
            <v>D26000080</v>
          </cell>
          <cell r="AP4216">
            <v>0</v>
          </cell>
          <cell r="AQ4216">
            <v>25125000</v>
          </cell>
          <cell r="AV4216">
            <v>0</v>
          </cell>
        </row>
        <row r="4217">
          <cell r="E4217" t="str">
            <v>D26000080</v>
          </cell>
          <cell r="AP4217">
            <v>0</v>
          </cell>
          <cell r="AQ4217">
            <v>100000000</v>
          </cell>
          <cell r="AV4217">
            <v>0</v>
          </cell>
        </row>
        <row r="4218">
          <cell r="E4218" t="str">
            <v>D26000080</v>
          </cell>
          <cell r="AP4218">
            <v>0</v>
          </cell>
          <cell r="AQ4218">
            <v>100000000</v>
          </cell>
          <cell r="AV4218">
            <v>0</v>
          </cell>
        </row>
        <row r="4219">
          <cell r="E4219" t="str">
            <v>D26000080</v>
          </cell>
          <cell r="AP4219">
            <v>0</v>
          </cell>
          <cell r="AQ4219">
            <v>150000000</v>
          </cell>
          <cell r="AV4219">
            <v>0</v>
          </cell>
        </row>
        <row r="4220">
          <cell r="E4220" t="str">
            <v>D26000080</v>
          </cell>
          <cell r="AP4220">
            <v>0</v>
          </cell>
          <cell r="AQ4220">
            <v>250000000</v>
          </cell>
          <cell r="AV4220">
            <v>0</v>
          </cell>
        </row>
        <row r="4221">
          <cell r="E4221" t="str">
            <v>D26000080</v>
          </cell>
          <cell r="AP4221">
            <v>0</v>
          </cell>
          <cell r="AQ4221">
            <v>74950000</v>
          </cell>
          <cell r="AV4221">
            <v>0</v>
          </cell>
        </row>
        <row r="4222">
          <cell r="E4222" t="str">
            <v>D26000081</v>
          </cell>
          <cell r="AP4222">
            <v>0</v>
          </cell>
          <cell r="AQ4222">
            <v>125050000</v>
          </cell>
          <cell r="AV4222">
            <v>0</v>
          </cell>
        </row>
        <row r="4223">
          <cell r="E4223" t="str">
            <v>D26000081</v>
          </cell>
          <cell r="AP4223">
            <v>0</v>
          </cell>
          <cell r="AQ4223">
            <v>93625000</v>
          </cell>
          <cell r="AV4223">
            <v>0</v>
          </cell>
        </row>
        <row r="4224">
          <cell r="E4224" t="str">
            <v>D26000083</v>
          </cell>
          <cell r="AP4224">
            <v>0</v>
          </cell>
          <cell r="AQ4224">
            <v>56375000</v>
          </cell>
          <cell r="AV4224">
            <v>0</v>
          </cell>
        </row>
        <row r="4225">
          <cell r="E4225" t="str">
            <v>D26000083</v>
          </cell>
          <cell r="AP4225">
            <v>0</v>
          </cell>
          <cell r="AQ4225">
            <v>55305000</v>
          </cell>
          <cell r="AV4225">
            <v>0</v>
          </cell>
        </row>
        <row r="4226">
          <cell r="E4226" t="str">
            <v>D26000536</v>
          </cell>
          <cell r="AP4226">
            <v>0</v>
          </cell>
          <cell r="AQ4226">
            <v>92400000</v>
          </cell>
          <cell r="AV4226">
            <v>0</v>
          </cell>
        </row>
        <row r="4227">
          <cell r="E4227" t="str">
            <v>D26000583</v>
          </cell>
          <cell r="AP4227">
            <v>0</v>
          </cell>
          <cell r="AQ4227">
            <v>94695000</v>
          </cell>
          <cell r="AV4227">
            <v>0</v>
          </cell>
        </row>
        <row r="4228">
          <cell r="E4228" t="str">
            <v>D26001285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D26001475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D26001494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D26001508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D26001675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D26001676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D26001730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D26001770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D26001802</v>
          </cell>
          <cell r="AP4236">
            <v>0</v>
          </cell>
          <cell r="AQ4236">
            <v>0</v>
          </cell>
          <cell r="AV4236">
            <v>0</v>
          </cell>
        </row>
        <row r="4237">
          <cell r="E4237" t="str">
            <v>D26002025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D26002430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D26002443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D25007908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D25015340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D25010159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B26001143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B26001906</v>
          </cell>
          <cell r="AP4244">
            <v>0</v>
          </cell>
          <cell r="AQ4244">
            <v>0</v>
          </cell>
          <cell r="AV4244">
            <v>1032000</v>
          </cell>
        </row>
        <row r="4245">
          <cell r="E4245" t="str">
            <v>B26002170</v>
          </cell>
          <cell r="AP4245">
            <v>0</v>
          </cell>
          <cell r="AQ4245">
            <v>0</v>
          </cell>
          <cell r="AV4245">
            <v>553500</v>
          </cell>
        </row>
        <row r="4246">
          <cell r="E4246" t="str">
            <v>L26000005</v>
          </cell>
          <cell r="AP4246">
            <v>0</v>
          </cell>
          <cell r="AQ4246">
            <v>0</v>
          </cell>
          <cell r="AV4246">
            <v>1547000</v>
          </cell>
        </row>
        <row r="4247">
          <cell r="E4247" t="str">
            <v>D26001791</v>
          </cell>
          <cell r="AP4247">
            <v>0</v>
          </cell>
          <cell r="AQ4247">
            <v>0</v>
          </cell>
          <cell r="AV4247">
            <v>17500000</v>
          </cell>
        </row>
        <row r="4248">
          <cell r="E4248" t="str">
            <v>D26001792</v>
          </cell>
          <cell r="AP4248">
            <v>0</v>
          </cell>
          <cell r="AQ4248">
            <v>0</v>
          </cell>
          <cell r="AV4248">
            <v>73300000</v>
          </cell>
        </row>
        <row r="4249">
          <cell r="E4249" t="str">
            <v>T26000123</v>
          </cell>
          <cell r="AP4249">
            <v>0</v>
          </cell>
          <cell r="AQ4249">
            <v>0</v>
          </cell>
          <cell r="AV4249">
            <v>21250000</v>
          </cell>
        </row>
        <row r="4250">
          <cell r="E4250" t="str">
            <v>T26000135</v>
          </cell>
          <cell r="AP4250">
            <v>0</v>
          </cell>
          <cell r="AQ4250">
            <v>0</v>
          </cell>
          <cell r="AV4250">
            <v>930000</v>
          </cell>
        </row>
        <row r="4251">
          <cell r="E4251" t="str">
            <v>T26000136k</v>
          </cell>
          <cell r="AP4251">
            <v>0</v>
          </cell>
          <cell r="AQ4251">
            <v>0</v>
          </cell>
          <cell r="AV4251">
            <v>2880000</v>
          </cell>
        </row>
        <row r="4252">
          <cell r="E4252" t="str">
            <v>B26002198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B26002226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B26001586</v>
          </cell>
          <cell r="AP4254">
            <v>0</v>
          </cell>
          <cell r="AQ4254">
            <v>0</v>
          </cell>
          <cell r="AV4254">
            <v>1000000</v>
          </cell>
        </row>
        <row r="4255">
          <cell r="E4255" t="str">
            <v>B26001586</v>
          </cell>
          <cell r="AP4255">
            <v>0</v>
          </cell>
          <cell r="AQ4255">
            <v>0</v>
          </cell>
          <cell r="AV4255">
            <v>1000000</v>
          </cell>
        </row>
        <row r="4256">
          <cell r="E4256" t="str">
            <v>B26001586</v>
          </cell>
          <cell r="AP4256">
            <v>0</v>
          </cell>
          <cell r="AQ4256">
            <v>0</v>
          </cell>
          <cell r="AV4256">
            <v>1920000</v>
          </cell>
        </row>
        <row r="4257">
          <cell r="E4257" t="str">
            <v>D24016641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B26001691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A26000136</v>
          </cell>
          <cell r="AP4259">
            <v>0</v>
          </cell>
          <cell r="AQ4259">
            <v>0</v>
          </cell>
          <cell r="AV4259">
            <v>48057.5</v>
          </cell>
        </row>
        <row r="4260">
          <cell r="E4260" t="str">
            <v>A26000136</v>
          </cell>
          <cell r="AP4260">
            <v>0</v>
          </cell>
          <cell r="AQ4260">
            <v>0</v>
          </cell>
          <cell r="AV4260">
            <v>12442.5</v>
          </cell>
        </row>
        <row r="4261">
          <cell r="E4261" t="str">
            <v>A26000158</v>
          </cell>
          <cell r="AP4261">
            <v>0</v>
          </cell>
          <cell r="AQ4261">
            <v>0</v>
          </cell>
          <cell r="AV4261">
            <v>21761.525000000001</v>
          </cell>
        </row>
        <row r="4262">
          <cell r="E4262" t="str">
            <v>A26000158</v>
          </cell>
          <cell r="AP4262">
            <v>0</v>
          </cell>
          <cell r="AQ4262">
            <v>0</v>
          </cell>
          <cell r="AV4262">
            <v>6473.4749999999985</v>
          </cell>
        </row>
        <row r="4263">
          <cell r="E4263" t="str">
            <v>A26000161</v>
          </cell>
          <cell r="AP4263">
            <v>0</v>
          </cell>
          <cell r="AQ4263">
            <v>0</v>
          </cell>
          <cell r="AV4263">
            <v>38021.589999999997</v>
          </cell>
        </row>
        <row r="4264">
          <cell r="E4264" t="str">
            <v>A26000161</v>
          </cell>
          <cell r="AP4264">
            <v>0</v>
          </cell>
          <cell r="AQ4264">
            <v>0</v>
          </cell>
          <cell r="AV4264">
            <v>10164.410000000003</v>
          </cell>
        </row>
        <row r="4265">
          <cell r="E4265" t="str">
            <v>A26000162</v>
          </cell>
          <cell r="AP4265">
            <v>0</v>
          </cell>
          <cell r="AQ4265">
            <v>0</v>
          </cell>
          <cell r="AV4265">
            <v>223771.5</v>
          </cell>
        </row>
        <row r="4266">
          <cell r="E4266" t="str">
            <v>A26000162</v>
          </cell>
          <cell r="AP4266">
            <v>0</v>
          </cell>
          <cell r="AQ4266">
            <v>0</v>
          </cell>
          <cell r="AV4266">
            <v>52328.5</v>
          </cell>
        </row>
        <row r="4267">
          <cell r="E4267" t="str">
            <v>A26000164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A26000167</v>
          </cell>
          <cell r="AP4268">
            <v>0</v>
          </cell>
          <cell r="AQ4268">
            <v>0</v>
          </cell>
          <cell r="AV4268">
            <v>23856.075000000001</v>
          </cell>
        </row>
        <row r="4269">
          <cell r="E4269" t="str">
            <v>A26000167</v>
          </cell>
          <cell r="AP4269">
            <v>0</v>
          </cell>
          <cell r="AQ4269">
            <v>0</v>
          </cell>
          <cell r="AV4269">
            <v>6948.9249999999993</v>
          </cell>
        </row>
        <row r="4270">
          <cell r="E4270" t="str">
            <v>A26000171</v>
          </cell>
          <cell r="AP4270">
            <v>0</v>
          </cell>
          <cell r="AQ4270">
            <v>0</v>
          </cell>
          <cell r="AV4270">
            <v>247950.92</v>
          </cell>
        </row>
        <row r="4271">
          <cell r="E4271" t="str">
            <v>A26000171</v>
          </cell>
          <cell r="AP4271">
            <v>0</v>
          </cell>
          <cell r="AQ4271">
            <v>0</v>
          </cell>
          <cell r="AV4271">
            <v>57817.079999999987</v>
          </cell>
        </row>
        <row r="4272">
          <cell r="E4272" t="str">
            <v>A26000172</v>
          </cell>
          <cell r="AP4272">
            <v>0</v>
          </cell>
          <cell r="AQ4272">
            <v>0</v>
          </cell>
          <cell r="AV4272">
            <v>300194.05</v>
          </cell>
        </row>
        <row r="4273">
          <cell r="E4273" t="str">
            <v>A26000172</v>
          </cell>
          <cell r="AP4273">
            <v>0</v>
          </cell>
          <cell r="AQ4273">
            <v>0</v>
          </cell>
          <cell r="AV4273">
            <v>69675.950000000012</v>
          </cell>
        </row>
        <row r="4274">
          <cell r="E4274" t="str">
            <v>A26000173</v>
          </cell>
          <cell r="AP4274">
            <v>0</v>
          </cell>
          <cell r="AQ4274">
            <v>0</v>
          </cell>
          <cell r="AV4274">
            <v>143216.9</v>
          </cell>
        </row>
        <row r="4275">
          <cell r="E4275" t="str">
            <v>A26000173</v>
          </cell>
          <cell r="AP4275">
            <v>0</v>
          </cell>
          <cell r="AQ4275">
            <v>0</v>
          </cell>
          <cell r="AV4275">
            <v>34043.100000000006</v>
          </cell>
        </row>
        <row r="4276">
          <cell r="E4276" t="str">
            <v>A26000174</v>
          </cell>
          <cell r="AP4276">
            <v>0</v>
          </cell>
          <cell r="AQ4276">
            <v>0</v>
          </cell>
          <cell r="AV4276">
            <v>391188.8</v>
          </cell>
        </row>
        <row r="4277">
          <cell r="E4277" t="str">
            <v>A26000174</v>
          </cell>
          <cell r="AP4277">
            <v>0</v>
          </cell>
          <cell r="AQ4277">
            <v>0</v>
          </cell>
          <cell r="AV4277">
            <v>90331.200000000012</v>
          </cell>
        </row>
        <row r="4278">
          <cell r="E4278" t="str">
            <v>A26000176</v>
          </cell>
          <cell r="AP4278">
            <v>0</v>
          </cell>
          <cell r="AQ4278">
            <v>0</v>
          </cell>
          <cell r="AV4278">
            <v>37503.25</v>
          </cell>
        </row>
        <row r="4279">
          <cell r="E4279" t="str">
            <v>A26000176</v>
          </cell>
          <cell r="AP4279">
            <v>0</v>
          </cell>
          <cell r="AQ4279">
            <v>0</v>
          </cell>
          <cell r="AV4279">
            <v>10046.75</v>
          </cell>
        </row>
        <row r="4280">
          <cell r="E4280" t="str">
            <v>A26000177</v>
          </cell>
          <cell r="AP4280">
            <v>0</v>
          </cell>
          <cell r="AQ4280">
            <v>0</v>
          </cell>
          <cell r="AV4280">
            <v>141065.29999999999</v>
          </cell>
        </row>
        <row r="4281">
          <cell r="E4281" t="str">
            <v>A26000177</v>
          </cell>
          <cell r="AP4281">
            <v>0</v>
          </cell>
          <cell r="AQ4281">
            <v>0</v>
          </cell>
          <cell r="AV4281">
            <v>33554.700000000012</v>
          </cell>
        </row>
        <row r="4282">
          <cell r="E4282" t="str">
            <v>A26000178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A26000179</v>
          </cell>
          <cell r="AP4283">
            <v>0</v>
          </cell>
          <cell r="AQ4283">
            <v>0</v>
          </cell>
          <cell r="AV4283">
            <v>63624</v>
          </cell>
        </row>
        <row r="4284">
          <cell r="E4284" t="str">
            <v>A26000179</v>
          </cell>
          <cell r="AP4284">
            <v>0</v>
          </cell>
          <cell r="AQ4284">
            <v>0</v>
          </cell>
          <cell r="AV4284">
            <v>15976</v>
          </cell>
        </row>
        <row r="4285">
          <cell r="E4285" t="str">
            <v>A26000180</v>
          </cell>
          <cell r="AP4285">
            <v>0</v>
          </cell>
          <cell r="AQ4285">
            <v>0</v>
          </cell>
          <cell r="AV4285">
            <v>26327.154999999999</v>
          </cell>
        </row>
        <row r="4286">
          <cell r="E4286" t="str">
            <v>A26000180</v>
          </cell>
          <cell r="AP4286">
            <v>0</v>
          </cell>
          <cell r="AQ4286">
            <v>0</v>
          </cell>
          <cell r="AV4286">
            <v>7509.8450000000012</v>
          </cell>
        </row>
        <row r="4287">
          <cell r="E4287" t="str">
            <v>A26000181</v>
          </cell>
          <cell r="AP4287">
            <v>0</v>
          </cell>
          <cell r="AQ4287">
            <v>0</v>
          </cell>
          <cell r="AV4287">
            <v>29615.68</v>
          </cell>
        </row>
        <row r="4288">
          <cell r="E4288" t="str">
            <v>A26000181</v>
          </cell>
          <cell r="AP4288">
            <v>0</v>
          </cell>
          <cell r="AQ4288">
            <v>0</v>
          </cell>
          <cell r="AV4288">
            <v>8256.32</v>
          </cell>
        </row>
        <row r="4289">
          <cell r="E4289" t="str">
            <v>A26000182</v>
          </cell>
          <cell r="AP4289">
            <v>0</v>
          </cell>
          <cell r="AQ4289">
            <v>0</v>
          </cell>
          <cell r="AV4289">
            <v>65223.03</v>
          </cell>
        </row>
        <row r="4290">
          <cell r="E4290" t="str">
            <v>A26000182</v>
          </cell>
          <cell r="AP4290">
            <v>0</v>
          </cell>
          <cell r="AQ4290">
            <v>0</v>
          </cell>
          <cell r="AV4290">
            <v>16338.970000000001</v>
          </cell>
        </row>
        <row r="4291">
          <cell r="E4291" t="str">
            <v>A26000185</v>
          </cell>
          <cell r="AP4291">
            <v>0</v>
          </cell>
          <cell r="AQ4291">
            <v>0</v>
          </cell>
          <cell r="AV4291">
            <v>48057.5</v>
          </cell>
        </row>
        <row r="4292">
          <cell r="E4292" t="str">
            <v>A26000185</v>
          </cell>
          <cell r="AP4292">
            <v>0</v>
          </cell>
          <cell r="AQ4292">
            <v>0</v>
          </cell>
          <cell r="AV4292">
            <v>12442.5</v>
          </cell>
        </row>
        <row r="4293">
          <cell r="E4293" t="str">
            <v>A26000186</v>
          </cell>
          <cell r="AP4293">
            <v>0</v>
          </cell>
          <cell r="AQ4293">
            <v>0</v>
          </cell>
          <cell r="AV4293">
            <v>29092.45</v>
          </cell>
        </row>
        <row r="4294">
          <cell r="E4294" t="str">
            <v>A26000186</v>
          </cell>
          <cell r="AP4294">
            <v>0</v>
          </cell>
          <cell r="AQ4294">
            <v>0</v>
          </cell>
          <cell r="AV4294">
            <v>8137.5499999999993</v>
          </cell>
        </row>
        <row r="4295">
          <cell r="E4295" t="str">
            <v>A26000187</v>
          </cell>
          <cell r="AP4295">
            <v>0</v>
          </cell>
          <cell r="AQ4295">
            <v>0</v>
          </cell>
          <cell r="AV4295">
            <v>136635.77499999999</v>
          </cell>
        </row>
        <row r="4296">
          <cell r="E4296" t="str">
            <v>A26000187</v>
          </cell>
          <cell r="AP4296">
            <v>0</v>
          </cell>
          <cell r="AQ4296">
            <v>0</v>
          </cell>
          <cell r="AV4296">
            <v>32549.225000000006</v>
          </cell>
        </row>
        <row r="4297">
          <cell r="E4297" t="str">
            <v>A26000189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A26000190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A26000191</v>
          </cell>
          <cell r="AP4299">
            <v>0</v>
          </cell>
          <cell r="AQ4299">
            <v>0</v>
          </cell>
          <cell r="AV4299">
            <v>43230.255000000005</v>
          </cell>
        </row>
        <row r="4300">
          <cell r="E4300" t="str">
            <v>A26000191</v>
          </cell>
          <cell r="AP4300">
            <v>0</v>
          </cell>
          <cell r="AQ4300">
            <v>0</v>
          </cell>
          <cell r="AV4300">
            <v>11346.744999999995</v>
          </cell>
        </row>
        <row r="4301">
          <cell r="E4301" t="str">
            <v>A26000192</v>
          </cell>
          <cell r="AP4301">
            <v>0</v>
          </cell>
          <cell r="AQ4301">
            <v>0</v>
          </cell>
          <cell r="AV4301">
            <v>140046.54999999999</v>
          </cell>
        </row>
        <row r="4302">
          <cell r="E4302" t="str">
            <v>A26000192</v>
          </cell>
          <cell r="AP4302">
            <v>0</v>
          </cell>
          <cell r="AQ4302">
            <v>0</v>
          </cell>
          <cell r="AV4302">
            <v>33323.450000000012</v>
          </cell>
        </row>
        <row r="4303">
          <cell r="E4303" t="str">
            <v>A26000193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A26000199</v>
          </cell>
          <cell r="AP4304">
            <v>0</v>
          </cell>
          <cell r="AQ4304">
            <v>0</v>
          </cell>
          <cell r="AV4304">
            <v>702612.52500000002</v>
          </cell>
        </row>
        <row r="4305">
          <cell r="E4305" t="str">
            <v>A26000199</v>
          </cell>
          <cell r="AP4305">
            <v>0</v>
          </cell>
          <cell r="AQ4305">
            <v>0</v>
          </cell>
          <cell r="AV4305">
            <v>161022.47499999998</v>
          </cell>
        </row>
        <row r="4306">
          <cell r="E4306" t="str">
            <v>A26000200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A26000201</v>
          </cell>
          <cell r="AP4307">
            <v>0</v>
          </cell>
          <cell r="AQ4307">
            <v>0</v>
          </cell>
          <cell r="AV4307">
            <v>34328.824999999997</v>
          </cell>
        </row>
        <row r="4308">
          <cell r="E4308" t="str">
            <v>A26000201</v>
          </cell>
          <cell r="AP4308">
            <v>0</v>
          </cell>
          <cell r="AQ4308">
            <v>0</v>
          </cell>
          <cell r="AV4308">
            <v>9326.1750000000029</v>
          </cell>
        </row>
        <row r="4309">
          <cell r="E4309" t="str">
            <v>A26000202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A26000203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A26000204</v>
          </cell>
          <cell r="AP4311">
            <v>0</v>
          </cell>
          <cell r="AQ4311">
            <v>0</v>
          </cell>
          <cell r="AV4311">
            <v>63624</v>
          </cell>
        </row>
        <row r="4312">
          <cell r="E4312" t="str">
            <v>A26000204</v>
          </cell>
          <cell r="AP4312">
            <v>0</v>
          </cell>
          <cell r="AQ4312">
            <v>0</v>
          </cell>
          <cell r="AV4312">
            <v>15976</v>
          </cell>
        </row>
        <row r="4313">
          <cell r="E4313" t="str">
            <v>A26000205</v>
          </cell>
          <cell r="AP4313">
            <v>0</v>
          </cell>
          <cell r="AQ4313">
            <v>0</v>
          </cell>
          <cell r="AV4313">
            <v>72553.955000000002</v>
          </cell>
        </row>
        <row r="4314">
          <cell r="E4314" t="str">
            <v>A26000205</v>
          </cell>
          <cell r="AP4314">
            <v>0</v>
          </cell>
          <cell r="AQ4314">
            <v>0</v>
          </cell>
          <cell r="AV4314">
            <v>18003.044999999998</v>
          </cell>
        </row>
        <row r="4315">
          <cell r="E4315" t="str">
            <v>A26000206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A26000207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A26000209</v>
          </cell>
          <cell r="AP4317">
            <v>0</v>
          </cell>
          <cell r="AQ4317">
            <v>0</v>
          </cell>
          <cell r="AV4317">
            <v>111798.65</v>
          </cell>
        </row>
        <row r="4318">
          <cell r="E4318" t="str">
            <v>A26000209</v>
          </cell>
          <cell r="AP4318">
            <v>0</v>
          </cell>
          <cell r="AQ4318">
            <v>0</v>
          </cell>
          <cell r="AV4318">
            <v>26911.350000000006</v>
          </cell>
        </row>
        <row r="4319">
          <cell r="E4319" t="str">
            <v>A26000210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A26000213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A26000214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A26000215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A26000216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A26000217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A26000218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A26000219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A26000220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A26000221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A26000222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A26000223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A26000227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A26000228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A26000229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A26000230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A26000231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A26000236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A26000237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A26000238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A26000239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A26000240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A26000241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A26000242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A26000243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A26000244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A26000246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A26000247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A26000248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A26000249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A26000252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A26000253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A26000254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A26000255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A25002320</v>
          </cell>
          <cell r="AP4353">
            <v>54000</v>
          </cell>
          <cell r="AQ4353">
            <v>0</v>
          </cell>
          <cell r="AV4353">
            <v>0</v>
          </cell>
        </row>
        <row r="4354">
          <cell r="E4354" t="str">
            <v>A26000014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A26000060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A26000118</v>
          </cell>
          <cell r="AP4356">
            <v>0</v>
          </cell>
          <cell r="AQ4356">
            <v>0</v>
          </cell>
          <cell r="AV4356">
            <v>42000.625</v>
          </cell>
        </row>
        <row r="4357">
          <cell r="E4357" t="str">
            <v>A26000118</v>
          </cell>
          <cell r="AP4357">
            <v>0</v>
          </cell>
          <cell r="AQ4357">
            <v>0</v>
          </cell>
          <cell r="AV4357">
            <v>11374.375</v>
          </cell>
        </row>
        <row r="4358">
          <cell r="E4358" t="str">
            <v>A26000143</v>
          </cell>
          <cell r="AP4358">
            <v>0</v>
          </cell>
          <cell r="AQ4358">
            <v>0</v>
          </cell>
          <cell r="AV4358">
            <v>132160</v>
          </cell>
        </row>
        <row r="4359">
          <cell r="E4359" t="str">
            <v>A26000143</v>
          </cell>
          <cell r="AP4359">
            <v>0</v>
          </cell>
          <cell r="AQ4359">
            <v>0</v>
          </cell>
          <cell r="AV4359">
            <v>31840</v>
          </cell>
        </row>
        <row r="4360">
          <cell r="E4360" t="str">
            <v>A26000175</v>
          </cell>
          <cell r="AP4360">
            <v>0</v>
          </cell>
          <cell r="AQ4360">
            <v>0</v>
          </cell>
          <cell r="AV4360">
            <v>19078.75</v>
          </cell>
        </row>
        <row r="4361">
          <cell r="E4361" t="str">
            <v>A26000175</v>
          </cell>
          <cell r="AP4361">
            <v>0</v>
          </cell>
          <cell r="AQ4361">
            <v>0</v>
          </cell>
          <cell r="AV4361">
            <v>6171.25</v>
          </cell>
        </row>
        <row r="4362">
          <cell r="E4362" t="str">
            <v>A26000183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A26000184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A26000188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A26000194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A26000195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A26000196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A26000197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A26000198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A26000208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A26000211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A26000212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A26000224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A26000225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A26000226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A26000232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A26000233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A26000234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A26000235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A26000245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A26000250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A26000251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D26000155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B26000336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B26000155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D26002229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B25015869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B25016602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D26000826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T26000090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B26001266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T25001846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B26000627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B26001731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D26001894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D25019021</v>
          </cell>
          <cell r="AP4396">
            <v>0</v>
          </cell>
          <cell r="AQ4396">
            <v>0</v>
          </cell>
          <cell r="AV4396">
            <v>9000000</v>
          </cell>
        </row>
        <row r="4397">
          <cell r="E4397" t="str">
            <v>D25019021</v>
          </cell>
          <cell r="AP4397">
            <v>0</v>
          </cell>
          <cell r="AQ4397">
            <v>0</v>
          </cell>
          <cell r="AV4397">
            <v>10000000</v>
          </cell>
        </row>
        <row r="4398">
          <cell r="E4398" t="str">
            <v>D25016703</v>
          </cell>
          <cell r="AP4398">
            <v>0</v>
          </cell>
          <cell r="AQ4398">
            <v>0</v>
          </cell>
          <cell r="AV4398">
            <v>285218900</v>
          </cell>
        </row>
        <row r="4399">
          <cell r="E4399" t="str">
            <v>B25016707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B25016708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B26000051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D26000324</v>
          </cell>
          <cell r="AP4402">
            <v>0</v>
          </cell>
          <cell r="AQ4402">
            <v>0</v>
          </cell>
          <cell r="AV4402">
            <v>15920000</v>
          </cell>
        </row>
        <row r="4403">
          <cell r="E4403" t="str">
            <v>D26000607</v>
          </cell>
          <cell r="AP4403">
            <v>0</v>
          </cell>
          <cell r="AQ4403">
            <v>0</v>
          </cell>
          <cell r="AV4403">
            <v>13310000</v>
          </cell>
        </row>
        <row r="4404">
          <cell r="E4404" t="str">
            <v>D26001548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D26002084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D26002093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B25015031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D25017570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D25017851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B25015708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D25018202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D25018246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D25018677</v>
          </cell>
          <cell r="AP4413">
            <v>0</v>
          </cell>
          <cell r="AQ4413">
            <v>111650000</v>
          </cell>
          <cell r="AV4413">
            <v>0</v>
          </cell>
        </row>
        <row r="4414">
          <cell r="E4414" t="str">
            <v>D25018814</v>
          </cell>
          <cell r="AP4414">
            <v>0</v>
          </cell>
          <cell r="AQ4414">
            <v>184800000</v>
          </cell>
          <cell r="AV4414">
            <v>0</v>
          </cell>
        </row>
        <row r="4415">
          <cell r="E4415" t="str">
            <v>D25018815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D25018817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D25019193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D25019219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D26000116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B26000296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D26001342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D26001717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D26001786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D26001823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D26001842</v>
          </cell>
          <cell r="AP4425">
            <v>0</v>
          </cell>
          <cell r="AQ4425">
            <v>0</v>
          </cell>
          <cell r="AV4425">
            <v>6750000</v>
          </cell>
        </row>
        <row r="4426">
          <cell r="E4426" t="str">
            <v>D26001909</v>
          </cell>
          <cell r="AP4426">
            <v>0</v>
          </cell>
          <cell r="AQ4426">
            <v>36450000</v>
          </cell>
          <cell r="AV4426">
            <v>0</v>
          </cell>
        </row>
        <row r="4427">
          <cell r="E4427" t="str">
            <v>D26001974</v>
          </cell>
          <cell r="AP4427">
            <v>0</v>
          </cell>
          <cell r="AQ4427">
            <v>0</v>
          </cell>
          <cell r="AV4427">
            <v>46200000</v>
          </cell>
        </row>
        <row r="4428">
          <cell r="E4428" t="str">
            <v>B26001928</v>
          </cell>
          <cell r="AP4428">
            <v>0</v>
          </cell>
          <cell r="AQ4428">
            <v>0</v>
          </cell>
          <cell r="AV4428">
            <v>13500000</v>
          </cell>
        </row>
        <row r="4429">
          <cell r="E4429" t="str">
            <v>D26002040</v>
          </cell>
          <cell r="AP4429">
            <v>0</v>
          </cell>
          <cell r="AQ4429">
            <v>0</v>
          </cell>
          <cell r="AV4429">
            <v>263000000</v>
          </cell>
        </row>
        <row r="4430">
          <cell r="E4430" t="str">
            <v>D26002044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D25013126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D25018753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D25018896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D25018897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D25018897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D25019002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B25016680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D25019416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D25019602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D25019602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D25019603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B26000026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B26000026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D26000082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B26001378</v>
          </cell>
          <cell r="AP4445">
            <v>0</v>
          </cell>
          <cell r="AQ4445">
            <v>0</v>
          </cell>
          <cell r="AV4445">
            <v>133000000</v>
          </cell>
        </row>
        <row r="4446">
          <cell r="E4446" t="str">
            <v>D26001502</v>
          </cell>
          <cell r="AP4446">
            <v>0</v>
          </cell>
          <cell r="AQ4446">
            <v>61125000</v>
          </cell>
          <cell r="AV4446">
            <v>0</v>
          </cell>
        </row>
        <row r="4447">
          <cell r="E4447" t="str">
            <v>B26001421</v>
          </cell>
          <cell r="AP4447">
            <v>0</v>
          </cell>
          <cell r="AQ4447">
            <v>8400000</v>
          </cell>
          <cell r="AV4447">
            <v>0</v>
          </cell>
        </row>
        <row r="4448">
          <cell r="E4448" t="str">
            <v>B26001422</v>
          </cell>
          <cell r="AP4448">
            <v>0</v>
          </cell>
          <cell r="AQ4448">
            <v>30475000</v>
          </cell>
          <cell r="AV4448">
            <v>0</v>
          </cell>
        </row>
        <row r="4449">
          <cell r="E4449" t="str">
            <v>B26001422</v>
          </cell>
          <cell r="AP4449">
            <v>0</v>
          </cell>
          <cell r="AQ4449">
            <v>13025000</v>
          </cell>
          <cell r="AV4449">
            <v>0</v>
          </cell>
        </row>
        <row r="4450">
          <cell r="E4450" t="str">
            <v>B26001426</v>
          </cell>
          <cell r="AP4450">
            <v>0</v>
          </cell>
          <cell r="AQ4450">
            <v>186975000</v>
          </cell>
          <cell r="AV4450">
            <v>0</v>
          </cell>
        </row>
        <row r="4451">
          <cell r="E4451" t="str">
            <v>B26001426</v>
          </cell>
          <cell r="AP4451">
            <v>0</v>
          </cell>
          <cell r="AQ4451">
            <v>64025000</v>
          </cell>
          <cell r="AV4451">
            <v>0</v>
          </cell>
        </row>
        <row r="4452">
          <cell r="E4452" t="str">
            <v>D26001606</v>
          </cell>
          <cell r="AP4452">
            <v>0</v>
          </cell>
          <cell r="AQ4452">
            <v>0</v>
          </cell>
          <cell r="AV4452">
            <v>156000000</v>
          </cell>
        </row>
        <row r="4453">
          <cell r="E4453" t="str">
            <v>D26001722</v>
          </cell>
          <cell r="AP4453">
            <v>0</v>
          </cell>
          <cell r="AQ4453">
            <v>0</v>
          </cell>
          <cell r="AV4453">
            <v>357000000</v>
          </cell>
        </row>
        <row r="4454">
          <cell r="E4454" t="str">
            <v>D26001761</v>
          </cell>
          <cell r="AP4454">
            <v>0</v>
          </cell>
          <cell r="AQ4454">
            <v>47625000</v>
          </cell>
          <cell r="AV4454">
            <v>0</v>
          </cell>
        </row>
        <row r="4455">
          <cell r="E4455" t="str">
            <v>D26001814</v>
          </cell>
          <cell r="AP4455">
            <v>0</v>
          </cell>
          <cell r="AQ4455">
            <v>81500000</v>
          </cell>
          <cell r="AV4455">
            <v>0</v>
          </cell>
        </row>
        <row r="4456">
          <cell r="E4456" t="str">
            <v>D26001898</v>
          </cell>
          <cell r="AP4456">
            <v>0</v>
          </cell>
          <cell r="AQ4456">
            <v>0</v>
          </cell>
          <cell r="AV4456">
            <v>187000000</v>
          </cell>
        </row>
        <row r="4457">
          <cell r="E4457" t="str">
            <v>D26001950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D26001991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B26001957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D26002108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D26002138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B26002136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D26002304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D26002390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D26002391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D26002392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D26002442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B26000217</v>
          </cell>
          <cell r="AP4468">
            <v>0</v>
          </cell>
          <cell r="AQ4468">
            <v>0</v>
          </cell>
          <cell r="AV4468">
            <v>3985000</v>
          </cell>
        </row>
        <row r="4469">
          <cell r="E4469" t="str">
            <v>B26000603</v>
          </cell>
          <cell r="AP4469">
            <v>0</v>
          </cell>
          <cell r="AQ4469">
            <v>0</v>
          </cell>
          <cell r="AV4469">
            <v>2607500</v>
          </cell>
        </row>
        <row r="4470">
          <cell r="E4470" t="str">
            <v>D26000728</v>
          </cell>
          <cell r="AP4470">
            <v>0</v>
          </cell>
          <cell r="AQ4470">
            <v>0</v>
          </cell>
          <cell r="AV4470">
            <v>730000</v>
          </cell>
        </row>
        <row r="4471">
          <cell r="E4471" t="str">
            <v>D26001022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T26000070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B26001697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T26000120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T26000121k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D26002377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T25001688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B25016829</v>
          </cell>
          <cell r="AP4478">
            <v>0</v>
          </cell>
          <cell r="AQ4478">
            <v>0</v>
          </cell>
          <cell r="AV4478">
            <v>8690000</v>
          </cell>
        </row>
        <row r="4479">
          <cell r="E4479" t="str">
            <v>B25016830</v>
          </cell>
          <cell r="AP4479">
            <v>0</v>
          </cell>
          <cell r="AQ4479">
            <v>0</v>
          </cell>
          <cell r="AV4479">
            <v>2760000</v>
          </cell>
        </row>
        <row r="4480">
          <cell r="E4480" t="str">
            <v>D25019556</v>
          </cell>
          <cell r="AP4480">
            <v>0</v>
          </cell>
          <cell r="AQ4480">
            <v>0</v>
          </cell>
          <cell r="AV4480">
            <v>3400000</v>
          </cell>
        </row>
        <row r="4481">
          <cell r="E4481" t="str">
            <v>D25019558</v>
          </cell>
          <cell r="AP4481">
            <v>0</v>
          </cell>
          <cell r="AQ4481">
            <v>0</v>
          </cell>
          <cell r="AV4481">
            <v>8545000</v>
          </cell>
        </row>
        <row r="4482">
          <cell r="E4482" t="str">
            <v>D25019566</v>
          </cell>
          <cell r="AP4482">
            <v>0</v>
          </cell>
          <cell r="AQ4482">
            <v>0</v>
          </cell>
          <cell r="AV4482">
            <v>855000</v>
          </cell>
        </row>
        <row r="4483">
          <cell r="E4483" t="str">
            <v>D25019571</v>
          </cell>
          <cell r="AP4483">
            <v>0</v>
          </cell>
          <cell r="AQ4483">
            <v>0</v>
          </cell>
          <cell r="AV4483">
            <v>3300000</v>
          </cell>
        </row>
        <row r="4484">
          <cell r="E4484" t="str">
            <v>D25019672</v>
          </cell>
          <cell r="AP4484">
            <v>0</v>
          </cell>
          <cell r="AQ4484">
            <v>0</v>
          </cell>
          <cell r="AV4484">
            <v>3500000</v>
          </cell>
        </row>
        <row r="4485">
          <cell r="E4485" t="str">
            <v>D25019688</v>
          </cell>
          <cell r="AP4485">
            <v>0</v>
          </cell>
          <cell r="AQ4485">
            <v>0</v>
          </cell>
          <cell r="AV4485">
            <v>5535000</v>
          </cell>
        </row>
        <row r="4486">
          <cell r="E4486" t="str">
            <v>B26000656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B26000673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B26000674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B26000675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B26000692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B26001193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B26001719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B26001720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B26001721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B26001823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B25016204</v>
          </cell>
          <cell r="AP4496">
            <v>0</v>
          </cell>
          <cell r="AQ4496">
            <v>0</v>
          </cell>
          <cell r="AV4496">
            <v>10600000</v>
          </cell>
        </row>
        <row r="4497">
          <cell r="E4497" t="str">
            <v>B25016569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B25016864</v>
          </cell>
          <cell r="AP4498">
            <v>0</v>
          </cell>
          <cell r="AQ4498">
            <v>0</v>
          </cell>
          <cell r="AV4498">
            <v>7315000</v>
          </cell>
        </row>
        <row r="4499">
          <cell r="E4499" t="str">
            <v>B25016879</v>
          </cell>
          <cell r="AP4499">
            <v>0</v>
          </cell>
          <cell r="AQ4499">
            <v>0</v>
          </cell>
          <cell r="AV4499">
            <v>11685000</v>
          </cell>
        </row>
        <row r="4500">
          <cell r="E4500" t="str">
            <v>B25016879</v>
          </cell>
          <cell r="AP4500">
            <v>0</v>
          </cell>
          <cell r="AQ4500">
            <v>0</v>
          </cell>
          <cell r="AV4500">
            <v>38315000</v>
          </cell>
        </row>
        <row r="4501">
          <cell r="E4501" t="str">
            <v>D26000118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D26000455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D26000456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B26002080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B26002081</v>
          </cell>
          <cell r="AP4505">
            <v>0</v>
          </cell>
          <cell r="AQ4505">
            <v>0</v>
          </cell>
          <cell r="AV4505">
            <v>9900000</v>
          </cell>
        </row>
        <row r="4506">
          <cell r="E4506" t="str">
            <v>B26002082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B26002083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D26000605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D26000834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D26001066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D26001545</v>
          </cell>
          <cell r="AP4511">
            <v>0</v>
          </cell>
          <cell r="AQ4511">
            <v>0</v>
          </cell>
          <cell r="AV4511">
            <v>4200000</v>
          </cell>
        </row>
        <row r="4512">
          <cell r="E4512" t="str">
            <v>B26001756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D26001848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B26002221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T25001572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D26000847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D26001198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B26001883</v>
          </cell>
          <cell r="AP4518">
            <v>0</v>
          </cell>
          <cell r="AQ4518">
            <v>0</v>
          </cell>
          <cell r="AV4518">
            <v>5700000</v>
          </cell>
        </row>
        <row r="4519">
          <cell r="E4519" t="str">
            <v>D26002228</v>
          </cell>
          <cell r="AP4519">
            <v>0</v>
          </cell>
          <cell r="AQ4519">
            <v>0</v>
          </cell>
          <cell r="AV4519">
            <v>2100000</v>
          </cell>
        </row>
        <row r="4520">
          <cell r="E4520" t="str">
            <v>B25016111</v>
          </cell>
          <cell r="AP4520">
            <v>0</v>
          </cell>
          <cell r="AQ4520">
            <v>0</v>
          </cell>
          <cell r="AV4520">
            <v>3100000</v>
          </cell>
        </row>
        <row r="4521">
          <cell r="E4521" t="str">
            <v>B25016220</v>
          </cell>
          <cell r="AP4521">
            <v>0</v>
          </cell>
          <cell r="AQ4521">
            <v>0</v>
          </cell>
          <cell r="AV4521">
            <v>2150000</v>
          </cell>
        </row>
        <row r="4522">
          <cell r="E4522" t="str">
            <v>B25016230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D25018668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T25001414</v>
          </cell>
          <cell r="AP4524">
            <v>1316250</v>
          </cell>
          <cell r="AQ4524">
            <v>0</v>
          </cell>
          <cell r="AV4524">
            <v>0</v>
          </cell>
        </row>
        <row r="4525">
          <cell r="E4525" t="str">
            <v>T25001414</v>
          </cell>
          <cell r="AP4525">
            <v>0</v>
          </cell>
          <cell r="AQ4525">
            <v>0</v>
          </cell>
          <cell r="AV4525">
            <v>383750</v>
          </cell>
        </row>
        <row r="4526">
          <cell r="E4526" t="str">
            <v>D25014916</v>
          </cell>
          <cell r="AP4526">
            <v>5695000</v>
          </cell>
          <cell r="AQ4526">
            <v>0</v>
          </cell>
          <cell r="AV4526">
            <v>0</v>
          </cell>
        </row>
        <row r="4527">
          <cell r="E4527" t="str">
            <v>D25014916</v>
          </cell>
          <cell r="AP4527">
            <v>0</v>
          </cell>
          <cell r="AQ4527">
            <v>0</v>
          </cell>
          <cell r="AV4527">
            <v>1105000</v>
          </cell>
        </row>
        <row r="4528">
          <cell r="E4528" t="str">
            <v>B26001420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B26001979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B25016555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D26000024</v>
          </cell>
          <cell r="AP4531">
            <v>0</v>
          </cell>
          <cell r="AQ4531">
            <v>0</v>
          </cell>
          <cell r="AV4531">
            <v>4000000</v>
          </cell>
        </row>
        <row r="4532">
          <cell r="E4532" t="str">
            <v>B26000460</v>
          </cell>
          <cell r="AP4532">
            <v>0</v>
          </cell>
          <cell r="AQ4532">
            <v>0</v>
          </cell>
          <cell r="AV4532">
            <v>20800000</v>
          </cell>
        </row>
        <row r="4533">
          <cell r="E4533" t="str">
            <v>B26000469</v>
          </cell>
          <cell r="AP4533">
            <v>0</v>
          </cell>
          <cell r="AQ4533">
            <v>0</v>
          </cell>
          <cell r="AV4533">
            <v>2250000</v>
          </cell>
        </row>
        <row r="4534">
          <cell r="E4534" t="str">
            <v>B26000484</v>
          </cell>
          <cell r="AP4534">
            <v>0</v>
          </cell>
          <cell r="AQ4534">
            <v>0</v>
          </cell>
          <cell r="AV4534">
            <v>14750000</v>
          </cell>
        </row>
        <row r="4535">
          <cell r="E4535" t="str">
            <v>D26000736</v>
          </cell>
          <cell r="AP4535">
            <v>3120000</v>
          </cell>
          <cell r="AQ4535">
            <v>0</v>
          </cell>
          <cell r="AV4535">
            <v>0</v>
          </cell>
        </row>
        <row r="4536">
          <cell r="E4536" t="str">
            <v>D26000807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D26000979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D26001218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B26001254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D26001412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B26001544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B26001771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D26002214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B25015299</v>
          </cell>
          <cell r="AP4544">
            <v>0</v>
          </cell>
          <cell r="AQ4544">
            <v>0</v>
          </cell>
          <cell r="AV4544">
            <v>3339000</v>
          </cell>
        </row>
        <row r="4545">
          <cell r="E4545" t="str">
            <v>L25000055</v>
          </cell>
          <cell r="AP4545">
            <v>0</v>
          </cell>
          <cell r="AQ4545">
            <v>0</v>
          </cell>
          <cell r="AV4545">
            <v>1206000</v>
          </cell>
        </row>
        <row r="4546">
          <cell r="E4546" t="str">
            <v>B25016854</v>
          </cell>
          <cell r="AP4546">
            <v>0</v>
          </cell>
          <cell r="AQ4546">
            <v>0</v>
          </cell>
          <cell r="AV4546">
            <v>1700000</v>
          </cell>
        </row>
        <row r="4547">
          <cell r="E4547" t="str">
            <v>D25019472</v>
          </cell>
          <cell r="AP4547">
            <v>0</v>
          </cell>
          <cell r="AQ4547">
            <v>0</v>
          </cell>
          <cell r="AV4547">
            <v>1240000</v>
          </cell>
        </row>
        <row r="4548">
          <cell r="E4548" t="str">
            <v>D26000075</v>
          </cell>
          <cell r="AP4548">
            <v>0</v>
          </cell>
          <cell r="AQ4548">
            <v>0</v>
          </cell>
          <cell r="AV4548">
            <v>0</v>
          </cell>
        </row>
        <row r="4549">
          <cell r="E4549" t="str">
            <v>D26000140</v>
          </cell>
          <cell r="AP4549">
            <v>0</v>
          </cell>
          <cell r="AQ4549">
            <v>0</v>
          </cell>
          <cell r="AV4549">
            <v>0</v>
          </cell>
        </row>
        <row r="4550">
          <cell r="E4550" t="str">
            <v>B26000899</v>
          </cell>
          <cell r="AP4550">
            <v>0</v>
          </cell>
          <cell r="AQ4550">
            <v>0</v>
          </cell>
          <cell r="AV4550">
            <v>0</v>
          </cell>
        </row>
        <row r="4551">
          <cell r="E4551" t="str">
            <v>B26000935</v>
          </cell>
          <cell r="AP4551">
            <v>0</v>
          </cell>
          <cell r="AQ4551">
            <v>0</v>
          </cell>
          <cell r="AV4551">
            <v>0</v>
          </cell>
        </row>
        <row r="4552">
          <cell r="E4552" t="str">
            <v>B26002154</v>
          </cell>
          <cell r="AP4552">
            <v>0</v>
          </cell>
          <cell r="AQ4552">
            <v>0</v>
          </cell>
          <cell r="AV4552">
            <v>0</v>
          </cell>
        </row>
        <row r="4553">
          <cell r="E4553" t="str">
            <v>B26000128</v>
          </cell>
          <cell r="AP4553">
            <v>0</v>
          </cell>
          <cell r="AQ4553">
            <v>0</v>
          </cell>
          <cell r="AV4553">
            <v>572500</v>
          </cell>
        </row>
        <row r="4554">
          <cell r="E4554" t="str">
            <v>D26000267</v>
          </cell>
          <cell r="AP4554">
            <v>0</v>
          </cell>
          <cell r="AQ4554">
            <v>0</v>
          </cell>
          <cell r="AV4554">
            <v>3427500</v>
          </cell>
        </row>
        <row r="4555">
          <cell r="E4555" t="str">
            <v>D26000267</v>
          </cell>
          <cell r="AP4555">
            <v>0</v>
          </cell>
          <cell r="AQ4555">
            <v>0</v>
          </cell>
          <cell r="AV4555">
            <v>3172500</v>
          </cell>
        </row>
        <row r="4556">
          <cell r="E4556" t="str">
            <v>B26001353</v>
          </cell>
          <cell r="AP4556">
            <v>0</v>
          </cell>
          <cell r="AQ4556">
            <v>0</v>
          </cell>
          <cell r="AV4556">
            <v>0</v>
          </cell>
        </row>
        <row r="4557">
          <cell r="E4557" t="str">
            <v>D26001460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D26001461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B26000669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B26001598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D25016298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D25016299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D25016434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B25014206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D25016491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D25016604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D25016638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D25016644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D25016648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D25016717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B25014496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B25014496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B25014521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B25014584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B25014584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B25014662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B25014786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B25014786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B25014787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B25014840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B25014879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B25014883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 t="str">
            <v>B25014884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D25017290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D25017291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B25015055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B25015056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B25015062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D25017388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D25017569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D25017569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D25017576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D25017578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B25015257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B25015259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B25015354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D25017763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D25017810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D25017866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D25017867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D25017990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B25015598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D25018031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D25018033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D25018260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D25018263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B25015923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B25016082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B25016108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B25016108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B25016109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B25016109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B25016109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B25016135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D25018533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D25018535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D25018566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D25018589</v>
          </cell>
          <cell r="AP4618">
            <v>0</v>
          </cell>
          <cell r="AQ4618">
            <v>0</v>
          </cell>
          <cell r="AV4618">
            <v>0</v>
          </cell>
        </row>
        <row r="4619">
          <cell r="E4619" t="str">
            <v>D25018600</v>
          </cell>
          <cell r="AP4619">
            <v>0</v>
          </cell>
          <cell r="AQ4619">
            <v>0</v>
          </cell>
          <cell r="AV4619">
            <v>0</v>
          </cell>
        </row>
        <row r="4620">
          <cell r="E4620" t="str">
            <v>D25018624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D25018624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D25018652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B25016253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B25016254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B25016329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B25016366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B25016462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B25016463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B25016463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B25016463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B25016463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B25016467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D25018945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B25016583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D25019041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D25019047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D25019074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D25019354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B25016951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B25016968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B25016976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B25017051</v>
          </cell>
          <cell r="AP4642">
            <v>0</v>
          </cell>
          <cell r="AQ4642">
            <v>91800000</v>
          </cell>
          <cell r="AV4642">
            <v>0</v>
          </cell>
        </row>
        <row r="4643">
          <cell r="E4643" t="str">
            <v>D25019669</v>
          </cell>
          <cell r="AP4643">
            <v>0</v>
          </cell>
          <cell r="AQ4643">
            <v>15500000</v>
          </cell>
          <cell r="AV4643">
            <v>0</v>
          </cell>
        </row>
        <row r="4644">
          <cell r="E4644" t="str">
            <v>B25017144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B26000011</v>
          </cell>
          <cell r="AP4645">
            <v>0</v>
          </cell>
          <cell r="AQ4645">
            <v>20345000</v>
          </cell>
          <cell r="AV4645">
            <v>0</v>
          </cell>
        </row>
        <row r="4646">
          <cell r="E4646" t="str">
            <v>D26000003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D26000004</v>
          </cell>
          <cell r="AP4647">
            <v>0</v>
          </cell>
          <cell r="AQ4647">
            <v>29250000</v>
          </cell>
          <cell r="AV4647">
            <v>0</v>
          </cell>
        </row>
        <row r="4648">
          <cell r="E4648" t="str">
            <v>D26000038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D26000043</v>
          </cell>
          <cell r="AP4649">
            <v>0</v>
          </cell>
          <cell r="AQ4649">
            <v>3150000</v>
          </cell>
          <cell r="AV4649">
            <v>0</v>
          </cell>
        </row>
        <row r="4650">
          <cell r="E4650" t="str">
            <v>B26000223</v>
          </cell>
          <cell r="AP4650">
            <v>0</v>
          </cell>
          <cell r="AQ4650">
            <v>39315000</v>
          </cell>
          <cell r="AV4650">
            <v>0</v>
          </cell>
        </row>
        <row r="4651">
          <cell r="E4651" t="str">
            <v>D26000251</v>
          </cell>
          <cell r="AP4651">
            <v>0</v>
          </cell>
          <cell r="AQ4651">
            <v>48100000</v>
          </cell>
          <cell r="AV4651">
            <v>0</v>
          </cell>
        </row>
        <row r="4652">
          <cell r="E4652" t="str">
            <v>D26000296</v>
          </cell>
          <cell r="AP4652">
            <v>0</v>
          </cell>
          <cell r="AQ4652">
            <v>98000000</v>
          </cell>
          <cell r="AV4652">
            <v>0</v>
          </cell>
        </row>
        <row r="4653">
          <cell r="E4653" t="str">
            <v>D26000305</v>
          </cell>
          <cell r="AP4653">
            <v>0</v>
          </cell>
          <cell r="AQ4653">
            <v>72000000</v>
          </cell>
          <cell r="AV4653">
            <v>0</v>
          </cell>
        </row>
        <row r="4654">
          <cell r="E4654" t="str">
            <v>D26000307</v>
          </cell>
          <cell r="AP4654">
            <v>0</v>
          </cell>
          <cell r="AQ4654">
            <v>164322000</v>
          </cell>
          <cell r="AV4654">
            <v>0</v>
          </cell>
        </row>
        <row r="4655">
          <cell r="E4655" t="str">
            <v>D26000320</v>
          </cell>
          <cell r="AP4655">
            <v>0</v>
          </cell>
          <cell r="AQ4655">
            <v>28300000</v>
          </cell>
          <cell r="AV4655">
            <v>0</v>
          </cell>
        </row>
        <row r="4656">
          <cell r="E4656" t="str">
            <v>D26000328</v>
          </cell>
          <cell r="AP4656">
            <v>0</v>
          </cell>
          <cell r="AQ4656">
            <v>29540000</v>
          </cell>
          <cell r="AV4656">
            <v>0</v>
          </cell>
        </row>
        <row r="4657">
          <cell r="E4657" t="str">
            <v>D26000458</v>
          </cell>
          <cell r="AP4657">
            <v>0</v>
          </cell>
          <cell r="AQ4657">
            <v>42000000</v>
          </cell>
          <cell r="AV4657">
            <v>0</v>
          </cell>
        </row>
        <row r="4658">
          <cell r="E4658" t="str">
            <v>D26000465</v>
          </cell>
          <cell r="AP4658">
            <v>0</v>
          </cell>
          <cell r="AQ4658">
            <v>28800000</v>
          </cell>
          <cell r="AV4658">
            <v>0</v>
          </cell>
        </row>
        <row r="4659">
          <cell r="E4659" t="str">
            <v>D26000468</v>
          </cell>
          <cell r="AP4659">
            <v>0</v>
          </cell>
          <cell r="AQ4659">
            <v>49500000</v>
          </cell>
          <cell r="AV4659">
            <v>0</v>
          </cell>
        </row>
        <row r="4660">
          <cell r="E4660" t="str">
            <v>B26000576</v>
          </cell>
          <cell r="AP4660">
            <v>0</v>
          </cell>
          <cell r="AQ4660">
            <v>16000000</v>
          </cell>
          <cell r="AV4660">
            <v>0</v>
          </cell>
        </row>
        <row r="4661">
          <cell r="E4661" t="str">
            <v>B26000577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D26000677</v>
          </cell>
          <cell r="AP4662">
            <v>0</v>
          </cell>
          <cell r="AQ4662">
            <v>33250000</v>
          </cell>
          <cell r="AV4662">
            <v>0</v>
          </cell>
        </row>
        <row r="4663">
          <cell r="E4663" t="str">
            <v>D26000726</v>
          </cell>
          <cell r="AP4663">
            <v>0</v>
          </cell>
          <cell r="AQ4663">
            <v>57000000</v>
          </cell>
          <cell r="AV4663">
            <v>0</v>
          </cell>
        </row>
        <row r="4664">
          <cell r="E4664" t="str">
            <v>D26000727</v>
          </cell>
          <cell r="AP4664">
            <v>0</v>
          </cell>
          <cell r="AQ4664">
            <v>7750000</v>
          </cell>
          <cell r="AV4664">
            <v>0</v>
          </cell>
        </row>
        <row r="4665">
          <cell r="E4665" t="str">
            <v>D26000777</v>
          </cell>
          <cell r="AP4665">
            <v>0</v>
          </cell>
          <cell r="AQ4665">
            <v>10600000</v>
          </cell>
          <cell r="AV4665">
            <v>0</v>
          </cell>
        </row>
        <row r="4666">
          <cell r="E4666" t="str">
            <v>B26000792</v>
          </cell>
          <cell r="AP4666">
            <v>0</v>
          </cell>
          <cell r="AQ4666">
            <v>128000000</v>
          </cell>
          <cell r="AV4666">
            <v>0</v>
          </cell>
        </row>
        <row r="4667">
          <cell r="E4667" t="str">
            <v>D26000871</v>
          </cell>
          <cell r="AP4667">
            <v>0</v>
          </cell>
          <cell r="AQ4667">
            <v>17925000</v>
          </cell>
          <cell r="AV4667">
            <v>0</v>
          </cell>
        </row>
        <row r="4668">
          <cell r="E4668" t="str">
            <v>D26000986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B26001097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D26001331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B26001276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B26001349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B26001401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D26001429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D26001430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D26001447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D26001485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D26001493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D26001512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B26001493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D26001600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D26001604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D26001623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D26001635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B26001573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D26001672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B26001616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D26001798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D26001809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B26001711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B26001716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D26001860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D26002016</v>
          </cell>
          <cell r="AP4693">
            <v>0</v>
          </cell>
          <cell r="AQ4693">
            <v>0</v>
          </cell>
          <cell r="AV4693">
            <v>0</v>
          </cell>
        </row>
        <row r="4694">
          <cell r="E4694" t="str">
            <v>D26002021</v>
          </cell>
          <cell r="AP4694">
            <v>0</v>
          </cell>
          <cell r="AQ4694">
            <v>65500000</v>
          </cell>
          <cell r="AV4694">
            <v>0</v>
          </cell>
        </row>
        <row r="4695">
          <cell r="E4695" t="str">
            <v>B26001953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D26002116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D26002118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B26002006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D26002186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D26002187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D26002188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D26002212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D26002362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B26002192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D26002435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D26002436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B26001758</v>
          </cell>
          <cell r="AP4707">
            <v>0</v>
          </cell>
          <cell r="AQ4707">
            <v>0</v>
          </cell>
          <cell r="AV4707">
            <v>1700000</v>
          </cell>
        </row>
        <row r="4708">
          <cell r="E4708" t="str">
            <v>T26000132</v>
          </cell>
          <cell r="AP4708">
            <v>0</v>
          </cell>
          <cell r="AQ4708">
            <v>0</v>
          </cell>
          <cell r="AV4708">
            <v>16200000</v>
          </cell>
        </row>
        <row r="4709">
          <cell r="E4709" t="str">
            <v>B25016062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D26000533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B26000504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D26000915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D26001269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B25016000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D25019017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B26001286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B26001659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B26001681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T25001791</v>
          </cell>
          <cell r="AP4719">
            <v>0</v>
          </cell>
          <cell r="AQ4719">
            <v>0</v>
          </cell>
          <cell r="AV4719">
            <v>2145000</v>
          </cell>
        </row>
        <row r="4720">
          <cell r="E4720" t="str">
            <v>T25001792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D25019371</v>
          </cell>
          <cell r="AP4721">
            <v>0</v>
          </cell>
          <cell r="AQ4721">
            <v>0</v>
          </cell>
          <cell r="AV4721">
            <v>16800000</v>
          </cell>
        </row>
        <row r="4722">
          <cell r="E4722" t="str">
            <v>D25019371</v>
          </cell>
          <cell r="AP4722">
            <v>0</v>
          </cell>
          <cell r="AQ4722">
            <v>0</v>
          </cell>
          <cell r="AV4722">
            <v>38530000</v>
          </cell>
        </row>
        <row r="4723">
          <cell r="E4723" t="str">
            <v>B26000361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B26000362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B26000836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B26000839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B26000854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B26000877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B26001354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B26001995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D26002110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D25018432</v>
          </cell>
          <cell r="AP4732">
            <v>0</v>
          </cell>
          <cell r="AQ4732">
            <v>0</v>
          </cell>
          <cell r="AV4732">
            <v>9500000</v>
          </cell>
        </row>
        <row r="4733">
          <cell r="E4733" t="str">
            <v>D25018496</v>
          </cell>
          <cell r="AP4733">
            <v>0</v>
          </cell>
          <cell r="AQ4733">
            <v>0</v>
          </cell>
          <cell r="AV4733">
            <v>236400000</v>
          </cell>
        </row>
        <row r="4734">
          <cell r="E4734" t="str">
            <v>B25016226</v>
          </cell>
          <cell r="AP4734">
            <v>0</v>
          </cell>
          <cell r="AQ4734">
            <v>0</v>
          </cell>
          <cell r="AV4734">
            <v>39560000</v>
          </cell>
        </row>
        <row r="4735">
          <cell r="E4735" t="str">
            <v>D25019206</v>
          </cell>
          <cell r="AP4735">
            <v>0</v>
          </cell>
          <cell r="AQ4735">
            <v>0</v>
          </cell>
          <cell r="AV4735">
            <v>8100000</v>
          </cell>
        </row>
        <row r="4736">
          <cell r="E4736" t="str">
            <v>D26000264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T26000018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D26000694</v>
          </cell>
          <cell r="AP4738">
            <v>0</v>
          </cell>
          <cell r="AQ4738">
            <v>0</v>
          </cell>
          <cell r="AV4738">
            <v>46880000</v>
          </cell>
        </row>
        <row r="4739">
          <cell r="E4739" t="str">
            <v>D26000809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D26001112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D26001375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D26001541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B26001476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D26001642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D26001720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D26001760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D26001973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D26002221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B25016849</v>
          </cell>
          <cell r="AP4749">
            <v>0</v>
          </cell>
          <cell r="AQ4749">
            <v>0</v>
          </cell>
          <cell r="AV4749">
            <v>27860000</v>
          </cell>
        </row>
        <row r="4750">
          <cell r="E4750" t="str">
            <v>B25016967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B25016969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B26000544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D26000948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D26001106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B26001700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D25019098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B26000599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D26000627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D25018704</v>
          </cell>
          <cell r="AP4759">
            <v>0</v>
          </cell>
          <cell r="AQ4759">
            <v>0</v>
          </cell>
          <cell r="AV4759">
            <v>6000000</v>
          </cell>
        </row>
        <row r="4760">
          <cell r="E4760" t="str">
            <v>D25018704</v>
          </cell>
          <cell r="AP4760">
            <v>0</v>
          </cell>
          <cell r="AQ4760">
            <v>0</v>
          </cell>
          <cell r="AV4760">
            <v>10000000</v>
          </cell>
        </row>
        <row r="4761">
          <cell r="E4761" t="str">
            <v>D25018704</v>
          </cell>
          <cell r="AP4761">
            <v>0</v>
          </cell>
          <cell r="AQ4761">
            <v>0</v>
          </cell>
          <cell r="AV4761">
            <v>6210000</v>
          </cell>
        </row>
        <row r="4762">
          <cell r="E4762" t="str">
            <v>D25018755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D25018858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D25019061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D25019278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D25019454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D25019594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D25019702</v>
          </cell>
          <cell r="AP4768">
            <v>0</v>
          </cell>
          <cell r="AQ4768">
            <v>0</v>
          </cell>
          <cell r="AV4768">
            <v>0</v>
          </cell>
        </row>
        <row r="4769">
          <cell r="E4769" t="str">
            <v>D26000214</v>
          </cell>
          <cell r="AP4769">
            <v>0</v>
          </cell>
          <cell r="AQ4769">
            <v>0</v>
          </cell>
          <cell r="AV4769">
            <v>0</v>
          </cell>
        </row>
        <row r="4770">
          <cell r="E4770" t="str">
            <v>D26000467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D26000635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D26000799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D26000943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D26000944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D26000964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D26001117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B26001287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B26001508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B26001757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B26002091</v>
          </cell>
          <cell r="AP4780">
            <v>0</v>
          </cell>
          <cell r="AQ4780">
            <v>0</v>
          </cell>
          <cell r="AV4780">
            <v>9520000</v>
          </cell>
        </row>
        <row r="4781">
          <cell r="E4781" t="str">
            <v>D26002152</v>
          </cell>
          <cell r="AP4781">
            <v>0</v>
          </cell>
          <cell r="AQ4781">
            <v>0</v>
          </cell>
          <cell r="AV4781">
            <v>10710000</v>
          </cell>
        </row>
        <row r="4782">
          <cell r="E4782" t="str">
            <v>D26002153</v>
          </cell>
          <cell r="AP4782">
            <v>0</v>
          </cell>
          <cell r="AQ4782">
            <v>0</v>
          </cell>
          <cell r="AV4782">
            <v>33040000</v>
          </cell>
        </row>
        <row r="4783">
          <cell r="E4783" t="str">
            <v>D26002153</v>
          </cell>
          <cell r="AP4783">
            <v>0</v>
          </cell>
          <cell r="AQ4783">
            <v>0</v>
          </cell>
          <cell r="AV4783">
            <v>33600000</v>
          </cell>
        </row>
        <row r="4784">
          <cell r="E4784" t="str">
            <v>D26002153</v>
          </cell>
          <cell r="AP4784">
            <v>0</v>
          </cell>
          <cell r="AQ4784">
            <v>0</v>
          </cell>
          <cell r="AV4784">
            <v>33600000</v>
          </cell>
        </row>
        <row r="4785">
          <cell r="E4785" t="str">
            <v>B26002181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B26002229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B25015633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B26002237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T25001860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D25019154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D25016913</v>
          </cell>
          <cell r="AP4791">
            <v>0</v>
          </cell>
          <cell r="AQ4791">
            <v>0</v>
          </cell>
          <cell r="AV4791">
            <v>7660000</v>
          </cell>
        </row>
        <row r="4792">
          <cell r="E4792" t="str">
            <v>D25019342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B25016964</v>
          </cell>
          <cell r="AP4793">
            <v>0</v>
          </cell>
          <cell r="AQ4793">
            <v>0</v>
          </cell>
          <cell r="AV4793">
            <v>2195000</v>
          </cell>
        </row>
        <row r="4794">
          <cell r="E4794" t="str">
            <v>D26000178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D26000333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D26000883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B26001109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B26001281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B26001456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D26001907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B25016656</v>
          </cell>
          <cell r="AP4801">
            <v>0</v>
          </cell>
          <cell r="AQ4801">
            <v>0</v>
          </cell>
          <cell r="AV4801">
            <v>153800000</v>
          </cell>
        </row>
        <row r="4802">
          <cell r="E4802" t="str">
            <v>B26001695</v>
          </cell>
          <cell r="AP4802">
            <v>0</v>
          </cell>
          <cell r="AQ4802">
            <v>0</v>
          </cell>
          <cell r="AV4802">
            <v>8200000</v>
          </cell>
        </row>
        <row r="4803">
          <cell r="E4803" t="str">
            <v>B26002126</v>
          </cell>
          <cell r="AP4803">
            <v>0</v>
          </cell>
          <cell r="AQ4803">
            <v>0</v>
          </cell>
          <cell r="AV4803">
            <v>16370000</v>
          </cell>
        </row>
        <row r="4804">
          <cell r="E4804" t="str">
            <v>D26000164</v>
          </cell>
          <cell r="AP4804">
            <v>0</v>
          </cell>
          <cell r="AQ4804">
            <v>0</v>
          </cell>
          <cell r="AV4804">
            <v>1640000</v>
          </cell>
        </row>
        <row r="4805">
          <cell r="E4805" t="str">
            <v>B26000788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D26001696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B26001688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B25016398</v>
          </cell>
          <cell r="AP4808">
            <v>0</v>
          </cell>
          <cell r="AQ4808">
            <v>0</v>
          </cell>
          <cell r="AV4808">
            <v>8078750</v>
          </cell>
        </row>
        <row r="4809">
          <cell r="E4809" t="str">
            <v>D26000838</v>
          </cell>
          <cell r="AP4809">
            <v>0</v>
          </cell>
          <cell r="AQ4809">
            <v>0</v>
          </cell>
          <cell r="AV4809">
            <v>421250</v>
          </cell>
        </row>
        <row r="4810">
          <cell r="E4810" t="str">
            <v>D26000845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D26001389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B26001366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B26001400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B26001764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D26001886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B26001947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B26002002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D26002317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D26002403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D25019562</v>
          </cell>
          <cell r="AP4820">
            <v>0</v>
          </cell>
          <cell r="AQ4820">
            <v>0</v>
          </cell>
          <cell r="AV4820">
            <v>5000000</v>
          </cell>
        </row>
        <row r="4821">
          <cell r="E4821" t="str">
            <v>D25019562</v>
          </cell>
          <cell r="AP4821">
            <v>0</v>
          </cell>
          <cell r="AQ4821">
            <v>0</v>
          </cell>
          <cell r="AV4821">
            <v>14354500</v>
          </cell>
        </row>
        <row r="4822">
          <cell r="E4822" t="str">
            <v>D26001926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B26002183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D25016614</v>
          </cell>
          <cell r="AP4824">
            <v>0</v>
          </cell>
          <cell r="AQ4824">
            <v>0</v>
          </cell>
          <cell r="AV4824">
            <v>960000</v>
          </cell>
        </row>
        <row r="4825">
          <cell r="E4825" t="str">
            <v>B25016902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B26000061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B26001376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T25001374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B26001362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D25017742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B26001076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D26001567</v>
          </cell>
          <cell r="AP4832">
            <v>0</v>
          </cell>
          <cell r="AQ4832">
            <v>0</v>
          </cell>
          <cell r="AV4832">
            <v>15000000</v>
          </cell>
        </row>
        <row r="4833">
          <cell r="E4833" t="str">
            <v>B26001592</v>
          </cell>
          <cell r="AP4833">
            <v>0</v>
          </cell>
          <cell r="AQ4833">
            <v>0</v>
          </cell>
          <cell r="AV4833">
            <v>4840000</v>
          </cell>
        </row>
        <row r="4834">
          <cell r="E4834" t="str">
            <v>B26001593</v>
          </cell>
          <cell r="AP4834">
            <v>0</v>
          </cell>
          <cell r="AQ4834">
            <v>0</v>
          </cell>
          <cell r="AV4834">
            <v>906500</v>
          </cell>
        </row>
        <row r="4835">
          <cell r="E4835" t="str">
            <v>B26000310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D26001175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D26001615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D26002248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B25017060</v>
          </cell>
          <cell r="AP4839">
            <v>0</v>
          </cell>
          <cell r="AQ4839">
            <v>0</v>
          </cell>
          <cell r="AV4839">
            <v>17520000</v>
          </cell>
        </row>
        <row r="4840">
          <cell r="E4840" t="str">
            <v>D26001639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B26001956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D26001476</v>
          </cell>
          <cell r="AP4842">
            <v>0</v>
          </cell>
          <cell r="AQ4842">
            <v>0</v>
          </cell>
          <cell r="AV4842">
            <v>382450000</v>
          </cell>
        </row>
        <row r="4843">
          <cell r="E4843" t="str">
            <v>D26001558</v>
          </cell>
          <cell r="AP4843">
            <v>0</v>
          </cell>
          <cell r="AQ4843">
            <v>0</v>
          </cell>
          <cell r="AV4843">
            <v>117550000</v>
          </cell>
        </row>
        <row r="4844">
          <cell r="E4844" t="str">
            <v>D26001558</v>
          </cell>
          <cell r="AP4844">
            <v>0</v>
          </cell>
          <cell r="AQ4844">
            <v>0</v>
          </cell>
          <cell r="AV4844">
            <v>150000000</v>
          </cell>
        </row>
        <row r="4845">
          <cell r="E4845" t="str">
            <v>D26001558</v>
          </cell>
          <cell r="AP4845">
            <v>0</v>
          </cell>
          <cell r="AQ4845">
            <v>0</v>
          </cell>
          <cell r="AV4845">
            <v>158000000</v>
          </cell>
        </row>
        <row r="4846">
          <cell r="E4846" t="str">
            <v>D26001558</v>
          </cell>
          <cell r="AP4846">
            <v>0</v>
          </cell>
          <cell r="AQ4846">
            <v>0</v>
          </cell>
          <cell r="AV4846">
            <v>211950000</v>
          </cell>
        </row>
        <row r="4847">
          <cell r="E4847" t="str">
            <v>D26001970</v>
          </cell>
          <cell r="AP4847">
            <v>0</v>
          </cell>
          <cell r="AQ4847">
            <v>0</v>
          </cell>
          <cell r="AV4847">
            <v>88050000</v>
          </cell>
        </row>
        <row r="4848">
          <cell r="E4848" t="str">
            <v>D26001970</v>
          </cell>
          <cell r="AP4848">
            <v>0</v>
          </cell>
          <cell r="AQ4848">
            <v>0</v>
          </cell>
          <cell r="AV4848">
            <v>166950000</v>
          </cell>
        </row>
        <row r="4849">
          <cell r="E4849" t="str">
            <v>D26002001</v>
          </cell>
          <cell r="AP4849">
            <v>0</v>
          </cell>
          <cell r="AQ4849">
            <v>0</v>
          </cell>
          <cell r="AV4849">
            <v>259050000</v>
          </cell>
        </row>
        <row r="4850">
          <cell r="E4850" t="str">
            <v>D26002001</v>
          </cell>
          <cell r="AP4850">
            <v>0</v>
          </cell>
          <cell r="AQ4850">
            <v>0</v>
          </cell>
          <cell r="AV4850">
            <v>123450000</v>
          </cell>
        </row>
        <row r="4851">
          <cell r="E4851" t="str">
            <v>B26001959</v>
          </cell>
          <cell r="AP4851">
            <v>0</v>
          </cell>
          <cell r="AQ4851">
            <v>0</v>
          </cell>
          <cell r="AV4851">
            <v>50000000</v>
          </cell>
        </row>
        <row r="4852">
          <cell r="E4852" t="str">
            <v>B26001959</v>
          </cell>
          <cell r="AP4852">
            <v>0</v>
          </cell>
          <cell r="AQ4852">
            <v>0</v>
          </cell>
          <cell r="AV4852">
            <v>311750000</v>
          </cell>
        </row>
        <row r="4853">
          <cell r="E4853" t="str">
            <v>B26002127</v>
          </cell>
          <cell r="AP4853">
            <v>0</v>
          </cell>
          <cell r="AQ4853">
            <v>0</v>
          </cell>
          <cell r="AV4853">
            <v>2540000</v>
          </cell>
        </row>
        <row r="4854">
          <cell r="E4854" t="str">
            <v>Z25003229</v>
          </cell>
          <cell r="AP4854">
            <v>0</v>
          </cell>
          <cell r="AQ4854">
            <v>0</v>
          </cell>
          <cell r="AV4854">
            <v>6400000</v>
          </cell>
        </row>
        <row r="4855">
          <cell r="E4855" t="str">
            <v>Z25003285</v>
          </cell>
          <cell r="AP4855">
            <v>0</v>
          </cell>
          <cell r="AQ4855">
            <v>0</v>
          </cell>
          <cell r="AV4855">
            <v>2076000</v>
          </cell>
        </row>
        <row r="4856">
          <cell r="E4856" t="str">
            <v>Z25003370</v>
          </cell>
          <cell r="AP4856">
            <v>0</v>
          </cell>
          <cell r="AQ4856">
            <v>0</v>
          </cell>
          <cell r="AV4856">
            <v>6420000</v>
          </cell>
        </row>
        <row r="4857">
          <cell r="E4857" t="str">
            <v>Z26000191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Z26000193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Z26000275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Z26000300</v>
          </cell>
          <cell r="AP4860">
            <v>0</v>
          </cell>
          <cell r="AQ4860">
            <v>0</v>
          </cell>
          <cell r="AV4860">
            <v>0</v>
          </cell>
        </row>
        <row r="4861">
          <cell r="E4861" t="str">
            <v>Z26000303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Z26000381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Z26000382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Z26000419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Z26000420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Z26000423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D25016711</v>
          </cell>
          <cell r="AP4867">
            <v>0</v>
          </cell>
          <cell r="AQ4867">
            <v>0</v>
          </cell>
          <cell r="AV4867">
            <v>11670000</v>
          </cell>
        </row>
        <row r="4868">
          <cell r="E4868" t="str">
            <v>T25001656</v>
          </cell>
          <cell r="AP4868">
            <v>0</v>
          </cell>
          <cell r="AQ4868">
            <v>0</v>
          </cell>
          <cell r="AV4868">
            <v>2460000</v>
          </cell>
        </row>
        <row r="4869">
          <cell r="E4869" t="str">
            <v>D26001941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D26001942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D26000260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D26001820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B25016661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B25016985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B26001785</v>
          </cell>
          <cell r="AP4875">
            <v>0</v>
          </cell>
          <cell r="AQ4875">
            <v>0</v>
          </cell>
          <cell r="AV4875">
            <v>15000000</v>
          </cell>
        </row>
        <row r="4876">
          <cell r="E4876" t="str">
            <v>B25016543</v>
          </cell>
          <cell r="AP4876">
            <v>0</v>
          </cell>
          <cell r="AQ4876">
            <v>0</v>
          </cell>
          <cell r="AV4876">
            <v>7625000</v>
          </cell>
        </row>
        <row r="4877">
          <cell r="E4877" t="str">
            <v>D25019191</v>
          </cell>
          <cell r="AP4877">
            <v>0</v>
          </cell>
          <cell r="AQ4877">
            <v>0</v>
          </cell>
          <cell r="AV4877">
            <v>64680000</v>
          </cell>
        </row>
        <row r="4878">
          <cell r="E4878" t="str">
            <v>B25016735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D26000512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D26001892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D26002177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D26002354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B26001672</v>
          </cell>
          <cell r="AP4883">
            <v>0</v>
          </cell>
          <cell r="AQ4883">
            <v>0</v>
          </cell>
          <cell r="AV4883">
            <v>3000000</v>
          </cell>
        </row>
        <row r="4884">
          <cell r="E4884" t="str">
            <v>D26000141</v>
          </cell>
          <cell r="AP4884">
            <v>0</v>
          </cell>
          <cell r="AQ4884">
            <v>0</v>
          </cell>
          <cell r="AV4884">
            <v>5312500</v>
          </cell>
        </row>
        <row r="4885">
          <cell r="E4885" t="str">
            <v>D26000195</v>
          </cell>
          <cell r="AP4885">
            <v>0</v>
          </cell>
          <cell r="AQ4885">
            <v>0</v>
          </cell>
          <cell r="AV4885">
            <v>5312500</v>
          </cell>
        </row>
        <row r="4886">
          <cell r="E4886">
            <v>250199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B25016627</v>
          </cell>
          <cell r="AP4887">
            <v>0</v>
          </cell>
          <cell r="AQ4887">
            <v>0</v>
          </cell>
          <cell r="AV4887">
            <v>136770000</v>
          </cell>
        </row>
        <row r="4888">
          <cell r="E4888" t="str">
            <v>B25016628</v>
          </cell>
          <cell r="AP4888">
            <v>0</v>
          </cell>
          <cell r="AQ4888">
            <v>0</v>
          </cell>
          <cell r="AV4888">
            <v>240550000</v>
          </cell>
        </row>
        <row r="4889">
          <cell r="E4889" t="str">
            <v>D26000424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D26000425</v>
          </cell>
          <cell r="AP4890">
            <v>0</v>
          </cell>
          <cell r="AQ4890">
            <v>0</v>
          </cell>
          <cell r="AV4890">
            <v>0</v>
          </cell>
        </row>
        <row r="4891">
          <cell r="E4891" t="str">
            <v>D26000426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B26000562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D26000644</v>
          </cell>
          <cell r="AP4893">
            <v>0</v>
          </cell>
          <cell r="AQ4893">
            <v>0</v>
          </cell>
          <cell r="AV4893">
            <v>0</v>
          </cell>
        </row>
        <row r="4894">
          <cell r="E4894" t="str">
            <v>D26000658</v>
          </cell>
          <cell r="AP4894">
            <v>0</v>
          </cell>
          <cell r="AQ4894">
            <v>0</v>
          </cell>
          <cell r="AV4894">
            <v>79000000</v>
          </cell>
        </row>
        <row r="4895">
          <cell r="E4895" t="str">
            <v>D26000659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D26000668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D26000829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D26001193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D26001204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D26001295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D26001479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D26002013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D26002216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D26002217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D26002218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D26002219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D26002226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D26002242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D26002282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D26002431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T25001836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T25001236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D26001993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T25000648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R25000130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B25016710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B25016919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>
            <v>260002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D26000076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D26000108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B26000201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D26000836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B26000929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D26001388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B26001991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B25017113</v>
          </cell>
          <cell r="AP4926">
            <v>0</v>
          </cell>
          <cell r="AQ4926">
            <v>0</v>
          </cell>
          <cell r="AV4926">
            <v>1100000</v>
          </cell>
        </row>
        <row r="4927">
          <cell r="E4927" t="str">
            <v>D26000059</v>
          </cell>
          <cell r="AP4927">
            <v>0</v>
          </cell>
          <cell r="AQ4927">
            <v>0</v>
          </cell>
          <cell r="AV4927">
            <v>1600000</v>
          </cell>
        </row>
        <row r="4928">
          <cell r="E4928" t="str">
            <v>D26001185</v>
          </cell>
          <cell r="AP4928">
            <v>0</v>
          </cell>
          <cell r="AQ4928">
            <v>0</v>
          </cell>
          <cell r="AV4928">
            <v>0</v>
          </cell>
        </row>
        <row r="4929">
          <cell r="E4929" t="str">
            <v>D26001186</v>
          </cell>
          <cell r="AP4929">
            <v>0</v>
          </cell>
          <cell r="AQ4929">
            <v>0</v>
          </cell>
          <cell r="AV4929">
            <v>0</v>
          </cell>
        </row>
        <row r="4930">
          <cell r="E4930" t="str">
            <v>D26001693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B26001742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B26002196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T25001640</v>
          </cell>
          <cell r="AP4933">
            <v>0</v>
          </cell>
          <cell r="AQ4933">
            <v>0</v>
          </cell>
          <cell r="AV4933">
            <v>2500000</v>
          </cell>
        </row>
        <row r="4934">
          <cell r="E4934" t="str">
            <v>T25001640</v>
          </cell>
          <cell r="AP4934">
            <v>0</v>
          </cell>
          <cell r="AQ4934">
            <v>0</v>
          </cell>
          <cell r="AV4934">
            <v>680000</v>
          </cell>
        </row>
        <row r="4935">
          <cell r="E4935" t="str">
            <v>D25019122</v>
          </cell>
          <cell r="AP4935">
            <v>0</v>
          </cell>
          <cell r="AQ4935">
            <v>0</v>
          </cell>
          <cell r="AV4935">
            <v>1320000</v>
          </cell>
        </row>
        <row r="4936">
          <cell r="E4936" t="str">
            <v>D26000103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B26000774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T26000047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T26000109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D26000714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D26000715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T26000036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B26000960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B26001297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C26000123</v>
          </cell>
          <cell r="AP4945">
            <v>0</v>
          </cell>
          <cell r="AQ4945">
            <v>0</v>
          </cell>
          <cell r="AV4945">
            <v>275000</v>
          </cell>
        </row>
        <row r="4946">
          <cell r="E4946" t="str">
            <v>T25001726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T25001727</v>
          </cell>
          <cell r="AP4947">
            <v>0</v>
          </cell>
          <cell r="AQ4947">
            <v>0</v>
          </cell>
          <cell r="AV4947">
            <v>0</v>
          </cell>
        </row>
        <row r="4948">
          <cell r="E4948" t="str">
            <v>T25001891</v>
          </cell>
          <cell r="AP4948">
            <v>0</v>
          </cell>
          <cell r="AQ4948">
            <v>0</v>
          </cell>
          <cell r="AV4948">
            <v>0</v>
          </cell>
        </row>
        <row r="4949">
          <cell r="E4949" t="str">
            <v>T25001499k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D25016324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B25014290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T25001642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B25014665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D25017559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D25017560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T25001743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B25015759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B25015760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B25016494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B25016495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B26000065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B26000407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B26000801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B26000802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T26000052k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T26000053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B26000919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B26001531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B26001532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B26001539</v>
          </cell>
          <cell r="AP4970">
            <v>0</v>
          </cell>
          <cell r="AQ4970">
            <v>0</v>
          </cell>
          <cell r="AV4970">
            <v>1350000</v>
          </cell>
        </row>
        <row r="4971">
          <cell r="E4971" t="str">
            <v>B26001543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B25016130</v>
          </cell>
          <cell r="AP4972">
            <v>0</v>
          </cell>
          <cell r="AQ4972">
            <v>0</v>
          </cell>
          <cell r="AV4972">
            <v>2597800</v>
          </cell>
        </row>
        <row r="4973">
          <cell r="E4973" t="str">
            <v>D25019283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D26001180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B26001811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B26001868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B26001920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D25015072</v>
          </cell>
          <cell r="AP4978">
            <v>0</v>
          </cell>
          <cell r="AQ4978">
            <v>0</v>
          </cell>
          <cell r="AV4978">
            <v>3680000</v>
          </cell>
        </row>
        <row r="4979">
          <cell r="E4979" t="str">
            <v>T25001501</v>
          </cell>
          <cell r="AP4979">
            <v>0</v>
          </cell>
          <cell r="AQ4979">
            <v>0</v>
          </cell>
          <cell r="AV4979">
            <v>1320000</v>
          </cell>
        </row>
        <row r="4980">
          <cell r="E4980" t="str">
            <v>B25015134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D25017600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B25015240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D25018399</v>
          </cell>
          <cell r="AP4983">
            <v>0</v>
          </cell>
          <cell r="AQ4983">
            <v>0</v>
          </cell>
          <cell r="AV4983">
            <v>19200000</v>
          </cell>
        </row>
        <row r="4984">
          <cell r="E4984" t="str">
            <v>B25016041</v>
          </cell>
          <cell r="AP4984">
            <v>0</v>
          </cell>
          <cell r="AQ4984">
            <v>0</v>
          </cell>
          <cell r="AV4984">
            <v>6200000</v>
          </cell>
        </row>
        <row r="4985">
          <cell r="E4985" t="str">
            <v>D25018626</v>
          </cell>
          <cell r="AP4985">
            <v>0</v>
          </cell>
          <cell r="AQ4985">
            <v>0</v>
          </cell>
          <cell r="AV4985">
            <v>8100000</v>
          </cell>
        </row>
        <row r="4986">
          <cell r="E4986" t="str">
            <v>D25018819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D25018822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B25016573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D25019089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D25019270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D25019287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D25019324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B25017028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B25017059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D25019673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D25019680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D26000202</v>
          </cell>
          <cell r="AP4997">
            <v>0</v>
          </cell>
          <cell r="AQ4997">
            <v>0</v>
          </cell>
          <cell r="AV4997">
            <v>0</v>
          </cell>
        </row>
        <row r="4998">
          <cell r="E4998" t="str">
            <v>D26000682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B26000700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D26000778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B26000791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B26001170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B26001181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B26001220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D26001819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D26001838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D26001897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B26001899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D26002405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D26002406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B26000546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D26000254</v>
          </cell>
          <cell r="AP5012">
            <v>0</v>
          </cell>
          <cell r="AQ5012">
            <v>0</v>
          </cell>
          <cell r="AV5012">
            <v>1725000</v>
          </cell>
        </row>
        <row r="5013">
          <cell r="E5013" t="str">
            <v>D26000255</v>
          </cell>
          <cell r="AP5013">
            <v>0</v>
          </cell>
          <cell r="AQ5013">
            <v>0</v>
          </cell>
          <cell r="AV5013">
            <v>900000</v>
          </cell>
        </row>
        <row r="5014">
          <cell r="E5014" t="str">
            <v>D26000398</v>
          </cell>
          <cell r="AP5014">
            <v>0</v>
          </cell>
          <cell r="AQ5014">
            <v>0</v>
          </cell>
          <cell r="AV5014">
            <v>1302000</v>
          </cell>
        </row>
        <row r="5015">
          <cell r="E5015" t="str">
            <v>D26000983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B26001256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D26002170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D26002171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D26000511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D26000510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B26000601</v>
          </cell>
          <cell r="AP5021">
            <v>0</v>
          </cell>
          <cell r="AQ5021">
            <v>0</v>
          </cell>
          <cell r="AV5021">
            <v>6212000</v>
          </cell>
        </row>
        <row r="5022">
          <cell r="E5022" t="str">
            <v>B26000601</v>
          </cell>
          <cell r="AP5022">
            <v>0</v>
          </cell>
          <cell r="AQ5022">
            <v>0</v>
          </cell>
          <cell r="AV5022">
            <v>500</v>
          </cell>
        </row>
        <row r="5023">
          <cell r="E5023" t="str">
            <v>D26000753</v>
          </cell>
          <cell r="AP5023">
            <v>0</v>
          </cell>
          <cell r="AQ5023">
            <v>0</v>
          </cell>
          <cell r="AV5023">
            <v>2360000</v>
          </cell>
        </row>
        <row r="5024">
          <cell r="E5024" t="str">
            <v>B26001215</v>
          </cell>
          <cell r="AP5024">
            <v>0</v>
          </cell>
          <cell r="AQ5024">
            <v>0</v>
          </cell>
          <cell r="AV5024">
            <v>750000</v>
          </cell>
        </row>
        <row r="5025">
          <cell r="E5025" t="str">
            <v>B26001432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B26001602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B26002174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T25001747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T25001819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D25019551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D25016451</v>
          </cell>
          <cell r="AP5031">
            <v>0</v>
          </cell>
          <cell r="AQ5031">
            <v>0</v>
          </cell>
          <cell r="AV5031">
            <v>10000000</v>
          </cell>
        </row>
        <row r="5032">
          <cell r="E5032" t="str">
            <v>D25016452</v>
          </cell>
          <cell r="AP5032">
            <v>0</v>
          </cell>
          <cell r="AQ5032">
            <v>0</v>
          </cell>
          <cell r="AV5032">
            <v>30000000</v>
          </cell>
        </row>
        <row r="5033">
          <cell r="E5033" t="str">
            <v>D25016452</v>
          </cell>
          <cell r="AP5033">
            <v>0</v>
          </cell>
          <cell r="AQ5033">
            <v>0</v>
          </cell>
          <cell r="AV5033">
            <v>16690000</v>
          </cell>
        </row>
        <row r="5034">
          <cell r="E5034" t="str">
            <v>B25014976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B25015475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B25015792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B25015921</v>
          </cell>
          <cell r="AP5037">
            <v>0</v>
          </cell>
          <cell r="AQ5037">
            <v>0</v>
          </cell>
          <cell r="AV5037">
            <v>918000</v>
          </cell>
        </row>
        <row r="5038">
          <cell r="E5038" t="str">
            <v>D25018359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D25018773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D25018786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D25018825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B25016551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B25016634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D25019495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D25019498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D25019501</v>
          </cell>
          <cell r="AP5046">
            <v>0</v>
          </cell>
          <cell r="AQ5046">
            <v>0</v>
          </cell>
          <cell r="AV5046">
            <v>0</v>
          </cell>
        </row>
        <row r="5047">
          <cell r="E5047" t="str">
            <v>B26000318</v>
          </cell>
          <cell r="AP5047">
            <v>0</v>
          </cell>
          <cell r="AQ5047">
            <v>0</v>
          </cell>
          <cell r="AV5047">
            <v>0</v>
          </cell>
        </row>
        <row r="5048">
          <cell r="E5048" t="str">
            <v>B26000392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B26000453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D26000518</v>
          </cell>
          <cell r="AP5050">
            <v>0</v>
          </cell>
          <cell r="AQ5050">
            <v>0</v>
          </cell>
          <cell r="AV5050">
            <v>0</v>
          </cell>
        </row>
        <row r="5051">
          <cell r="E5051" t="str">
            <v>D26000923</v>
          </cell>
          <cell r="AP5051">
            <v>0</v>
          </cell>
          <cell r="AQ5051">
            <v>0</v>
          </cell>
          <cell r="AV5051">
            <v>0</v>
          </cell>
        </row>
        <row r="5052">
          <cell r="E5052" t="str">
            <v>B26001212</v>
          </cell>
          <cell r="AP5052">
            <v>0</v>
          </cell>
          <cell r="AQ5052">
            <v>0</v>
          </cell>
          <cell r="AV5052">
            <v>0</v>
          </cell>
        </row>
        <row r="5053">
          <cell r="E5053" t="str">
            <v>B26001213</v>
          </cell>
          <cell r="AP5053">
            <v>0</v>
          </cell>
          <cell r="AQ5053">
            <v>0</v>
          </cell>
          <cell r="AV5053">
            <v>0</v>
          </cell>
        </row>
        <row r="5054">
          <cell r="E5054" t="str">
            <v>D26001294</v>
          </cell>
          <cell r="AP5054">
            <v>0</v>
          </cell>
          <cell r="AQ5054">
            <v>0</v>
          </cell>
          <cell r="AV5054">
            <v>0</v>
          </cell>
        </row>
        <row r="5055">
          <cell r="E5055" t="str">
            <v>D26001396</v>
          </cell>
          <cell r="AP5055">
            <v>0</v>
          </cell>
          <cell r="AQ5055">
            <v>0</v>
          </cell>
          <cell r="AV5055">
            <v>0</v>
          </cell>
        </row>
        <row r="5056">
          <cell r="E5056" t="str">
            <v>B26001431</v>
          </cell>
          <cell r="AP5056">
            <v>0</v>
          </cell>
          <cell r="AQ5056">
            <v>0</v>
          </cell>
          <cell r="AV5056">
            <v>0</v>
          </cell>
        </row>
        <row r="5057">
          <cell r="E5057" t="str">
            <v>B26001451</v>
          </cell>
          <cell r="AP5057">
            <v>0</v>
          </cell>
          <cell r="AQ5057">
            <v>0</v>
          </cell>
          <cell r="AV5057">
            <v>0</v>
          </cell>
        </row>
        <row r="5058">
          <cell r="E5058" t="str">
            <v>D26001721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B26001878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B26001879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D26001980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D26002007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D26002008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D26002009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B26001921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D25015935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D25015936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D25016102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D25016279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D25016279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D25016337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D25016338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D25016835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D25016835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D25016876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D25016876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D25016896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D25016896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D25016967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D25016967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D25016970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D25017010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D25017050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D25017050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D25017174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D25017174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D25017175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D25017175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D25017274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D25017274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D25017375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D25017375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D25017431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D25017432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D25017461</v>
          </cell>
          <cell r="AP5095">
            <v>0</v>
          </cell>
          <cell r="AQ5095">
            <v>0</v>
          </cell>
          <cell r="AV5095">
            <v>0</v>
          </cell>
        </row>
        <row r="5096">
          <cell r="E5096" t="str">
            <v>D25017566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D25017566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D25017567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D25017567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D25017731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D25017731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B25015348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B25015349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B25015350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D25018068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D25018081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D25018081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D25018082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D25018082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D25018134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D25018134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D25018377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D25018377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D25018418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D25018428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B25016088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B25016088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B25016088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D25018512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D25018512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D25018512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D25018513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D25018574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B25016181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B25016181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B25016194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B25016194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D25018679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D25018679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D25018679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D25018700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D25018700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B25016422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B25016422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B25016422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T25001856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B25016444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D25019031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D25019031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D25019031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D25019031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D25019032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D25019113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D25019125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D25019125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D25019125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D25019136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D25019232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D25019232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D25019232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D25019232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D25019232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D25019464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D25019542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D25019542</v>
          </cell>
          <cell r="AP5155">
            <v>0</v>
          </cell>
          <cell r="AQ5155">
            <v>0</v>
          </cell>
          <cell r="AV5155">
            <v>0</v>
          </cell>
        </row>
        <row r="5156">
          <cell r="E5156" t="str">
            <v>D25019542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D25019543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D25019589</v>
          </cell>
          <cell r="AP5158">
            <v>0</v>
          </cell>
          <cell r="AQ5158">
            <v>0</v>
          </cell>
          <cell r="AV5158">
            <v>0</v>
          </cell>
        </row>
        <row r="5159">
          <cell r="E5159" t="str">
            <v>D25019589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D25019590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D25019590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D25019591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D25019591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D25019591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D25019600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D25019608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D25019608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D26000006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D26000068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T26000024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D26000463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D26000494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D26000523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D26000523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D26000523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D26000523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D26000616</v>
          </cell>
          <cell r="AP5177">
            <v>0</v>
          </cell>
          <cell r="AQ5177">
            <v>449225000</v>
          </cell>
          <cell r="AV5177">
            <v>0</v>
          </cell>
        </row>
        <row r="5178">
          <cell r="E5178" t="str">
            <v>D26000617</v>
          </cell>
          <cell r="AP5178">
            <v>0</v>
          </cell>
          <cell r="AQ5178">
            <v>449225000</v>
          </cell>
          <cell r="AV5178">
            <v>0</v>
          </cell>
        </row>
        <row r="5179">
          <cell r="E5179" t="str">
            <v>D26000618</v>
          </cell>
          <cell r="AP5179">
            <v>0</v>
          </cell>
          <cell r="AQ5179">
            <v>422800000</v>
          </cell>
          <cell r="AV5179">
            <v>0</v>
          </cell>
        </row>
        <row r="5180">
          <cell r="E5180" t="str">
            <v>D26000746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B26000786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B26000787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D26000842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D26000995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D26000996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D26001094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D26001095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D26001096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B26001106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B26001107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D26001336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D26001372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D26001495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D26001496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D26001517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D26001542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D26001618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D26001619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D26001688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D26001689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D26001718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D26001743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D26001744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B26001717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D26001888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D26001899</v>
          </cell>
          <cell r="AP5206">
            <v>0</v>
          </cell>
          <cell r="AQ5206">
            <v>0</v>
          </cell>
          <cell r="AV5206">
            <v>0</v>
          </cell>
        </row>
        <row r="5207">
          <cell r="E5207" t="str">
            <v>B26001866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D26001983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D26002034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D26002035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D26002122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D26002123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D26002148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D26002149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D26002150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D26002166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D26002207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T26000150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D26002240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D26002284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D26002340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D26002341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D26002346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B26002213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B26002214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D26002428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D26002194</v>
          </cell>
          <cell r="AP5227">
            <v>0</v>
          </cell>
          <cell r="AQ5227">
            <v>0</v>
          </cell>
          <cell r="AV5227">
            <v>2992500</v>
          </cell>
        </row>
        <row r="5228">
          <cell r="E5228" t="str">
            <v>D26002195</v>
          </cell>
          <cell r="AP5228">
            <v>0</v>
          </cell>
          <cell r="AQ5228">
            <v>0</v>
          </cell>
          <cell r="AV5228">
            <v>920000</v>
          </cell>
        </row>
        <row r="5229">
          <cell r="E5229" t="str">
            <v>D26002409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B25016794</v>
          </cell>
          <cell r="AP5230">
            <v>0</v>
          </cell>
          <cell r="AQ5230">
            <v>0</v>
          </cell>
          <cell r="AV5230">
            <v>2900000</v>
          </cell>
        </row>
        <row r="5231">
          <cell r="E5231" t="str">
            <v>B25016794</v>
          </cell>
          <cell r="AP5231">
            <v>0</v>
          </cell>
          <cell r="AQ5231">
            <v>0</v>
          </cell>
          <cell r="AV5231">
            <v>2500000</v>
          </cell>
        </row>
        <row r="5232">
          <cell r="E5232" t="str">
            <v>B25016794</v>
          </cell>
          <cell r="AP5232">
            <v>0</v>
          </cell>
          <cell r="AQ5232">
            <v>0</v>
          </cell>
          <cell r="AV5232">
            <v>2000000</v>
          </cell>
        </row>
        <row r="5233">
          <cell r="E5233" t="str">
            <v>D26000007</v>
          </cell>
          <cell r="AP5233">
            <v>0</v>
          </cell>
          <cell r="AQ5233">
            <v>0</v>
          </cell>
          <cell r="AV5233">
            <v>2800000</v>
          </cell>
        </row>
        <row r="5234">
          <cell r="E5234" t="str">
            <v>D26001145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T26000071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B26002171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B26001314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B26001315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T25001879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D26000261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B26001237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T26000042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D26001211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D26001976</v>
          </cell>
          <cell r="AP5244">
            <v>0</v>
          </cell>
          <cell r="AQ5244">
            <v>0</v>
          </cell>
          <cell r="AV5244">
            <v>1730000</v>
          </cell>
        </row>
        <row r="5245">
          <cell r="E5245" t="str">
            <v>D26001553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B26001652</v>
          </cell>
          <cell r="AP5246">
            <v>0</v>
          </cell>
          <cell r="AQ5246">
            <v>0</v>
          </cell>
          <cell r="AV5246">
            <v>1300000</v>
          </cell>
        </row>
        <row r="5247">
          <cell r="E5247" t="str">
            <v>B26000286</v>
          </cell>
          <cell r="AP5247">
            <v>0</v>
          </cell>
          <cell r="AQ5247">
            <v>0</v>
          </cell>
          <cell r="AV5247">
            <v>11350000</v>
          </cell>
        </row>
        <row r="5248">
          <cell r="E5248" t="str">
            <v>B26000287</v>
          </cell>
          <cell r="AP5248">
            <v>0</v>
          </cell>
          <cell r="AQ5248">
            <v>0</v>
          </cell>
          <cell r="AV5248">
            <v>1800000</v>
          </cell>
        </row>
        <row r="5249">
          <cell r="E5249" t="str">
            <v>D26001189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B26001457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D26002395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D26002396</v>
          </cell>
          <cell r="AP5252">
            <v>0</v>
          </cell>
          <cell r="AQ5252">
            <v>0</v>
          </cell>
          <cell r="AV5252">
            <v>0</v>
          </cell>
        </row>
        <row r="5253">
          <cell r="E5253" t="str">
            <v>B26000473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D26001005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B26001395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B26001556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B26001678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D26001834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B26001826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D26002065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B26002059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D26002329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B26002197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D26000582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B26000779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D23006230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N25000011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B26001332</v>
          </cell>
          <cell r="AP5268">
            <v>4680000</v>
          </cell>
          <cell r="AQ5268">
            <v>0</v>
          </cell>
          <cell r="AV5268">
            <v>0</v>
          </cell>
        </row>
        <row r="5269">
          <cell r="E5269" t="str">
            <v>B26001727</v>
          </cell>
          <cell r="AP5269">
            <v>0</v>
          </cell>
          <cell r="AQ5269">
            <v>0</v>
          </cell>
          <cell r="AV5269">
            <v>14100000</v>
          </cell>
        </row>
        <row r="5270">
          <cell r="E5270" t="str">
            <v>D26002322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D26001425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D26001918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D26001948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D25016305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D25016859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D25016929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D25017131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D25017131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D25017316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D25017317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B25015252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D25017823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D25018074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D25018188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D25018562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D25018905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D25019034</v>
          </cell>
          <cell r="AP5287">
            <v>0</v>
          </cell>
          <cell r="AQ5287">
            <v>0</v>
          </cell>
          <cell r="AV5287">
            <v>0</v>
          </cell>
        </row>
        <row r="5288">
          <cell r="E5288" t="str">
            <v>D25019035</v>
          </cell>
          <cell r="AP5288">
            <v>0</v>
          </cell>
          <cell r="AQ5288">
            <v>0</v>
          </cell>
          <cell r="AV5288">
            <v>0</v>
          </cell>
        </row>
        <row r="5289">
          <cell r="E5289" t="str">
            <v>D25019085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B25016745</v>
          </cell>
          <cell r="AP5290">
            <v>0</v>
          </cell>
          <cell r="AQ5290">
            <v>0</v>
          </cell>
          <cell r="AV5290">
            <v>0</v>
          </cell>
        </row>
        <row r="5291">
          <cell r="E5291" t="str">
            <v>D25019216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D25019236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D25019237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D25019267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D25019347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D25019451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D25019451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D25019452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D25019483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D25019486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D25019487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B26000130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D26000445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D26000474</v>
          </cell>
          <cell r="AP5304">
            <v>0</v>
          </cell>
          <cell r="AQ5304">
            <v>81000000</v>
          </cell>
          <cell r="AV5304">
            <v>0</v>
          </cell>
        </row>
        <row r="5305">
          <cell r="E5305" t="str">
            <v>D26000498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D26000499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D26000519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B26000598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D26000741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D26001098</v>
          </cell>
          <cell r="AP5310">
            <v>0</v>
          </cell>
          <cell r="AQ5310">
            <v>93140000</v>
          </cell>
          <cell r="AV5310">
            <v>0</v>
          </cell>
        </row>
        <row r="5311">
          <cell r="E5311" t="str">
            <v>D26001099</v>
          </cell>
          <cell r="AP5311">
            <v>0</v>
          </cell>
          <cell r="AQ5311">
            <v>119625000</v>
          </cell>
          <cell r="AV5311">
            <v>0</v>
          </cell>
        </row>
        <row r="5312">
          <cell r="E5312" t="str">
            <v>D26001116</v>
          </cell>
          <cell r="AP5312">
            <v>0</v>
          </cell>
          <cell r="AQ5312">
            <v>7500000</v>
          </cell>
          <cell r="AV5312">
            <v>0</v>
          </cell>
        </row>
        <row r="5313">
          <cell r="E5313" t="str">
            <v>B26001236</v>
          </cell>
          <cell r="AP5313">
            <v>0</v>
          </cell>
          <cell r="AQ5313">
            <v>140000000</v>
          </cell>
          <cell r="AV5313">
            <v>0</v>
          </cell>
        </row>
        <row r="5314">
          <cell r="E5314" t="str">
            <v>D26001366</v>
          </cell>
          <cell r="AP5314">
            <v>0</v>
          </cell>
          <cell r="AQ5314">
            <v>29040000</v>
          </cell>
          <cell r="AV5314">
            <v>0</v>
          </cell>
        </row>
        <row r="5315">
          <cell r="E5315" t="str">
            <v>T26000097</v>
          </cell>
          <cell r="AP5315">
            <v>0</v>
          </cell>
          <cell r="AQ5315">
            <v>11750000</v>
          </cell>
          <cell r="AV5315">
            <v>0</v>
          </cell>
        </row>
        <row r="5316">
          <cell r="E5316" t="str">
            <v>D26001501</v>
          </cell>
          <cell r="AP5316">
            <v>0</v>
          </cell>
          <cell r="AQ5316">
            <v>90125000</v>
          </cell>
          <cell r="AV5316">
            <v>0</v>
          </cell>
        </row>
        <row r="5317">
          <cell r="E5317" t="str">
            <v>D26001501</v>
          </cell>
          <cell r="AP5317">
            <v>0</v>
          </cell>
          <cell r="AQ5317">
            <v>11750000</v>
          </cell>
          <cell r="AV5317">
            <v>0</v>
          </cell>
        </row>
        <row r="5318">
          <cell r="E5318" t="str">
            <v>B26001449</v>
          </cell>
          <cell r="AP5318">
            <v>0</v>
          </cell>
          <cell r="AQ5318">
            <v>45600000</v>
          </cell>
          <cell r="AV5318">
            <v>0</v>
          </cell>
        </row>
        <row r="5319">
          <cell r="E5319" t="str">
            <v>D26001526</v>
          </cell>
          <cell r="AP5319">
            <v>0</v>
          </cell>
          <cell r="AQ5319">
            <v>121800000</v>
          </cell>
          <cell r="AV5319">
            <v>0</v>
          </cell>
        </row>
        <row r="5320">
          <cell r="E5320" t="str">
            <v>D26001591</v>
          </cell>
          <cell r="AP5320">
            <v>0</v>
          </cell>
          <cell r="AQ5320">
            <v>81600000</v>
          </cell>
          <cell r="AV5320">
            <v>0</v>
          </cell>
        </row>
        <row r="5321">
          <cell r="E5321" t="str">
            <v>D26001815</v>
          </cell>
          <cell r="AP5321">
            <v>13171175</v>
          </cell>
          <cell r="AQ5321">
            <v>0</v>
          </cell>
          <cell r="AV5321">
            <v>0</v>
          </cell>
        </row>
        <row r="5322">
          <cell r="E5322" t="str">
            <v>D26001863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B26001824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D26002175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D26002203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D26002206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B26002231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B26001816</v>
          </cell>
          <cell r="AP5328">
            <v>0</v>
          </cell>
          <cell r="AQ5328">
            <v>0</v>
          </cell>
          <cell r="AV5328">
            <v>2502500</v>
          </cell>
        </row>
        <row r="5329">
          <cell r="E5329" t="str">
            <v>B26001817</v>
          </cell>
          <cell r="AP5329">
            <v>0</v>
          </cell>
          <cell r="AQ5329">
            <v>0</v>
          </cell>
          <cell r="AV5329">
            <v>3620000</v>
          </cell>
        </row>
        <row r="5330">
          <cell r="E5330" t="str">
            <v>B26001818</v>
          </cell>
          <cell r="AP5330">
            <v>0</v>
          </cell>
          <cell r="AQ5330">
            <v>0</v>
          </cell>
          <cell r="AV5330">
            <v>540000</v>
          </cell>
        </row>
        <row r="5331">
          <cell r="E5331" t="str">
            <v>D26001833</v>
          </cell>
          <cell r="AP5331">
            <v>0</v>
          </cell>
          <cell r="AQ5331">
            <v>0</v>
          </cell>
          <cell r="AV5331">
            <v>31834000</v>
          </cell>
        </row>
        <row r="5332">
          <cell r="E5332" t="str">
            <v>D25017323</v>
          </cell>
          <cell r="AP5332">
            <v>0</v>
          </cell>
          <cell r="AQ5332">
            <v>0</v>
          </cell>
          <cell r="AV5332">
            <v>4000000</v>
          </cell>
        </row>
        <row r="5333">
          <cell r="E5333" t="str">
            <v>D25017324</v>
          </cell>
          <cell r="AP5333">
            <v>0</v>
          </cell>
          <cell r="AQ5333">
            <v>0</v>
          </cell>
          <cell r="AV5333">
            <v>0</v>
          </cell>
        </row>
        <row r="5334">
          <cell r="E5334" t="str">
            <v>B25015963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D25018569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B25017002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B25017003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B25017004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B25017041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B25017046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D26001049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D26001050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B26001138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Z25002988</v>
          </cell>
          <cell r="AP5344">
            <v>0</v>
          </cell>
          <cell r="AQ5344">
            <v>0</v>
          </cell>
          <cell r="AV5344">
            <v>200000000</v>
          </cell>
        </row>
        <row r="5345">
          <cell r="E5345" t="str">
            <v>Z25002988</v>
          </cell>
          <cell r="AP5345">
            <v>0</v>
          </cell>
          <cell r="AQ5345">
            <v>0</v>
          </cell>
          <cell r="AV5345">
            <v>156250000</v>
          </cell>
        </row>
        <row r="5346">
          <cell r="E5346" t="str">
            <v>Z25002989</v>
          </cell>
          <cell r="AP5346">
            <v>0</v>
          </cell>
          <cell r="AQ5346">
            <v>0</v>
          </cell>
          <cell r="AV5346">
            <v>43750000</v>
          </cell>
        </row>
        <row r="5347">
          <cell r="E5347" t="str">
            <v>Z25002989</v>
          </cell>
          <cell r="AP5347">
            <v>0</v>
          </cell>
          <cell r="AQ5347">
            <v>0</v>
          </cell>
          <cell r="AV5347">
            <v>65540000</v>
          </cell>
        </row>
        <row r="5348">
          <cell r="E5348" t="str">
            <v>T25001736</v>
          </cell>
          <cell r="AP5348">
            <v>0</v>
          </cell>
          <cell r="AQ5348">
            <v>0</v>
          </cell>
          <cell r="AV5348">
            <v>25600000</v>
          </cell>
        </row>
        <row r="5349">
          <cell r="E5349" t="str">
            <v>Z25003036</v>
          </cell>
          <cell r="AP5349">
            <v>0</v>
          </cell>
          <cell r="AQ5349">
            <v>0</v>
          </cell>
          <cell r="AV5349">
            <v>2800000</v>
          </cell>
        </row>
        <row r="5350">
          <cell r="E5350" t="str">
            <v>T25001770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Z25003067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Z25003068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Z25003076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Z25003078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Z25003080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Z25003085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Z25003119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Z25003173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Z25003188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Z25003189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Z25003270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Z25003281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Z25003330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Z25003350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Z25003351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Z26000022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Z26000166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Z26000168</v>
          </cell>
          <cell r="AP5368">
            <v>0</v>
          </cell>
          <cell r="AQ5368">
            <v>0</v>
          </cell>
          <cell r="AV5368">
            <v>262934000</v>
          </cell>
        </row>
        <row r="5369">
          <cell r="E5369" t="str">
            <v>Z26000195</v>
          </cell>
          <cell r="AP5369">
            <v>0</v>
          </cell>
          <cell r="AQ5369">
            <v>0</v>
          </cell>
          <cell r="AV5369">
            <v>111526000</v>
          </cell>
        </row>
        <row r="5370">
          <cell r="E5370" t="str">
            <v>Z26000195</v>
          </cell>
          <cell r="AP5370">
            <v>0</v>
          </cell>
          <cell r="AQ5370">
            <v>0</v>
          </cell>
          <cell r="AV5370">
            <v>422474000</v>
          </cell>
        </row>
        <row r="5371">
          <cell r="E5371" t="str">
            <v>Z26000212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Z26000213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Z26000221</v>
          </cell>
          <cell r="AP5373">
            <v>0</v>
          </cell>
          <cell r="AQ5373">
            <v>0</v>
          </cell>
          <cell r="AV5373">
            <v>237526000</v>
          </cell>
        </row>
        <row r="5374">
          <cell r="E5374" t="str">
            <v>Z26000221</v>
          </cell>
          <cell r="AP5374">
            <v>0</v>
          </cell>
          <cell r="AQ5374">
            <v>0</v>
          </cell>
          <cell r="AV5374">
            <v>350000000</v>
          </cell>
        </row>
        <row r="5375">
          <cell r="E5375" t="str">
            <v>Z26000221</v>
          </cell>
          <cell r="AP5375">
            <v>0</v>
          </cell>
          <cell r="AQ5375">
            <v>0</v>
          </cell>
          <cell r="AV5375">
            <v>168474000</v>
          </cell>
        </row>
        <row r="5376">
          <cell r="E5376" t="str">
            <v>Z26000222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Z26000242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Z26000245</v>
          </cell>
          <cell r="AP5378">
            <v>0</v>
          </cell>
          <cell r="AQ5378">
            <v>0</v>
          </cell>
          <cell r="AV5378">
            <v>100526000</v>
          </cell>
        </row>
        <row r="5379">
          <cell r="E5379" t="str">
            <v>Z26000245</v>
          </cell>
          <cell r="AP5379">
            <v>0</v>
          </cell>
          <cell r="AQ5379">
            <v>0</v>
          </cell>
          <cell r="AV5379">
            <v>138000000</v>
          </cell>
        </row>
        <row r="5380">
          <cell r="E5380" t="str">
            <v>Z26000245</v>
          </cell>
          <cell r="AP5380">
            <v>0</v>
          </cell>
          <cell r="AQ5380">
            <v>0</v>
          </cell>
          <cell r="AV5380">
            <v>211474000</v>
          </cell>
        </row>
        <row r="5381">
          <cell r="E5381" t="str">
            <v>Z26000273</v>
          </cell>
          <cell r="AP5381">
            <v>0</v>
          </cell>
          <cell r="AQ5381">
            <v>0</v>
          </cell>
          <cell r="AV5381">
            <v>230126000</v>
          </cell>
        </row>
        <row r="5382">
          <cell r="E5382" t="str">
            <v>Z26000306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Z26000317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Z26000318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Z26000321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Z26000348</v>
          </cell>
          <cell r="AP5386">
            <v>0</v>
          </cell>
          <cell r="AQ5386">
            <v>0</v>
          </cell>
          <cell r="AV5386">
            <v>131000000</v>
          </cell>
        </row>
        <row r="5387">
          <cell r="E5387" t="str">
            <v>Z26000369</v>
          </cell>
          <cell r="AP5387">
            <v>0</v>
          </cell>
          <cell r="AQ5387">
            <v>0</v>
          </cell>
          <cell r="AV5387">
            <v>262000000</v>
          </cell>
        </row>
        <row r="5388">
          <cell r="E5388" t="str">
            <v>Z26000407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Z26000408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Z26000409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Z26000410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Z26000426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B26000712</v>
          </cell>
          <cell r="AP5393">
            <v>0</v>
          </cell>
          <cell r="AQ5393">
            <v>0</v>
          </cell>
          <cell r="AV5393">
            <v>5700500</v>
          </cell>
        </row>
        <row r="5394">
          <cell r="E5394" t="str">
            <v>B26000742</v>
          </cell>
          <cell r="AP5394">
            <v>0</v>
          </cell>
          <cell r="AQ5394">
            <v>0</v>
          </cell>
          <cell r="AV5394">
            <v>6500000</v>
          </cell>
        </row>
        <row r="5395">
          <cell r="E5395" t="str">
            <v>D26001315</v>
          </cell>
          <cell r="AP5395">
            <v>0</v>
          </cell>
          <cell r="AQ5395">
            <v>0</v>
          </cell>
          <cell r="AV5395">
            <v>1260000</v>
          </cell>
        </row>
        <row r="5396">
          <cell r="E5396" t="str">
            <v>D26001316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B26001819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B26002172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T25001740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D25019087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T25001790</v>
          </cell>
          <cell r="AP5401">
            <v>0</v>
          </cell>
          <cell r="AQ5401">
            <v>0</v>
          </cell>
          <cell r="AV5401">
            <v>1440000</v>
          </cell>
        </row>
        <row r="5402">
          <cell r="E5402" t="str">
            <v>T25001884</v>
          </cell>
          <cell r="AP5402">
            <v>0</v>
          </cell>
          <cell r="AQ5402">
            <v>0</v>
          </cell>
          <cell r="AV5402">
            <v>900000</v>
          </cell>
        </row>
        <row r="5403">
          <cell r="E5403" t="str">
            <v>B25017000</v>
          </cell>
          <cell r="AP5403">
            <v>0</v>
          </cell>
          <cell r="AQ5403">
            <v>0</v>
          </cell>
          <cell r="AV5403">
            <v>1560000</v>
          </cell>
        </row>
        <row r="5404">
          <cell r="E5404" t="str">
            <v>D26000418</v>
          </cell>
          <cell r="AP5404">
            <v>0</v>
          </cell>
          <cell r="AQ5404">
            <v>0</v>
          </cell>
          <cell r="AV5404">
            <v>0</v>
          </cell>
        </row>
        <row r="5405">
          <cell r="E5405" t="str">
            <v>D26000444</v>
          </cell>
          <cell r="AP5405">
            <v>0</v>
          </cell>
          <cell r="AQ5405">
            <v>0</v>
          </cell>
          <cell r="AV5405">
            <v>35625000</v>
          </cell>
        </row>
        <row r="5406">
          <cell r="E5406" t="str">
            <v>D26000446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B26001667</v>
          </cell>
          <cell r="AP5407">
            <v>0</v>
          </cell>
          <cell r="AQ5407">
            <v>0</v>
          </cell>
          <cell r="AV5407">
            <v>2460000</v>
          </cell>
        </row>
        <row r="5408">
          <cell r="E5408" t="str">
            <v>D26002247</v>
          </cell>
          <cell r="AP5408">
            <v>0</v>
          </cell>
          <cell r="AQ5408">
            <v>0</v>
          </cell>
          <cell r="AV5408">
            <v>1275000</v>
          </cell>
        </row>
        <row r="5409">
          <cell r="E5409" t="str">
            <v>B26001185</v>
          </cell>
          <cell r="AP5409">
            <v>0</v>
          </cell>
          <cell r="AQ5409">
            <v>0</v>
          </cell>
          <cell r="AV5409">
            <v>25000000</v>
          </cell>
        </row>
        <row r="5410">
          <cell r="E5410" t="str">
            <v>D26001515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B26001685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B26001773</v>
          </cell>
          <cell r="AP5412">
            <v>0</v>
          </cell>
          <cell r="AQ5412">
            <v>0</v>
          </cell>
          <cell r="AV5412">
            <v>8512500</v>
          </cell>
        </row>
        <row r="5413">
          <cell r="E5413" t="str">
            <v>B26001793</v>
          </cell>
          <cell r="AP5413">
            <v>0</v>
          </cell>
          <cell r="AQ5413">
            <v>0</v>
          </cell>
          <cell r="AV5413">
            <v>285000</v>
          </cell>
        </row>
        <row r="5414">
          <cell r="E5414" t="str">
            <v>B25016264</v>
          </cell>
          <cell r="AP5414">
            <v>0</v>
          </cell>
          <cell r="AQ5414">
            <v>0</v>
          </cell>
          <cell r="AV5414">
            <v>12984000</v>
          </cell>
        </row>
        <row r="5415">
          <cell r="E5415" t="str">
            <v>B25016264</v>
          </cell>
          <cell r="AP5415">
            <v>0</v>
          </cell>
          <cell r="AQ5415">
            <v>0</v>
          </cell>
          <cell r="AV5415">
            <v>15000000</v>
          </cell>
        </row>
        <row r="5416">
          <cell r="E5416" t="str">
            <v>B25016264</v>
          </cell>
          <cell r="AP5416">
            <v>0</v>
          </cell>
          <cell r="AQ5416">
            <v>0</v>
          </cell>
          <cell r="AV5416">
            <v>20000000</v>
          </cell>
        </row>
        <row r="5417">
          <cell r="E5417" t="str">
            <v>D25019138</v>
          </cell>
          <cell r="AP5417">
            <v>0</v>
          </cell>
          <cell r="AQ5417">
            <v>0</v>
          </cell>
          <cell r="AV5417">
            <v>2016000</v>
          </cell>
        </row>
        <row r="5418">
          <cell r="E5418" t="str">
            <v>B25016971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B26000358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D26000464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B26001357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B26001358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B26001360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B26001403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D26000348</v>
          </cell>
          <cell r="AP5425">
            <v>0</v>
          </cell>
          <cell r="AQ5425">
            <v>0</v>
          </cell>
          <cell r="AV5425">
            <v>1580000</v>
          </cell>
        </row>
        <row r="5426">
          <cell r="E5426" t="str">
            <v>B26001074</v>
          </cell>
          <cell r="AP5426">
            <v>0</v>
          </cell>
          <cell r="AQ5426">
            <v>0</v>
          </cell>
          <cell r="AV5426">
            <v>395000</v>
          </cell>
        </row>
        <row r="5427">
          <cell r="E5427" t="str">
            <v>B26001833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B26001835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B26001965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B26001990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D26002168</v>
          </cell>
          <cell r="AP5431">
            <v>0</v>
          </cell>
          <cell r="AQ5431">
            <v>0</v>
          </cell>
          <cell r="AV5431">
            <v>0</v>
          </cell>
        </row>
        <row r="5432">
          <cell r="E5432" t="str">
            <v>D26002293</v>
          </cell>
          <cell r="AP5432">
            <v>0</v>
          </cell>
          <cell r="AQ5432">
            <v>0</v>
          </cell>
          <cell r="AV5432">
            <v>0</v>
          </cell>
        </row>
        <row r="5433">
          <cell r="E5433" t="str">
            <v>B25015653</v>
          </cell>
          <cell r="AP5433">
            <v>0</v>
          </cell>
          <cell r="AQ5433">
            <v>0</v>
          </cell>
          <cell r="AV5433">
            <v>5760000</v>
          </cell>
        </row>
        <row r="5434">
          <cell r="E5434" t="str">
            <v>D26001506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D26002326</v>
          </cell>
          <cell r="AP5435">
            <v>0</v>
          </cell>
          <cell r="AQ5435">
            <v>0</v>
          </cell>
          <cell r="AV5435">
            <v>3650000</v>
          </cell>
        </row>
        <row r="5436">
          <cell r="E5436" t="str">
            <v>D25019337</v>
          </cell>
          <cell r="AP5436">
            <v>0</v>
          </cell>
          <cell r="AQ5436">
            <v>0</v>
          </cell>
          <cell r="AV5436">
            <v>9700000</v>
          </cell>
        </row>
        <row r="5437">
          <cell r="E5437" t="str">
            <v>D25019338</v>
          </cell>
          <cell r="AP5437">
            <v>0</v>
          </cell>
          <cell r="AQ5437">
            <v>0</v>
          </cell>
          <cell r="AV5437">
            <v>2415000</v>
          </cell>
        </row>
        <row r="5438">
          <cell r="E5438" t="str">
            <v>B25016943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B25017062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B25017083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D26001261</v>
          </cell>
          <cell r="AP5441">
            <v>0</v>
          </cell>
          <cell r="AQ5441">
            <v>0</v>
          </cell>
          <cell r="AV5441">
            <v>0</v>
          </cell>
        </row>
        <row r="5442">
          <cell r="E5442" t="str">
            <v>D26001329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B26001269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B26001809</v>
          </cell>
          <cell r="AP5444">
            <v>0</v>
          </cell>
          <cell r="AQ5444">
            <v>0</v>
          </cell>
          <cell r="AV5444">
            <v>1525000</v>
          </cell>
        </row>
        <row r="5445">
          <cell r="E5445" t="str">
            <v>B26001810</v>
          </cell>
          <cell r="AP5445">
            <v>0</v>
          </cell>
          <cell r="AQ5445">
            <v>0</v>
          </cell>
          <cell r="AV5445">
            <v>3275000</v>
          </cell>
        </row>
        <row r="5446">
          <cell r="E5446" t="str">
            <v>D26001954</v>
          </cell>
          <cell r="AP5446">
            <v>0</v>
          </cell>
          <cell r="AQ5446">
            <v>0</v>
          </cell>
          <cell r="AV5446">
            <v>1835000</v>
          </cell>
        </row>
        <row r="5447">
          <cell r="E5447" t="str">
            <v>D26001637</v>
          </cell>
          <cell r="AP5447">
            <v>0</v>
          </cell>
          <cell r="AQ5447">
            <v>0</v>
          </cell>
          <cell r="AV5447">
            <v>21628800</v>
          </cell>
        </row>
        <row r="5448">
          <cell r="E5448" t="str">
            <v>D26001638</v>
          </cell>
          <cell r="AP5448">
            <v>0</v>
          </cell>
          <cell r="AQ5448">
            <v>0</v>
          </cell>
          <cell r="AV5448">
            <v>8026000</v>
          </cell>
        </row>
        <row r="5449">
          <cell r="E5449" t="str">
            <v>D26001661</v>
          </cell>
          <cell r="AP5449">
            <v>0</v>
          </cell>
          <cell r="AQ5449">
            <v>0</v>
          </cell>
          <cell r="AV5449">
            <v>4424000</v>
          </cell>
        </row>
        <row r="5450">
          <cell r="E5450" t="str">
            <v>D26001662</v>
          </cell>
          <cell r="AP5450">
            <v>0</v>
          </cell>
          <cell r="AQ5450">
            <v>0</v>
          </cell>
          <cell r="AV5450">
            <v>1960000</v>
          </cell>
        </row>
        <row r="5451">
          <cell r="E5451" t="str">
            <v>D26001827</v>
          </cell>
          <cell r="AP5451">
            <v>0</v>
          </cell>
          <cell r="AQ5451">
            <v>0</v>
          </cell>
          <cell r="AV5451">
            <v>32025000</v>
          </cell>
        </row>
        <row r="5452">
          <cell r="E5452" t="str">
            <v>D26001828</v>
          </cell>
          <cell r="AP5452">
            <v>0</v>
          </cell>
          <cell r="AQ5452">
            <v>0</v>
          </cell>
          <cell r="AV5452">
            <v>537500</v>
          </cell>
        </row>
        <row r="5453">
          <cell r="E5453" t="str">
            <v>D26001829</v>
          </cell>
          <cell r="AP5453">
            <v>0</v>
          </cell>
          <cell r="AQ5453">
            <v>0</v>
          </cell>
          <cell r="AV5453">
            <v>1600000</v>
          </cell>
        </row>
        <row r="5454">
          <cell r="E5454" t="str">
            <v>D26001830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D26001830</v>
          </cell>
          <cell r="AP5455">
            <v>0</v>
          </cell>
          <cell r="AQ5455">
            <v>0</v>
          </cell>
          <cell r="AV5455">
            <v>2688000</v>
          </cell>
        </row>
        <row r="5456">
          <cell r="E5456" t="str">
            <v>D26002011</v>
          </cell>
          <cell r="AP5456">
            <v>0</v>
          </cell>
          <cell r="AQ5456">
            <v>0</v>
          </cell>
          <cell r="AV5456">
            <v>5920000</v>
          </cell>
        </row>
        <row r="5457">
          <cell r="E5457" t="str">
            <v>B26001895</v>
          </cell>
          <cell r="AP5457">
            <v>0</v>
          </cell>
          <cell r="AQ5457">
            <v>0</v>
          </cell>
          <cell r="AV5457">
            <v>6680000</v>
          </cell>
        </row>
        <row r="5458">
          <cell r="E5458" t="str">
            <v>D26002279</v>
          </cell>
          <cell r="AP5458">
            <v>0</v>
          </cell>
          <cell r="AQ5458">
            <v>0</v>
          </cell>
          <cell r="AV5458">
            <v>0</v>
          </cell>
        </row>
        <row r="5459">
          <cell r="E5459" t="str">
            <v>D26002280</v>
          </cell>
          <cell r="AP5459">
            <v>0</v>
          </cell>
          <cell r="AQ5459">
            <v>0</v>
          </cell>
          <cell r="AV5459">
            <v>0</v>
          </cell>
        </row>
        <row r="5460">
          <cell r="E5460" t="str">
            <v>D26002289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D26000097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B26000169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B26000708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B26000709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B26000710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B26000711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D26000965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B26001160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D26001236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D26001569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B26001606</v>
          </cell>
          <cell r="AP5471">
            <v>0</v>
          </cell>
          <cell r="AQ5471">
            <v>0</v>
          </cell>
          <cell r="AV5471">
            <v>7720000</v>
          </cell>
        </row>
        <row r="5472">
          <cell r="E5472" t="str">
            <v>D26001724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B26001845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D26002070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D26002071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B26002096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>
            <v>250204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D26000039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D26000561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D26001910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B26001618</v>
          </cell>
          <cell r="AP5481">
            <v>0</v>
          </cell>
          <cell r="AQ5481">
            <v>0</v>
          </cell>
          <cell r="AV5481">
            <v>4380000</v>
          </cell>
        </row>
        <row r="5482">
          <cell r="E5482" t="str">
            <v>D26002402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D26002267</v>
          </cell>
          <cell r="AP5483">
            <v>0</v>
          </cell>
          <cell r="AQ5483">
            <v>0</v>
          </cell>
          <cell r="AV5483">
            <v>220000000</v>
          </cell>
        </row>
        <row r="5484">
          <cell r="E5484" t="str">
            <v>D26000280</v>
          </cell>
          <cell r="AP5484">
            <v>0</v>
          </cell>
          <cell r="AQ5484">
            <v>0</v>
          </cell>
          <cell r="AV5484">
            <v>50000000</v>
          </cell>
        </row>
        <row r="5485">
          <cell r="E5485" t="str">
            <v>D25016938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D25017234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D25019460</v>
          </cell>
          <cell r="AP5487">
            <v>0</v>
          </cell>
          <cell r="AQ5487">
            <v>0</v>
          </cell>
          <cell r="AV5487">
            <v>16100000</v>
          </cell>
        </row>
        <row r="5488">
          <cell r="E5488" t="str">
            <v>D26000110</v>
          </cell>
          <cell r="AP5488">
            <v>0</v>
          </cell>
          <cell r="AQ5488">
            <v>0</v>
          </cell>
          <cell r="AV5488">
            <v>23400000</v>
          </cell>
        </row>
        <row r="5489">
          <cell r="E5489" t="str">
            <v>D26000405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D26002334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B26001893</v>
          </cell>
          <cell r="AP5491">
            <v>0</v>
          </cell>
          <cell r="AQ5491">
            <v>0</v>
          </cell>
          <cell r="AV5491">
            <v>1762500</v>
          </cell>
        </row>
        <row r="5492">
          <cell r="E5492" t="str">
            <v>D25018958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B26000514</v>
          </cell>
          <cell r="AP5493">
            <v>0</v>
          </cell>
          <cell r="AQ5493">
            <v>0</v>
          </cell>
          <cell r="AV5493">
            <v>2366000</v>
          </cell>
        </row>
        <row r="5494">
          <cell r="E5494" t="str">
            <v>B26000981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B26001490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D26001622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D26001651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B26001873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Z25003238</v>
          </cell>
          <cell r="AP5499">
            <v>0</v>
          </cell>
          <cell r="AQ5499">
            <v>0</v>
          </cell>
          <cell r="AV5499">
            <v>30000000</v>
          </cell>
        </row>
        <row r="5500">
          <cell r="E5500" t="str">
            <v>Z25003238</v>
          </cell>
          <cell r="AP5500">
            <v>0</v>
          </cell>
          <cell r="AQ5500">
            <v>0</v>
          </cell>
          <cell r="AV5500">
            <v>28100000</v>
          </cell>
        </row>
        <row r="5501">
          <cell r="E5501" t="str">
            <v>Z25003293</v>
          </cell>
          <cell r="AP5501">
            <v>0</v>
          </cell>
          <cell r="AQ5501">
            <v>0</v>
          </cell>
          <cell r="AV5501">
            <v>8437500</v>
          </cell>
        </row>
        <row r="5502">
          <cell r="E5502" t="str">
            <v>Z25003299</v>
          </cell>
          <cell r="AP5502">
            <v>0</v>
          </cell>
          <cell r="AQ5502">
            <v>0</v>
          </cell>
          <cell r="AV5502">
            <v>3462500</v>
          </cell>
        </row>
        <row r="5503">
          <cell r="E5503" t="str">
            <v>Z25003361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Z25003362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Z25003367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Z26000048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B26000300</v>
          </cell>
          <cell r="AP5507">
            <v>0</v>
          </cell>
          <cell r="AQ5507">
            <v>0</v>
          </cell>
          <cell r="AV5507">
            <v>2830000</v>
          </cell>
        </row>
        <row r="5508">
          <cell r="E5508" t="str">
            <v>D26000454</v>
          </cell>
          <cell r="AP5508">
            <v>0</v>
          </cell>
          <cell r="AQ5508">
            <v>0</v>
          </cell>
          <cell r="AV5508">
            <v>1300000</v>
          </cell>
        </row>
        <row r="5509">
          <cell r="E5509" t="str">
            <v>D26000686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D26000688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B25017125</v>
          </cell>
          <cell r="AP5511">
            <v>0</v>
          </cell>
          <cell r="AQ5511">
            <v>0</v>
          </cell>
          <cell r="AV5511">
            <v>1350000</v>
          </cell>
        </row>
        <row r="5512">
          <cell r="E5512" t="str">
            <v>B26000086</v>
          </cell>
          <cell r="AP5512">
            <v>0</v>
          </cell>
          <cell r="AQ5512">
            <v>0</v>
          </cell>
          <cell r="AV5512">
            <v>1680000</v>
          </cell>
        </row>
        <row r="5513">
          <cell r="E5513" t="str">
            <v>D26000063</v>
          </cell>
          <cell r="AP5513">
            <v>0</v>
          </cell>
          <cell r="AQ5513">
            <v>0</v>
          </cell>
          <cell r="AV5513">
            <v>2016000</v>
          </cell>
        </row>
        <row r="5514">
          <cell r="E5514" t="str">
            <v>D26000077</v>
          </cell>
          <cell r="AP5514">
            <v>0</v>
          </cell>
          <cell r="AQ5514">
            <v>0</v>
          </cell>
          <cell r="AV5514">
            <v>3360000</v>
          </cell>
        </row>
        <row r="5515">
          <cell r="E5515" t="str">
            <v>D26000274</v>
          </cell>
          <cell r="AP5515">
            <v>0</v>
          </cell>
          <cell r="AQ5515">
            <v>0</v>
          </cell>
          <cell r="AV5515">
            <v>3170000</v>
          </cell>
        </row>
        <row r="5516">
          <cell r="E5516" t="str">
            <v>B26000399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D26000415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B26000470</v>
          </cell>
          <cell r="AP5518">
            <v>0</v>
          </cell>
          <cell r="AQ5518">
            <v>0</v>
          </cell>
          <cell r="AV5518">
            <v>0</v>
          </cell>
        </row>
        <row r="5519">
          <cell r="E5519" t="str">
            <v>D26000645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D26000927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D26000940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D26000976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B26000992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D26001052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B26001050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N26000011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D26001235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D26001612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D26001663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D26001664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D26001789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D26001790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B26002028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D26002197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T26000117</v>
          </cell>
          <cell r="AP5535">
            <v>0</v>
          </cell>
          <cell r="AQ5535">
            <v>0</v>
          </cell>
          <cell r="AV5535">
            <v>5200000</v>
          </cell>
        </row>
        <row r="5536">
          <cell r="E5536" t="str">
            <v>T26000118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C26000116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D26000021</v>
          </cell>
          <cell r="AP5538">
            <v>0</v>
          </cell>
          <cell r="AQ5538">
            <v>0</v>
          </cell>
          <cell r="AV5538">
            <v>35190000</v>
          </cell>
        </row>
        <row r="5539">
          <cell r="E5539" t="str">
            <v>D26000378</v>
          </cell>
          <cell r="AP5539">
            <v>0</v>
          </cell>
          <cell r="AQ5539">
            <v>0</v>
          </cell>
          <cell r="AV5539">
            <v>129255000</v>
          </cell>
        </row>
        <row r="5540">
          <cell r="E5540" t="str">
            <v>D26000397</v>
          </cell>
          <cell r="AP5540">
            <v>0</v>
          </cell>
          <cell r="AQ5540">
            <v>0</v>
          </cell>
          <cell r="AV5540">
            <v>19200000</v>
          </cell>
        </row>
        <row r="5541">
          <cell r="E5541" t="str">
            <v>D26000406</v>
          </cell>
          <cell r="AP5541">
            <v>0</v>
          </cell>
          <cell r="AQ5541">
            <v>0</v>
          </cell>
          <cell r="AV5541">
            <v>2190000</v>
          </cell>
        </row>
        <row r="5542">
          <cell r="E5542" t="str">
            <v>B26000416</v>
          </cell>
          <cell r="AP5542">
            <v>0</v>
          </cell>
          <cell r="AQ5542">
            <v>0</v>
          </cell>
          <cell r="AV5542">
            <v>11850000</v>
          </cell>
        </row>
        <row r="5543">
          <cell r="E5543" t="str">
            <v>D26000599</v>
          </cell>
          <cell r="AP5543">
            <v>0</v>
          </cell>
          <cell r="AQ5543">
            <v>0</v>
          </cell>
          <cell r="AV5543">
            <v>118600000</v>
          </cell>
        </row>
        <row r="5544">
          <cell r="E5544" t="str">
            <v>D26000600</v>
          </cell>
          <cell r="AP5544">
            <v>0</v>
          </cell>
          <cell r="AQ5544">
            <v>0</v>
          </cell>
          <cell r="AV5544">
            <v>21100000</v>
          </cell>
        </row>
        <row r="5545">
          <cell r="E5545" t="str">
            <v>D26000656</v>
          </cell>
          <cell r="AP5545">
            <v>0</v>
          </cell>
          <cell r="AQ5545">
            <v>0</v>
          </cell>
          <cell r="AV5545">
            <v>3760000</v>
          </cell>
        </row>
        <row r="5546">
          <cell r="E5546" t="str">
            <v>D26000731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D26000781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D26000782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D26000817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B26000975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D26001060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B26001069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D26001263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D26001654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B26001674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D26001998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B26001982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Z26000053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Z26000056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Z26000124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T26000043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Z26000135</v>
          </cell>
          <cell r="AP5562">
            <v>0</v>
          </cell>
          <cell r="AQ5562">
            <v>0</v>
          </cell>
          <cell r="AV5562">
            <v>0</v>
          </cell>
        </row>
        <row r="5563">
          <cell r="E5563" t="str">
            <v>Z26000161</v>
          </cell>
          <cell r="AP5563">
            <v>0</v>
          </cell>
          <cell r="AQ5563">
            <v>0</v>
          </cell>
          <cell r="AV5563">
            <v>0</v>
          </cell>
        </row>
        <row r="5564">
          <cell r="E5564" t="str">
            <v>Z26000200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Z26000205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Z26000282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Z26000390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T25001673</v>
          </cell>
          <cell r="AP5568">
            <v>0</v>
          </cell>
          <cell r="AQ5568">
            <v>0</v>
          </cell>
          <cell r="AV5568">
            <v>4000000</v>
          </cell>
        </row>
        <row r="5569">
          <cell r="E5569" t="str">
            <v>T26000103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B26001499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T26000142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B25016958</v>
          </cell>
          <cell r="AP5572">
            <v>0</v>
          </cell>
          <cell r="AQ5572">
            <v>0</v>
          </cell>
          <cell r="AV5572">
            <v>490000</v>
          </cell>
        </row>
        <row r="5573">
          <cell r="E5573" t="str">
            <v>D25019518</v>
          </cell>
          <cell r="AP5573">
            <v>0</v>
          </cell>
          <cell r="AQ5573">
            <v>0</v>
          </cell>
          <cell r="AV5573">
            <v>5272000</v>
          </cell>
        </row>
        <row r="5574">
          <cell r="E5574" t="str">
            <v>D25013643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T26000057K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D25018530</v>
          </cell>
          <cell r="AP5576">
            <v>0</v>
          </cell>
          <cell r="AQ5576">
            <v>0</v>
          </cell>
          <cell r="AV5576">
            <v>136975000</v>
          </cell>
        </row>
        <row r="5577">
          <cell r="E5577" t="str">
            <v>B25016279</v>
          </cell>
          <cell r="AP5577">
            <v>0</v>
          </cell>
          <cell r="AQ5577">
            <v>0</v>
          </cell>
          <cell r="AV5577">
            <v>3200000</v>
          </cell>
        </row>
        <row r="5578">
          <cell r="E5578" t="str">
            <v>B25016808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B25016809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B25016868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B25016886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D26000185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D26000550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D26001076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D26001626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D26001627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D26001931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B25017103</v>
          </cell>
          <cell r="AP5588">
            <v>0</v>
          </cell>
          <cell r="AQ5588">
            <v>0</v>
          </cell>
          <cell r="AV5588">
            <v>9900000</v>
          </cell>
        </row>
        <row r="5589">
          <cell r="E5589" t="str">
            <v>B26000302</v>
          </cell>
          <cell r="AP5589">
            <v>0</v>
          </cell>
          <cell r="AQ5589">
            <v>0</v>
          </cell>
          <cell r="AV5589">
            <v>1850000</v>
          </cell>
        </row>
        <row r="5590">
          <cell r="E5590">
            <v>260004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B26000343</v>
          </cell>
          <cell r="AP5591">
            <v>0</v>
          </cell>
          <cell r="AQ5591">
            <v>0</v>
          </cell>
          <cell r="AV5591">
            <v>4200000</v>
          </cell>
        </row>
        <row r="5592">
          <cell r="E5592" t="str">
            <v>B26000349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B26000609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D26000820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B26000770</v>
          </cell>
          <cell r="AP5595">
            <v>0</v>
          </cell>
          <cell r="AQ5595">
            <v>0</v>
          </cell>
          <cell r="AV5595">
            <v>0</v>
          </cell>
        </row>
        <row r="5596">
          <cell r="E5596" t="str">
            <v>B26000771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B26000939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B26000942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B26001166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D26001234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D26001345</v>
          </cell>
          <cell r="AP5601">
            <v>0</v>
          </cell>
          <cell r="AQ5601">
            <v>0</v>
          </cell>
          <cell r="AV5601">
            <v>0</v>
          </cell>
        </row>
        <row r="5602">
          <cell r="E5602" t="str">
            <v>B26001512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B26001558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D26001701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B26001708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D26001767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D26002278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D26002407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D26002408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D26000581</v>
          </cell>
          <cell r="AP5610">
            <v>0</v>
          </cell>
          <cell r="AQ5610">
            <v>0</v>
          </cell>
          <cell r="AV5610">
            <v>1500000</v>
          </cell>
        </row>
        <row r="5611">
          <cell r="E5611" t="str">
            <v>D26001070</v>
          </cell>
          <cell r="AP5611">
            <v>0</v>
          </cell>
          <cell r="AQ5611">
            <v>0</v>
          </cell>
          <cell r="AV5611">
            <v>4200000</v>
          </cell>
        </row>
        <row r="5612">
          <cell r="E5612" t="str">
            <v>D26001700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B26001922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D26002386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D26000482</v>
          </cell>
          <cell r="AP5615">
            <v>0</v>
          </cell>
          <cell r="AQ5615">
            <v>0</v>
          </cell>
          <cell r="AV5615">
            <v>1350000</v>
          </cell>
        </row>
        <row r="5616">
          <cell r="E5616" t="str">
            <v>D26000495</v>
          </cell>
          <cell r="AP5616">
            <v>0</v>
          </cell>
          <cell r="AQ5616">
            <v>0</v>
          </cell>
          <cell r="AV5616">
            <v>2100000</v>
          </cell>
        </row>
        <row r="5617">
          <cell r="E5617" t="str">
            <v>B26000552</v>
          </cell>
          <cell r="AP5617">
            <v>0</v>
          </cell>
          <cell r="AQ5617">
            <v>0</v>
          </cell>
          <cell r="AV5617">
            <v>1710000</v>
          </cell>
        </row>
        <row r="5618">
          <cell r="E5618" t="str">
            <v>B26000592</v>
          </cell>
          <cell r="AP5618">
            <v>0</v>
          </cell>
          <cell r="AQ5618">
            <v>0</v>
          </cell>
          <cell r="AV5618">
            <v>2640000</v>
          </cell>
        </row>
        <row r="5619">
          <cell r="E5619" t="str">
            <v>B26000672</v>
          </cell>
          <cell r="AP5619">
            <v>0</v>
          </cell>
          <cell r="AQ5619">
            <v>0</v>
          </cell>
          <cell r="AV5619">
            <v>537500</v>
          </cell>
        </row>
        <row r="5620">
          <cell r="E5620" t="str">
            <v>D26000703</v>
          </cell>
          <cell r="AP5620">
            <v>0</v>
          </cell>
          <cell r="AQ5620">
            <v>0</v>
          </cell>
          <cell r="AV5620">
            <v>14140000</v>
          </cell>
        </row>
        <row r="5621">
          <cell r="E5621" t="str">
            <v>B26000873</v>
          </cell>
          <cell r="AP5621">
            <v>0</v>
          </cell>
          <cell r="AQ5621">
            <v>0</v>
          </cell>
          <cell r="AV5621">
            <v>1800000</v>
          </cell>
        </row>
        <row r="5622">
          <cell r="E5622" t="str">
            <v>D26001176</v>
          </cell>
          <cell r="AP5622">
            <v>0</v>
          </cell>
          <cell r="AQ5622">
            <v>0</v>
          </cell>
          <cell r="AV5622">
            <v>2000000</v>
          </cell>
        </row>
        <row r="5623">
          <cell r="E5623" t="str">
            <v>B26001293</v>
          </cell>
          <cell r="AP5623">
            <v>0</v>
          </cell>
          <cell r="AQ5623">
            <v>0</v>
          </cell>
          <cell r="AV5623">
            <v>11899000</v>
          </cell>
        </row>
        <row r="5624">
          <cell r="E5624" t="str">
            <v>B26001321</v>
          </cell>
          <cell r="AP5624">
            <v>0</v>
          </cell>
          <cell r="AQ5624">
            <v>0</v>
          </cell>
          <cell r="AV5624">
            <v>1416000</v>
          </cell>
        </row>
        <row r="5625">
          <cell r="E5625" t="str">
            <v>D26001398</v>
          </cell>
          <cell r="AP5625">
            <v>0</v>
          </cell>
          <cell r="AQ5625">
            <v>0</v>
          </cell>
          <cell r="AV5625">
            <v>2700000</v>
          </cell>
        </row>
        <row r="5626">
          <cell r="E5626" t="str">
            <v>D26001785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D26001914</v>
          </cell>
          <cell r="AP5627">
            <v>0</v>
          </cell>
          <cell r="AQ5627">
            <v>0</v>
          </cell>
          <cell r="AV5627">
            <v>33000000</v>
          </cell>
        </row>
        <row r="5628">
          <cell r="E5628" t="str">
            <v>D26002015</v>
          </cell>
          <cell r="AP5628">
            <v>0</v>
          </cell>
          <cell r="AQ5628">
            <v>0</v>
          </cell>
          <cell r="AV5628">
            <v>5340000</v>
          </cell>
        </row>
        <row r="5629">
          <cell r="E5629" t="str">
            <v>D26002054</v>
          </cell>
          <cell r="AP5629">
            <v>0</v>
          </cell>
          <cell r="AQ5629">
            <v>0</v>
          </cell>
          <cell r="AV5629">
            <v>79000000</v>
          </cell>
        </row>
        <row r="5630">
          <cell r="E5630" t="str">
            <v>D26002184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B26002211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B26002230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D25015100</v>
          </cell>
          <cell r="AP5633">
            <v>0</v>
          </cell>
          <cell r="AQ5633">
            <v>0</v>
          </cell>
          <cell r="AV5633">
            <v>57000000</v>
          </cell>
        </row>
        <row r="5634">
          <cell r="E5634" t="str">
            <v>D25016428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D25016444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B25014380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B25014914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B25014915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B25014916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B25014917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B25014921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D25017196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B25016405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B25016539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B25016540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D25019392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D25019402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B26000529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B26000530</v>
          </cell>
          <cell r="AP5649">
            <v>0</v>
          </cell>
          <cell r="AQ5649">
            <v>0</v>
          </cell>
          <cell r="AV5649">
            <v>0</v>
          </cell>
        </row>
        <row r="5650">
          <cell r="E5650" t="str">
            <v>B26000643</v>
          </cell>
          <cell r="AP5650">
            <v>0</v>
          </cell>
          <cell r="AQ5650">
            <v>0</v>
          </cell>
          <cell r="AV5650">
            <v>0</v>
          </cell>
        </row>
        <row r="5651">
          <cell r="E5651" t="str">
            <v>D26000729</v>
          </cell>
          <cell r="AP5651">
            <v>0</v>
          </cell>
          <cell r="AQ5651">
            <v>0</v>
          </cell>
          <cell r="AV5651">
            <v>0</v>
          </cell>
        </row>
        <row r="5652">
          <cell r="E5652" t="str">
            <v>D26001356</v>
          </cell>
          <cell r="AP5652">
            <v>0</v>
          </cell>
          <cell r="AQ5652">
            <v>0</v>
          </cell>
          <cell r="AV5652">
            <v>0</v>
          </cell>
        </row>
        <row r="5653">
          <cell r="E5653" t="str">
            <v>D25017901</v>
          </cell>
          <cell r="AP5653">
            <v>0</v>
          </cell>
          <cell r="AQ5653">
            <v>0</v>
          </cell>
          <cell r="AV5653">
            <v>0</v>
          </cell>
        </row>
        <row r="5654">
          <cell r="E5654" t="str">
            <v>D25017901</v>
          </cell>
          <cell r="AP5654">
            <v>0</v>
          </cell>
          <cell r="AQ5654">
            <v>0</v>
          </cell>
          <cell r="AV5654">
            <v>0</v>
          </cell>
        </row>
        <row r="5655">
          <cell r="E5655" t="str">
            <v>D25017902</v>
          </cell>
          <cell r="AP5655">
            <v>0</v>
          </cell>
          <cell r="AQ5655">
            <v>0</v>
          </cell>
          <cell r="AV5655">
            <v>0</v>
          </cell>
        </row>
        <row r="5656">
          <cell r="E5656" t="str">
            <v>B25015794</v>
          </cell>
          <cell r="AP5656">
            <v>0</v>
          </cell>
          <cell r="AQ5656">
            <v>0</v>
          </cell>
          <cell r="AV5656">
            <v>0</v>
          </cell>
        </row>
        <row r="5657">
          <cell r="E5657" t="str">
            <v>B25015795</v>
          </cell>
          <cell r="AP5657">
            <v>0</v>
          </cell>
          <cell r="AQ5657">
            <v>0</v>
          </cell>
          <cell r="AV5657">
            <v>0</v>
          </cell>
        </row>
        <row r="5658">
          <cell r="E5658" t="str">
            <v>D25018558</v>
          </cell>
          <cell r="AP5658">
            <v>0</v>
          </cell>
          <cell r="AQ5658">
            <v>0</v>
          </cell>
          <cell r="AV5658">
            <v>0</v>
          </cell>
        </row>
        <row r="5659">
          <cell r="E5659" t="str">
            <v>D25018559</v>
          </cell>
          <cell r="AP5659">
            <v>0</v>
          </cell>
          <cell r="AQ5659">
            <v>0</v>
          </cell>
          <cell r="AV5659">
            <v>0</v>
          </cell>
        </row>
        <row r="5660">
          <cell r="E5660" t="str">
            <v>D25018559</v>
          </cell>
          <cell r="AP5660">
            <v>0</v>
          </cell>
          <cell r="AQ5660">
            <v>0</v>
          </cell>
          <cell r="AV5660">
            <v>0</v>
          </cell>
        </row>
        <row r="5661">
          <cell r="E5661" t="str">
            <v>D25018583</v>
          </cell>
          <cell r="AP5661">
            <v>0</v>
          </cell>
          <cell r="AQ5661">
            <v>0</v>
          </cell>
          <cell r="AV5661">
            <v>0</v>
          </cell>
        </row>
        <row r="5662">
          <cell r="E5662" t="str">
            <v>D25019033</v>
          </cell>
          <cell r="AP5662">
            <v>0</v>
          </cell>
          <cell r="AQ5662">
            <v>0</v>
          </cell>
          <cell r="AV5662">
            <v>0</v>
          </cell>
        </row>
        <row r="5663">
          <cell r="E5663" t="str">
            <v>D25019033</v>
          </cell>
          <cell r="AP5663">
            <v>0</v>
          </cell>
          <cell r="AQ5663">
            <v>0</v>
          </cell>
          <cell r="AV5663">
            <v>0</v>
          </cell>
        </row>
        <row r="5664">
          <cell r="E5664" t="str">
            <v>D25019048</v>
          </cell>
          <cell r="AP5664">
            <v>0</v>
          </cell>
          <cell r="AQ5664">
            <v>0</v>
          </cell>
          <cell r="AV5664">
            <v>0</v>
          </cell>
        </row>
        <row r="5665">
          <cell r="E5665" t="str">
            <v>D25019050</v>
          </cell>
          <cell r="AP5665">
            <v>0</v>
          </cell>
          <cell r="AQ5665">
            <v>0</v>
          </cell>
          <cell r="AV5665">
            <v>0</v>
          </cell>
        </row>
        <row r="5666">
          <cell r="E5666" t="str">
            <v>D25019084</v>
          </cell>
          <cell r="AP5666">
            <v>0</v>
          </cell>
          <cell r="AQ5666">
            <v>0</v>
          </cell>
          <cell r="AV5666">
            <v>0</v>
          </cell>
        </row>
        <row r="5667">
          <cell r="E5667" t="str">
            <v>D25019084</v>
          </cell>
          <cell r="AP5667">
            <v>0</v>
          </cell>
          <cell r="AQ5667">
            <v>0</v>
          </cell>
          <cell r="AV5667">
            <v>0</v>
          </cell>
        </row>
        <row r="5668">
          <cell r="E5668" t="str">
            <v>B25016734</v>
          </cell>
          <cell r="AP5668">
            <v>0</v>
          </cell>
          <cell r="AQ5668">
            <v>0</v>
          </cell>
          <cell r="AV5668">
            <v>0</v>
          </cell>
        </row>
        <row r="5669">
          <cell r="E5669" t="str">
            <v>D25019255</v>
          </cell>
          <cell r="AP5669">
            <v>0</v>
          </cell>
          <cell r="AQ5669">
            <v>0</v>
          </cell>
          <cell r="AV5669">
            <v>0</v>
          </cell>
        </row>
        <row r="5670">
          <cell r="E5670" t="str">
            <v>B25016980</v>
          </cell>
          <cell r="AP5670">
            <v>0</v>
          </cell>
          <cell r="AQ5670">
            <v>0</v>
          </cell>
          <cell r="AV5670">
            <v>0</v>
          </cell>
        </row>
        <row r="5671">
          <cell r="E5671" t="str">
            <v>B25016990</v>
          </cell>
          <cell r="AP5671">
            <v>0</v>
          </cell>
          <cell r="AQ5671">
            <v>0</v>
          </cell>
          <cell r="AV5671">
            <v>0</v>
          </cell>
        </row>
        <row r="5672">
          <cell r="E5672" t="str">
            <v>B25016991</v>
          </cell>
          <cell r="AP5672">
            <v>0</v>
          </cell>
          <cell r="AQ5672">
            <v>0</v>
          </cell>
          <cell r="AV5672">
            <v>0</v>
          </cell>
        </row>
        <row r="5673">
          <cell r="E5673" t="str">
            <v>B25016991</v>
          </cell>
          <cell r="AP5673">
            <v>0</v>
          </cell>
          <cell r="AQ5673">
            <v>0</v>
          </cell>
          <cell r="AV5673">
            <v>0</v>
          </cell>
        </row>
        <row r="5674">
          <cell r="E5674" t="str">
            <v>B25017032</v>
          </cell>
          <cell r="AP5674">
            <v>0</v>
          </cell>
          <cell r="AQ5674">
            <v>0</v>
          </cell>
          <cell r="AV5674">
            <v>0</v>
          </cell>
        </row>
        <row r="5675">
          <cell r="E5675" t="str">
            <v>D25019592</v>
          </cell>
          <cell r="AP5675">
            <v>0</v>
          </cell>
          <cell r="AQ5675">
            <v>0</v>
          </cell>
          <cell r="AV5675">
            <v>0</v>
          </cell>
        </row>
        <row r="5676">
          <cell r="E5676" t="str">
            <v>D25019597</v>
          </cell>
          <cell r="AP5676">
            <v>0</v>
          </cell>
          <cell r="AQ5676">
            <v>0</v>
          </cell>
          <cell r="AV5676">
            <v>0</v>
          </cell>
        </row>
        <row r="5677">
          <cell r="E5677" t="str">
            <v>B26000133</v>
          </cell>
          <cell r="AP5677">
            <v>0</v>
          </cell>
          <cell r="AQ5677">
            <v>0</v>
          </cell>
          <cell r="AV5677">
            <v>0</v>
          </cell>
        </row>
        <row r="5678">
          <cell r="E5678" t="str">
            <v>B26000462</v>
          </cell>
          <cell r="AP5678">
            <v>0</v>
          </cell>
          <cell r="AQ5678">
            <v>0</v>
          </cell>
          <cell r="AV5678">
            <v>0</v>
          </cell>
        </row>
        <row r="5679">
          <cell r="E5679" t="str">
            <v>D26000538</v>
          </cell>
          <cell r="AP5679">
            <v>0</v>
          </cell>
          <cell r="AQ5679">
            <v>0</v>
          </cell>
          <cell r="AV5679">
            <v>0</v>
          </cell>
        </row>
        <row r="5680">
          <cell r="E5680" t="str">
            <v>D26000723</v>
          </cell>
          <cell r="AP5680">
            <v>0</v>
          </cell>
          <cell r="AQ5680">
            <v>73888000</v>
          </cell>
          <cell r="AV5680">
            <v>0</v>
          </cell>
        </row>
        <row r="5681">
          <cell r="E5681" t="str">
            <v>D26000739</v>
          </cell>
          <cell r="AP5681">
            <v>0</v>
          </cell>
          <cell r="AQ5681">
            <v>6112000</v>
          </cell>
          <cell r="AV5681">
            <v>0</v>
          </cell>
        </row>
        <row r="5682">
          <cell r="E5682" t="str">
            <v>D26000739</v>
          </cell>
          <cell r="AP5682">
            <v>0</v>
          </cell>
          <cell r="AQ5682">
            <v>29588000</v>
          </cell>
          <cell r="AV5682">
            <v>0</v>
          </cell>
        </row>
        <row r="5683">
          <cell r="E5683" t="str">
            <v>B26000959</v>
          </cell>
          <cell r="AP5683">
            <v>0</v>
          </cell>
          <cell r="AQ5683">
            <v>50460000</v>
          </cell>
          <cell r="AV5683">
            <v>0</v>
          </cell>
        </row>
        <row r="5684">
          <cell r="E5684" t="str">
            <v>B26001021</v>
          </cell>
          <cell r="AP5684">
            <v>0</v>
          </cell>
          <cell r="AQ5684">
            <v>4952000</v>
          </cell>
          <cell r="AV5684">
            <v>0</v>
          </cell>
        </row>
        <row r="5685">
          <cell r="E5685" t="str">
            <v>B26001021</v>
          </cell>
          <cell r="AP5685">
            <v>0</v>
          </cell>
          <cell r="AQ5685">
            <v>25160000</v>
          </cell>
          <cell r="AV5685">
            <v>0</v>
          </cell>
        </row>
        <row r="5686">
          <cell r="E5686" t="str">
            <v>D26001118</v>
          </cell>
          <cell r="AP5686">
            <v>0</v>
          </cell>
          <cell r="AQ5686">
            <v>5800000</v>
          </cell>
          <cell r="AV5686">
            <v>0</v>
          </cell>
        </row>
        <row r="5687">
          <cell r="E5687" t="str">
            <v>D26001135</v>
          </cell>
          <cell r="AP5687">
            <v>0</v>
          </cell>
          <cell r="AQ5687">
            <v>25057000</v>
          </cell>
          <cell r="AV5687">
            <v>0</v>
          </cell>
        </row>
        <row r="5688">
          <cell r="E5688" t="str">
            <v>D26001136</v>
          </cell>
          <cell r="AP5688">
            <v>0</v>
          </cell>
          <cell r="AQ5688">
            <v>18983000</v>
          </cell>
          <cell r="AV5688">
            <v>0</v>
          </cell>
        </row>
        <row r="5689">
          <cell r="E5689" t="str">
            <v>D26001136</v>
          </cell>
          <cell r="AP5689">
            <v>0</v>
          </cell>
          <cell r="AQ5689">
            <v>27617000</v>
          </cell>
          <cell r="AV5689">
            <v>0</v>
          </cell>
        </row>
        <row r="5690">
          <cell r="E5690" t="str">
            <v>D26001241</v>
          </cell>
          <cell r="AP5690">
            <v>0</v>
          </cell>
          <cell r="AQ5690">
            <v>12825000</v>
          </cell>
          <cell r="AV5690">
            <v>0</v>
          </cell>
        </row>
        <row r="5691">
          <cell r="E5691" t="str">
            <v>B26001419</v>
          </cell>
          <cell r="AP5691">
            <v>0</v>
          </cell>
          <cell r="AQ5691">
            <v>45440000</v>
          </cell>
          <cell r="AV5691">
            <v>0</v>
          </cell>
        </row>
        <row r="5692">
          <cell r="E5692" t="str">
            <v>D26001572</v>
          </cell>
          <cell r="AP5692">
            <v>0</v>
          </cell>
          <cell r="AQ5692">
            <v>1440000</v>
          </cell>
          <cell r="AV5692">
            <v>0</v>
          </cell>
        </row>
        <row r="5693">
          <cell r="E5693" t="str">
            <v>D26001922</v>
          </cell>
          <cell r="AP5693">
            <v>0</v>
          </cell>
          <cell r="AQ5693">
            <v>0</v>
          </cell>
          <cell r="AV5693">
            <v>0</v>
          </cell>
        </row>
        <row r="5694">
          <cell r="E5694" t="str">
            <v>D26001923</v>
          </cell>
          <cell r="AP5694">
            <v>0</v>
          </cell>
          <cell r="AQ5694">
            <v>0</v>
          </cell>
          <cell r="AV5694">
            <v>6720000</v>
          </cell>
        </row>
        <row r="5695">
          <cell r="E5695" t="str">
            <v>D26001955</v>
          </cell>
          <cell r="AP5695">
            <v>0</v>
          </cell>
          <cell r="AQ5695">
            <v>0</v>
          </cell>
          <cell r="AV5695">
            <v>0</v>
          </cell>
        </row>
        <row r="5696">
          <cell r="E5696" t="str">
            <v>D26001956</v>
          </cell>
          <cell r="AP5696">
            <v>0</v>
          </cell>
          <cell r="AQ5696">
            <v>0</v>
          </cell>
          <cell r="AV5696">
            <v>0</v>
          </cell>
        </row>
        <row r="5697">
          <cell r="E5697" t="str">
            <v>D26002114</v>
          </cell>
          <cell r="AP5697">
            <v>0</v>
          </cell>
          <cell r="AQ5697">
            <v>0</v>
          </cell>
          <cell r="AV5697">
            <v>0</v>
          </cell>
        </row>
        <row r="5698">
          <cell r="E5698" t="str">
            <v>D26002176</v>
          </cell>
          <cell r="AP5698">
            <v>0</v>
          </cell>
          <cell r="AQ5698">
            <v>0</v>
          </cell>
          <cell r="AV5698">
            <v>4830000</v>
          </cell>
        </row>
        <row r="5699">
          <cell r="E5699" t="str">
            <v>B26002095</v>
          </cell>
          <cell r="AP5699">
            <v>0</v>
          </cell>
          <cell r="AQ5699">
            <v>0</v>
          </cell>
          <cell r="AV5699">
            <v>3220000</v>
          </cell>
        </row>
        <row r="5700">
          <cell r="E5700" t="str">
            <v>B26002191</v>
          </cell>
          <cell r="AP5700">
            <v>0</v>
          </cell>
          <cell r="AQ5700">
            <v>0</v>
          </cell>
          <cell r="AV5700">
            <v>0</v>
          </cell>
        </row>
        <row r="5701">
          <cell r="E5701" t="str">
            <v>B25016162</v>
          </cell>
          <cell r="AP5701">
            <v>0</v>
          </cell>
          <cell r="AQ5701">
            <v>0</v>
          </cell>
          <cell r="AV5701">
            <v>1680000</v>
          </cell>
        </row>
        <row r="5702">
          <cell r="E5702" t="str">
            <v>D25019352</v>
          </cell>
          <cell r="AP5702">
            <v>0</v>
          </cell>
          <cell r="AQ5702">
            <v>0</v>
          </cell>
          <cell r="AV5702">
            <v>820000</v>
          </cell>
        </row>
        <row r="5703">
          <cell r="E5703" t="str">
            <v>B26000741</v>
          </cell>
          <cell r="AP5703">
            <v>0</v>
          </cell>
          <cell r="AQ5703">
            <v>0</v>
          </cell>
          <cell r="AV5703">
            <v>0</v>
          </cell>
        </row>
        <row r="5704">
          <cell r="E5704" t="str">
            <v>D26000835</v>
          </cell>
          <cell r="AP5704">
            <v>0</v>
          </cell>
          <cell r="AQ5704">
            <v>0</v>
          </cell>
          <cell r="AV5704">
            <v>0</v>
          </cell>
        </row>
        <row r="5705">
          <cell r="E5705" t="str">
            <v>D26001063</v>
          </cell>
          <cell r="AP5705">
            <v>0</v>
          </cell>
          <cell r="AQ5705">
            <v>0</v>
          </cell>
          <cell r="AV5705">
            <v>0</v>
          </cell>
        </row>
        <row r="5706">
          <cell r="E5706" t="str">
            <v>D26001561</v>
          </cell>
          <cell r="AP5706">
            <v>0</v>
          </cell>
          <cell r="AQ5706">
            <v>0</v>
          </cell>
          <cell r="AV5706">
            <v>0</v>
          </cell>
        </row>
        <row r="5707">
          <cell r="E5707" t="str">
            <v>B26001477</v>
          </cell>
          <cell r="AP5707">
            <v>0</v>
          </cell>
          <cell r="AQ5707">
            <v>0</v>
          </cell>
          <cell r="AV5707">
            <v>0</v>
          </cell>
        </row>
        <row r="5708">
          <cell r="E5708" t="str">
            <v>Z26000034</v>
          </cell>
          <cell r="AP5708">
            <v>0</v>
          </cell>
          <cell r="AQ5708">
            <v>0</v>
          </cell>
          <cell r="AV5708">
            <v>5000000</v>
          </cell>
        </row>
        <row r="5709">
          <cell r="E5709" t="str">
            <v>Z26000035</v>
          </cell>
          <cell r="AP5709">
            <v>0</v>
          </cell>
          <cell r="AQ5709">
            <v>0</v>
          </cell>
          <cell r="AV5709">
            <v>0</v>
          </cell>
        </row>
        <row r="5710">
          <cell r="E5710" t="str">
            <v>Z26000233</v>
          </cell>
          <cell r="AP5710">
            <v>0</v>
          </cell>
          <cell r="AQ5710">
            <v>0</v>
          </cell>
          <cell r="AV5710">
            <v>0</v>
          </cell>
        </row>
        <row r="5711">
          <cell r="E5711" t="str">
            <v>T25001440</v>
          </cell>
          <cell r="AP5711">
            <v>0</v>
          </cell>
          <cell r="AQ5711">
            <v>0</v>
          </cell>
          <cell r="AV5711">
            <v>1000000</v>
          </cell>
        </row>
        <row r="5712">
          <cell r="E5712" t="str">
            <v>D25015258</v>
          </cell>
          <cell r="AP5712">
            <v>0</v>
          </cell>
          <cell r="AQ5712">
            <v>0</v>
          </cell>
          <cell r="AV5712">
            <v>0</v>
          </cell>
        </row>
        <row r="5713">
          <cell r="E5713" t="str">
            <v>D26001097</v>
          </cell>
          <cell r="AP5713">
            <v>0</v>
          </cell>
          <cell r="AQ5713">
            <v>0</v>
          </cell>
          <cell r="AV5713">
            <v>0</v>
          </cell>
        </row>
        <row r="5714">
          <cell r="E5714" t="str">
            <v>B26001740</v>
          </cell>
          <cell r="AP5714">
            <v>0</v>
          </cell>
          <cell r="AQ5714">
            <v>0</v>
          </cell>
          <cell r="AV5714">
            <v>25000000</v>
          </cell>
        </row>
        <row r="5715">
          <cell r="E5715" t="str">
            <v>D25018019</v>
          </cell>
          <cell r="AP5715">
            <v>0</v>
          </cell>
          <cell r="AQ5715">
            <v>0</v>
          </cell>
          <cell r="AV5715">
            <v>1605000</v>
          </cell>
        </row>
        <row r="5716">
          <cell r="E5716" t="str">
            <v>D26000073</v>
          </cell>
          <cell r="AP5716">
            <v>0</v>
          </cell>
          <cell r="AQ5716">
            <v>0</v>
          </cell>
          <cell r="AV5716">
            <v>0</v>
          </cell>
        </row>
        <row r="5717">
          <cell r="E5717" t="str">
            <v>T26000014</v>
          </cell>
          <cell r="AP5717">
            <v>0</v>
          </cell>
          <cell r="AQ5717">
            <v>0</v>
          </cell>
          <cell r="AV5717">
            <v>0</v>
          </cell>
        </row>
        <row r="5718">
          <cell r="E5718" t="str">
            <v>D26000577</v>
          </cell>
          <cell r="AP5718">
            <v>0</v>
          </cell>
          <cell r="AQ5718">
            <v>0</v>
          </cell>
          <cell r="AV5718">
            <v>0</v>
          </cell>
        </row>
        <row r="5719">
          <cell r="E5719" t="str">
            <v>D26000578</v>
          </cell>
          <cell r="AP5719">
            <v>0</v>
          </cell>
          <cell r="AQ5719">
            <v>0</v>
          </cell>
          <cell r="AV5719">
            <v>0</v>
          </cell>
        </row>
        <row r="5720">
          <cell r="E5720" t="str">
            <v>D26002204</v>
          </cell>
          <cell r="AP5720">
            <v>0</v>
          </cell>
          <cell r="AQ5720">
            <v>0</v>
          </cell>
          <cell r="AV5720">
            <v>0</v>
          </cell>
        </row>
        <row r="5721">
          <cell r="E5721" t="str">
            <v>D25016645</v>
          </cell>
          <cell r="AP5721">
            <v>0</v>
          </cell>
          <cell r="AQ5721">
            <v>0</v>
          </cell>
          <cell r="AV5721">
            <v>0</v>
          </cell>
        </row>
        <row r="5722">
          <cell r="E5722" t="str">
            <v>B26000353</v>
          </cell>
          <cell r="AP5722">
            <v>0</v>
          </cell>
          <cell r="AQ5722">
            <v>0</v>
          </cell>
          <cell r="AV5722">
            <v>0</v>
          </cell>
        </row>
        <row r="5723">
          <cell r="E5723" t="str">
            <v>D26000430</v>
          </cell>
          <cell r="AP5723">
            <v>0</v>
          </cell>
          <cell r="AQ5723">
            <v>0</v>
          </cell>
          <cell r="AV5723">
            <v>0</v>
          </cell>
        </row>
        <row r="5724">
          <cell r="E5724" t="str">
            <v>B26001962</v>
          </cell>
          <cell r="AP5724">
            <v>0</v>
          </cell>
          <cell r="AQ5724">
            <v>0</v>
          </cell>
          <cell r="AV5724">
            <v>0</v>
          </cell>
        </row>
        <row r="5725">
          <cell r="E5725" t="str">
            <v>T25001626K</v>
          </cell>
          <cell r="AP5725">
            <v>0</v>
          </cell>
          <cell r="AQ5725">
            <v>0</v>
          </cell>
          <cell r="AV5725">
            <v>0</v>
          </cell>
        </row>
        <row r="5726">
          <cell r="E5726" t="str">
            <v>T25001835k</v>
          </cell>
          <cell r="AP5726">
            <v>0</v>
          </cell>
          <cell r="AQ5726">
            <v>0</v>
          </cell>
          <cell r="AV5726">
            <v>0</v>
          </cell>
        </row>
        <row r="5727">
          <cell r="E5727" t="str">
            <v>T25001866</v>
          </cell>
          <cell r="AP5727">
            <v>0</v>
          </cell>
          <cell r="AQ5727">
            <v>0</v>
          </cell>
          <cell r="AV5727">
            <v>0</v>
          </cell>
        </row>
        <row r="5728">
          <cell r="E5728" t="str">
            <v>D26000548</v>
          </cell>
          <cell r="AP5728">
            <v>0</v>
          </cell>
          <cell r="AQ5728">
            <v>0</v>
          </cell>
          <cell r="AV5728">
            <v>10830000</v>
          </cell>
        </row>
        <row r="5729">
          <cell r="E5729" t="str">
            <v>D26001402</v>
          </cell>
          <cell r="AP5729">
            <v>0</v>
          </cell>
          <cell r="AQ5729">
            <v>0</v>
          </cell>
          <cell r="AV5729">
            <v>5700000</v>
          </cell>
        </row>
        <row r="5730">
          <cell r="E5730" t="str">
            <v>D26000176</v>
          </cell>
          <cell r="AP5730">
            <v>0</v>
          </cell>
          <cell r="AQ5730">
            <v>0</v>
          </cell>
          <cell r="AV5730">
            <v>0</v>
          </cell>
        </row>
        <row r="5731">
          <cell r="E5731" t="str">
            <v>T25001548</v>
          </cell>
          <cell r="AP5731">
            <v>0</v>
          </cell>
          <cell r="AQ5731">
            <v>0</v>
          </cell>
          <cell r="AV5731">
            <v>4800000</v>
          </cell>
        </row>
        <row r="5732">
          <cell r="E5732" t="str">
            <v>D26001668</v>
          </cell>
          <cell r="AP5732">
            <v>0</v>
          </cell>
          <cell r="AQ5732">
            <v>0</v>
          </cell>
          <cell r="AV5732">
            <v>16000</v>
          </cell>
        </row>
        <row r="5733">
          <cell r="E5733" t="str">
            <v>B26001683</v>
          </cell>
          <cell r="AP5733">
            <v>0</v>
          </cell>
          <cell r="AQ5733">
            <v>0</v>
          </cell>
          <cell r="AV5733">
            <v>840000</v>
          </cell>
        </row>
        <row r="5734">
          <cell r="E5734" t="str">
            <v>B26001684</v>
          </cell>
          <cell r="AP5734">
            <v>0</v>
          </cell>
          <cell r="AQ5734">
            <v>0</v>
          </cell>
          <cell r="AV5734">
            <v>31150000</v>
          </cell>
        </row>
        <row r="5735">
          <cell r="E5735" t="str">
            <v>B26001942</v>
          </cell>
          <cell r="AP5735">
            <v>0</v>
          </cell>
          <cell r="AQ5735">
            <v>0</v>
          </cell>
          <cell r="AV5735">
            <v>13302000</v>
          </cell>
        </row>
        <row r="5736">
          <cell r="E5736" t="str">
            <v>B26001958</v>
          </cell>
          <cell r="AP5736">
            <v>0</v>
          </cell>
          <cell r="AQ5736">
            <v>0</v>
          </cell>
          <cell r="AV5736">
            <v>2440000</v>
          </cell>
        </row>
        <row r="5737">
          <cell r="E5737" t="str">
            <v>B26002057</v>
          </cell>
          <cell r="AP5737">
            <v>0</v>
          </cell>
          <cell r="AQ5737">
            <v>0</v>
          </cell>
          <cell r="AV5737">
            <v>9900000</v>
          </cell>
        </row>
        <row r="5738">
          <cell r="E5738" t="str">
            <v>B26002058</v>
          </cell>
          <cell r="AP5738">
            <v>0</v>
          </cell>
          <cell r="AQ5738">
            <v>0</v>
          </cell>
          <cell r="AV5738">
            <v>2250000</v>
          </cell>
        </row>
        <row r="5739">
          <cell r="E5739" t="str">
            <v>B26001416</v>
          </cell>
          <cell r="AP5739">
            <v>0</v>
          </cell>
          <cell r="AQ5739">
            <v>0</v>
          </cell>
          <cell r="AV5739">
            <v>0</v>
          </cell>
        </row>
        <row r="5740">
          <cell r="E5740" t="str">
            <v>B26001417</v>
          </cell>
          <cell r="AP5740">
            <v>0</v>
          </cell>
          <cell r="AQ5740">
            <v>0</v>
          </cell>
          <cell r="AV5740">
            <v>0</v>
          </cell>
        </row>
        <row r="5741">
          <cell r="E5741" t="str">
            <v>B26002184</v>
          </cell>
          <cell r="AP5741">
            <v>0</v>
          </cell>
          <cell r="AQ5741">
            <v>0</v>
          </cell>
          <cell r="AV5741">
            <v>0</v>
          </cell>
        </row>
        <row r="5742">
          <cell r="E5742" t="str">
            <v>B25016307</v>
          </cell>
          <cell r="AP5742">
            <v>0</v>
          </cell>
          <cell r="AQ5742">
            <v>0</v>
          </cell>
          <cell r="AV5742">
            <v>0</v>
          </cell>
        </row>
        <row r="5743">
          <cell r="E5743" t="str">
            <v>B26001192</v>
          </cell>
          <cell r="AP5743">
            <v>0</v>
          </cell>
          <cell r="AQ5743">
            <v>0</v>
          </cell>
          <cell r="AV5743">
            <v>0</v>
          </cell>
        </row>
        <row r="5744">
          <cell r="E5744" t="str">
            <v>D26000909</v>
          </cell>
          <cell r="AP5744">
            <v>0</v>
          </cell>
          <cell r="AQ5744">
            <v>0</v>
          </cell>
          <cell r="AV5744">
            <v>0</v>
          </cell>
        </row>
        <row r="5745">
          <cell r="E5745" t="str">
            <v>D26001243</v>
          </cell>
          <cell r="AP5745">
            <v>0</v>
          </cell>
          <cell r="AQ5745">
            <v>0</v>
          </cell>
          <cell r="AV5745">
            <v>0</v>
          </cell>
        </row>
        <row r="5746">
          <cell r="E5746" t="str">
            <v>D26001714</v>
          </cell>
          <cell r="AP5746">
            <v>0</v>
          </cell>
          <cell r="AQ5746">
            <v>0</v>
          </cell>
          <cell r="AV5746">
            <v>0</v>
          </cell>
        </row>
        <row r="5747">
          <cell r="E5747" t="str">
            <v>B26001657</v>
          </cell>
          <cell r="AP5747">
            <v>0</v>
          </cell>
          <cell r="AQ5747">
            <v>0</v>
          </cell>
          <cell r="AV5747">
            <v>0</v>
          </cell>
        </row>
        <row r="5748">
          <cell r="E5748" t="str">
            <v>D26001835</v>
          </cell>
          <cell r="AP5748">
            <v>0</v>
          </cell>
          <cell r="AQ5748">
            <v>0</v>
          </cell>
          <cell r="AV5748">
            <v>0</v>
          </cell>
        </row>
        <row r="5749">
          <cell r="E5749" t="str">
            <v>B26001907</v>
          </cell>
          <cell r="AP5749">
            <v>0</v>
          </cell>
          <cell r="AQ5749">
            <v>0</v>
          </cell>
          <cell r="AV5749">
            <v>0</v>
          </cell>
        </row>
        <row r="5750">
          <cell r="E5750" t="str">
            <v>D26002106</v>
          </cell>
          <cell r="AP5750">
            <v>0</v>
          </cell>
          <cell r="AQ5750">
            <v>0</v>
          </cell>
          <cell r="AV5750">
            <v>0</v>
          </cell>
        </row>
        <row r="5751">
          <cell r="E5751" t="str">
            <v>B26002056</v>
          </cell>
          <cell r="AP5751">
            <v>0</v>
          </cell>
          <cell r="AQ5751">
            <v>0</v>
          </cell>
          <cell r="AV5751">
            <v>0</v>
          </cell>
        </row>
        <row r="5752">
          <cell r="E5752" t="str">
            <v>D25016353</v>
          </cell>
          <cell r="AP5752">
            <v>0</v>
          </cell>
          <cell r="AQ5752">
            <v>0</v>
          </cell>
          <cell r="AV5752">
            <v>0</v>
          </cell>
        </row>
        <row r="5753">
          <cell r="E5753" t="str">
            <v>D26002077</v>
          </cell>
          <cell r="AP5753">
            <v>0</v>
          </cell>
          <cell r="AQ5753">
            <v>0</v>
          </cell>
          <cell r="AV5753">
            <v>6580000</v>
          </cell>
        </row>
        <row r="5754">
          <cell r="E5754" t="str">
            <v>B26001966</v>
          </cell>
          <cell r="AP5754">
            <v>0</v>
          </cell>
          <cell r="AQ5754">
            <v>0</v>
          </cell>
          <cell r="AV5754">
            <v>6840000</v>
          </cell>
        </row>
        <row r="5755">
          <cell r="E5755" t="str">
            <v>B26001849</v>
          </cell>
          <cell r="AP5755">
            <v>0</v>
          </cell>
          <cell r="AQ5755">
            <v>0</v>
          </cell>
          <cell r="AV5755">
            <v>66500000</v>
          </cell>
        </row>
        <row r="5756">
          <cell r="E5756" t="str">
            <v>B26000376</v>
          </cell>
          <cell r="AP5756">
            <v>0</v>
          </cell>
          <cell r="AQ5756">
            <v>0</v>
          </cell>
          <cell r="AV5756">
            <v>4400000</v>
          </cell>
        </row>
        <row r="5757">
          <cell r="E5757" t="str">
            <v>B26000378</v>
          </cell>
          <cell r="AP5757">
            <v>0</v>
          </cell>
          <cell r="AQ5757">
            <v>0</v>
          </cell>
          <cell r="AV5757">
            <v>0</v>
          </cell>
        </row>
        <row r="5758">
          <cell r="E5758" t="str">
            <v>D26001960</v>
          </cell>
          <cell r="AP5758">
            <v>0</v>
          </cell>
          <cell r="AQ5758">
            <v>0</v>
          </cell>
          <cell r="AV5758">
            <v>0</v>
          </cell>
        </row>
        <row r="5759">
          <cell r="E5759" t="str">
            <v>T26000133</v>
          </cell>
          <cell r="AP5759">
            <v>0</v>
          </cell>
          <cell r="AQ5759">
            <v>0</v>
          </cell>
          <cell r="AV5759">
            <v>0</v>
          </cell>
        </row>
        <row r="5760">
          <cell r="E5760" t="str">
            <v>D26002078</v>
          </cell>
          <cell r="AP5760">
            <v>0</v>
          </cell>
          <cell r="AQ5760">
            <v>0</v>
          </cell>
          <cell r="AV5760">
            <v>0</v>
          </cell>
        </row>
        <row r="5761">
          <cell r="E5761" t="str">
            <v>B26001626</v>
          </cell>
          <cell r="AP5761">
            <v>0</v>
          </cell>
          <cell r="AQ5761">
            <v>0</v>
          </cell>
          <cell r="AV5761">
            <v>22927500</v>
          </cell>
        </row>
        <row r="5762">
          <cell r="E5762" t="str">
            <v>D26002376</v>
          </cell>
          <cell r="AP5762">
            <v>0</v>
          </cell>
          <cell r="AQ5762">
            <v>0</v>
          </cell>
          <cell r="AV5762">
            <v>0</v>
          </cell>
        </row>
        <row r="5763">
          <cell r="E5763" t="str">
            <v>B25017061</v>
          </cell>
          <cell r="AP5763">
            <v>0</v>
          </cell>
          <cell r="AQ5763">
            <v>0</v>
          </cell>
          <cell r="AV5763">
            <v>0</v>
          </cell>
        </row>
        <row r="5764">
          <cell r="E5764" t="str">
            <v>D25019695</v>
          </cell>
          <cell r="AP5764">
            <v>0</v>
          </cell>
          <cell r="AQ5764">
            <v>0</v>
          </cell>
          <cell r="AV5764">
            <v>0</v>
          </cell>
        </row>
        <row r="5765">
          <cell r="E5765" t="str">
            <v>B26000088</v>
          </cell>
          <cell r="AP5765">
            <v>0</v>
          </cell>
          <cell r="AQ5765">
            <v>0</v>
          </cell>
          <cell r="AV5765">
            <v>0</v>
          </cell>
        </row>
        <row r="5766">
          <cell r="E5766" t="str">
            <v>B26000142</v>
          </cell>
          <cell r="AP5766">
            <v>0</v>
          </cell>
          <cell r="AQ5766">
            <v>0</v>
          </cell>
          <cell r="AV5766">
            <v>0</v>
          </cell>
        </row>
        <row r="5767">
          <cell r="E5767" t="str">
            <v>B26000148</v>
          </cell>
          <cell r="AP5767">
            <v>0</v>
          </cell>
          <cell r="AQ5767">
            <v>0</v>
          </cell>
          <cell r="AV5767">
            <v>0</v>
          </cell>
        </row>
        <row r="5768">
          <cell r="E5768" t="str">
            <v>D26000796</v>
          </cell>
          <cell r="AP5768">
            <v>0</v>
          </cell>
          <cell r="AQ5768">
            <v>0</v>
          </cell>
          <cell r="AV5768">
            <v>0</v>
          </cell>
        </row>
        <row r="5769">
          <cell r="E5769" t="str">
            <v>B26001064</v>
          </cell>
          <cell r="AP5769">
            <v>0</v>
          </cell>
          <cell r="AQ5769">
            <v>0</v>
          </cell>
          <cell r="AV5769">
            <v>0</v>
          </cell>
        </row>
        <row r="5770">
          <cell r="E5770" t="str">
            <v>N26000014</v>
          </cell>
          <cell r="AP5770">
            <v>0</v>
          </cell>
          <cell r="AQ5770">
            <v>0</v>
          </cell>
          <cell r="AV5770">
            <v>34200000</v>
          </cell>
        </row>
        <row r="5771">
          <cell r="E5771" t="str">
            <v>B26001528</v>
          </cell>
          <cell r="AP5771">
            <v>0</v>
          </cell>
          <cell r="AQ5771">
            <v>0</v>
          </cell>
          <cell r="AV5771">
            <v>0</v>
          </cell>
        </row>
        <row r="5772">
          <cell r="E5772" t="str">
            <v>B26001529</v>
          </cell>
          <cell r="AP5772">
            <v>0</v>
          </cell>
          <cell r="AQ5772">
            <v>0</v>
          </cell>
          <cell r="AV5772">
            <v>0</v>
          </cell>
        </row>
        <row r="5773">
          <cell r="E5773" t="str">
            <v>D26001681</v>
          </cell>
          <cell r="AP5773">
            <v>0</v>
          </cell>
          <cell r="AQ5773">
            <v>0</v>
          </cell>
          <cell r="AV5773">
            <v>0</v>
          </cell>
        </row>
        <row r="5774">
          <cell r="E5774" t="str">
            <v>D26001813</v>
          </cell>
          <cell r="AP5774">
            <v>0</v>
          </cell>
          <cell r="AQ5774">
            <v>0</v>
          </cell>
          <cell r="AV5774">
            <v>0</v>
          </cell>
        </row>
        <row r="5775">
          <cell r="E5775" t="str">
            <v>D26002136</v>
          </cell>
          <cell r="AP5775">
            <v>0</v>
          </cell>
          <cell r="AQ5775">
            <v>0</v>
          </cell>
          <cell r="AV5775">
            <v>12600000</v>
          </cell>
        </row>
        <row r="5776">
          <cell r="E5776" t="str">
            <v>D26002259</v>
          </cell>
          <cell r="AP5776">
            <v>0</v>
          </cell>
          <cell r="AQ5776">
            <v>0</v>
          </cell>
          <cell r="AV5776">
            <v>0</v>
          </cell>
        </row>
        <row r="5777">
          <cell r="E5777" t="str">
            <v>B25014251</v>
          </cell>
          <cell r="AP5777">
            <v>0</v>
          </cell>
          <cell r="AQ5777">
            <v>0</v>
          </cell>
          <cell r="AV5777">
            <v>9000000</v>
          </cell>
        </row>
        <row r="5778">
          <cell r="E5778" t="str">
            <v>D25018333</v>
          </cell>
          <cell r="AP5778">
            <v>0</v>
          </cell>
          <cell r="AQ5778">
            <v>0</v>
          </cell>
          <cell r="AV5778">
            <v>12280000</v>
          </cell>
        </row>
        <row r="5779">
          <cell r="E5779" t="str">
            <v>D25018347</v>
          </cell>
          <cell r="AP5779">
            <v>0</v>
          </cell>
          <cell r="AQ5779">
            <v>0</v>
          </cell>
          <cell r="AV5779">
            <v>9600000</v>
          </cell>
        </row>
        <row r="5780">
          <cell r="E5780" t="str">
            <v>B25016257</v>
          </cell>
          <cell r="AP5780">
            <v>0</v>
          </cell>
          <cell r="AQ5780">
            <v>0</v>
          </cell>
          <cell r="AV5780">
            <v>0</v>
          </cell>
        </row>
        <row r="5781">
          <cell r="E5781" t="str">
            <v>D25018742</v>
          </cell>
          <cell r="AP5781">
            <v>0</v>
          </cell>
          <cell r="AQ5781">
            <v>0</v>
          </cell>
          <cell r="AV5781">
            <v>0</v>
          </cell>
        </row>
        <row r="5782">
          <cell r="E5782" t="str">
            <v>D25018743</v>
          </cell>
          <cell r="AP5782">
            <v>0</v>
          </cell>
          <cell r="AQ5782">
            <v>0</v>
          </cell>
          <cell r="AV5782">
            <v>0</v>
          </cell>
        </row>
        <row r="5783">
          <cell r="E5783" t="str">
            <v>D26000026</v>
          </cell>
          <cell r="AP5783">
            <v>0</v>
          </cell>
          <cell r="AQ5783">
            <v>0</v>
          </cell>
          <cell r="AV5783">
            <v>0</v>
          </cell>
        </row>
        <row r="5784">
          <cell r="E5784" t="str">
            <v>D26000027</v>
          </cell>
          <cell r="AP5784">
            <v>0</v>
          </cell>
          <cell r="AQ5784">
            <v>0</v>
          </cell>
          <cell r="AV5784">
            <v>0</v>
          </cell>
        </row>
        <row r="5785">
          <cell r="E5785" t="str">
            <v>D26000216</v>
          </cell>
          <cell r="AP5785">
            <v>0</v>
          </cell>
          <cell r="AQ5785">
            <v>0</v>
          </cell>
          <cell r="AV5785">
            <v>0</v>
          </cell>
        </row>
        <row r="5786">
          <cell r="E5786" t="str">
            <v>D26000217</v>
          </cell>
          <cell r="AP5786">
            <v>0</v>
          </cell>
          <cell r="AQ5786">
            <v>0</v>
          </cell>
          <cell r="AV5786">
            <v>0</v>
          </cell>
        </row>
        <row r="5787">
          <cell r="E5787" t="str">
            <v>D26000218</v>
          </cell>
          <cell r="AP5787">
            <v>0</v>
          </cell>
          <cell r="AQ5787">
            <v>0</v>
          </cell>
          <cell r="AV5787">
            <v>0</v>
          </cell>
        </row>
        <row r="5788">
          <cell r="E5788" t="str">
            <v>B26000559</v>
          </cell>
          <cell r="AP5788">
            <v>0</v>
          </cell>
          <cell r="AQ5788">
            <v>0</v>
          </cell>
          <cell r="AV5788">
            <v>0</v>
          </cell>
        </row>
        <row r="5789">
          <cell r="E5789" t="str">
            <v>B26000560</v>
          </cell>
          <cell r="AP5789">
            <v>0</v>
          </cell>
          <cell r="AQ5789">
            <v>0</v>
          </cell>
          <cell r="AV5789">
            <v>0</v>
          </cell>
        </row>
        <row r="5790">
          <cell r="E5790" t="str">
            <v>B26000569</v>
          </cell>
          <cell r="AP5790">
            <v>0</v>
          </cell>
          <cell r="AQ5790">
            <v>0</v>
          </cell>
          <cell r="AV5790">
            <v>0</v>
          </cell>
        </row>
        <row r="5791">
          <cell r="E5791" t="str">
            <v>B26000570</v>
          </cell>
          <cell r="AP5791">
            <v>0</v>
          </cell>
          <cell r="AQ5791">
            <v>0</v>
          </cell>
          <cell r="AV5791">
            <v>0</v>
          </cell>
        </row>
        <row r="5792">
          <cell r="E5792" t="str">
            <v>D26001528</v>
          </cell>
          <cell r="AP5792">
            <v>0</v>
          </cell>
          <cell r="AQ5792">
            <v>0</v>
          </cell>
          <cell r="AV5792">
            <v>0</v>
          </cell>
        </row>
        <row r="5793">
          <cell r="E5793" t="str">
            <v>B26002039</v>
          </cell>
          <cell r="AP5793">
            <v>0</v>
          </cell>
          <cell r="AQ5793">
            <v>0</v>
          </cell>
          <cell r="AV5793">
            <v>0</v>
          </cell>
        </row>
        <row r="5794">
          <cell r="E5794" t="str">
            <v>D26001240</v>
          </cell>
          <cell r="AP5794">
            <v>0</v>
          </cell>
          <cell r="AQ5794">
            <v>0</v>
          </cell>
          <cell r="AV5794">
            <v>8545000</v>
          </cell>
        </row>
        <row r="5795">
          <cell r="E5795" t="str">
            <v>D26001246</v>
          </cell>
          <cell r="AP5795">
            <v>0</v>
          </cell>
          <cell r="AQ5795">
            <v>0</v>
          </cell>
          <cell r="AV5795">
            <v>0</v>
          </cell>
        </row>
        <row r="5796">
          <cell r="E5796" t="str">
            <v>B26002200</v>
          </cell>
          <cell r="AP5796">
            <v>0</v>
          </cell>
          <cell r="AQ5796">
            <v>0</v>
          </cell>
          <cell r="AV5796">
            <v>0</v>
          </cell>
        </row>
        <row r="5797">
          <cell r="E5797" t="str">
            <v>D25016746</v>
          </cell>
          <cell r="AP5797">
            <v>0</v>
          </cell>
          <cell r="AQ5797">
            <v>82122000</v>
          </cell>
          <cell r="AV5797">
            <v>0</v>
          </cell>
        </row>
        <row r="5798">
          <cell r="E5798" t="str">
            <v>B25015472</v>
          </cell>
          <cell r="AP5798">
            <v>0</v>
          </cell>
          <cell r="AQ5798">
            <v>35100000</v>
          </cell>
          <cell r="AV5798">
            <v>0</v>
          </cell>
        </row>
        <row r="5799">
          <cell r="E5799" t="str">
            <v>D25018132</v>
          </cell>
          <cell r="AP5799">
            <v>0</v>
          </cell>
          <cell r="AQ5799">
            <v>140325000</v>
          </cell>
          <cell r="AV5799">
            <v>0</v>
          </cell>
        </row>
        <row r="5800">
          <cell r="E5800" t="str">
            <v>D25018308</v>
          </cell>
          <cell r="AP5800">
            <v>0</v>
          </cell>
          <cell r="AQ5800">
            <v>54000000</v>
          </cell>
          <cell r="AV5800">
            <v>0</v>
          </cell>
        </row>
        <row r="5801">
          <cell r="E5801" t="str">
            <v>B25016700</v>
          </cell>
          <cell r="AP5801">
            <v>0</v>
          </cell>
          <cell r="AQ5801">
            <v>163000000</v>
          </cell>
          <cell r="AV5801">
            <v>0</v>
          </cell>
        </row>
        <row r="5802">
          <cell r="E5802" t="str">
            <v>B26000038</v>
          </cell>
          <cell r="AP5802">
            <v>0</v>
          </cell>
          <cell r="AQ5802">
            <v>0</v>
          </cell>
          <cell r="AV5802">
            <v>0</v>
          </cell>
        </row>
        <row r="5803">
          <cell r="E5803" t="str">
            <v>B26000298</v>
          </cell>
          <cell r="AP5803">
            <v>0</v>
          </cell>
          <cell r="AQ5803">
            <v>0</v>
          </cell>
          <cell r="AV5803">
            <v>0</v>
          </cell>
        </row>
        <row r="5804">
          <cell r="E5804" t="str">
            <v>B26000593</v>
          </cell>
          <cell r="AP5804">
            <v>0</v>
          </cell>
          <cell r="AQ5804">
            <v>0</v>
          </cell>
          <cell r="AV5804">
            <v>0</v>
          </cell>
        </row>
        <row r="5805">
          <cell r="E5805" t="str">
            <v>D26000625</v>
          </cell>
          <cell r="AP5805">
            <v>0</v>
          </cell>
          <cell r="AQ5805">
            <v>0</v>
          </cell>
          <cell r="AV5805">
            <v>0</v>
          </cell>
        </row>
        <row r="5806">
          <cell r="E5806" t="str">
            <v>B26001110</v>
          </cell>
          <cell r="AP5806">
            <v>0</v>
          </cell>
          <cell r="AQ5806">
            <v>0</v>
          </cell>
          <cell r="AV5806">
            <v>0</v>
          </cell>
        </row>
        <row r="5807">
          <cell r="E5807" t="str">
            <v>B26001139</v>
          </cell>
          <cell r="AP5807">
            <v>0</v>
          </cell>
          <cell r="AQ5807">
            <v>0</v>
          </cell>
          <cell r="AV5807">
            <v>46200000</v>
          </cell>
        </row>
        <row r="5808">
          <cell r="E5808" t="str">
            <v>B26001693</v>
          </cell>
          <cell r="AP5808">
            <v>0</v>
          </cell>
          <cell r="AQ5808">
            <v>0</v>
          </cell>
          <cell r="AV5808">
            <v>218000000</v>
          </cell>
        </row>
        <row r="5809">
          <cell r="E5809" t="str">
            <v>B26001694</v>
          </cell>
          <cell r="AP5809">
            <v>0</v>
          </cell>
          <cell r="AQ5809">
            <v>0</v>
          </cell>
          <cell r="AV5809">
            <v>0</v>
          </cell>
        </row>
        <row r="5810">
          <cell r="E5810" t="str">
            <v>D26001787</v>
          </cell>
          <cell r="AP5810">
            <v>0</v>
          </cell>
          <cell r="AQ5810">
            <v>0</v>
          </cell>
          <cell r="AV5810">
            <v>0</v>
          </cell>
        </row>
        <row r="5811">
          <cell r="E5811" t="str">
            <v>D26002030</v>
          </cell>
          <cell r="AP5811">
            <v>0</v>
          </cell>
          <cell r="AQ5811">
            <v>0</v>
          </cell>
          <cell r="AV5811">
            <v>0</v>
          </cell>
        </row>
        <row r="5812">
          <cell r="E5812" t="str">
            <v>D26002041</v>
          </cell>
          <cell r="AP5812">
            <v>0</v>
          </cell>
          <cell r="AQ5812">
            <v>0</v>
          </cell>
          <cell r="AV5812">
            <v>264000000</v>
          </cell>
        </row>
        <row r="5813">
          <cell r="E5813" t="str">
            <v>D26002361</v>
          </cell>
          <cell r="AP5813">
            <v>0</v>
          </cell>
          <cell r="AQ5813">
            <v>0</v>
          </cell>
          <cell r="AV5813">
            <v>0</v>
          </cell>
        </row>
        <row r="5814">
          <cell r="E5814" t="str">
            <v>D26001616</v>
          </cell>
          <cell r="AP5814">
            <v>0</v>
          </cell>
          <cell r="AQ5814">
            <v>0</v>
          </cell>
          <cell r="AV5814">
            <v>840000</v>
          </cell>
        </row>
        <row r="5815">
          <cell r="E5815" t="str">
            <v>B25013470</v>
          </cell>
          <cell r="AP5815">
            <v>0</v>
          </cell>
          <cell r="AQ5815">
            <v>0</v>
          </cell>
          <cell r="AV5815">
            <v>0</v>
          </cell>
        </row>
        <row r="5816">
          <cell r="E5816" t="str">
            <v>B25013470</v>
          </cell>
          <cell r="AP5816">
            <v>0</v>
          </cell>
          <cell r="AQ5816">
            <v>0</v>
          </cell>
          <cell r="AV5816">
            <v>0</v>
          </cell>
        </row>
        <row r="5817">
          <cell r="E5817" t="str">
            <v>B25013470</v>
          </cell>
          <cell r="AP5817">
            <v>0</v>
          </cell>
          <cell r="AQ5817">
            <v>0</v>
          </cell>
          <cell r="AV5817">
            <v>0</v>
          </cell>
        </row>
        <row r="5818">
          <cell r="E5818" t="str">
            <v>B25013565</v>
          </cell>
          <cell r="AP5818">
            <v>0</v>
          </cell>
          <cell r="AQ5818">
            <v>0</v>
          </cell>
          <cell r="AV5818">
            <v>0</v>
          </cell>
        </row>
        <row r="5819">
          <cell r="E5819" t="str">
            <v>D25016726</v>
          </cell>
          <cell r="AP5819">
            <v>0</v>
          </cell>
          <cell r="AQ5819">
            <v>0</v>
          </cell>
          <cell r="AV5819">
            <v>0</v>
          </cell>
        </row>
        <row r="5820">
          <cell r="E5820" t="str">
            <v>D26001851</v>
          </cell>
          <cell r="AP5820">
            <v>0</v>
          </cell>
          <cell r="AQ5820">
            <v>0</v>
          </cell>
          <cell r="AV5820">
            <v>0</v>
          </cell>
        </row>
        <row r="5821">
          <cell r="E5821" t="str">
            <v>D26001852</v>
          </cell>
          <cell r="AP5821">
            <v>0</v>
          </cell>
          <cell r="AQ5821">
            <v>0</v>
          </cell>
          <cell r="AV5821">
            <v>0</v>
          </cell>
        </row>
        <row r="5822">
          <cell r="E5822" t="str">
            <v>D26001885</v>
          </cell>
          <cell r="AP5822">
            <v>0</v>
          </cell>
          <cell r="AQ5822">
            <v>0</v>
          </cell>
          <cell r="AV5822">
            <v>0</v>
          </cell>
        </row>
        <row r="5823">
          <cell r="E5823" t="str">
            <v>B26001338</v>
          </cell>
          <cell r="AP5823">
            <v>0</v>
          </cell>
          <cell r="AQ5823">
            <v>0</v>
          </cell>
          <cell r="AV5823">
            <v>0</v>
          </cell>
        </row>
        <row r="5824">
          <cell r="E5824" t="str">
            <v>D26001400</v>
          </cell>
          <cell r="AP5824">
            <v>0</v>
          </cell>
          <cell r="AQ5824">
            <v>0</v>
          </cell>
          <cell r="AV5824">
            <v>0</v>
          </cell>
        </row>
        <row r="5825">
          <cell r="E5825" t="str">
            <v>D26001407</v>
          </cell>
          <cell r="AP5825">
            <v>0</v>
          </cell>
          <cell r="AQ5825">
            <v>0</v>
          </cell>
          <cell r="AV5825">
            <v>0</v>
          </cell>
        </row>
        <row r="5826">
          <cell r="E5826" t="str">
            <v>B26001661</v>
          </cell>
          <cell r="AP5826">
            <v>0</v>
          </cell>
          <cell r="AQ5826">
            <v>0</v>
          </cell>
          <cell r="AV5826">
            <v>0</v>
          </cell>
        </row>
        <row r="5827">
          <cell r="E5827" t="str">
            <v>B26000014</v>
          </cell>
          <cell r="AP5827">
            <v>0</v>
          </cell>
          <cell r="AQ5827">
            <v>0</v>
          </cell>
          <cell r="AV5827">
            <v>0</v>
          </cell>
        </row>
        <row r="5828">
          <cell r="E5828" t="str">
            <v>D26000120</v>
          </cell>
          <cell r="AP5828">
            <v>0</v>
          </cell>
          <cell r="AQ5828">
            <v>0</v>
          </cell>
          <cell r="AV5828">
            <v>0</v>
          </cell>
        </row>
        <row r="5829">
          <cell r="E5829" t="str">
            <v>B26000227</v>
          </cell>
          <cell r="AP5829">
            <v>0</v>
          </cell>
          <cell r="AQ5829">
            <v>0</v>
          </cell>
          <cell r="AV5829">
            <v>0</v>
          </cell>
        </row>
        <row r="5830">
          <cell r="E5830" t="str">
            <v>D26000343</v>
          </cell>
          <cell r="AP5830">
            <v>0</v>
          </cell>
          <cell r="AQ5830">
            <v>0</v>
          </cell>
          <cell r="AV5830">
            <v>0</v>
          </cell>
        </row>
        <row r="5831">
          <cell r="E5831" t="str">
            <v>D26000597</v>
          </cell>
          <cell r="AP5831">
            <v>0</v>
          </cell>
          <cell r="AQ5831">
            <v>0</v>
          </cell>
          <cell r="AV5831">
            <v>0</v>
          </cell>
        </row>
        <row r="5832">
          <cell r="E5832" t="str">
            <v>D26000646</v>
          </cell>
          <cell r="AP5832">
            <v>0</v>
          </cell>
          <cell r="AQ5832">
            <v>0</v>
          </cell>
          <cell r="AV5832">
            <v>0</v>
          </cell>
        </row>
        <row r="5833">
          <cell r="E5833" t="str">
            <v>D26000663</v>
          </cell>
          <cell r="AP5833">
            <v>0</v>
          </cell>
          <cell r="AQ5833">
            <v>0</v>
          </cell>
          <cell r="AV5833">
            <v>0</v>
          </cell>
        </row>
        <row r="5834">
          <cell r="E5834" t="str">
            <v>B26000631</v>
          </cell>
          <cell r="AP5834">
            <v>0</v>
          </cell>
          <cell r="AQ5834">
            <v>0</v>
          </cell>
          <cell r="AV5834">
            <v>0</v>
          </cell>
        </row>
        <row r="5835">
          <cell r="E5835" t="str">
            <v>D26000774</v>
          </cell>
          <cell r="AP5835">
            <v>0</v>
          </cell>
          <cell r="AQ5835">
            <v>0</v>
          </cell>
          <cell r="AV5835">
            <v>0</v>
          </cell>
        </row>
        <row r="5836">
          <cell r="E5836" t="str">
            <v>B26000805</v>
          </cell>
          <cell r="AP5836">
            <v>0</v>
          </cell>
          <cell r="AQ5836">
            <v>0</v>
          </cell>
          <cell r="AV5836">
            <v>0</v>
          </cell>
        </row>
        <row r="5837">
          <cell r="E5837" t="str">
            <v>B26000817</v>
          </cell>
          <cell r="AP5837">
            <v>0</v>
          </cell>
          <cell r="AQ5837">
            <v>0</v>
          </cell>
          <cell r="AV5837">
            <v>0</v>
          </cell>
        </row>
        <row r="5838">
          <cell r="E5838" t="str">
            <v>B26000921</v>
          </cell>
          <cell r="AP5838">
            <v>0</v>
          </cell>
          <cell r="AQ5838">
            <v>0</v>
          </cell>
          <cell r="AV5838">
            <v>0</v>
          </cell>
        </row>
        <row r="5839">
          <cell r="E5839" t="str">
            <v>D26001125</v>
          </cell>
          <cell r="AP5839">
            <v>0</v>
          </cell>
          <cell r="AQ5839">
            <v>0</v>
          </cell>
          <cell r="AV5839">
            <v>0</v>
          </cell>
        </row>
        <row r="5840">
          <cell r="E5840" t="str">
            <v>B26001300</v>
          </cell>
          <cell r="AP5840">
            <v>0</v>
          </cell>
          <cell r="AQ5840">
            <v>0</v>
          </cell>
          <cell r="AV5840">
            <v>0</v>
          </cell>
        </row>
        <row r="5841">
          <cell r="E5841" t="str">
            <v>B26001312</v>
          </cell>
          <cell r="AP5841">
            <v>0</v>
          </cell>
          <cell r="AQ5841">
            <v>0</v>
          </cell>
          <cell r="AV5841">
            <v>0</v>
          </cell>
        </row>
        <row r="5842">
          <cell r="E5842" t="str">
            <v>D26001536</v>
          </cell>
          <cell r="AP5842">
            <v>0</v>
          </cell>
          <cell r="AQ5842">
            <v>0</v>
          </cell>
          <cell r="AV5842">
            <v>0</v>
          </cell>
        </row>
        <row r="5843">
          <cell r="E5843" t="str">
            <v>D26001656</v>
          </cell>
          <cell r="AP5843">
            <v>0</v>
          </cell>
          <cell r="AQ5843">
            <v>0</v>
          </cell>
          <cell r="AV5843">
            <v>0</v>
          </cell>
        </row>
        <row r="5844">
          <cell r="E5844" t="str">
            <v>D26001657</v>
          </cell>
          <cell r="AP5844">
            <v>0</v>
          </cell>
          <cell r="AQ5844">
            <v>0</v>
          </cell>
          <cell r="AV5844">
            <v>0</v>
          </cell>
        </row>
        <row r="5845">
          <cell r="E5845" t="str">
            <v>D26001659</v>
          </cell>
          <cell r="AP5845">
            <v>0</v>
          </cell>
          <cell r="AQ5845">
            <v>0</v>
          </cell>
          <cell r="AV5845">
            <v>0</v>
          </cell>
        </row>
        <row r="5846">
          <cell r="E5846">
            <v>260010</v>
          </cell>
          <cell r="AP5846">
            <v>0</v>
          </cell>
          <cell r="AQ5846">
            <v>0</v>
          </cell>
          <cell r="AV5846">
            <v>0</v>
          </cell>
        </row>
        <row r="5847">
          <cell r="E5847" t="str">
            <v>B26001679</v>
          </cell>
          <cell r="AP5847">
            <v>0</v>
          </cell>
          <cell r="AQ5847">
            <v>0</v>
          </cell>
          <cell r="AV5847">
            <v>0</v>
          </cell>
        </row>
        <row r="5848">
          <cell r="E5848" t="str">
            <v>B26001769</v>
          </cell>
          <cell r="AP5848">
            <v>0</v>
          </cell>
          <cell r="AQ5848">
            <v>0</v>
          </cell>
          <cell r="AV5848">
            <v>0</v>
          </cell>
        </row>
        <row r="5849">
          <cell r="E5849" t="str">
            <v>B26001770</v>
          </cell>
          <cell r="AP5849">
            <v>0</v>
          </cell>
          <cell r="AQ5849">
            <v>0</v>
          </cell>
          <cell r="AV5849">
            <v>0</v>
          </cell>
        </row>
        <row r="5850">
          <cell r="E5850" t="str">
            <v>B26001776</v>
          </cell>
          <cell r="AP5850">
            <v>0</v>
          </cell>
          <cell r="AQ5850">
            <v>0</v>
          </cell>
          <cell r="AV5850">
            <v>0</v>
          </cell>
        </row>
        <row r="5851">
          <cell r="E5851" t="str">
            <v>B26001941</v>
          </cell>
          <cell r="AP5851">
            <v>0</v>
          </cell>
          <cell r="AQ5851">
            <v>0</v>
          </cell>
          <cell r="AV5851">
            <v>0</v>
          </cell>
        </row>
        <row r="5852">
          <cell r="E5852" t="str">
            <v>D26002075</v>
          </cell>
          <cell r="AP5852">
            <v>0</v>
          </cell>
          <cell r="AQ5852">
            <v>0</v>
          </cell>
          <cell r="AV5852">
            <v>0</v>
          </cell>
        </row>
        <row r="5853">
          <cell r="E5853" t="str">
            <v>D26002076</v>
          </cell>
          <cell r="AP5853">
            <v>0</v>
          </cell>
          <cell r="AQ5853">
            <v>0</v>
          </cell>
          <cell r="AV5853">
            <v>0</v>
          </cell>
        </row>
        <row r="5854">
          <cell r="E5854" t="str">
            <v>D26002133</v>
          </cell>
          <cell r="AP5854">
            <v>0</v>
          </cell>
          <cell r="AQ5854">
            <v>0</v>
          </cell>
          <cell r="AV5854">
            <v>0</v>
          </cell>
        </row>
        <row r="5855">
          <cell r="E5855" t="str">
            <v>B25015944</v>
          </cell>
          <cell r="AP5855">
            <v>0</v>
          </cell>
          <cell r="AQ5855">
            <v>0</v>
          </cell>
          <cell r="AV5855">
            <v>600000</v>
          </cell>
        </row>
        <row r="5856">
          <cell r="E5856" t="str">
            <v>D25018649</v>
          </cell>
          <cell r="AP5856">
            <v>0</v>
          </cell>
          <cell r="AQ5856">
            <v>0</v>
          </cell>
          <cell r="AV5856">
            <v>4900000</v>
          </cell>
        </row>
        <row r="5857">
          <cell r="E5857" t="str">
            <v>D25018860</v>
          </cell>
          <cell r="AP5857">
            <v>0</v>
          </cell>
          <cell r="AQ5857">
            <v>0</v>
          </cell>
          <cell r="AV5857">
            <v>1050000</v>
          </cell>
        </row>
        <row r="5858">
          <cell r="E5858" t="str">
            <v>D25018944</v>
          </cell>
          <cell r="AP5858">
            <v>0</v>
          </cell>
          <cell r="AQ5858">
            <v>0</v>
          </cell>
          <cell r="AV5858">
            <v>102000000</v>
          </cell>
        </row>
        <row r="5859">
          <cell r="E5859" t="str">
            <v>B26000235</v>
          </cell>
          <cell r="AP5859">
            <v>0</v>
          </cell>
          <cell r="AQ5859">
            <v>0</v>
          </cell>
          <cell r="AV5859">
            <v>0</v>
          </cell>
        </row>
        <row r="5860">
          <cell r="E5860" t="str">
            <v>D26000347</v>
          </cell>
          <cell r="AP5860">
            <v>0</v>
          </cell>
          <cell r="AQ5860">
            <v>0</v>
          </cell>
          <cell r="AV5860">
            <v>0</v>
          </cell>
        </row>
        <row r="5861">
          <cell r="E5861" t="str">
            <v>B26000494</v>
          </cell>
          <cell r="AP5861">
            <v>0</v>
          </cell>
          <cell r="AQ5861">
            <v>0</v>
          </cell>
          <cell r="AV5861">
            <v>0</v>
          </cell>
        </row>
        <row r="5862">
          <cell r="E5862" t="str">
            <v>D26001795</v>
          </cell>
          <cell r="AP5862">
            <v>0</v>
          </cell>
          <cell r="AQ5862">
            <v>0</v>
          </cell>
          <cell r="AV5862">
            <v>0</v>
          </cell>
        </row>
        <row r="5863">
          <cell r="E5863" t="str">
            <v>Z26000004</v>
          </cell>
          <cell r="AP5863">
            <v>0</v>
          </cell>
          <cell r="AQ5863">
            <v>0</v>
          </cell>
          <cell r="AV5863">
            <v>0</v>
          </cell>
        </row>
        <row r="5864">
          <cell r="E5864" t="str">
            <v>Z26000047</v>
          </cell>
          <cell r="AP5864">
            <v>0</v>
          </cell>
          <cell r="AQ5864">
            <v>0</v>
          </cell>
          <cell r="AV5864">
            <v>0</v>
          </cell>
        </row>
        <row r="5865">
          <cell r="E5865" t="str">
            <v>Z26000216</v>
          </cell>
          <cell r="AP5865">
            <v>0</v>
          </cell>
          <cell r="AQ5865">
            <v>0</v>
          </cell>
          <cell r="AV5865">
            <v>0</v>
          </cell>
        </row>
        <row r="5866">
          <cell r="E5866" t="str">
            <v>Z26000304</v>
          </cell>
          <cell r="AP5866">
            <v>0</v>
          </cell>
          <cell r="AQ5866">
            <v>0</v>
          </cell>
          <cell r="AV5866">
            <v>0</v>
          </cell>
        </row>
        <row r="5867">
          <cell r="E5867" t="str">
            <v>Z26000305</v>
          </cell>
          <cell r="AP5867">
            <v>0</v>
          </cell>
          <cell r="AQ5867">
            <v>0</v>
          </cell>
          <cell r="AV5867">
            <v>4950000</v>
          </cell>
        </row>
        <row r="5868">
          <cell r="E5868" t="str">
            <v>Z26000322</v>
          </cell>
          <cell r="AP5868">
            <v>0</v>
          </cell>
          <cell r="AQ5868">
            <v>0</v>
          </cell>
          <cell r="AV5868">
            <v>0</v>
          </cell>
        </row>
        <row r="5869">
          <cell r="E5869" t="str">
            <v>Z26000345</v>
          </cell>
          <cell r="AP5869">
            <v>0</v>
          </cell>
          <cell r="AQ5869">
            <v>0</v>
          </cell>
          <cell r="AV5869">
            <v>66000000</v>
          </cell>
        </row>
        <row r="5870">
          <cell r="E5870" t="str">
            <v>Z26000352</v>
          </cell>
          <cell r="AP5870">
            <v>0</v>
          </cell>
          <cell r="AQ5870">
            <v>0</v>
          </cell>
          <cell r="AV5870">
            <v>66000000</v>
          </cell>
        </row>
        <row r="5871">
          <cell r="E5871" t="str">
            <v>B25015036</v>
          </cell>
          <cell r="AP5871">
            <v>0</v>
          </cell>
          <cell r="AQ5871">
            <v>0</v>
          </cell>
          <cell r="AV5871">
            <v>61295000</v>
          </cell>
        </row>
        <row r="5872">
          <cell r="E5872" t="str">
            <v>B25016263</v>
          </cell>
          <cell r="AP5872">
            <v>0</v>
          </cell>
          <cell r="AQ5872">
            <v>0</v>
          </cell>
          <cell r="AV5872">
            <v>9984000</v>
          </cell>
        </row>
        <row r="5873">
          <cell r="E5873" t="str">
            <v>D25018727</v>
          </cell>
          <cell r="AP5873">
            <v>0</v>
          </cell>
          <cell r="AQ5873">
            <v>0</v>
          </cell>
          <cell r="AV5873">
            <v>0</v>
          </cell>
        </row>
        <row r="5874">
          <cell r="E5874" t="str">
            <v>D25019314</v>
          </cell>
          <cell r="AP5874">
            <v>0</v>
          </cell>
          <cell r="AQ5874">
            <v>0</v>
          </cell>
          <cell r="AV5874">
            <v>0</v>
          </cell>
        </row>
        <row r="5875">
          <cell r="E5875" t="str">
            <v>B26000352</v>
          </cell>
          <cell r="AP5875">
            <v>0</v>
          </cell>
          <cell r="AQ5875">
            <v>0</v>
          </cell>
          <cell r="AV5875">
            <v>0</v>
          </cell>
        </row>
        <row r="5876">
          <cell r="E5876" t="str">
            <v>D26000420</v>
          </cell>
          <cell r="AP5876">
            <v>0</v>
          </cell>
          <cell r="AQ5876">
            <v>0</v>
          </cell>
          <cell r="AV5876">
            <v>0</v>
          </cell>
        </row>
        <row r="5877">
          <cell r="E5877" t="str">
            <v>D26000897</v>
          </cell>
          <cell r="AP5877">
            <v>0</v>
          </cell>
          <cell r="AQ5877">
            <v>0</v>
          </cell>
          <cell r="AV5877">
            <v>0</v>
          </cell>
        </row>
        <row r="5878">
          <cell r="E5878" t="str">
            <v>D26000972</v>
          </cell>
          <cell r="AP5878">
            <v>0</v>
          </cell>
          <cell r="AQ5878">
            <v>0</v>
          </cell>
          <cell r="AV5878">
            <v>0</v>
          </cell>
        </row>
        <row r="5879">
          <cell r="E5879" t="str">
            <v>D26000997</v>
          </cell>
          <cell r="AP5879">
            <v>0</v>
          </cell>
          <cell r="AQ5879">
            <v>0</v>
          </cell>
          <cell r="AV5879">
            <v>0</v>
          </cell>
        </row>
        <row r="5880">
          <cell r="E5880" t="str">
            <v>N26000008</v>
          </cell>
          <cell r="AP5880">
            <v>0</v>
          </cell>
          <cell r="AQ5880">
            <v>0</v>
          </cell>
          <cell r="AV5880">
            <v>0</v>
          </cell>
        </row>
        <row r="5881">
          <cell r="E5881" t="str">
            <v>B26001351</v>
          </cell>
          <cell r="AP5881">
            <v>0</v>
          </cell>
          <cell r="AQ5881">
            <v>0</v>
          </cell>
          <cell r="AV5881">
            <v>0</v>
          </cell>
        </row>
        <row r="5882">
          <cell r="E5882" t="str">
            <v>B26001352</v>
          </cell>
          <cell r="AP5882">
            <v>0</v>
          </cell>
          <cell r="AQ5882">
            <v>0</v>
          </cell>
          <cell r="AV5882">
            <v>9900000</v>
          </cell>
        </row>
        <row r="5883">
          <cell r="E5883" t="str">
            <v>B26001387</v>
          </cell>
          <cell r="AP5883">
            <v>0</v>
          </cell>
          <cell r="AQ5883">
            <v>0</v>
          </cell>
          <cell r="AV5883">
            <v>0</v>
          </cell>
        </row>
        <row r="5884">
          <cell r="E5884" t="str">
            <v>D26001456</v>
          </cell>
          <cell r="AP5884">
            <v>0</v>
          </cell>
          <cell r="AQ5884">
            <v>0</v>
          </cell>
          <cell r="AV5884">
            <v>0</v>
          </cell>
        </row>
        <row r="5885">
          <cell r="E5885" t="str">
            <v>B26001960</v>
          </cell>
          <cell r="AP5885">
            <v>0</v>
          </cell>
          <cell r="AQ5885">
            <v>0</v>
          </cell>
          <cell r="AV5885">
            <v>0</v>
          </cell>
        </row>
        <row r="5886">
          <cell r="E5886" t="str">
            <v>D26002438</v>
          </cell>
          <cell r="AP5886">
            <v>0</v>
          </cell>
          <cell r="AQ5886">
            <v>0</v>
          </cell>
          <cell r="AV5886">
            <v>0</v>
          </cell>
        </row>
        <row r="5887">
          <cell r="E5887" t="str">
            <v>B26002050</v>
          </cell>
          <cell r="AP5887">
            <v>0</v>
          </cell>
          <cell r="AQ5887">
            <v>0</v>
          </cell>
          <cell r="AV5887">
            <v>0</v>
          </cell>
        </row>
        <row r="5888">
          <cell r="E5888" t="str">
            <v>D26002191</v>
          </cell>
          <cell r="AP5888">
            <v>0</v>
          </cell>
          <cell r="AQ5888">
            <v>0</v>
          </cell>
          <cell r="AV5888">
            <v>0</v>
          </cell>
        </row>
        <row r="5889">
          <cell r="E5889" t="str">
            <v>D26001008</v>
          </cell>
          <cell r="AP5889">
            <v>0</v>
          </cell>
          <cell r="AQ5889">
            <v>0</v>
          </cell>
          <cell r="AV5889">
            <v>0</v>
          </cell>
        </row>
        <row r="5890">
          <cell r="E5890" t="str">
            <v>D26001441</v>
          </cell>
          <cell r="AP5890">
            <v>0</v>
          </cell>
          <cell r="AQ5890">
            <v>0</v>
          </cell>
          <cell r="AV5890">
            <v>0</v>
          </cell>
        </row>
        <row r="5891">
          <cell r="E5891" t="str">
            <v>D26001442</v>
          </cell>
          <cell r="AP5891">
            <v>0</v>
          </cell>
          <cell r="AQ5891">
            <v>0</v>
          </cell>
          <cell r="AV5891">
            <v>0</v>
          </cell>
        </row>
        <row r="5892">
          <cell r="E5892" t="str">
            <v>B25015874</v>
          </cell>
          <cell r="AP5892">
            <v>0</v>
          </cell>
          <cell r="AQ5892">
            <v>0</v>
          </cell>
          <cell r="AV5892">
            <v>0</v>
          </cell>
        </row>
        <row r="5893">
          <cell r="E5893" t="str">
            <v>D25018812</v>
          </cell>
          <cell r="AP5893">
            <v>0</v>
          </cell>
          <cell r="AQ5893">
            <v>0</v>
          </cell>
          <cell r="AV5893">
            <v>46200000</v>
          </cell>
        </row>
        <row r="5894">
          <cell r="E5894" t="str">
            <v>D25018857</v>
          </cell>
          <cell r="AP5894">
            <v>0</v>
          </cell>
          <cell r="AQ5894">
            <v>0</v>
          </cell>
          <cell r="AV5894">
            <v>23280000</v>
          </cell>
        </row>
        <row r="5895">
          <cell r="E5895" t="str">
            <v>B25016481</v>
          </cell>
          <cell r="AP5895">
            <v>0</v>
          </cell>
          <cell r="AQ5895">
            <v>0</v>
          </cell>
          <cell r="AV5895">
            <v>7000000</v>
          </cell>
        </row>
        <row r="5896">
          <cell r="E5896" t="str">
            <v>D25018898</v>
          </cell>
          <cell r="AP5896">
            <v>0</v>
          </cell>
          <cell r="AQ5896">
            <v>0</v>
          </cell>
          <cell r="AV5896">
            <v>15400000</v>
          </cell>
        </row>
        <row r="5897">
          <cell r="E5897" t="str">
            <v>D25018899</v>
          </cell>
          <cell r="AP5897">
            <v>0</v>
          </cell>
          <cell r="AQ5897">
            <v>0</v>
          </cell>
          <cell r="AV5897">
            <v>0</v>
          </cell>
        </row>
        <row r="5898">
          <cell r="E5898" t="str">
            <v>D25019102</v>
          </cell>
          <cell r="AP5898">
            <v>0</v>
          </cell>
          <cell r="AQ5898">
            <v>0</v>
          </cell>
          <cell r="AV5898">
            <v>8120000</v>
          </cell>
        </row>
        <row r="5899">
          <cell r="E5899" t="str">
            <v>B25016867</v>
          </cell>
          <cell r="AP5899">
            <v>0</v>
          </cell>
          <cell r="AQ5899">
            <v>0</v>
          </cell>
          <cell r="AV5899">
            <v>0</v>
          </cell>
        </row>
        <row r="5900">
          <cell r="E5900" t="str">
            <v>B25016939</v>
          </cell>
          <cell r="AP5900">
            <v>0</v>
          </cell>
          <cell r="AQ5900">
            <v>0</v>
          </cell>
          <cell r="AV5900">
            <v>0</v>
          </cell>
        </row>
        <row r="5901">
          <cell r="E5901" t="str">
            <v>B25017058</v>
          </cell>
          <cell r="AP5901">
            <v>0</v>
          </cell>
          <cell r="AQ5901">
            <v>0</v>
          </cell>
          <cell r="AV5901">
            <v>0</v>
          </cell>
        </row>
        <row r="5902">
          <cell r="E5902" t="str">
            <v>D25019659</v>
          </cell>
          <cell r="AP5902">
            <v>0</v>
          </cell>
          <cell r="AQ5902">
            <v>0</v>
          </cell>
          <cell r="AV5902">
            <v>0</v>
          </cell>
        </row>
        <row r="5903">
          <cell r="E5903" t="str">
            <v>D26000131</v>
          </cell>
          <cell r="AP5903">
            <v>0</v>
          </cell>
          <cell r="AQ5903">
            <v>0</v>
          </cell>
          <cell r="AV5903">
            <v>0</v>
          </cell>
        </row>
        <row r="5904">
          <cell r="E5904" t="str">
            <v>D26000206</v>
          </cell>
          <cell r="AP5904">
            <v>0</v>
          </cell>
          <cell r="AQ5904">
            <v>0</v>
          </cell>
          <cell r="AV5904">
            <v>0</v>
          </cell>
        </row>
        <row r="5905">
          <cell r="E5905" t="str">
            <v>D26000263</v>
          </cell>
          <cell r="AP5905">
            <v>0</v>
          </cell>
          <cell r="AQ5905">
            <v>0</v>
          </cell>
          <cell r="AV5905">
            <v>0</v>
          </cell>
        </row>
        <row r="5906">
          <cell r="E5906" t="str">
            <v>D26000283</v>
          </cell>
          <cell r="AP5906">
            <v>0</v>
          </cell>
          <cell r="AQ5906">
            <v>0</v>
          </cell>
          <cell r="AV5906">
            <v>0</v>
          </cell>
        </row>
        <row r="5907">
          <cell r="E5907" t="str">
            <v>D26000297</v>
          </cell>
          <cell r="AP5907">
            <v>0</v>
          </cell>
          <cell r="AQ5907">
            <v>0</v>
          </cell>
          <cell r="AV5907">
            <v>0</v>
          </cell>
        </row>
        <row r="5908">
          <cell r="E5908" t="str">
            <v>D26000394</v>
          </cell>
          <cell r="AP5908">
            <v>0</v>
          </cell>
          <cell r="AQ5908">
            <v>0</v>
          </cell>
          <cell r="AV5908">
            <v>0</v>
          </cell>
        </row>
        <row r="5909">
          <cell r="E5909" t="str">
            <v>D26000407</v>
          </cell>
          <cell r="AP5909">
            <v>0</v>
          </cell>
          <cell r="AQ5909">
            <v>0</v>
          </cell>
          <cell r="AV5909">
            <v>0</v>
          </cell>
        </row>
        <row r="5910">
          <cell r="E5910" t="str">
            <v>D26000450</v>
          </cell>
          <cell r="AP5910">
            <v>0</v>
          </cell>
          <cell r="AQ5910">
            <v>0</v>
          </cell>
          <cell r="AV5910">
            <v>0</v>
          </cell>
        </row>
        <row r="5911">
          <cell r="E5911" t="str">
            <v>B26000616</v>
          </cell>
          <cell r="AP5911">
            <v>0</v>
          </cell>
          <cell r="AQ5911">
            <v>0</v>
          </cell>
          <cell r="AV5911">
            <v>0</v>
          </cell>
        </row>
        <row r="5912">
          <cell r="E5912" t="str">
            <v>D26000636</v>
          </cell>
          <cell r="AP5912">
            <v>0</v>
          </cell>
          <cell r="AQ5912">
            <v>0</v>
          </cell>
          <cell r="AV5912">
            <v>0</v>
          </cell>
        </row>
        <row r="5913">
          <cell r="E5913" t="str">
            <v>D26000821</v>
          </cell>
          <cell r="AP5913">
            <v>0</v>
          </cell>
          <cell r="AQ5913">
            <v>0</v>
          </cell>
          <cell r="AV5913">
            <v>0</v>
          </cell>
        </row>
        <row r="5914">
          <cell r="E5914" t="str">
            <v>T26000041</v>
          </cell>
          <cell r="AP5914">
            <v>0</v>
          </cell>
          <cell r="AQ5914">
            <v>0</v>
          </cell>
          <cell r="AV5914">
            <v>0</v>
          </cell>
        </row>
        <row r="5915">
          <cell r="E5915" t="str">
            <v>B26000970</v>
          </cell>
          <cell r="AP5915">
            <v>0</v>
          </cell>
          <cell r="AQ5915">
            <v>0</v>
          </cell>
          <cell r="AV5915">
            <v>0</v>
          </cell>
        </row>
        <row r="5916">
          <cell r="E5916" t="str">
            <v>B26000998</v>
          </cell>
          <cell r="AP5916">
            <v>0</v>
          </cell>
          <cell r="AQ5916">
            <v>0</v>
          </cell>
          <cell r="AV5916">
            <v>0</v>
          </cell>
        </row>
        <row r="5917">
          <cell r="E5917" t="str">
            <v>B26001226</v>
          </cell>
          <cell r="AP5917">
            <v>0</v>
          </cell>
          <cell r="AQ5917">
            <v>0</v>
          </cell>
          <cell r="AV5917">
            <v>0</v>
          </cell>
        </row>
        <row r="5918">
          <cell r="E5918" t="str">
            <v>D26001330</v>
          </cell>
          <cell r="AP5918">
            <v>0</v>
          </cell>
          <cell r="AQ5918">
            <v>0</v>
          </cell>
          <cell r="AV5918">
            <v>0</v>
          </cell>
        </row>
        <row r="5919">
          <cell r="E5919" t="str">
            <v>B26001270</v>
          </cell>
          <cell r="AP5919">
            <v>0</v>
          </cell>
          <cell r="AQ5919">
            <v>0</v>
          </cell>
          <cell r="AV5919">
            <v>0</v>
          </cell>
        </row>
        <row r="5920">
          <cell r="E5920" t="str">
            <v>B26001405</v>
          </cell>
          <cell r="AP5920">
            <v>0</v>
          </cell>
          <cell r="AQ5920">
            <v>0</v>
          </cell>
          <cell r="AV5920">
            <v>0</v>
          </cell>
        </row>
        <row r="5921">
          <cell r="E5921" t="str">
            <v>D26001530</v>
          </cell>
          <cell r="AP5921">
            <v>0</v>
          </cell>
          <cell r="AQ5921">
            <v>0</v>
          </cell>
          <cell r="AV5921">
            <v>0</v>
          </cell>
        </row>
        <row r="5922">
          <cell r="E5922" t="str">
            <v>B26001696</v>
          </cell>
          <cell r="AP5922">
            <v>0</v>
          </cell>
          <cell r="AQ5922">
            <v>0</v>
          </cell>
          <cell r="AV5922">
            <v>0</v>
          </cell>
        </row>
        <row r="5923">
          <cell r="E5923" t="str">
            <v>D26001919</v>
          </cell>
          <cell r="AP5923">
            <v>0</v>
          </cell>
          <cell r="AQ5923">
            <v>0</v>
          </cell>
          <cell r="AV5923">
            <v>0</v>
          </cell>
        </row>
        <row r="5924">
          <cell r="E5924" t="str">
            <v>D26001921</v>
          </cell>
          <cell r="AP5924">
            <v>0</v>
          </cell>
          <cell r="AQ5924">
            <v>0</v>
          </cell>
          <cell r="AV5924">
            <v>0</v>
          </cell>
        </row>
        <row r="5925">
          <cell r="E5925" t="str">
            <v>B26001981</v>
          </cell>
          <cell r="AP5925">
            <v>0</v>
          </cell>
          <cell r="AQ5925">
            <v>0</v>
          </cell>
          <cell r="AV5925">
            <v>0</v>
          </cell>
        </row>
        <row r="5926">
          <cell r="E5926" t="str">
            <v>B26002093</v>
          </cell>
          <cell r="AP5926">
            <v>0</v>
          </cell>
          <cell r="AQ5926">
            <v>0</v>
          </cell>
          <cell r="AV5926">
            <v>0</v>
          </cell>
        </row>
        <row r="5927">
          <cell r="E5927" t="str">
            <v>D26002244</v>
          </cell>
          <cell r="AP5927">
            <v>0</v>
          </cell>
          <cell r="AQ5927">
            <v>0</v>
          </cell>
          <cell r="AV5927">
            <v>0</v>
          </cell>
        </row>
        <row r="5928">
          <cell r="E5928" t="str">
            <v>D25017964</v>
          </cell>
          <cell r="AP5928">
            <v>0</v>
          </cell>
          <cell r="AQ5928">
            <v>0</v>
          </cell>
          <cell r="AV5928">
            <v>775450</v>
          </cell>
        </row>
        <row r="5929">
          <cell r="E5929" t="str">
            <v>B25015793</v>
          </cell>
          <cell r="AP5929">
            <v>0</v>
          </cell>
          <cell r="AQ5929">
            <v>0</v>
          </cell>
          <cell r="AV5929">
            <v>824550</v>
          </cell>
        </row>
        <row r="5930">
          <cell r="E5930" t="str">
            <v>B25015793</v>
          </cell>
          <cell r="AP5930">
            <v>0</v>
          </cell>
          <cell r="AQ5930">
            <v>0</v>
          </cell>
          <cell r="AV5930">
            <v>1000000</v>
          </cell>
        </row>
        <row r="5931">
          <cell r="E5931" t="str">
            <v>B25015793</v>
          </cell>
          <cell r="AP5931">
            <v>0</v>
          </cell>
          <cell r="AQ5931">
            <v>0</v>
          </cell>
          <cell r="AV5931">
            <v>1600000</v>
          </cell>
        </row>
        <row r="5932">
          <cell r="E5932" t="str">
            <v>B25015793</v>
          </cell>
          <cell r="AP5932">
            <v>0</v>
          </cell>
          <cell r="AQ5932">
            <v>0</v>
          </cell>
          <cell r="AV5932">
            <v>1350000</v>
          </cell>
        </row>
        <row r="5933">
          <cell r="E5933" t="str">
            <v>B25015793</v>
          </cell>
          <cell r="AP5933">
            <v>0</v>
          </cell>
          <cell r="AQ5933">
            <v>0</v>
          </cell>
          <cell r="AV5933">
            <v>1800000</v>
          </cell>
        </row>
        <row r="5934">
          <cell r="E5934" t="str">
            <v>B25015793</v>
          </cell>
          <cell r="AP5934">
            <v>0</v>
          </cell>
          <cell r="AQ5934">
            <v>0</v>
          </cell>
          <cell r="AV5934">
            <v>1050000</v>
          </cell>
        </row>
        <row r="5935">
          <cell r="E5935" t="str">
            <v>D25018854</v>
          </cell>
          <cell r="AP5935">
            <v>0</v>
          </cell>
          <cell r="AQ5935">
            <v>0</v>
          </cell>
          <cell r="AV5935">
            <v>0</v>
          </cell>
        </row>
        <row r="5936">
          <cell r="E5936" t="str">
            <v>D25019145</v>
          </cell>
          <cell r="AP5936">
            <v>0</v>
          </cell>
          <cell r="AQ5936">
            <v>0</v>
          </cell>
          <cell r="AV5936">
            <v>0</v>
          </cell>
        </row>
        <row r="5937">
          <cell r="E5937" t="str">
            <v>D25019146</v>
          </cell>
          <cell r="AP5937">
            <v>0</v>
          </cell>
          <cell r="AQ5937">
            <v>0</v>
          </cell>
          <cell r="AV5937">
            <v>0</v>
          </cell>
        </row>
        <row r="5938">
          <cell r="E5938" t="str">
            <v>D25019147</v>
          </cell>
          <cell r="AP5938">
            <v>0</v>
          </cell>
          <cell r="AQ5938">
            <v>0</v>
          </cell>
          <cell r="AV5938">
            <v>0</v>
          </cell>
        </row>
        <row r="5939">
          <cell r="E5939" t="str">
            <v>B26000081</v>
          </cell>
          <cell r="AP5939">
            <v>0</v>
          </cell>
          <cell r="AQ5939">
            <v>0</v>
          </cell>
          <cell r="AV5939">
            <v>0</v>
          </cell>
        </row>
        <row r="5940">
          <cell r="E5940" t="str">
            <v>B26000082</v>
          </cell>
          <cell r="AP5940">
            <v>0</v>
          </cell>
          <cell r="AQ5940">
            <v>0</v>
          </cell>
          <cell r="AV5940">
            <v>0</v>
          </cell>
        </row>
        <row r="5941">
          <cell r="E5941" t="str">
            <v>B26000083</v>
          </cell>
          <cell r="AP5941">
            <v>0</v>
          </cell>
          <cell r="AQ5941">
            <v>0</v>
          </cell>
          <cell r="AV5941">
            <v>0</v>
          </cell>
        </row>
        <row r="5942">
          <cell r="E5942" t="str">
            <v>D26000675</v>
          </cell>
          <cell r="AP5942">
            <v>0</v>
          </cell>
          <cell r="AQ5942">
            <v>0</v>
          </cell>
          <cell r="AV5942">
            <v>0</v>
          </cell>
        </row>
        <row r="5943">
          <cell r="E5943" t="str">
            <v>D26001080</v>
          </cell>
          <cell r="AP5943">
            <v>0</v>
          </cell>
          <cell r="AQ5943">
            <v>0</v>
          </cell>
          <cell r="AV5943">
            <v>0</v>
          </cell>
        </row>
        <row r="5944">
          <cell r="E5944" t="str">
            <v>D26001081</v>
          </cell>
          <cell r="AP5944">
            <v>0</v>
          </cell>
          <cell r="AQ5944">
            <v>0</v>
          </cell>
          <cell r="AV5944">
            <v>0</v>
          </cell>
        </row>
        <row r="5945">
          <cell r="E5945" t="str">
            <v>D26001123</v>
          </cell>
          <cell r="AP5945">
            <v>0</v>
          </cell>
          <cell r="AQ5945">
            <v>0</v>
          </cell>
          <cell r="AV5945">
            <v>0</v>
          </cell>
        </row>
        <row r="5946">
          <cell r="E5946" t="str">
            <v>D26002250</v>
          </cell>
          <cell r="AP5946">
            <v>0</v>
          </cell>
          <cell r="AQ5946">
            <v>0</v>
          </cell>
          <cell r="AV5946">
            <v>0</v>
          </cell>
        </row>
        <row r="5947">
          <cell r="E5947" t="str">
            <v>D26002251</v>
          </cell>
          <cell r="AP5947">
            <v>0</v>
          </cell>
          <cell r="AQ5947">
            <v>0</v>
          </cell>
          <cell r="AV5947">
            <v>0</v>
          </cell>
        </row>
        <row r="5948">
          <cell r="E5948" t="str">
            <v>D26002252</v>
          </cell>
          <cell r="AP5948">
            <v>0</v>
          </cell>
          <cell r="AQ5948">
            <v>0</v>
          </cell>
          <cell r="AV5948">
            <v>0</v>
          </cell>
        </row>
        <row r="5949">
          <cell r="E5949" t="str">
            <v>D26002271</v>
          </cell>
          <cell r="AP5949">
            <v>0</v>
          </cell>
          <cell r="AQ5949">
            <v>0</v>
          </cell>
          <cell r="AV5949">
            <v>0</v>
          </cell>
        </row>
        <row r="5950">
          <cell r="E5950" t="str">
            <v>D25019432</v>
          </cell>
          <cell r="AP5950">
            <v>0</v>
          </cell>
          <cell r="AQ5950">
            <v>0</v>
          </cell>
          <cell r="AV5950">
            <v>0</v>
          </cell>
        </row>
        <row r="5951">
          <cell r="E5951" t="str">
            <v>D25019433</v>
          </cell>
          <cell r="AP5951">
            <v>0</v>
          </cell>
          <cell r="AQ5951">
            <v>0</v>
          </cell>
          <cell r="AV5951">
            <v>5000000</v>
          </cell>
        </row>
        <row r="5952">
          <cell r="E5952" t="str">
            <v>D25019434</v>
          </cell>
          <cell r="AP5952">
            <v>0</v>
          </cell>
          <cell r="AQ5952">
            <v>0</v>
          </cell>
          <cell r="AV5952">
            <v>8000000</v>
          </cell>
        </row>
        <row r="5953">
          <cell r="E5953" t="str">
            <v>D25019435</v>
          </cell>
          <cell r="AP5953">
            <v>0</v>
          </cell>
          <cell r="AQ5953">
            <v>0</v>
          </cell>
          <cell r="AV5953">
            <v>0</v>
          </cell>
        </row>
        <row r="5954">
          <cell r="E5954" t="str">
            <v>D25019436</v>
          </cell>
          <cell r="AP5954">
            <v>0</v>
          </cell>
          <cell r="AQ5954">
            <v>0</v>
          </cell>
          <cell r="AV5954">
            <v>0</v>
          </cell>
        </row>
        <row r="5955">
          <cell r="E5955" t="str">
            <v>D25019437</v>
          </cell>
          <cell r="AP5955">
            <v>0</v>
          </cell>
          <cell r="AQ5955">
            <v>0</v>
          </cell>
          <cell r="AV5955">
            <v>0</v>
          </cell>
        </row>
        <row r="5956">
          <cell r="E5956" t="str">
            <v>N25000086</v>
          </cell>
          <cell r="AP5956">
            <v>0</v>
          </cell>
          <cell r="AQ5956">
            <v>0</v>
          </cell>
          <cell r="AV5956">
            <v>0</v>
          </cell>
        </row>
        <row r="5957">
          <cell r="E5957" t="str">
            <v>D26001162</v>
          </cell>
          <cell r="AP5957">
            <v>0</v>
          </cell>
          <cell r="AQ5957">
            <v>0</v>
          </cell>
          <cell r="AV5957">
            <v>0</v>
          </cell>
        </row>
        <row r="5958">
          <cell r="E5958" t="str">
            <v>C26000102</v>
          </cell>
          <cell r="AP5958">
            <v>0</v>
          </cell>
          <cell r="AQ5958">
            <v>0</v>
          </cell>
          <cell r="AV5958">
            <v>430000</v>
          </cell>
        </row>
        <row r="5959">
          <cell r="E5959" t="str">
            <v>B26002032</v>
          </cell>
          <cell r="AP5959">
            <v>0</v>
          </cell>
          <cell r="AQ5959">
            <v>0</v>
          </cell>
          <cell r="AV5959">
            <v>3720000</v>
          </cell>
        </row>
        <row r="5960">
          <cell r="E5960" t="str">
            <v>B26002033</v>
          </cell>
          <cell r="AP5960">
            <v>0</v>
          </cell>
          <cell r="AQ5960">
            <v>0</v>
          </cell>
          <cell r="AV5960">
            <v>4150000</v>
          </cell>
        </row>
        <row r="5961">
          <cell r="E5961" t="str">
            <v>D25019441</v>
          </cell>
          <cell r="AP5961">
            <v>0</v>
          </cell>
          <cell r="AQ5961">
            <v>0</v>
          </cell>
          <cell r="AV5961">
            <v>0</v>
          </cell>
        </row>
        <row r="5962">
          <cell r="E5962" t="str">
            <v>D26001723</v>
          </cell>
          <cell r="AP5962">
            <v>0</v>
          </cell>
          <cell r="AQ5962">
            <v>0</v>
          </cell>
          <cell r="AV5962">
            <v>0</v>
          </cell>
        </row>
        <row r="5963">
          <cell r="E5963" t="str">
            <v>B26001157</v>
          </cell>
          <cell r="AP5963">
            <v>0</v>
          </cell>
          <cell r="AQ5963">
            <v>0</v>
          </cell>
          <cell r="AV5963">
            <v>0</v>
          </cell>
        </row>
        <row r="5964">
          <cell r="E5964" t="str">
            <v>D26002312</v>
          </cell>
          <cell r="AP5964">
            <v>0</v>
          </cell>
          <cell r="AQ5964">
            <v>0</v>
          </cell>
          <cell r="AV5964">
            <v>0</v>
          </cell>
        </row>
        <row r="5965">
          <cell r="E5965" t="str">
            <v>D26002313</v>
          </cell>
          <cell r="AP5965">
            <v>0</v>
          </cell>
          <cell r="AQ5965">
            <v>0</v>
          </cell>
          <cell r="AV5965">
            <v>0</v>
          </cell>
        </row>
        <row r="5966">
          <cell r="E5966" t="str">
            <v>T25001816</v>
          </cell>
          <cell r="AP5966">
            <v>0</v>
          </cell>
          <cell r="AQ5966">
            <v>0</v>
          </cell>
          <cell r="AV5966">
            <v>0</v>
          </cell>
        </row>
        <row r="5967">
          <cell r="E5967" t="str">
            <v>T25001874</v>
          </cell>
          <cell r="AP5967">
            <v>0</v>
          </cell>
          <cell r="AQ5967">
            <v>0</v>
          </cell>
          <cell r="AV5967">
            <v>0</v>
          </cell>
        </row>
        <row r="5968">
          <cell r="E5968" t="str">
            <v>D25019329</v>
          </cell>
          <cell r="AP5968">
            <v>0</v>
          </cell>
          <cell r="AQ5968">
            <v>0</v>
          </cell>
          <cell r="AV5968">
            <v>0</v>
          </cell>
        </row>
        <row r="5969">
          <cell r="E5969" t="str">
            <v>B25016559</v>
          </cell>
          <cell r="AP5969">
            <v>0</v>
          </cell>
          <cell r="AQ5969">
            <v>0</v>
          </cell>
          <cell r="AV5969">
            <v>15019400</v>
          </cell>
        </row>
        <row r="5970">
          <cell r="E5970" t="str">
            <v>B25016560</v>
          </cell>
          <cell r="AP5970">
            <v>0</v>
          </cell>
          <cell r="AQ5970">
            <v>0</v>
          </cell>
          <cell r="AV5970">
            <v>8100000</v>
          </cell>
        </row>
        <row r="5971">
          <cell r="E5971" t="str">
            <v>D25019022</v>
          </cell>
          <cell r="AP5971">
            <v>0</v>
          </cell>
          <cell r="AQ5971">
            <v>0</v>
          </cell>
          <cell r="AV5971">
            <v>6880600</v>
          </cell>
        </row>
        <row r="5972">
          <cell r="E5972" t="str">
            <v>D25019022</v>
          </cell>
          <cell r="AP5972">
            <v>0</v>
          </cell>
          <cell r="AQ5972">
            <v>0</v>
          </cell>
          <cell r="AV5972">
            <v>20000000</v>
          </cell>
        </row>
        <row r="5973">
          <cell r="E5973" t="str">
            <v>D25019022</v>
          </cell>
          <cell r="AP5973">
            <v>0</v>
          </cell>
          <cell r="AQ5973">
            <v>0</v>
          </cell>
          <cell r="AV5973">
            <v>9012400</v>
          </cell>
        </row>
        <row r="5974">
          <cell r="E5974" t="str">
            <v>D25019023</v>
          </cell>
          <cell r="AP5974">
            <v>0</v>
          </cell>
          <cell r="AQ5974">
            <v>0</v>
          </cell>
          <cell r="AV5974">
            <v>10987600</v>
          </cell>
        </row>
        <row r="5975">
          <cell r="E5975" t="str">
            <v>B25017023</v>
          </cell>
          <cell r="AP5975">
            <v>0</v>
          </cell>
          <cell r="AQ5975">
            <v>0</v>
          </cell>
          <cell r="AV5975">
            <v>0</v>
          </cell>
        </row>
        <row r="5976">
          <cell r="E5976" t="str">
            <v>B25017024</v>
          </cell>
          <cell r="AP5976">
            <v>0</v>
          </cell>
          <cell r="AQ5976">
            <v>0</v>
          </cell>
          <cell r="AV5976">
            <v>0</v>
          </cell>
        </row>
        <row r="5977">
          <cell r="E5977" t="str">
            <v>B25017025</v>
          </cell>
          <cell r="AP5977">
            <v>0</v>
          </cell>
          <cell r="AQ5977">
            <v>0</v>
          </cell>
          <cell r="AV5977">
            <v>0</v>
          </cell>
        </row>
        <row r="5978">
          <cell r="E5978" t="str">
            <v>B25017030</v>
          </cell>
          <cell r="AP5978">
            <v>0</v>
          </cell>
          <cell r="AQ5978">
            <v>0</v>
          </cell>
          <cell r="AV5978">
            <v>0</v>
          </cell>
        </row>
        <row r="5979">
          <cell r="E5979" t="str">
            <v>B26000120</v>
          </cell>
          <cell r="AP5979">
            <v>0</v>
          </cell>
          <cell r="AQ5979">
            <v>0</v>
          </cell>
          <cell r="AV5979">
            <v>0</v>
          </cell>
        </row>
        <row r="5980">
          <cell r="E5980" t="str">
            <v>D26000204</v>
          </cell>
          <cell r="AP5980">
            <v>0</v>
          </cell>
          <cell r="AQ5980">
            <v>0</v>
          </cell>
          <cell r="AV5980">
            <v>0</v>
          </cell>
        </row>
        <row r="5981">
          <cell r="E5981" t="str">
            <v>D26000205</v>
          </cell>
          <cell r="AP5981">
            <v>0</v>
          </cell>
          <cell r="AQ5981">
            <v>0</v>
          </cell>
          <cell r="AV5981">
            <v>0</v>
          </cell>
        </row>
        <row r="5982">
          <cell r="E5982" t="str">
            <v>D26000213</v>
          </cell>
          <cell r="AP5982">
            <v>0</v>
          </cell>
          <cell r="AQ5982">
            <v>0</v>
          </cell>
          <cell r="AV5982">
            <v>0</v>
          </cell>
        </row>
        <row r="5983">
          <cell r="E5983" t="str">
            <v>D26000598</v>
          </cell>
          <cell r="AP5983">
            <v>0</v>
          </cell>
          <cell r="AQ5983">
            <v>0</v>
          </cell>
          <cell r="AV5983">
            <v>0</v>
          </cell>
        </row>
        <row r="5984">
          <cell r="E5984" t="str">
            <v>D26000610</v>
          </cell>
          <cell r="AP5984">
            <v>0</v>
          </cell>
          <cell r="AQ5984">
            <v>0</v>
          </cell>
          <cell r="AV5984">
            <v>0</v>
          </cell>
        </row>
        <row r="5985">
          <cell r="E5985" t="str">
            <v>B26000874</v>
          </cell>
          <cell r="AP5985">
            <v>0</v>
          </cell>
          <cell r="AQ5985">
            <v>0</v>
          </cell>
          <cell r="AV5985">
            <v>0</v>
          </cell>
        </row>
        <row r="5986">
          <cell r="E5986" t="str">
            <v>D26000932</v>
          </cell>
          <cell r="AP5986">
            <v>0</v>
          </cell>
          <cell r="AQ5986">
            <v>0</v>
          </cell>
          <cell r="AV5986">
            <v>0</v>
          </cell>
        </row>
        <row r="5987">
          <cell r="E5987" t="str">
            <v>B26000954</v>
          </cell>
          <cell r="AP5987">
            <v>0</v>
          </cell>
          <cell r="AQ5987">
            <v>0</v>
          </cell>
          <cell r="AV5987">
            <v>0</v>
          </cell>
        </row>
        <row r="5988">
          <cell r="E5988" t="str">
            <v>B26000991</v>
          </cell>
          <cell r="AP5988">
            <v>0</v>
          </cell>
          <cell r="AQ5988">
            <v>0</v>
          </cell>
          <cell r="AV5988">
            <v>0</v>
          </cell>
        </row>
        <row r="5989">
          <cell r="E5989" t="str">
            <v>B26001002</v>
          </cell>
          <cell r="AP5989">
            <v>0</v>
          </cell>
          <cell r="AQ5989">
            <v>0</v>
          </cell>
          <cell r="AV5989">
            <v>0</v>
          </cell>
        </row>
        <row r="5990">
          <cell r="E5990" t="str">
            <v>D26001576</v>
          </cell>
          <cell r="AP5990">
            <v>0</v>
          </cell>
          <cell r="AQ5990">
            <v>0</v>
          </cell>
          <cell r="AV5990">
            <v>0</v>
          </cell>
        </row>
        <row r="5991">
          <cell r="E5991" t="str">
            <v>D26001577</v>
          </cell>
          <cell r="AP5991">
            <v>0</v>
          </cell>
          <cell r="AQ5991">
            <v>0</v>
          </cell>
          <cell r="AV5991">
            <v>0</v>
          </cell>
        </row>
        <row r="5992">
          <cell r="E5992" t="str">
            <v>D26001578</v>
          </cell>
          <cell r="AP5992">
            <v>0</v>
          </cell>
          <cell r="AQ5992">
            <v>0</v>
          </cell>
          <cell r="AV5992">
            <v>0</v>
          </cell>
        </row>
        <row r="5993">
          <cell r="E5993" t="str">
            <v>B26001971</v>
          </cell>
          <cell r="AP5993">
            <v>0</v>
          </cell>
          <cell r="AQ5993">
            <v>0</v>
          </cell>
          <cell r="AV5993">
            <v>0</v>
          </cell>
        </row>
        <row r="5994">
          <cell r="E5994" t="str">
            <v>B26002092</v>
          </cell>
          <cell r="AP5994">
            <v>0</v>
          </cell>
          <cell r="AQ5994">
            <v>0</v>
          </cell>
          <cell r="AV5994">
            <v>0</v>
          </cell>
        </row>
        <row r="5995">
          <cell r="E5995" t="str">
            <v>B26002251</v>
          </cell>
          <cell r="AP5995">
            <v>0</v>
          </cell>
          <cell r="AQ5995">
            <v>0</v>
          </cell>
          <cell r="AV5995">
            <v>0</v>
          </cell>
        </row>
        <row r="5996">
          <cell r="E5996" t="str">
            <v>D25018241</v>
          </cell>
          <cell r="AP5996">
            <v>0</v>
          </cell>
          <cell r="AQ5996">
            <v>0</v>
          </cell>
          <cell r="AV5996">
            <v>0</v>
          </cell>
        </row>
        <row r="5997">
          <cell r="E5997" t="str">
            <v>T25001801</v>
          </cell>
          <cell r="AP5997">
            <v>0</v>
          </cell>
          <cell r="AQ5997">
            <v>0</v>
          </cell>
          <cell r="AV5997">
            <v>0</v>
          </cell>
        </row>
        <row r="5998">
          <cell r="E5998" t="str">
            <v>D25018357</v>
          </cell>
          <cell r="AP5998">
            <v>0</v>
          </cell>
          <cell r="AQ5998">
            <v>0</v>
          </cell>
          <cell r="AV5998">
            <v>0</v>
          </cell>
        </row>
        <row r="5999">
          <cell r="E5999" t="str">
            <v>D25018506</v>
          </cell>
          <cell r="AP5999">
            <v>0</v>
          </cell>
          <cell r="AQ5999">
            <v>0</v>
          </cell>
          <cell r="AV5999">
            <v>0</v>
          </cell>
        </row>
        <row r="6000">
          <cell r="E6000" t="str">
            <v>D25018510</v>
          </cell>
          <cell r="AP6000">
            <v>0</v>
          </cell>
          <cell r="AQ6000">
            <v>0</v>
          </cell>
          <cell r="AV6000">
            <v>0</v>
          </cell>
        </row>
        <row r="6001">
          <cell r="E6001" t="str">
            <v>D25018591</v>
          </cell>
          <cell r="AP6001">
            <v>0</v>
          </cell>
          <cell r="AQ6001">
            <v>0</v>
          </cell>
          <cell r="AV6001">
            <v>0</v>
          </cell>
        </row>
        <row r="6002">
          <cell r="E6002" t="str">
            <v>D25018731</v>
          </cell>
          <cell r="AP6002">
            <v>0</v>
          </cell>
          <cell r="AQ6002">
            <v>0</v>
          </cell>
          <cell r="AV6002">
            <v>0</v>
          </cell>
        </row>
        <row r="6003">
          <cell r="E6003" t="str">
            <v>D25018924</v>
          </cell>
          <cell r="AP6003">
            <v>0</v>
          </cell>
          <cell r="AQ6003">
            <v>0</v>
          </cell>
          <cell r="AV6003">
            <v>0</v>
          </cell>
        </row>
        <row r="6004">
          <cell r="E6004" t="str">
            <v>B25016525</v>
          </cell>
          <cell r="AP6004">
            <v>0</v>
          </cell>
          <cell r="AQ6004">
            <v>0</v>
          </cell>
          <cell r="AV6004">
            <v>0</v>
          </cell>
        </row>
        <row r="6005">
          <cell r="E6005" t="str">
            <v>B25016620</v>
          </cell>
          <cell r="AP6005">
            <v>0</v>
          </cell>
          <cell r="AQ6005">
            <v>0</v>
          </cell>
          <cell r="AV6005">
            <v>0</v>
          </cell>
        </row>
        <row r="6006">
          <cell r="E6006" t="str">
            <v>B25016759</v>
          </cell>
          <cell r="AP6006">
            <v>0</v>
          </cell>
          <cell r="AQ6006">
            <v>0</v>
          </cell>
          <cell r="AV6006">
            <v>0</v>
          </cell>
        </row>
        <row r="6007">
          <cell r="E6007" t="str">
            <v>D25019439</v>
          </cell>
          <cell r="AP6007">
            <v>0</v>
          </cell>
          <cell r="AQ6007">
            <v>0</v>
          </cell>
          <cell r="AV6007">
            <v>0</v>
          </cell>
        </row>
        <row r="6008">
          <cell r="E6008" t="str">
            <v>B25016915</v>
          </cell>
          <cell r="AP6008">
            <v>0</v>
          </cell>
          <cell r="AQ6008">
            <v>0</v>
          </cell>
          <cell r="AV6008">
            <v>0</v>
          </cell>
        </row>
        <row r="6009">
          <cell r="E6009" t="str">
            <v>B25016952</v>
          </cell>
          <cell r="AP6009">
            <v>0</v>
          </cell>
          <cell r="AQ6009">
            <v>0</v>
          </cell>
          <cell r="AV6009">
            <v>0</v>
          </cell>
        </row>
        <row r="6010">
          <cell r="E6010" t="str">
            <v>D25019470</v>
          </cell>
          <cell r="AP6010">
            <v>0</v>
          </cell>
          <cell r="AQ6010">
            <v>0</v>
          </cell>
          <cell r="AV6010">
            <v>0</v>
          </cell>
        </row>
        <row r="6011">
          <cell r="E6011" t="str">
            <v>D25019473</v>
          </cell>
          <cell r="AP6011">
            <v>0</v>
          </cell>
          <cell r="AQ6011">
            <v>0</v>
          </cell>
          <cell r="AV6011">
            <v>0</v>
          </cell>
        </row>
        <row r="6012">
          <cell r="E6012" t="str">
            <v>D25019553</v>
          </cell>
          <cell r="AP6012">
            <v>0</v>
          </cell>
          <cell r="AQ6012">
            <v>0</v>
          </cell>
          <cell r="AV6012">
            <v>0</v>
          </cell>
        </row>
        <row r="6013">
          <cell r="E6013" t="str">
            <v>D25019584</v>
          </cell>
          <cell r="AP6013">
            <v>0</v>
          </cell>
          <cell r="AQ6013">
            <v>0</v>
          </cell>
          <cell r="AV6013">
            <v>0</v>
          </cell>
        </row>
        <row r="6014">
          <cell r="E6014" t="str">
            <v>D25019681</v>
          </cell>
          <cell r="AP6014">
            <v>0</v>
          </cell>
          <cell r="AQ6014">
            <v>0</v>
          </cell>
          <cell r="AV6014">
            <v>0</v>
          </cell>
        </row>
        <row r="6015">
          <cell r="E6015" t="str">
            <v>B26000160</v>
          </cell>
          <cell r="AP6015">
            <v>0</v>
          </cell>
          <cell r="AQ6015">
            <v>0</v>
          </cell>
          <cell r="AV6015">
            <v>0</v>
          </cell>
        </row>
        <row r="6016">
          <cell r="E6016" t="str">
            <v>D26000049</v>
          </cell>
          <cell r="AP6016">
            <v>0</v>
          </cell>
          <cell r="AQ6016">
            <v>0</v>
          </cell>
          <cell r="AV6016">
            <v>0</v>
          </cell>
        </row>
        <row r="6017">
          <cell r="E6017" t="str">
            <v>D26000128</v>
          </cell>
          <cell r="AP6017">
            <v>0</v>
          </cell>
          <cell r="AQ6017">
            <v>0</v>
          </cell>
          <cell r="AV6017">
            <v>0</v>
          </cell>
        </row>
        <row r="6018">
          <cell r="E6018" t="str">
            <v>D26000313</v>
          </cell>
          <cell r="AP6018">
            <v>0</v>
          </cell>
          <cell r="AQ6018">
            <v>0</v>
          </cell>
          <cell r="AV6018">
            <v>0</v>
          </cell>
        </row>
        <row r="6019">
          <cell r="E6019" t="str">
            <v>D26000329</v>
          </cell>
          <cell r="AP6019">
            <v>0</v>
          </cell>
          <cell r="AQ6019">
            <v>0</v>
          </cell>
          <cell r="AV6019">
            <v>0</v>
          </cell>
        </row>
        <row r="6020">
          <cell r="E6020" t="str">
            <v>D26000360</v>
          </cell>
          <cell r="AP6020">
            <v>0</v>
          </cell>
          <cell r="AQ6020">
            <v>0</v>
          </cell>
          <cell r="AV6020">
            <v>0</v>
          </cell>
        </row>
        <row r="6021">
          <cell r="E6021" t="str">
            <v>D26000409</v>
          </cell>
          <cell r="AP6021">
            <v>0</v>
          </cell>
          <cell r="AQ6021">
            <v>0</v>
          </cell>
          <cell r="AV6021">
            <v>0</v>
          </cell>
        </row>
        <row r="6022">
          <cell r="E6022" t="str">
            <v>D26000453</v>
          </cell>
          <cell r="AP6022">
            <v>0</v>
          </cell>
          <cell r="AQ6022">
            <v>0</v>
          </cell>
          <cell r="AV6022">
            <v>0</v>
          </cell>
        </row>
        <row r="6023">
          <cell r="E6023" t="str">
            <v>B26000420</v>
          </cell>
          <cell r="AP6023">
            <v>0</v>
          </cell>
          <cell r="AQ6023">
            <v>0</v>
          </cell>
          <cell r="AV6023">
            <v>0</v>
          </cell>
        </row>
        <row r="6024">
          <cell r="E6024" t="str">
            <v>B26000458</v>
          </cell>
          <cell r="AP6024">
            <v>0</v>
          </cell>
          <cell r="AQ6024">
            <v>0</v>
          </cell>
          <cell r="AV6024">
            <v>0</v>
          </cell>
        </row>
        <row r="6025">
          <cell r="E6025" t="str">
            <v>B26000480</v>
          </cell>
          <cell r="AP6025">
            <v>0</v>
          </cell>
          <cell r="AQ6025">
            <v>0</v>
          </cell>
          <cell r="AV6025">
            <v>0</v>
          </cell>
        </row>
        <row r="6026">
          <cell r="E6026" t="str">
            <v>B26000481</v>
          </cell>
          <cell r="AP6026">
            <v>0</v>
          </cell>
          <cell r="AQ6026">
            <v>0</v>
          </cell>
          <cell r="AV6026">
            <v>0</v>
          </cell>
        </row>
        <row r="6027">
          <cell r="E6027" t="str">
            <v>B26000493</v>
          </cell>
          <cell r="AP6027">
            <v>0</v>
          </cell>
          <cell r="AQ6027">
            <v>0</v>
          </cell>
          <cell r="AV6027">
            <v>0</v>
          </cell>
        </row>
        <row r="6028">
          <cell r="E6028" t="str">
            <v>D26000483</v>
          </cell>
          <cell r="AP6028">
            <v>0</v>
          </cell>
          <cell r="AQ6028">
            <v>0</v>
          </cell>
          <cell r="AV6028">
            <v>0</v>
          </cell>
        </row>
        <row r="6029">
          <cell r="E6029" t="str">
            <v>D26000487</v>
          </cell>
          <cell r="AP6029">
            <v>0</v>
          </cell>
          <cell r="AQ6029">
            <v>0</v>
          </cell>
          <cell r="AV6029">
            <v>0</v>
          </cell>
        </row>
        <row r="6030">
          <cell r="E6030" t="str">
            <v>B26000629</v>
          </cell>
          <cell r="AP6030">
            <v>0</v>
          </cell>
          <cell r="AQ6030">
            <v>0</v>
          </cell>
          <cell r="AV6030">
            <v>0</v>
          </cell>
        </row>
        <row r="6031">
          <cell r="E6031" t="str">
            <v>B26000834</v>
          </cell>
          <cell r="AP6031">
            <v>0</v>
          </cell>
          <cell r="AQ6031">
            <v>0</v>
          </cell>
          <cell r="AV6031">
            <v>0</v>
          </cell>
        </row>
        <row r="6032">
          <cell r="E6032" t="str">
            <v>B26000898</v>
          </cell>
          <cell r="AP6032">
            <v>0</v>
          </cell>
          <cell r="AQ6032">
            <v>0</v>
          </cell>
          <cell r="AV6032">
            <v>0</v>
          </cell>
        </row>
        <row r="6033">
          <cell r="E6033" t="str">
            <v>D26001267</v>
          </cell>
          <cell r="AP6033">
            <v>0</v>
          </cell>
          <cell r="AQ6033">
            <v>0</v>
          </cell>
          <cell r="AV6033">
            <v>0</v>
          </cell>
        </row>
        <row r="6034">
          <cell r="E6034" t="str">
            <v>B26001257</v>
          </cell>
          <cell r="AP6034">
            <v>0</v>
          </cell>
          <cell r="AQ6034">
            <v>0</v>
          </cell>
          <cell r="AV6034">
            <v>0</v>
          </cell>
        </row>
        <row r="6035">
          <cell r="E6035" t="str">
            <v>D26001332</v>
          </cell>
          <cell r="AP6035">
            <v>0</v>
          </cell>
          <cell r="AQ6035">
            <v>0</v>
          </cell>
          <cell r="AV6035">
            <v>0</v>
          </cell>
        </row>
        <row r="6036">
          <cell r="E6036" t="str">
            <v>D26001391</v>
          </cell>
          <cell r="AP6036">
            <v>0</v>
          </cell>
          <cell r="AQ6036">
            <v>0</v>
          </cell>
          <cell r="AV6036">
            <v>0</v>
          </cell>
        </row>
        <row r="6037">
          <cell r="E6037" t="str">
            <v>B26001487</v>
          </cell>
          <cell r="AP6037">
            <v>0</v>
          </cell>
          <cell r="AQ6037">
            <v>8400000</v>
          </cell>
          <cell r="AV6037">
            <v>0</v>
          </cell>
        </row>
        <row r="6038">
          <cell r="E6038" t="str">
            <v>D26001598</v>
          </cell>
          <cell r="AP6038">
            <v>0</v>
          </cell>
          <cell r="AQ6038">
            <v>10773000</v>
          </cell>
          <cell r="AV6038">
            <v>0</v>
          </cell>
        </row>
        <row r="6039">
          <cell r="E6039" t="str">
            <v>D26001599</v>
          </cell>
          <cell r="AP6039">
            <v>0</v>
          </cell>
          <cell r="AQ6039">
            <v>13250000</v>
          </cell>
          <cell r="AV6039">
            <v>0</v>
          </cell>
        </row>
        <row r="6040">
          <cell r="E6040" t="str">
            <v>D26001697</v>
          </cell>
          <cell r="AP6040">
            <v>0</v>
          </cell>
          <cell r="AQ6040">
            <v>10575000</v>
          </cell>
          <cell r="AV6040">
            <v>0</v>
          </cell>
        </row>
        <row r="6041">
          <cell r="E6041" t="str">
            <v>B26001612</v>
          </cell>
          <cell r="AP6041">
            <v>0</v>
          </cell>
          <cell r="AQ6041">
            <v>10080000</v>
          </cell>
          <cell r="AV6041">
            <v>0</v>
          </cell>
        </row>
        <row r="6042">
          <cell r="E6042" t="str">
            <v>D26001821</v>
          </cell>
          <cell r="AP6042">
            <v>0</v>
          </cell>
          <cell r="AQ6042">
            <v>0</v>
          </cell>
          <cell r="AV6042">
            <v>0</v>
          </cell>
        </row>
        <row r="6043">
          <cell r="E6043" t="str">
            <v>D26001821</v>
          </cell>
          <cell r="AP6043">
            <v>0</v>
          </cell>
          <cell r="AQ6043">
            <v>16290000</v>
          </cell>
          <cell r="AV6043">
            <v>0</v>
          </cell>
        </row>
        <row r="6044">
          <cell r="E6044" t="str">
            <v>B26001911</v>
          </cell>
          <cell r="AP6044">
            <v>0</v>
          </cell>
          <cell r="AQ6044">
            <v>13250000</v>
          </cell>
          <cell r="AV6044">
            <v>0</v>
          </cell>
        </row>
        <row r="6045">
          <cell r="E6045" t="str">
            <v>D26002027</v>
          </cell>
          <cell r="AP6045">
            <v>0</v>
          </cell>
          <cell r="AQ6045">
            <v>1875000</v>
          </cell>
          <cell r="AV6045">
            <v>0</v>
          </cell>
        </row>
        <row r="6046">
          <cell r="E6046" t="str">
            <v>D26002092</v>
          </cell>
          <cell r="AP6046">
            <v>0</v>
          </cell>
          <cell r="AQ6046">
            <v>3080000</v>
          </cell>
          <cell r="AV6046">
            <v>0</v>
          </cell>
        </row>
        <row r="6047">
          <cell r="E6047" t="str">
            <v>B26001987</v>
          </cell>
          <cell r="AP6047">
            <v>0</v>
          </cell>
          <cell r="AQ6047">
            <v>7095000</v>
          </cell>
          <cell r="AV6047">
            <v>0</v>
          </cell>
        </row>
        <row r="6048">
          <cell r="E6048" t="str">
            <v>B26001987</v>
          </cell>
          <cell r="AP6048">
            <v>0</v>
          </cell>
          <cell r="AQ6048">
            <v>225000</v>
          </cell>
          <cell r="AV6048">
            <v>0</v>
          </cell>
        </row>
        <row r="6049">
          <cell r="E6049" t="str">
            <v>B26001988</v>
          </cell>
          <cell r="AP6049">
            <v>0</v>
          </cell>
          <cell r="AQ6049">
            <v>5700000</v>
          </cell>
          <cell r="AV6049">
            <v>0</v>
          </cell>
        </row>
        <row r="6050">
          <cell r="E6050" t="str">
            <v>B26002049</v>
          </cell>
          <cell r="AP6050">
            <v>0</v>
          </cell>
          <cell r="AQ6050">
            <v>0</v>
          </cell>
          <cell r="AV6050">
            <v>62000</v>
          </cell>
        </row>
        <row r="6051">
          <cell r="E6051" t="str">
            <v>B26002049</v>
          </cell>
          <cell r="AP6051">
            <v>0</v>
          </cell>
          <cell r="AQ6051">
            <v>1638000</v>
          </cell>
          <cell r="AV6051">
            <v>0</v>
          </cell>
        </row>
        <row r="6052">
          <cell r="E6052" t="str">
            <v>B26002049</v>
          </cell>
          <cell r="AP6052">
            <v>0</v>
          </cell>
          <cell r="AQ6052">
            <v>0</v>
          </cell>
          <cell r="AV6052">
            <v>10000</v>
          </cell>
        </row>
        <row r="6053">
          <cell r="E6053" t="str">
            <v>D26002199</v>
          </cell>
          <cell r="AP6053">
            <v>0</v>
          </cell>
          <cell r="AQ6053">
            <v>14000000</v>
          </cell>
          <cell r="AV6053">
            <v>0</v>
          </cell>
        </row>
        <row r="6054">
          <cell r="E6054" t="str">
            <v>B26002120</v>
          </cell>
          <cell r="AP6054">
            <v>0</v>
          </cell>
          <cell r="AQ6054">
            <v>2900000</v>
          </cell>
          <cell r="AV6054">
            <v>0</v>
          </cell>
        </row>
        <row r="6055">
          <cell r="E6055" t="str">
            <v>B26002155</v>
          </cell>
          <cell r="AP6055">
            <v>0</v>
          </cell>
          <cell r="AQ6055">
            <v>36000000</v>
          </cell>
          <cell r="AV6055">
            <v>0</v>
          </cell>
        </row>
        <row r="6056">
          <cell r="E6056" t="str">
            <v>D26002305</v>
          </cell>
          <cell r="AP6056">
            <v>0</v>
          </cell>
          <cell r="AQ6056">
            <v>2720000</v>
          </cell>
          <cell r="AV6056">
            <v>0</v>
          </cell>
        </row>
        <row r="6057">
          <cell r="E6057" t="str">
            <v>D26002337</v>
          </cell>
          <cell r="AP6057">
            <v>0</v>
          </cell>
          <cell r="AQ6057">
            <v>15250000</v>
          </cell>
          <cell r="AV6057">
            <v>0</v>
          </cell>
        </row>
        <row r="6058">
          <cell r="E6058" t="str">
            <v>B26000360</v>
          </cell>
          <cell r="AP6058">
            <v>0</v>
          </cell>
          <cell r="AQ6058">
            <v>0</v>
          </cell>
          <cell r="AV6058">
            <v>1035000</v>
          </cell>
        </row>
        <row r="6059">
          <cell r="E6059" t="str">
            <v>D26000441</v>
          </cell>
          <cell r="AP6059">
            <v>0</v>
          </cell>
          <cell r="AQ6059">
            <v>0</v>
          </cell>
          <cell r="AV6059">
            <v>1175000</v>
          </cell>
        </row>
        <row r="6060">
          <cell r="E6060" t="str">
            <v>T25001880</v>
          </cell>
          <cell r="AP6060">
            <v>0</v>
          </cell>
          <cell r="AQ6060">
            <v>0</v>
          </cell>
          <cell r="AV6060">
            <v>0</v>
          </cell>
        </row>
        <row r="6061">
          <cell r="E6061" t="str">
            <v>B26000964</v>
          </cell>
          <cell r="AP6061">
            <v>0</v>
          </cell>
          <cell r="AQ6061">
            <v>0</v>
          </cell>
          <cell r="AV6061">
            <v>0</v>
          </cell>
        </row>
        <row r="6062">
          <cell r="E6062" t="str">
            <v>B26000965</v>
          </cell>
          <cell r="AP6062">
            <v>0</v>
          </cell>
          <cell r="AQ6062">
            <v>0</v>
          </cell>
          <cell r="AV6062">
            <v>0</v>
          </cell>
        </row>
        <row r="6063">
          <cell r="E6063" t="str">
            <v>D26002347</v>
          </cell>
          <cell r="AP6063">
            <v>0</v>
          </cell>
          <cell r="AQ6063">
            <v>0</v>
          </cell>
          <cell r="AV6063">
            <v>0</v>
          </cell>
        </row>
        <row r="6064">
          <cell r="E6064" t="str">
            <v>B26001570</v>
          </cell>
          <cell r="AP6064">
            <v>0</v>
          </cell>
          <cell r="AQ6064">
            <v>0</v>
          </cell>
          <cell r="AV6064">
            <v>5400000</v>
          </cell>
        </row>
        <row r="6065">
          <cell r="E6065" t="str">
            <v>B26001932</v>
          </cell>
          <cell r="AP6065">
            <v>0</v>
          </cell>
          <cell r="AQ6065">
            <v>0</v>
          </cell>
          <cell r="AV6065">
            <v>4300000</v>
          </cell>
        </row>
        <row r="6066">
          <cell r="E6066" t="str">
            <v>T26000145</v>
          </cell>
          <cell r="AP6066">
            <v>0</v>
          </cell>
          <cell r="AQ6066">
            <v>0</v>
          </cell>
          <cell r="AV6066">
            <v>650000</v>
          </cell>
        </row>
        <row r="6067">
          <cell r="E6067" t="str">
            <v>B26001149</v>
          </cell>
          <cell r="AP6067">
            <v>0</v>
          </cell>
          <cell r="AQ6067">
            <v>0</v>
          </cell>
          <cell r="AV6067">
            <v>0</v>
          </cell>
        </row>
        <row r="6068">
          <cell r="E6068" t="str">
            <v>D26001262</v>
          </cell>
          <cell r="AP6068">
            <v>0</v>
          </cell>
          <cell r="AQ6068">
            <v>0</v>
          </cell>
          <cell r="AV6068">
            <v>0</v>
          </cell>
        </row>
        <row r="6069">
          <cell r="E6069" t="str">
            <v>D26001395</v>
          </cell>
          <cell r="AP6069">
            <v>0</v>
          </cell>
          <cell r="AQ6069">
            <v>0</v>
          </cell>
          <cell r="AV6069">
            <v>0</v>
          </cell>
        </row>
        <row r="6070">
          <cell r="E6070" t="str">
            <v>D26001803</v>
          </cell>
          <cell r="AP6070">
            <v>0</v>
          </cell>
          <cell r="AQ6070">
            <v>0</v>
          </cell>
          <cell r="AV6070">
            <v>0</v>
          </cell>
        </row>
        <row r="6071">
          <cell r="E6071" t="str">
            <v>D26001804</v>
          </cell>
          <cell r="AP6071">
            <v>0</v>
          </cell>
          <cell r="AQ6071">
            <v>0</v>
          </cell>
          <cell r="AV6071">
            <v>4387500</v>
          </cell>
        </row>
        <row r="6072">
          <cell r="E6072" t="str">
            <v>D26001979</v>
          </cell>
          <cell r="AP6072">
            <v>0</v>
          </cell>
          <cell r="AQ6072">
            <v>0</v>
          </cell>
          <cell r="AV6072">
            <v>3070000</v>
          </cell>
        </row>
        <row r="6073">
          <cell r="E6073" t="str">
            <v>B26002009</v>
          </cell>
          <cell r="AP6073">
            <v>0</v>
          </cell>
          <cell r="AQ6073">
            <v>0</v>
          </cell>
          <cell r="AV6073">
            <v>0</v>
          </cell>
        </row>
        <row r="6074">
          <cell r="E6074" t="str">
            <v>B26001600</v>
          </cell>
          <cell r="AP6074">
            <v>0</v>
          </cell>
          <cell r="AQ6074">
            <v>0</v>
          </cell>
          <cell r="AV6074">
            <v>0</v>
          </cell>
        </row>
        <row r="6075">
          <cell r="E6075" t="str">
            <v>B26001601</v>
          </cell>
          <cell r="AP6075">
            <v>0</v>
          </cell>
          <cell r="AQ6075">
            <v>0</v>
          </cell>
          <cell r="AV6075">
            <v>0</v>
          </cell>
        </row>
        <row r="6076">
          <cell r="E6076" t="str">
            <v>B26000703</v>
          </cell>
          <cell r="AP6076">
            <v>0</v>
          </cell>
          <cell r="AQ6076">
            <v>0</v>
          </cell>
          <cell r="AV6076">
            <v>0</v>
          </cell>
        </row>
        <row r="6077">
          <cell r="E6077" t="str">
            <v>B26001737</v>
          </cell>
          <cell r="AP6077">
            <v>0</v>
          </cell>
          <cell r="AQ6077">
            <v>0</v>
          </cell>
          <cell r="AV6077">
            <v>2000000</v>
          </cell>
        </row>
        <row r="6078">
          <cell r="E6078" t="str">
            <v>B25012562</v>
          </cell>
          <cell r="AP6078">
            <v>0</v>
          </cell>
          <cell r="AQ6078">
            <v>0</v>
          </cell>
          <cell r="AV6078">
            <v>0</v>
          </cell>
        </row>
        <row r="6079">
          <cell r="E6079" t="str">
            <v>D25018138</v>
          </cell>
          <cell r="AP6079">
            <v>0</v>
          </cell>
          <cell r="AQ6079">
            <v>0</v>
          </cell>
          <cell r="AV6079">
            <v>0</v>
          </cell>
        </row>
        <row r="6080">
          <cell r="E6080" t="str">
            <v>D26000414</v>
          </cell>
          <cell r="AP6080">
            <v>0</v>
          </cell>
          <cell r="AQ6080">
            <v>0</v>
          </cell>
          <cell r="AV6080">
            <v>0</v>
          </cell>
        </row>
        <row r="6081">
          <cell r="E6081" t="str">
            <v>D26000734</v>
          </cell>
          <cell r="AP6081">
            <v>0</v>
          </cell>
          <cell r="AQ6081">
            <v>0</v>
          </cell>
          <cell r="AV6081">
            <v>0</v>
          </cell>
        </row>
        <row r="6082">
          <cell r="E6082" t="str">
            <v>D26000978</v>
          </cell>
          <cell r="AP6082">
            <v>0</v>
          </cell>
          <cell r="AQ6082">
            <v>0</v>
          </cell>
          <cell r="AV6082">
            <v>0</v>
          </cell>
        </row>
        <row r="6083">
          <cell r="E6083" t="str">
            <v>D26001284</v>
          </cell>
          <cell r="AP6083">
            <v>0</v>
          </cell>
          <cell r="AQ6083">
            <v>0</v>
          </cell>
          <cell r="AV6083">
            <v>0</v>
          </cell>
        </row>
        <row r="6084">
          <cell r="E6084" t="str">
            <v>B25012496</v>
          </cell>
          <cell r="AP6084">
            <v>0</v>
          </cell>
          <cell r="AQ6084">
            <v>0</v>
          </cell>
          <cell r="AV6084">
            <v>0</v>
          </cell>
        </row>
        <row r="6085">
          <cell r="E6085" t="str">
            <v>B25014117</v>
          </cell>
          <cell r="AP6085">
            <v>0</v>
          </cell>
          <cell r="AQ6085">
            <v>0</v>
          </cell>
          <cell r="AV6085">
            <v>6500000</v>
          </cell>
        </row>
        <row r="6086">
          <cell r="E6086" t="str">
            <v>B25015370</v>
          </cell>
          <cell r="AP6086">
            <v>0</v>
          </cell>
          <cell r="AQ6086">
            <v>0</v>
          </cell>
          <cell r="AV6086">
            <v>0</v>
          </cell>
        </row>
        <row r="6087">
          <cell r="E6087" t="str">
            <v>D25017825</v>
          </cell>
          <cell r="AP6087">
            <v>0</v>
          </cell>
          <cell r="AQ6087">
            <v>0</v>
          </cell>
          <cell r="AV6087">
            <v>0</v>
          </cell>
        </row>
        <row r="6088">
          <cell r="E6088" t="str">
            <v>B25015450</v>
          </cell>
          <cell r="AP6088">
            <v>0</v>
          </cell>
          <cell r="AQ6088">
            <v>0</v>
          </cell>
          <cell r="AV6088">
            <v>0</v>
          </cell>
        </row>
        <row r="6089">
          <cell r="E6089" t="str">
            <v>D25017977</v>
          </cell>
          <cell r="AP6089">
            <v>0</v>
          </cell>
          <cell r="AQ6089">
            <v>0</v>
          </cell>
          <cell r="AV6089">
            <v>5600000</v>
          </cell>
        </row>
        <row r="6090">
          <cell r="E6090" t="str">
            <v>D25018108</v>
          </cell>
          <cell r="AP6090">
            <v>0</v>
          </cell>
          <cell r="AQ6090">
            <v>0</v>
          </cell>
          <cell r="AV6090">
            <v>3600000</v>
          </cell>
        </row>
        <row r="6091">
          <cell r="E6091" t="str">
            <v>D25018601</v>
          </cell>
          <cell r="AP6091">
            <v>0</v>
          </cell>
          <cell r="AQ6091">
            <v>0</v>
          </cell>
          <cell r="AV6091">
            <v>1750000</v>
          </cell>
        </row>
        <row r="6092">
          <cell r="E6092" t="str">
            <v>B25016277</v>
          </cell>
          <cell r="AP6092">
            <v>0</v>
          </cell>
          <cell r="AQ6092">
            <v>0</v>
          </cell>
          <cell r="AV6092">
            <v>0</v>
          </cell>
        </row>
        <row r="6093">
          <cell r="E6093" t="str">
            <v>B25016377</v>
          </cell>
          <cell r="AP6093">
            <v>0</v>
          </cell>
          <cell r="AQ6093">
            <v>0</v>
          </cell>
          <cell r="AV6093">
            <v>2720000</v>
          </cell>
        </row>
        <row r="6094">
          <cell r="E6094" t="str">
            <v>D25018972</v>
          </cell>
          <cell r="AP6094">
            <v>0</v>
          </cell>
          <cell r="AQ6094">
            <v>0</v>
          </cell>
          <cell r="AV6094">
            <v>0</v>
          </cell>
        </row>
        <row r="6095">
          <cell r="E6095" t="str">
            <v>D25019208</v>
          </cell>
          <cell r="AP6095">
            <v>0</v>
          </cell>
          <cell r="AQ6095">
            <v>0</v>
          </cell>
          <cell r="AV6095">
            <v>0</v>
          </cell>
        </row>
        <row r="6096">
          <cell r="E6096" t="str">
            <v>B25016844</v>
          </cell>
          <cell r="AP6096">
            <v>0</v>
          </cell>
          <cell r="AQ6096">
            <v>0</v>
          </cell>
          <cell r="AV6096">
            <v>0</v>
          </cell>
        </row>
        <row r="6097">
          <cell r="E6097" t="str">
            <v>B25017048</v>
          </cell>
          <cell r="AP6097">
            <v>0</v>
          </cell>
          <cell r="AQ6097">
            <v>0</v>
          </cell>
          <cell r="AV6097">
            <v>0</v>
          </cell>
        </row>
        <row r="6098">
          <cell r="E6098" t="str">
            <v>B26000009</v>
          </cell>
          <cell r="AP6098">
            <v>0</v>
          </cell>
          <cell r="AQ6098">
            <v>0</v>
          </cell>
          <cell r="AV6098">
            <v>0</v>
          </cell>
        </row>
        <row r="6099">
          <cell r="E6099" t="str">
            <v>D26000119</v>
          </cell>
          <cell r="AP6099">
            <v>0</v>
          </cell>
          <cell r="AQ6099">
            <v>0</v>
          </cell>
          <cell r="AV6099">
            <v>0</v>
          </cell>
        </row>
        <row r="6100">
          <cell r="E6100" t="str">
            <v>B26000200</v>
          </cell>
          <cell r="AP6100">
            <v>0</v>
          </cell>
          <cell r="AQ6100">
            <v>0</v>
          </cell>
          <cell r="AV6100">
            <v>0</v>
          </cell>
        </row>
        <row r="6101">
          <cell r="E6101" t="str">
            <v>D26000281</v>
          </cell>
          <cell r="AP6101">
            <v>0</v>
          </cell>
          <cell r="AQ6101">
            <v>0</v>
          </cell>
          <cell r="AV6101">
            <v>0</v>
          </cell>
        </row>
        <row r="6102">
          <cell r="E6102" t="str">
            <v>D26000374</v>
          </cell>
          <cell r="AP6102">
            <v>0</v>
          </cell>
          <cell r="AQ6102">
            <v>0</v>
          </cell>
          <cell r="AV6102">
            <v>0</v>
          </cell>
        </row>
        <row r="6103">
          <cell r="E6103" t="str">
            <v>D26000759</v>
          </cell>
          <cell r="AP6103">
            <v>0</v>
          </cell>
          <cell r="AQ6103">
            <v>0</v>
          </cell>
          <cell r="AV6103">
            <v>0</v>
          </cell>
        </row>
        <row r="6104">
          <cell r="E6104" t="str">
            <v>D26000773</v>
          </cell>
          <cell r="AP6104">
            <v>0</v>
          </cell>
          <cell r="AQ6104">
            <v>0</v>
          </cell>
          <cell r="AV6104">
            <v>0</v>
          </cell>
        </row>
        <row r="6105">
          <cell r="E6105" t="str">
            <v>D26000980</v>
          </cell>
          <cell r="AP6105">
            <v>0</v>
          </cell>
          <cell r="AQ6105">
            <v>0</v>
          </cell>
          <cell r="AV6105">
            <v>0</v>
          </cell>
        </row>
        <row r="6106">
          <cell r="E6106" t="str">
            <v>B26001098</v>
          </cell>
          <cell r="AP6106">
            <v>0</v>
          </cell>
          <cell r="AQ6106">
            <v>0</v>
          </cell>
          <cell r="AV6106">
            <v>0</v>
          </cell>
        </row>
        <row r="6107">
          <cell r="E6107" t="str">
            <v>B26001931</v>
          </cell>
          <cell r="AP6107">
            <v>0</v>
          </cell>
          <cell r="AQ6107">
            <v>0</v>
          </cell>
          <cell r="AV6107">
            <v>0</v>
          </cell>
        </row>
        <row r="6108">
          <cell r="E6108" t="str">
            <v>D26002026</v>
          </cell>
          <cell r="AP6108">
            <v>0</v>
          </cell>
          <cell r="AQ6108">
            <v>0</v>
          </cell>
          <cell r="AV6108">
            <v>15350000</v>
          </cell>
        </row>
        <row r="6109">
          <cell r="E6109" t="str">
            <v>D26002064</v>
          </cell>
          <cell r="AP6109">
            <v>0</v>
          </cell>
          <cell r="AQ6109">
            <v>0</v>
          </cell>
          <cell r="AV6109">
            <v>0</v>
          </cell>
        </row>
        <row r="6110">
          <cell r="E6110" t="str">
            <v>D25015979</v>
          </cell>
          <cell r="AP6110">
            <v>0</v>
          </cell>
          <cell r="AQ6110">
            <v>0</v>
          </cell>
          <cell r="AV6110">
            <v>6000000</v>
          </cell>
        </row>
        <row r="6111">
          <cell r="E6111" t="str">
            <v>B26000375</v>
          </cell>
          <cell r="AP6111">
            <v>0</v>
          </cell>
          <cell r="AQ6111">
            <v>0</v>
          </cell>
          <cell r="AV6111">
            <v>0</v>
          </cell>
        </row>
        <row r="6112">
          <cell r="E6112" t="str">
            <v>B26000622</v>
          </cell>
          <cell r="AP6112">
            <v>0</v>
          </cell>
          <cell r="AQ6112">
            <v>0</v>
          </cell>
          <cell r="AV6112">
            <v>0</v>
          </cell>
        </row>
        <row r="6113">
          <cell r="E6113" t="str">
            <v>B26000775</v>
          </cell>
          <cell r="AP6113">
            <v>0</v>
          </cell>
          <cell r="AQ6113">
            <v>0</v>
          </cell>
          <cell r="AV6113">
            <v>0</v>
          </cell>
        </row>
        <row r="6114">
          <cell r="E6114" t="str">
            <v>B26001262</v>
          </cell>
          <cell r="AP6114">
            <v>0</v>
          </cell>
          <cell r="AQ6114">
            <v>0</v>
          </cell>
          <cell r="AV6114">
            <v>0</v>
          </cell>
        </row>
        <row r="6115">
          <cell r="E6115" t="str">
            <v>T26000105</v>
          </cell>
          <cell r="AP6115">
            <v>0</v>
          </cell>
          <cell r="AQ6115">
            <v>0</v>
          </cell>
          <cell r="AV6115">
            <v>0</v>
          </cell>
        </row>
        <row r="6116">
          <cell r="E6116" t="str">
            <v>D25016981</v>
          </cell>
          <cell r="AP6116">
            <v>0</v>
          </cell>
          <cell r="AQ6116">
            <v>0</v>
          </cell>
          <cell r="AV6116">
            <v>912000000</v>
          </cell>
        </row>
        <row r="6117">
          <cell r="E6117" t="str">
            <v>D25016983</v>
          </cell>
          <cell r="AP6117">
            <v>0</v>
          </cell>
          <cell r="AQ6117">
            <v>0</v>
          </cell>
          <cell r="AV6117">
            <v>54400000</v>
          </cell>
        </row>
        <row r="6118">
          <cell r="E6118" t="str">
            <v>D25017237</v>
          </cell>
          <cell r="AP6118">
            <v>0</v>
          </cell>
          <cell r="AQ6118">
            <v>0</v>
          </cell>
          <cell r="AV6118">
            <v>10850000</v>
          </cell>
        </row>
        <row r="6119">
          <cell r="E6119" t="str">
            <v>D25017247</v>
          </cell>
          <cell r="AP6119">
            <v>0</v>
          </cell>
          <cell r="AQ6119">
            <v>0</v>
          </cell>
          <cell r="AV6119">
            <v>0</v>
          </cell>
        </row>
        <row r="6120">
          <cell r="E6120" t="str">
            <v>B25015169</v>
          </cell>
          <cell r="AP6120">
            <v>0</v>
          </cell>
          <cell r="AQ6120">
            <v>0</v>
          </cell>
          <cell r="AV6120">
            <v>0</v>
          </cell>
        </row>
        <row r="6121">
          <cell r="E6121" t="str">
            <v>D25018067</v>
          </cell>
          <cell r="AP6121">
            <v>0</v>
          </cell>
          <cell r="AQ6121">
            <v>0</v>
          </cell>
          <cell r="AV6121">
            <v>0</v>
          </cell>
        </row>
        <row r="6122">
          <cell r="E6122" t="str">
            <v>D25018084</v>
          </cell>
          <cell r="AP6122">
            <v>0</v>
          </cell>
          <cell r="AQ6122">
            <v>0</v>
          </cell>
          <cell r="AV6122">
            <v>0</v>
          </cell>
        </row>
        <row r="6123">
          <cell r="E6123" t="str">
            <v>B25016237</v>
          </cell>
          <cell r="AP6123">
            <v>0</v>
          </cell>
          <cell r="AQ6123">
            <v>0</v>
          </cell>
          <cell r="AV6123">
            <v>0</v>
          </cell>
        </row>
        <row r="6124">
          <cell r="E6124" t="str">
            <v>D25019227</v>
          </cell>
          <cell r="AP6124">
            <v>0</v>
          </cell>
          <cell r="AQ6124">
            <v>0</v>
          </cell>
          <cell r="AV6124">
            <v>0</v>
          </cell>
        </row>
        <row r="6125">
          <cell r="E6125" t="str">
            <v>D25019279</v>
          </cell>
          <cell r="AP6125">
            <v>0</v>
          </cell>
          <cell r="AQ6125">
            <v>0</v>
          </cell>
          <cell r="AV6125">
            <v>0</v>
          </cell>
        </row>
        <row r="6126">
          <cell r="E6126" t="str">
            <v>D26001292</v>
          </cell>
          <cell r="AP6126">
            <v>0</v>
          </cell>
          <cell r="AQ6126">
            <v>0</v>
          </cell>
          <cell r="AV6126">
            <v>0</v>
          </cell>
        </row>
        <row r="6127">
          <cell r="E6127" t="str">
            <v>D26001420</v>
          </cell>
          <cell r="AP6127">
            <v>0</v>
          </cell>
          <cell r="AQ6127">
            <v>0</v>
          </cell>
          <cell r="AV6127">
            <v>0</v>
          </cell>
        </row>
        <row r="6128">
          <cell r="E6128" t="str">
            <v>D26001523</v>
          </cell>
          <cell r="AP6128">
            <v>0</v>
          </cell>
          <cell r="AQ6128">
            <v>0</v>
          </cell>
          <cell r="AV6128">
            <v>0</v>
          </cell>
        </row>
        <row r="6129">
          <cell r="E6129" t="str">
            <v>D26001981</v>
          </cell>
          <cell r="AP6129">
            <v>0</v>
          </cell>
          <cell r="AQ6129">
            <v>0</v>
          </cell>
          <cell r="AV6129">
            <v>0</v>
          </cell>
        </row>
        <row r="6130">
          <cell r="E6130" t="str">
            <v>D26002085</v>
          </cell>
          <cell r="AP6130">
            <v>0</v>
          </cell>
          <cell r="AQ6130">
            <v>0</v>
          </cell>
          <cell r="AV6130">
            <v>0</v>
          </cell>
        </row>
        <row r="6131">
          <cell r="E6131" t="str">
            <v>D26002140</v>
          </cell>
          <cell r="AP6131">
            <v>0</v>
          </cell>
          <cell r="AQ6131">
            <v>0</v>
          </cell>
          <cell r="AV6131">
            <v>0</v>
          </cell>
        </row>
        <row r="6132">
          <cell r="E6132" t="str">
            <v>B26002067</v>
          </cell>
          <cell r="AP6132">
            <v>0</v>
          </cell>
          <cell r="AQ6132">
            <v>0</v>
          </cell>
          <cell r="AV6132">
            <v>0</v>
          </cell>
        </row>
        <row r="6133">
          <cell r="E6133" t="str">
            <v>D26002422</v>
          </cell>
          <cell r="AP6133">
            <v>0</v>
          </cell>
          <cell r="AQ6133">
            <v>0</v>
          </cell>
          <cell r="AV6133">
            <v>0</v>
          </cell>
        </row>
        <row r="6134">
          <cell r="E6134" t="str">
            <v>D25018655</v>
          </cell>
          <cell r="AP6134">
            <v>0</v>
          </cell>
          <cell r="AQ6134">
            <v>0</v>
          </cell>
          <cell r="AV6134">
            <v>1265000</v>
          </cell>
        </row>
        <row r="6135">
          <cell r="E6135" t="str">
            <v>B26000006</v>
          </cell>
          <cell r="AP6135">
            <v>0</v>
          </cell>
          <cell r="AQ6135">
            <v>0</v>
          </cell>
          <cell r="AV6135">
            <v>0</v>
          </cell>
        </row>
        <row r="6136">
          <cell r="E6136" t="str">
            <v>D26002333</v>
          </cell>
          <cell r="AP6136">
            <v>0</v>
          </cell>
          <cell r="AQ6136">
            <v>0</v>
          </cell>
          <cell r="AV6136">
            <v>0</v>
          </cell>
        </row>
        <row r="6137">
          <cell r="E6137" t="str">
            <v>B26001702</v>
          </cell>
          <cell r="AP6137">
            <v>0</v>
          </cell>
          <cell r="AQ6137">
            <v>0</v>
          </cell>
          <cell r="AV6137">
            <v>3750000</v>
          </cell>
        </row>
        <row r="6138">
          <cell r="E6138" t="str">
            <v>B26001309</v>
          </cell>
          <cell r="AP6138">
            <v>0</v>
          </cell>
          <cell r="AQ6138">
            <v>0</v>
          </cell>
          <cell r="AV6138">
            <v>0</v>
          </cell>
        </row>
        <row r="6139">
          <cell r="E6139" t="str">
            <v>D26000429</v>
          </cell>
          <cell r="AP6139">
            <v>0</v>
          </cell>
          <cell r="AQ6139">
            <v>0</v>
          </cell>
          <cell r="AV6139">
            <v>0</v>
          </cell>
        </row>
        <row r="6140">
          <cell r="E6140" t="str">
            <v>B26001839</v>
          </cell>
          <cell r="AP6140">
            <v>0</v>
          </cell>
          <cell r="AQ6140">
            <v>0</v>
          </cell>
          <cell r="AV6140">
            <v>650000</v>
          </cell>
        </row>
        <row r="6141">
          <cell r="E6141" t="str">
            <v>B26001865</v>
          </cell>
          <cell r="AP6141">
            <v>0</v>
          </cell>
          <cell r="AQ6141">
            <v>0</v>
          </cell>
          <cell r="AV6141">
            <v>1220000</v>
          </cell>
        </row>
        <row r="6142">
          <cell r="E6142" t="str">
            <v>B26001978</v>
          </cell>
          <cell r="AP6142">
            <v>0</v>
          </cell>
          <cell r="AQ6142">
            <v>0</v>
          </cell>
          <cell r="AV6142">
            <v>1203000</v>
          </cell>
        </row>
        <row r="6143">
          <cell r="E6143" t="str">
            <v>B26002227</v>
          </cell>
          <cell r="AP6143">
            <v>0</v>
          </cell>
          <cell r="AQ6143">
            <v>0</v>
          </cell>
          <cell r="AV6143">
            <v>0</v>
          </cell>
        </row>
        <row r="6144">
          <cell r="E6144" t="str">
            <v>B26002249</v>
          </cell>
          <cell r="AP6144">
            <v>0</v>
          </cell>
          <cell r="AQ6144">
            <v>0</v>
          </cell>
          <cell r="AV6144">
            <v>0</v>
          </cell>
        </row>
        <row r="6145">
          <cell r="E6145" t="str">
            <v>B25014885</v>
          </cell>
          <cell r="AP6145">
            <v>0</v>
          </cell>
          <cell r="AQ6145">
            <v>0</v>
          </cell>
          <cell r="AV6145">
            <v>7339825</v>
          </cell>
        </row>
        <row r="6146">
          <cell r="E6146" t="str">
            <v>B25014906</v>
          </cell>
          <cell r="AP6146">
            <v>0</v>
          </cell>
          <cell r="AQ6146">
            <v>0</v>
          </cell>
          <cell r="AV6146">
            <v>39050000</v>
          </cell>
        </row>
        <row r="6147">
          <cell r="E6147" t="str">
            <v>D25017502</v>
          </cell>
          <cell r="AP6147">
            <v>0</v>
          </cell>
          <cell r="AQ6147">
            <v>0</v>
          </cell>
          <cell r="AV6147">
            <v>32000000</v>
          </cell>
        </row>
        <row r="6148">
          <cell r="E6148" t="str">
            <v>B25015265</v>
          </cell>
          <cell r="AP6148">
            <v>0</v>
          </cell>
          <cell r="AQ6148">
            <v>0</v>
          </cell>
          <cell r="AV6148">
            <v>23310000</v>
          </cell>
        </row>
        <row r="6149">
          <cell r="E6149" t="str">
            <v>B25015320</v>
          </cell>
          <cell r="AP6149">
            <v>0</v>
          </cell>
          <cell r="AQ6149">
            <v>0</v>
          </cell>
          <cell r="AV6149">
            <v>97125000</v>
          </cell>
        </row>
        <row r="6150">
          <cell r="E6150" t="str">
            <v>D25017811</v>
          </cell>
          <cell r="AP6150">
            <v>0</v>
          </cell>
          <cell r="AQ6150">
            <v>0</v>
          </cell>
          <cell r="AV6150">
            <v>0</v>
          </cell>
        </row>
        <row r="6151">
          <cell r="E6151" t="str">
            <v>D25017841</v>
          </cell>
          <cell r="AP6151">
            <v>0</v>
          </cell>
          <cell r="AQ6151">
            <v>0</v>
          </cell>
          <cell r="AV6151">
            <v>0</v>
          </cell>
        </row>
        <row r="6152">
          <cell r="E6152" t="str">
            <v>B25015718</v>
          </cell>
          <cell r="AP6152">
            <v>0</v>
          </cell>
          <cell r="AQ6152">
            <v>0</v>
          </cell>
          <cell r="AV6152">
            <v>0</v>
          </cell>
        </row>
        <row r="6153">
          <cell r="E6153" t="str">
            <v>B25015859</v>
          </cell>
          <cell r="AP6153">
            <v>0</v>
          </cell>
          <cell r="AQ6153">
            <v>0</v>
          </cell>
          <cell r="AV6153">
            <v>1175175</v>
          </cell>
        </row>
        <row r="6154">
          <cell r="E6154" t="str">
            <v>D25018274</v>
          </cell>
          <cell r="AP6154">
            <v>0</v>
          </cell>
          <cell r="AQ6154">
            <v>0</v>
          </cell>
          <cell r="AV6154">
            <v>0</v>
          </cell>
        </row>
        <row r="6155">
          <cell r="E6155" t="str">
            <v>B25016836</v>
          </cell>
          <cell r="AP6155">
            <v>0</v>
          </cell>
          <cell r="AQ6155">
            <v>0</v>
          </cell>
          <cell r="AV6155">
            <v>0</v>
          </cell>
        </row>
        <row r="6156">
          <cell r="E6156" t="str">
            <v>B25016874</v>
          </cell>
          <cell r="AP6156">
            <v>0</v>
          </cell>
          <cell r="AQ6156">
            <v>0</v>
          </cell>
          <cell r="AV6156">
            <v>0</v>
          </cell>
        </row>
        <row r="6157">
          <cell r="E6157" t="str">
            <v>B26000337</v>
          </cell>
          <cell r="AP6157">
            <v>0</v>
          </cell>
          <cell r="AQ6157">
            <v>0</v>
          </cell>
          <cell r="AV6157">
            <v>0</v>
          </cell>
        </row>
        <row r="6158">
          <cell r="E6158" t="str">
            <v>D26000722</v>
          </cell>
          <cell r="AP6158">
            <v>0</v>
          </cell>
          <cell r="AQ6158">
            <v>0</v>
          </cell>
          <cell r="AV6158">
            <v>0</v>
          </cell>
        </row>
        <row r="6159">
          <cell r="E6159" t="str">
            <v>D26000854</v>
          </cell>
          <cell r="AP6159">
            <v>0</v>
          </cell>
          <cell r="AQ6159">
            <v>0</v>
          </cell>
          <cell r="AV6159">
            <v>0</v>
          </cell>
        </row>
        <row r="6160">
          <cell r="E6160" t="str">
            <v>B26001867</v>
          </cell>
          <cell r="AP6160">
            <v>0</v>
          </cell>
          <cell r="AQ6160">
            <v>0</v>
          </cell>
          <cell r="AV6160">
            <v>0</v>
          </cell>
        </row>
        <row r="6161">
          <cell r="E6161" t="str">
            <v>D26001994</v>
          </cell>
          <cell r="AP6161">
            <v>0</v>
          </cell>
          <cell r="AQ6161">
            <v>0</v>
          </cell>
          <cell r="AV6161">
            <v>0</v>
          </cell>
        </row>
        <row r="6162">
          <cell r="E6162" t="str">
            <v>B26001975</v>
          </cell>
          <cell r="AP6162">
            <v>0</v>
          </cell>
          <cell r="AQ6162">
            <v>0</v>
          </cell>
          <cell r="AV6162">
            <v>0</v>
          </cell>
        </row>
        <row r="6163">
          <cell r="E6163" t="str">
            <v>D26002104</v>
          </cell>
          <cell r="AP6163">
            <v>0</v>
          </cell>
          <cell r="AQ6163">
            <v>0</v>
          </cell>
          <cell r="AV6163">
            <v>0</v>
          </cell>
        </row>
        <row r="6164">
          <cell r="E6164" t="str">
            <v>D26002112</v>
          </cell>
          <cell r="AP6164">
            <v>0</v>
          </cell>
          <cell r="AQ6164">
            <v>0</v>
          </cell>
          <cell r="AV6164">
            <v>0</v>
          </cell>
        </row>
        <row r="6165">
          <cell r="E6165" t="str">
            <v>D26002201</v>
          </cell>
          <cell r="AP6165">
            <v>0</v>
          </cell>
          <cell r="AQ6165">
            <v>0</v>
          </cell>
          <cell r="AV6165">
            <v>0</v>
          </cell>
        </row>
        <row r="6166">
          <cell r="E6166" t="str">
            <v>D26002215</v>
          </cell>
          <cell r="AP6166">
            <v>0</v>
          </cell>
          <cell r="AQ6166">
            <v>0</v>
          </cell>
          <cell r="AV6166">
            <v>0</v>
          </cell>
        </row>
        <row r="6167">
          <cell r="E6167" t="str">
            <v>D26002411</v>
          </cell>
          <cell r="AP6167">
            <v>0</v>
          </cell>
          <cell r="AQ6167">
            <v>0</v>
          </cell>
          <cell r="AV6167">
            <v>0</v>
          </cell>
        </row>
        <row r="6168">
          <cell r="E6168" t="str">
            <v>D26000362</v>
          </cell>
          <cell r="AP6168">
            <v>0</v>
          </cell>
          <cell r="AQ6168">
            <v>0</v>
          </cell>
          <cell r="AV6168">
            <v>0</v>
          </cell>
        </row>
        <row r="6169">
          <cell r="E6169" t="str">
            <v>D26000822</v>
          </cell>
          <cell r="AP6169">
            <v>0</v>
          </cell>
          <cell r="AQ6169">
            <v>0</v>
          </cell>
          <cell r="AV6169">
            <v>0</v>
          </cell>
        </row>
        <row r="6170">
          <cell r="E6170" t="str">
            <v>B26001799</v>
          </cell>
          <cell r="AP6170">
            <v>0</v>
          </cell>
          <cell r="AQ6170">
            <v>0</v>
          </cell>
          <cell r="AV6170">
            <v>1430000</v>
          </cell>
        </row>
        <row r="6171">
          <cell r="E6171" t="str">
            <v>B26001800</v>
          </cell>
          <cell r="AP6171">
            <v>0</v>
          </cell>
          <cell r="AQ6171">
            <v>0</v>
          </cell>
          <cell r="AV6171">
            <v>540000</v>
          </cell>
        </row>
        <row r="6172">
          <cell r="E6172" t="str">
            <v>B26001862</v>
          </cell>
          <cell r="AP6172">
            <v>0</v>
          </cell>
          <cell r="AQ6172">
            <v>0</v>
          </cell>
          <cell r="AV6172">
            <v>1140000</v>
          </cell>
        </row>
        <row r="6173">
          <cell r="E6173" t="str">
            <v>B26002078</v>
          </cell>
          <cell r="AP6173">
            <v>0</v>
          </cell>
          <cell r="AQ6173">
            <v>0</v>
          </cell>
          <cell r="AV6173">
            <v>3000000</v>
          </cell>
        </row>
        <row r="6174">
          <cell r="E6174" t="str">
            <v>B25016188</v>
          </cell>
          <cell r="AP6174">
            <v>0</v>
          </cell>
          <cell r="AQ6174">
            <v>0</v>
          </cell>
          <cell r="AV6174">
            <v>8560000</v>
          </cell>
        </row>
        <row r="6175">
          <cell r="E6175" t="str">
            <v>B26000859</v>
          </cell>
          <cell r="AP6175">
            <v>0</v>
          </cell>
          <cell r="AQ6175">
            <v>0</v>
          </cell>
          <cell r="AV6175">
            <v>0</v>
          </cell>
        </row>
        <row r="6176">
          <cell r="E6176" t="str">
            <v>T25001868</v>
          </cell>
          <cell r="AP6176">
            <v>0</v>
          </cell>
          <cell r="AQ6176">
            <v>0</v>
          </cell>
          <cell r="AV6176">
            <v>0</v>
          </cell>
        </row>
        <row r="6177">
          <cell r="E6177" t="str">
            <v>D25018771</v>
          </cell>
          <cell r="AP6177">
            <v>0</v>
          </cell>
          <cell r="AQ6177">
            <v>0</v>
          </cell>
          <cell r="AV6177">
            <v>0</v>
          </cell>
        </row>
        <row r="6178">
          <cell r="E6178" t="str">
            <v>T26000066k</v>
          </cell>
          <cell r="AP6178">
            <v>0</v>
          </cell>
          <cell r="AQ6178">
            <v>0</v>
          </cell>
          <cell r="AV6178">
            <v>0</v>
          </cell>
        </row>
        <row r="6179">
          <cell r="E6179" t="str">
            <v>B26001273</v>
          </cell>
          <cell r="AP6179">
            <v>0</v>
          </cell>
          <cell r="AQ6179">
            <v>0</v>
          </cell>
          <cell r="AV6179">
            <v>0</v>
          </cell>
        </row>
        <row r="6180">
          <cell r="E6180" t="str">
            <v>B26001831</v>
          </cell>
          <cell r="AP6180">
            <v>0</v>
          </cell>
          <cell r="AQ6180">
            <v>0</v>
          </cell>
          <cell r="AV6180">
            <v>0</v>
          </cell>
        </row>
        <row r="6181">
          <cell r="E6181" t="str">
            <v>D26002132</v>
          </cell>
          <cell r="AP6181">
            <v>0</v>
          </cell>
          <cell r="AQ6181">
            <v>0</v>
          </cell>
          <cell r="AV6181">
            <v>9000000</v>
          </cell>
        </row>
        <row r="6182">
          <cell r="E6182" t="str">
            <v>T25001818</v>
          </cell>
          <cell r="AP6182">
            <v>0</v>
          </cell>
          <cell r="AQ6182">
            <v>0</v>
          </cell>
          <cell r="AV6182">
            <v>0</v>
          </cell>
        </row>
        <row r="6183">
          <cell r="E6183" t="str">
            <v>D26001692</v>
          </cell>
          <cell r="AP6183">
            <v>0</v>
          </cell>
          <cell r="AQ6183">
            <v>0</v>
          </cell>
          <cell r="AV6183">
            <v>40000000</v>
          </cell>
        </row>
        <row r="6184">
          <cell r="E6184" t="str">
            <v>D26001692</v>
          </cell>
          <cell r="AP6184">
            <v>0</v>
          </cell>
          <cell r="AQ6184">
            <v>0</v>
          </cell>
          <cell r="AV6184">
            <v>100000000</v>
          </cell>
        </row>
        <row r="6185">
          <cell r="E6185" t="str">
            <v>D26001692</v>
          </cell>
          <cell r="AP6185">
            <v>0</v>
          </cell>
          <cell r="AQ6185">
            <v>0</v>
          </cell>
          <cell r="AV6185">
            <v>40500000</v>
          </cell>
        </row>
        <row r="6186">
          <cell r="E6186" t="str">
            <v>B26001944</v>
          </cell>
          <cell r="AP6186">
            <v>0</v>
          </cell>
          <cell r="AQ6186">
            <v>0</v>
          </cell>
          <cell r="AV6186">
            <v>0</v>
          </cell>
        </row>
        <row r="6187">
          <cell r="E6187" t="str">
            <v>B26001963</v>
          </cell>
          <cell r="AP6187">
            <v>0</v>
          </cell>
          <cell r="AQ6187">
            <v>0</v>
          </cell>
          <cell r="AV6187">
            <v>0</v>
          </cell>
        </row>
        <row r="6188">
          <cell r="E6188" t="str">
            <v>B26002179</v>
          </cell>
          <cell r="AP6188">
            <v>0</v>
          </cell>
          <cell r="AQ6188">
            <v>0</v>
          </cell>
          <cell r="AV6188">
            <v>0</v>
          </cell>
        </row>
        <row r="6189">
          <cell r="E6189" t="str">
            <v>B26000454</v>
          </cell>
          <cell r="AP6189">
            <v>0</v>
          </cell>
          <cell r="AQ6189">
            <v>0</v>
          </cell>
          <cell r="AV6189">
            <v>0</v>
          </cell>
        </row>
        <row r="6190">
          <cell r="E6190" t="str">
            <v>T25001515k</v>
          </cell>
          <cell r="AP6190">
            <v>0</v>
          </cell>
          <cell r="AQ6190">
            <v>0</v>
          </cell>
          <cell r="AV6190">
            <v>0</v>
          </cell>
        </row>
        <row r="6191">
          <cell r="E6191" t="str">
            <v>T25001519K</v>
          </cell>
          <cell r="AP6191">
            <v>0</v>
          </cell>
          <cell r="AQ6191">
            <v>0</v>
          </cell>
          <cell r="AV6191">
            <v>0</v>
          </cell>
        </row>
        <row r="6192">
          <cell r="E6192" t="str">
            <v>D26001011</v>
          </cell>
          <cell r="AP6192">
            <v>0</v>
          </cell>
          <cell r="AQ6192">
            <v>0</v>
          </cell>
          <cell r="AV6192">
            <v>9800000</v>
          </cell>
        </row>
        <row r="6193">
          <cell r="E6193" t="str">
            <v>B26001009</v>
          </cell>
          <cell r="AP6193">
            <v>0</v>
          </cell>
          <cell r="AQ6193">
            <v>0</v>
          </cell>
          <cell r="AV6193">
            <v>2880000</v>
          </cell>
        </row>
        <row r="6194">
          <cell r="E6194" t="str">
            <v>D26002285</v>
          </cell>
          <cell r="AP6194">
            <v>0</v>
          </cell>
          <cell r="AQ6194">
            <v>0</v>
          </cell>
          <cell r="AV6194">
            <v>0</v>
          </cell>
        </row>
        <row r="6195">
          <cell r="E6195" t="str">
            <v>D26002296</v>
          </cell>
          <cell r="AP6195">
            <v>0</v>
          </cell>
          <cell r="AQ6195">
            <v>0</v>
          </cell>
          <cell r="AV6195">
            <v>0</v>
          </cell>
        </row>
        <row r="6196">
          <cell r="E6196" t="str">
            <v>B26000739</v>
          </cell>
          <cell r="AP6196">
            <v>0</v>
          </cell>
          <cell r="AQ6196">
            <v>0</v>
          </cell>
          <cell r="AV6196">
            <v>20830000</v>
          </cell>
        </row>
        <row r="6197">
          <cell r="E6197" t="str">
            <v>B26001298</v>
          </cell>
          <cell r="AP6197">
            <v>0</v>
          </cell>
          <cell r="AQ6197">
            <v>0</v>
          </cell>
          <cell r="AV6197">
            <v>0</v>
          </cell>
        </row>
        <row r="6198">
          <cell r="E6198" t="str">
            <v>D26001646</v>
          </cell>
          <cell r="AP6198">
            <v>0</v>
          </cell>
          <cell r="AQ6198">
            <v>0</v>
          </cell>
          <cell r="AV6198">
            <v>0</v>
          </cell>
        </row>
        <row r="6199">
          <cell r="E6199" t="str">
            <v>B25013109</v>
          </cell>
          <cell r="AP6199">
            <v>0</v>
          </cell>
          <cell r="AQ6199">
            <v>0</v>
          </cell>
          <cell r="AV6199">
            <v>12735000</v>
          </cell>
        </row>
        <row r="6200">
          <cell r="E6200" t="str">
            <v>B25013109</v>
          </cell>
          <cell r="AP6200">
            <v>0</v>
          </cell>
          <cell r="AQ6200">
            <v>0</v>
          </cell>
          <cell r="AV6200">
            <v>10000000</v>
          </cell>
        </row>
        <row r="6201">
          <cell r="E6201" t="str">
            <v>B25013109</v>
          </cell>
          <cell r="AP6201">
            <v>0</v>
          </cell>
          <cell r="AQ6201">
            <v>0</v>
          </cell>
          <cell r="AV6201">
            <v>10000000</v>
          </cell>
        </row>
        <row r="6202">
          <cell r="E6202" t="str">
            <v>D25015675</v>
          </cell>
          <cell r="AP6202">
            <v>0</v>
          </cell>
          <cell r="AQ6202">
            <v>0</v>
          </cell>
          <cell r="AV6202">
            <v>0</v>
          </cell>
        </row>
        <row r="6203">
          <cell r="E6203" t="str">
            <v>B25014895</v>
          </cell>
          <cell r="AP6203">
            <v>0</v>
          </cell>
          <cell r="AQ6203">
            <v>0</v>
          </cell>
          <cell r="AV6203">
            <v>0</v>
          </cell>
        </row>
        <row r="6204">
          <cell r="E6204" t="str">
            <v>D25017233</v>
          </cell>
          <cell r="AP6204">
            <v>0</v>
          </cell>
          <cell r="AQ6204">
            <v>0</v>
          </cell>
          <cell r="AV6204">
            <v>0</v>
          </cell>
        </row>
        <row r="6205">
          <cell r="E6205" t="str">
            <v>B25015497</v>
          </cell>
          <cell r="AP6205">
            <v>0</v>
          </cell>
          <cell r="AQ6205">
            <v>0</v>
          </cell>
          <cell r="AV6205">
            <v>0</v>
          </cell>
        </row>
        <row r="6206">
          <cell r="E6206" t="str">
            <v>B25015498</v>
          </cell>
          <cell r="AP6206">
            <v>0</v>
          </cell>
          <cell r="AQ6206">
            <v>0</v>
          </cell>
          <cell r="AV6206">
            <v>0</v>
          </cell>
        </row>
        <row r="6207">
          <cell r="E6207" t="str">
            <v>B25015508</v>
          </cell>
          <cell r="AP6207">
            <v>0</v>
          </cell>
          <cell r="AQ6207">
            <v>0</v>
          </cell>
          <cell r="AV6207">
            <v>0</v>
          </cell>
        </row>
        <row r="6208">
          <cell r="E6208" t="str">
            <v>B25015667</v>
          </cell>
          <cell r="AP6208">
            <v>0</v>
          </cell>
          <cell r="AQ6208">
            <v>0</v>
          </cell>
          <cell r="AV6208">
            <v>0</v>
          </cell>
        </row>
        <row r="6209">
          <cell r="E6209" t="str">
            <v>B25015981</v>
          </cell>
          <cell r="AP6209">
            <v>0</v>
          </cell>
          <cell r="AQ6209">
            <v>0</v>
          </cell>
          <cell r="AV6209">
            <v>0</v>
          </cell>
        </row>
        <row r="6210">
          <cell r="E6210" t="str">
            <v>T25001821</v>
          </cell>
          <cell r="AP6210">
            <v>0</v>
          </cell>
          <cell r="AQ6210">
            <v>0</v>
          </cell>
          <cell r="AV6210">
            <v>0</v>
          </cell>
        </row>
        <row r="6211">
          <cell r="E6211" t="str">
            <v>D25018765</v>
          </cell>
          <cell r="AP6211">
            <v>0</v>
          </cell>
          <cell r="AQ6211">
            <v>0</v>
          </cell>
          <cell r="AV6211">
            <v>0</v>
          </cell>
        </row>
        <row r="6212">
          <cell r="E6212" t="str">
            <v>B25016753</v>
          </cell>
          <cell r="AP6212">
            <v>0</v>
          </cell>
          <cell r="AQ6212">
            <v>0</v>
          </cell>
          <cell r="AV6212">
            <v>0</v>
          </cell>
        </row>
        <row r="6213">
          <cell r="E6213" t="str">
            <v>T25001877</v>
          </cell>
          <cell r="AP6213">
            <v>0</v>
          </cell>
          <cell r="AQ6213">
            <v>0</v>
          </cell>
          <cell r="AV6213">
            <v>0</v>
          </cell>
        </row>
        <row r="6214">
          <cell r="E6214" t="str">
            <v>B25016907</v>
          </cell>
          <cell r="AP6214">
            <v>0</v>
          </cell>
          <cell r="AQ6214">
            <v>0</v>
          </cell>
          <cell r="AV6214">
            <v>0</v>
          </cell>
        </row>
        <row r="6215">
          <cell r="E6215" t="str">
            <v>B25016909</v>
          </cell>
          <cell r="AP6215">
            <v>0</v>
          </cell>
          <cell r="AQ6215">
            <v>0</v>
          </cell>
          <cell r="AV6215">
            <v>0</v>
          </cell>
        </row>
        <row r="6216">
          <cell r="E6216" t="str">
            <v>D26000033</v>
          </cell>
          <cell r="AP6216">
            <v>0</v>
          </cell>
          <cell r="AQ6216">
            <v>0</v>
          </cell>
          <cell r="AV6216">
            <v>0</v>
          </cell>
        </row>
        <row r="6217">
          <cell r="E6217" t="str">
            <v>D26000041</v>
          </cell>
          <cell r="AP6217">
            <v>0</v>
          </cell>
          <cell r="AQ6217">
            <v>0</v>
          </cell>
          <cell r="AV6217">
            <v>0</v>
          </cell>
        </row>
        <row r="6218">
          <cell r="E6218" t="str">
            <v>D26000042</v>
          </cell>
          <cell r="AP6218">
            <v>0</v>
          </cell>
          <cell r="AQ6218">
            <v>0</v>
          </cell>
          <cell r="AV6218">
            <v>0</v>
          </cell>
        </row>
        <row r="6219">
          <cell r="E6219" t="str">
            <v>B26000271</v>
          </cell>
          <cell r="AP6219">
            <v>0</v>
          </cell>
          <cell r="AQ6219">
            <v>0</v>
          </cell>
          <cell r="AV6219">
            <v>0</v>
          </cell>
        </row>
        <row r="6220">
          <cell r="E6220" t="str">
            <v>B26000335</v>
          </cell>
          <cell r="AP6220">
            <v>0</v>
          </cell>
          <cell r="AQ6220">
            <v>0</v>
          </cell>
          <cell r="AV6220">
            <v>0</v>
          </cell>
        </row>
        <row r="6221">
          <cell r="E6221" t="str">
            <v>D26000591</v>
          </cell>
          <cell r="AP6221">
            <v>0</v>
          </cell>
          <cell r="AQ6221">
            <v>0</v>
          </cell>
          <cell r="AV6221">
            <v>0</v>
          </cell>
        </row>
        <row r="6222">
          <cell r="E6222" t="str">
            <v>D26000816</v>
          </cell>
          <cell r="AP6222">
            <v>0</v>
          </cell>
          <cell r="AQ6222">
            <v>0</v>
          </cell>
          <cell r="AV6222">
            <v>0</v>
          </cell>
        </row>
        <row r="6223">
          <cell r="E6223" t="str">
            <v>D26000831</v>
          </cell>
          <cell r="AP6223">
            <v>0</v>
          </cell>
          <cell r="AQ6223">
            <v>0</v>
          </cell>
          <cell r="AV6223">
            <v>0</v>
          </cell>
        </row>
        <row r="6224">
          <cell r="E6224" t="str">
            <v>B26001161</v>
          </cell>
          <cell r="AP6224">
            <v>0</v>
          </cell>
          <cell r="AQ6224">
            <v>0</v>
          </cell>
          <cell r="AV6224">
            <v>0</v>
          </cell>
        </row>
        <row r="6225">
          <cell r="E6225" t="str">
            <v>D26001238</v>
          </cell>
          <cell r="AP6225">
            <v>0</v>
          </cell>
          <cell r="AQ6225">
            <v>0</v>
          </cell>
          <cell r="AV6225">
            <v>0</v>
          </cell>
        </row>
        <row r="6226">
          <cell r="E6226" t="str">
            <v>D26001378</v>
          </cell>
          <cell r="AP6226">
            <v>0</v>
          </cell>
          <cell r="AQ6226">
            <v>0</v>
          </cell>
          <cell r="AV6226">
            <v>0</v>
          </cell>
        </row>
        <row r="6227">
          <cell r="E6227" t="str">
            <v>D26001908</v>
          </cell>
          <cell r="AP6227">
            <v>0</v>
          </cell>
          <cell r="AQ6227">
            <v>0</v>
          </cell>
          <cell r="AV6227">
            <v>0</v>
          </cell>
        </row>
        <row r="6228">
          <cell r="E6228" t="str">
            <v>B26001950</v>
          </cell>
          <cell r="AP6228">
            <v>0</v>
          </cell>
          <cell r="AQ6228">
            <v>0</v>
          </cell>
          <cell r="AV6228">
            <v>0</v>
          </cell>
        </row>
        <row r="6229">
          <cell r="E6229" t="str">
            <v>D26002060</v>
          </cell>
          <cell r="AP6229">
            <v>0</v>
          </cell>
          <cell r="AQ6229">
            <v>0</v>
          </cell>
          <cell r="AV6229">
            <v>0</v>
          </cell>
        </row>
        <row r="6230">
          <cell r="E6230" t="str">
            <v>D25018155</v>
          </cell>
          <cell r="AP6230">
            <v>0</v>
          </cell>
          <cell r="AQ6230">
            <v>0</v>
          </cell>
          <cell r="AV6230">
            <v>0</v>
          </cell>
        </row>
        <row r="6231">
          <cell r="E6231" t="str">
            <v>B25015911</v>
          </cell>
          <cell r="AP6231">
            <v>0</v>
          </cell>
          <cell r="AQ6231">
            <v>0</v>
          </cell>
          <cell r="AV6231">
            <v>0</v>
          </cell>
        </row>
        <row r="6232">
          <cell r="E6232" t="str">
            <v>B25016190</v>
          </cell>
          <cell r="AP6232">
            <v>0</v>
          </cell>
          <cell r="AQ6232">
            <v>0</v>
          </cell>
          <cell r="AV6232">
            <v>0</v>
          </cell>
        </row>
        <row r="6233">
          <cell r="E6233" t="str">
            <v>D26000593</v>
          </cell>
          <cell r="AP6233">
            <v>0</v>
          </cell>
          <cell r="AQ6233">
            <v>0</v>
          </cell>
          <cell r="AV6233">
            <v>0</v>
          </cell>
        </row>
        <row r="6234">
          <cell r="E6234" t="str">
            <v>D26000732</v>
          </cell>
          <cell r="AP6234">
            <v>0</v>
          </cell>
          <cell r="AQ6234">
            <v>0</v>
          </cell>
          <cell r="AV6234">
            <v>0</v>
          </cell>
        </row>
        <row r="6235">
          <cell r="E6235" t="str">
            <v>B26000718</v>
          </cell>
          <cell r="AP6235">
            <v>0</v>
          </cell>
          <cell r="AQ6235">
            <v>0</v>
          </cell>
          <cell r="AV6235">
            <v>0</v>
          </cell>
        </row>
        <row r="6236">
          <cell r="E6236" t="str">
            <v>D26001206</v>
          </cell>
          <cell r="AP6236">
            <v>0</v>
          </cell>
          <cell r="AQ6236">
            <v>0</v>
          </cell>
          <cell r="AV6236">
            <v>0</v>
          </cell>
        </row>
        <row r="6237">
          <cell r="E6237" t="str">
            <v>B26001142</v>
          </cell>
          <cell r="AP6237">
            <v>0</v>
          </cell>
          <cell r="AQ6237">
            <v>0</v>
          </cell>
          <cell r="AV6237">
            <v>0</v>
          </cell>
        </row>
        <row r="6238">
          <cell r="E6238" t="str">
            <v>B26001158</v>
          </cell>
          <cell r="AP6238">
            <v>0</v>
          </cell>
          <cell r="AQ6238">
            <v>0</v>
          </cell>
          <cell r="AV6238">
            <v>0</v>
          </cell>
        </row>
        <row r="6239">
          <cell r="E6239" t="str">
            <v>D26001411</v>
          </cell>
          <cell r="AP6239">
            <v>0</v>
          </cell>
          <cell r="AQ6239">
            <v>0</v>
          </cell>
          <cell r="AV6239">
            <v>0</v>
          </cell>
        </row>
        <row r="6240">
          <cell r="E6240" t="str">
            <v>D26001470</v>
          </cell>
          <cell r="AP6240">
            <v>0</v>
          </cell>
          <cell r="AQ6240">
            <v>0</v>
          </cell>
          <cell r="AV6240">
            <v>0</v>
          </cell>
        </row>
        <row r="6241">
          <cell r="E6241" t="str">
            <v>D26000488</v>
          </cell>
          <cell r="AP6241">
            <v>0</v>
          </cell>
          <cell r="AQ6241">
            <v>0</v>
          </cell>
          <cell r="AV6241">
            <v>0</v>
          </cell>
        </row>
        <row r="6242">
          <cell r="E6242" t="str">
            <v>D26000489</v>
          </cell>
          <cell r="AP6242">
            <v>0</v>
          </cell>
          <cell r="AQ6242">
            <v>0</v>
          </cell>
          <cell r="AV6242">
            <v>0</v>
          </cell>
        </row>
        <row r="6243">
          <cell r="E6243" t="str">
            <v>D25018575</v>
          </cell>
          <cell r="AP6243">
            <v>0</v>
          </cell>
          <cell r="AQ6243">
            <v>0</v>
          </cell>
          <cell r="AV6243">
            <v>6500000</v>
          </cell>
        </row>
        <row r="6244">
          <cell r="E6244" t="str">
            <v>D25019428</v>
          </cell>
          <cell r="AP6244">
            <v>0</v>
          </cell>
          <cell r="AQ6244">
            <v>0</v>
          </cell>
          <cell r="AV6244">
            <v>0</v>
          </cell>
        </row>
        <row r="6245">
          <cell r="E6245" t="str">
            <v>B25016970</v>
          </cell>
          <cell r="AP6245">
            <v>0</v>
          </cell>
          <cell r="AQ6245">
            <v>0</v>
          </cell>
          <cell r="AV6245">
            <v>0</v>
          </cell>
        </row>
        <row r="6246">
          <cell r="E6246" t="str">
            <v>B26000386</v>
          </cell>
          <cell r="AP6246">
            <v>0</v>
          </cell>
          <cell r="AQ6246">
            <v>0</v>
          </cell>
          <cell r="AV6246">
            <v>21592800</v>
          </cell>
        </row>
        <row r="6247">
          <cell r="E6247" t="str">
            <v>B26000388</v>
          </cell>
          <cell r="AP6247">
            <v>0</v>
          </cell>
          <cell r="AQ6247">
            <v>0</v>
          </cell>
          <cell r="AV6247">
            <v>0</v>
          </cell>
        </row>
        <row r="6248">
          <cell r="E6248" t="str">
            <v>B26000443</v>
          </cell>
          <cell r="AP6248">
            <v>0</v>
          </cell>
          <cell r="AQ6248">
            <v>0</v>
          </cell>
          <cell r="AV6248">
            <v>0</v>
          </cell>
        </row>
        <row r="6249">
          <cell r="E6249" t="str">
            <v>B26000476</v>
          </cell>
          <cell r="AP6249">
            <v>0</v>
          </cell>
          <cell r="AQ6249">
            <v>0</v>
          </cell>
          <cell r="AV6249">
            <v>0</v>
          </cell>
        </row>
        <row r="6250">
          <cell r="E6250" t="str">
            <v>B26001014</v>
          </cell>
          <cell r="AP6250">
            <v>0</v>
          </cell>
          <cell r="AQ6250">
            <v>0</v>
          </cell>
          <cell r="AV6250">
            <v>0</v>
          </cell>
        </row>
        <row r="6251">
          <cell r="E6251" t="str">
            <v>B26001027</v>
          </cell>
          <cell r="AP6251">
            <v>0</v>
          </cell>
          <cell r="AQ6251">
            <v>0</v>
          </cell>
          <cell r="AV6251">
            <v>0</v>
          </cell>
        </row>
        <row r="6252">
          <cell r="E6252" t="str">
            <v>T26000101</v>
          </cell>
          <cell r="AP6252">
            <v>0</v>
          </cell>
          <cell r="AQ6252">
            <v>0</v>
          </cell>
          <cell r="AV6252">
            <v>0</v>
          </cell>
        </row>
        <row r="6253">
          <cell r="E6253" t="str">
            <v>B26001926</v>
          </cell>
          <cell r="AP6253">
            <v>0</v>
          </cell>
          <cell r="AQ6253">
            <v>0</v>
          </cell>
          <cell r="AV6253">
            <v>0</v>
          </cell>
        </row>
        <row r="6254">
          <cell r="E6254" t="str">
            <v>B26001927</v>
          </cell>
          <cell r="AP6254">
            <v>0</v>
          </cell>
          <cell r="AQ6254">
            <v>0</v>
          </cell>
          <cell r="AV6254">
            <v>0</v>
          </cell>
        </row>
        <row r="6255">
          <cell r="E6255" t="str">
            <v>B26001994</v>
          </cell>
          <cell r="AP6255">
            <v>0</v>
          </cell>
          <cell r="AQ6255">
            <v>0</v>
          </cell>
          <cell r="AV6255">
            <v>0</v>
          </cell>
        </row>
        <row r="6256">
          <cell r="E6256" t="str">
            <v>B25014153</v>
          </cell>
          <cell r="AP6256">
            <v>0</v>
          </cell>
          <cell r="AQ6256">
            <v>0</v>
          </cell>
          <cell r="AV6256">
            <v>175700000</v>
          </cell>
        </row>
        <row r="6257">
          <cell r="E6257" t="str">
            <v>B25014153</v>
          </cell>
          <cell r="AP6257">
            <v>0</v>
          </cell>
          <cell r="AQ6257">
            <v>0</v>
          </cell>
          <cell r="AV6257">
            <v>150000000</v>
          </cell>
        </row>
        <row r="6258">
          <cell r="E6258" t="str">
            <v>B25014241</v>
          </cell>
          <cell r="AP6258">
            <v>0</v>
          </cell>
          <cell r="AQ6258">
            <v>0</v>
          </cell>
          <cell r="AV6258">
            <v>0</v>
          </cell>
        </row>
        <row r="6259">
          <cell r="E6259" t="str">
            <v>B25014610</v>
          </cell>
          <cell r="AP6259">
            <v>0</v>
          </cell>
          <cell r="AQ6259">
            <v>0</v>
          </cell>
          <cell r="AV6259">
            <v>0</v>
          </cell>
        </row>
        <row r="6260">
          <cell r="E6260" t="str">
            <v>B25015061</v>
          </cell>
          <cell r="AP6260">
            <v>0</v>
          </cell>
          <cell r="AQ6260">
            <v>0</v>
          </cell>
          <cell r="AV6260">
            <v>0</v>
          </cell>
        </row>
        <row r="6261">
          <cell r="E6261" t="str">
            <v>B25015063</v>
          </cell>
          <cell r="AP6261">
            <v>0</v>
          </cell>
          <cell r="AQ6261">
            <v>0</v>
          </cell>
          <cell r="AV6261">
            <v>0</v>
          </cell>
        </row>
        <row r="6262">
          <cell r="E6262" t="str">
            <v>D25017643</v>
          </cell>
          <cell r="AP6262">
            <v>0</v>
          </cell>
          <cell r="AQ6262">
            <v>0</v>
          </cell>
          <cell r="AV6262">
            <v>0</v>
          </cell>
        </row>
        <row r="6263">
          <cell r="E6263" t="str">
            <v>B25015410</v>
          </cell>
          <cell r="AP6263">
            <v>0</v>
          </cell>
          <cell r="AQ6263">
            <v>0</v>
          </cell>
          <cell r="AV6263">
            <v>0</v>
          </cell>
        </row>
        <row r="6264">
          <cell r="E6264" t="str">
            <v>B25015462</v>
          </cell>
          <cell r="AP6264">
            <v>0</v>
          </cell>
          <cell r="AQ6264">
            <v>0</v>
          </cell>
          <cell r="AV6264">
            <v>0</v>
          </cell>
        </row>
        <row r="6265">
          <cell r="E6265" t="str">
            <v>D25018207</v>
          </cell>
          <cell r="AP6265">
            <v>0</v>
          </cell>
          <cell r="AQ6265">
            <v>0</v>
          </cell>
          <cell r="AV6265">
            <v>0</v>
          </cell>
        </row>
        <row r="6266">
          <cell r="E6266" t="str">
            <v>D25019018</v>
          </cell>
          <cell r="AP6266">
            <v>0</v>
          </cell>
          <cell r="AQ6266">
            <v>0</v>
          </cell>
          <cell r="AV6266">
            <v>0</v>
          </cell>
        </row>
        <row r="6267">
          <cell r="E6267" t="str">
            <v>D25019607</v>
          </cell>
          <cell r="AP6267">
            <v>0</v>
          </cell>
          <cell r="AQ6267">
            <v>0</v>
          </cell>
          <cell r="AV6267">
            <v>0</v>
          </cell>
        </row>
        <row r="6268">
          <cell r="E6268" t="str">
            <v>B26000124</v>
          </cell>
          <cell r="AP6268">
            <v>0</v>
          </cell>
          <cell r="AQ6268">
            <v>0</v>
          </cell>
          <cell r="AV6268">
            <v>0</v>
          </cell>
        </row>
        <row r="6269">
          <cell r="E6269" t="str">
            <v>B26000372</v>
          </cell>
          <cell r="AP6269">
            <v>0</v>
          </cell>
          <cell r="AQ6269">
            <v>0</v>
          </cell>
          <cell r="AV6269">
            <v>0</v>
          </cell>
        </row>
        <row r="6270">
          <cell r="E6270" t="str">
            <v>B26000495</v>
          </cell>
          <cell r="AP6270">
            <v>0</v>
          </cell>
          <cell r="AQ6270">
            <v>0</v>
          </cell>
          <cell r="AV6270">
            <v>0</v>
          </cell>
        </row>
        <row r="6271">
          <cell r="E6271" t="str">
            <v>B26001120</v>
          </cell>
          <cell r="AP6271">
            <v>0</v>
          </cell>
          <cell r="AQ6271">
            <v>0</v>
          </cell>
          <cell r="AV6271">
            <v>0</v>
          </cell>
        </row>
        <row r="6272">
          <cell r="E6272" t="str">
            <v>B26001210</v>
          </cell>
          <cell r="AP6272">
            <v>0</v>
          </cell>
          <cell r="AQ6272">
            <v>0</v>
          </cell>
          <cell r="AV6272">
            <v>0</v>
          </cell>
        </row>
        <row r="6273">
          <cell r="E6273" t="str">
            <v>B26001520</v>
          </cell>
          <cell r="AP6273">
            <v>0</v>
          </cell>
          <cell r="AQ6273">
            <v>0</v>
          </cell>
          <cell r="AV6273">
            <v>0</v>
          </cell>
        </row>
        <row r="6274">
          <cell r="E6274" t="str">
            <v>B26001579</v>
          </cell>
          <cell r="AP6274">
            <v>0</v>
          </cell>
          <cell r="AQ6274">
            <v>0</v>
          </cell>
          <cell r="AV6274">
            <v>0</v>
          </cell>
        </row>
        <row r="6275">
          <cell r="E6275" t="str">
            <v>D26002023</v>
          </cell>
          <cell r="AP6275">
            <v>0</v>
          </cell>
          <cell r="AQ6275">
            <v>0</v>
          </cell>
          <cell r="AV6275">
            <v>66500000</v>
          </cell>
        </row>
        <row r="6276">
          <cell r="E6276" t="str">
            <v>Z26000256</v>
          </cell>
          <cell r="AP6276">
            <v>0</v>
          </cell>
          <cell r="AQ6276">
            <v>0</v>
          </cell>
          <cell r="AV6276">
            <v>12300000</v>
          </cell>
        </row>
        <row r="6277">
          <cell r="E6277" t="str">
            <v>Z26000259</v>
          </cell>
          <cell r="AP6277">
            <v>0</v>
          </cell>
          <cell r="AQ6277">
            <v>0</v>
          </cell>
          <cell r="AV6277">
            <v>3375000</v>
          </cell>
        </row>
        <row r="6278">
          <cell r="E6278" t="str">
            <v>Z26000260</v>
          </cell>
          <cell r="AP6278">
            <v>0</v>
          </cell>
          <cell r="AQ6278">
            <v>0</v>
          </cell>
          <cell r="AV6278">
            <v>21000000</v>
          </cell>
        </row>
        <row r="6279">
          <cell r="E6279" t="str">
            <v>Z26000272</v>
          </cell>
          <cell r="AP6279">
            <v>0</v>
          </cell>
          <cell r="AQ6279">
            <v>0</v>
          </cell>
          <cell r="AV6279">
            <v>14000000</v>
          </cell>
        </row>
        <row r="6280">
          <cell r="E6280" t="str">
            <v>Z26000274</v>
          </cell>
          <cell r="AP6280">
            <v>0</v>
          </cell>
          <cell r="AQ6280">
            <v>0</v>
          </cell>
          <cell r="AV6280">
            <v>5400000</v>
          </cell>
        </row>
        <row r="6281">
          <cell r="E6281" t="str">
            <v>Z26000287</v>
          </cell>
          <cell r="AP6281">
            <v>0</v>
          </cell>
          <cell r="AQ6281">
            <v>0</v>
          </cell>
          <cell r="AV6281">
            <v>2820000</v>
          </cell>
        </row>
        <row r="6282">
          <cell r="E6282" t="str">
            <v>Z26000291</v>
          </cell>
          <cell r="AP6282">
            <v>0</v>
          </cell>
          <cell r="AQ6282">
            <v>0</v>
          </cell>
          <cell r="AV6282">
            <v>0</v>
          </cell>
        </row>
        <row r="6283">
          <cell r="E6283" t="str">
            <v>Z26000320</v>
          </cell>
          <cell r="AP6283">
            <v>0</v>
          </cell>
          <cell r="AQ6283">
            <v>0</v>
          </cell>
          <cell r="AV6283">
            <v>6000000</v>
          </cell>
        </row>
        <row r="6284">
          <cell r="E6284" t="str">
            <v>Z26000370</v>
          </cell>
          <cell r="AP6284">
            <v>0</v>
          </cell>
          <cell r="AQ6284">
            <v>0</v>
          </cell>
          <cell r="AV6284">
            <v>0</v>
          </cell>
        </row>
        <row r="6285">
          <cell r="E6285" t="str">
            <v>Z26000378</v>
          </cell>
          <cell r="AP6285">
            <v>0</v>
          </cell>
          <cell r="AQ6285">
            <v>0</v>
          </cell>
          <cell r="AV6285">
            <v>0</v>
          </cell>
        </row>
        <row r="6286">
          <cell r="E6286" t="str">
            <v>Z26000385</v>
          </cell>
          <cell r="AP6286">
            <v>0</v>
          </cell>
          <cell r="AQ6286">
            <v>0</v>
          </cell>
          <cell r="AV6286">
            <v>28000000</v>
          </cell>
        </row>
        <row r="6287">
          <cell r="E6287" t="str">
            <v>D25018261</v>
          </cell>
          <cell r="AP6287">
            <v>0</v>
          </cell>
          <cell r="AQ6287">
            <v>0</v>
          </cell>
          <cell r="AV6287">
            <v>5250000</v>
          </cell>
        </row>
        <row r="6288">
          <cell r="E6288" t="str">
            <v>B25015917</v>
          </cell>
          <cell r="AP6288">
            <v>0</v>
          </cell>
          <cell r="AQ6288">
            <v>0</v>
          </cell>
          <cell r="AV6288">
            <v>59450000</v>
          </cell>
        </row>
        <row r="6289">
          <cell r="E6289" t="str">
            <v>T25001814</v>
          </cell>
          <cell r="AP6289">
            <v>0</v>
          </cell>
          <cell r="AQ6289">
            <v>0</v>
          </cell>
          <cell r="AV6289">
            <v>3680000</v>
          </cell>
        </row>
        <row r="6290">
          <cell r="E6290" t="str">
            <v>B25016522</v>
          </cell>
          <cell r="AP6290">
            <v>0</v>
          </cell>
          <cell r="AQ6290">
            <v>0</v>
          </cell>
          <cell r="AV6290">
            <v>34650000</v>
          </cell>
        </row>
        <row r="6291">
          <cell r="E6291" t="str">
            <v>D25018976</v>
          </cell>
          <cell r="AP6291">
            <v>0</v>
          </cell>
          <cell r="AQ6291">
            <v>0</v>
          </cell>
          <cell r="AV6291">
            <v>32280000</v>
          </cell>
        </row>
        <row r="6292">
          <cell r="E6292" t="str">
            <v>D25018977</v>
          </cell>
          <cell r="AP6292">
            <v>0</v>
          </cell>
          <cell r="AQ6292">
            <v>0</v>
          </cell>
          <cell r="AV6292">
            <v>13980000</v>
          </cell>
        </row>
        <row r="6293">
          <cell r="E6293" t="str">
            <v>D25019447</v>
          </cell>
          <cell r="AP6293">
            <v>0</v>
          </cell>
          <cell r="AQ6293">
            <v>0</v>
          </cell>
          <cell r="AV6293">
            <v>0</v>
          </cell>
        </row>
        <row r="6294">
          <cell r="E6294" t="str">
            <v>D26000051</v>
          </cell>
          <cell r="AP6294">
            <v>0</v>
          </cell>
          <cell r="AQ6294">
            <v>0</v>
          </cell>
          <cell r="AV6294">
            <v>0</v>
          </cell>
        </row>
        <row r="6295">
          <cell r="E6295" t="str">
            <v>D26000052</v>
          </cell>
          <cell r="AP6295">
            <v>0</v>
          </cell>
          <cell r="AQ6295">
            <v>0</v>
          </cell>
          <cell r="AV6295">
            <v>0</v>
          </cell>
        </row>
        <row r="6296">
          <cell r="E6296" t="str">
            <v>D26000069</v>
          </cell>
          <cell r="AP6296">
            <v>0</v>
          </cell>
          <cell r="AQ6296">
            <v>0</v>
          </cell>
          <cell r="AV6296">
            <v>0</v>
          </cell>
        </row>
        <row r="6297">
          <cell r="E6297" t="str">
            <v>B26000725</v>
          </cell>
          <cell r="AP6297">
            <v>0</v>
          </cell>
          <cell r="AQ6297">
            <v>0</v>
          </cell>
          <cell r="AV6297">
            <v>0</v>
          </cell>
        </row>
        <row r="6298">
          <cell r="E6298" t="str">
            <v>B26000727</v>
          </cell>
          <cell r="AP6298">
            <v>0</v>
          </cell>
          <cell r="AQ6298">
            <v>0</v>
          </cell>
          <cell r="AV6298">
            <v>0</v>
          </cell>
        </row>
        <row r="6299">
          <cell r="E6299" t="str">
            <v>B26000891</v>
          </cell>
          <cell r="AP6299">
            <v>0</v>
          </cell>
          <cell r="AQ6299">
            <v>0</v>
          </cell>
          <cell r="AV6299">
            <v>0</v>
          </cell>
        </row>
        <row r="6300">
          <cell r="E6300" t="str">
            <v>B26000892</v>
          </cell>
          <cell r="AP6300">
            <v>0</v>
          </cell>
          <cell r="AQ6300">
            <v>0</v>
          </cell>
          <cell r="AV6300">
            <v>0</v>
          </cell>
        </row>
        <row r="6301">
          <cell r="E6301" t="str">
            <v>B26000893</v>
          </cell>
          <cell r="AP6301">
            <v>0</v>
          </cell>
          <cell r="AQ6301">
            <v>0</v>
          </cell>
          <cell r="AV6301">
            <v>0</v>
          </cell>
        </row>
        <row r="6302">
          <cell r="E6302" t="str">
            <v>B26000923</v>
          </cell>
          <cell r="AP6302">
            <v>0</v>
          </cell>
          <cell r="AQ6302">
            <v>0</v>
          </cell>
          <cell r="AV6302">
            <v>0</v>
          </cell>
        </row>
        <row r="6303">
          <cell r="E6303" t="str">
            <v>B26000945</v>
          </cell>
          <cell r="AP6303">
            <v>0</v>
          </cell>
          <cell r="AQ6303">
            <v>0</v>
          </cell>
          <cell r="AV6303">
            <v>0</v>
          </cell>
        </row>
        <row r="6304">
          <cell r="E6304" t="str">
            <v>B26001018</v>
          </cell>
          <cell r="AP6304">
            <v>0</v>
          </cell>
          <cell r="AQ6304">
            <v>0</v>
          </cell>
          <cell r="AV6304">
            <v>0</v>
          </cell>
        </row>
        <row r="6305">
          <cell r="E6305" t="str">
            <v>B26001594</v>
          </cell>
          <cell r="AP6305">
            <v>0</v>
          </cell>
          <cell r="AQ6305">
            <v>0</v>
          </cell>
          <cell r="AV6305">
            <v>0</v>
          </cell>
        </row>
        <row r="6306">
          <cell r="E6306" t="str">
            <v>B26001302</v>
          </cell>
          <cell r="AP6306">
            <v>0</v>
          </cell>
          <cell r="AQ6306">
            <v>0</v>
          </cell>
          <cell r="AV6306">
            <v>0</v>
          </cell>
        </row>
        <row r="6307">
          <cell r="E6307" t="str">
            <v>B25015947</v>
          </cell>
          <cell r="AP6307">
            <v>0</v>
          </cell>
          <cell r="AQ6307">
            <v>0</v>
          </cell>
          <cell r="AV6307">
            <v>48420000</v>
          </cell>
        </row>
        <row r="6308">
          <cell r="E6308" t="str">
            <v>B25016358</v>
          </cell>
          <cell r="AP6308">
            <v>0</v>
          </cell>
          <cell r="AQ6308">
            <v>0</v>
          </cell>
          <cell r="AV6308">
            <v>14400000</v>
          </cell>
        </row>
        <row r="6309">
          <cell r="E6309" t="str">
            <v>D25018892</v>
          </cell>
          <cell r="AP6309">
            <v>0</v>
          </cell>
          <cell r="AQ6309">
            <v>0</v>
          </cell>
          <cell r="AV6309">
            <v>0</v>
          </cell>
        </row>
        <row r="6310">
          <cell r="E6310" t="str">
            <v>D25019646</v>
          </cell>
          <cell r="AP6310">
            <v>0</v>
          </cell>
          <cell r="AQ6310">
            <v>0</v>
          </cell>
          <cell r="AV6310">
            <v>0</v>
          </cell>
        </row>
        <row r="6311">
          <cell r="E6311" t="str">
            <v>D26000087</v>
          </cell>
          <cell r="AP6311">
            <v>0</v>
          </cell>
          <cell r="AQ6311">
            <v>0</v>
          </cell>
          <cell r="AV6311">
            <v>0</v>
          </cell>
        </row>
        <row r="6312">
          <cell r="E6312" t="str">
            <v>D26000404</v>
          </cell>
          <cell r="AP6312">
            <v>0</v>
          </cell>
          <cell r="AQ6312">
            <v>0</v>
          </cell>
          <cell r="AV6312">
            <v>0</v>
          </cell>
        </row>
        <row r="6313">
          <cell r="E6313" t="str">
            <v>B26000928</v>
          </cell>
          <cell r="AP6313">
            <v>0</v>
          </cell>
          <cell r="AQ6313">
            <v>0</v>
          </cell>
          <cell r="AV6313">
            <v>0</v>
          </cell>
        </row>
        <row r="6314">
          <cell r="E6314" t="str">
            <v>D26001385</v>
          </cell>
          <cell r="AP6314">
            <v>0</v>
          </cell>
          <cell r="AQ6314">
            <v>0</v>
          </cell>
          <cell r="AV6314">
            <v>0</v>
          </cell>
        </row>
        <row r="6315">
          <cell r="E6315" t="str">
            <v>D26001436</v>
          </cell>
          <cell r="AP6315">
            <v>0</v>
          </cell>
          <cell r="AQ6315">
            <v>0</v>
          </cell>
          <cell r="AV6315">
            <v>0</v>
          </cell>
        </row>
        <row r="6316">
          <cell r="E6316" t="str">
            <v>D26001488</v>
          </cell>
          <cell r="AP6316">
            <v>0</v>
          </cell>
          <cell r="AQ6316">
            <v>0</v>
          </cell>
          <cell r="AV6316">
            <v>0</v>
          </cell>
        </row>
        <row r="6317">
          <cell r="E6317" t="str">
            <v>D26001503</v>
          </cell>
          <cell r="AP6317">
            <v>0</v>
          </cell>
          <cell r="AQ6317">
            <v>0</v>
          </cell>
          <cell r="AV6317">
            <v>0</v>
          </cell>
        </row>
        <row r="6318">
          <cell r="E6318" t="str">
            <v>D26001505</v>
          </cell>
          <cell r="AP6318">
            <v>0</v>
          </cell>
          <cell r="AQ6318">
            <v>0</v>
          </cell>
          <cell r="AV6318">
            <v>0</v>
          </cell>
        </row>
        <row r="6319">
          <cell r="E6319" t="str">
            <v>D26001527</v>
          </cell>
          <cell r="AP6319">
            <v>0</v>
          </cell>
          <cell r="AQ6319">
            <v>0</v>
          </cell>
          <cell r="AV6319">
            <v>0</v>
          </cell>
        </row>
        <row r="6320">
          <cell r="E6320" t="str">
            <v>D26001816</v>
          </cell>
          <cell r="AP6320">
            <v>0</v>
          </cell>
          <cell r="AQ6320">
            <v>0</v>
          </cell>
          <cell r="AV6320">
            <v>0</v>
          </cell>
        </row>
        <row r="6321">
          <cell r="E6321" t="str">
            <v>D26001831</v>
          </cell>
          <cell r="AP6321">
            <v>0</v>
          </cell>
          <cell r="AQ6321">
            <v>0</v>
          </cell>
          <cell r="AV6321">
            <v>0</v>
          </cell>
        </row>
        <row r="6322">
          <cell r="E6322" t="str">
            <v>D26001913</v>
          </cell>
          <cell r="AP6322">
            <v>0</v>
          </cell>
          <cell r="AQ6322">
            <v>0</v>
          </cell>
          <cell r="AV6322">
            <v>0</v>
          </cell>
        </row>
        <row r="6323">
          <cell r="E6323" t="str">
            <v>B26001886</v>
          </cell>
          <cell r="AP6323">
            <v>0</v>
          </cell>
          <cell r="AQ6323">
            <v>0</v>
          </cell>
          <cell r="AV6323">
            <v>50625000</v>
          </cell>
        </row>
        <row r="6324">
          <cell r="E6324" t="str">
            <v>D26002179</v>
          </cell>
          <cell r="AP6324">
            <v>0</v>
          </cell>
          <cell r="AQ6324">
            <v>0</v>
          </cell>
          <cell r="AV6324">
            <v>0</v>
          </cell>
        </row>
        <row r="6325">
          <cell r="E6325" t="str">
            <v>D26002222</v>
          </cell>
          <cell r="AP6325">
            <v>0</v>
          </cell>
          <cell r="AQ6325">
            <v>0</v>
          </cell>
          <cell r="AV6325">
            <v>0</v>
          </cell>
        </row>
        <row r="6326">
          <cell r="E6326" t="str">
            <v>D25018536</v>
          </cell>
          <cell r="AP6326">
            <v>0</v>
          </cell>
          <cell r="AQ6326">
            <v>0</v>
          </cell>
          <cell r="AV6326">
            <v>8200000</v>
          </cell>
        </row>
        <row r="6327">
          <cell r="E6327" t="str">
            <v>D25018614</v>
          </cell>
          <cell r="AP6327">
            <v>0</v>
          </cell>
          <cell r="AQ6327">
            <v>0</v>
          </cell>
          <cell r="AV6327">
            <v>2640000</v>
          </cell>
        </row>
        <row r="6328">
          <cell r="E6328" t="str">
            <v>B25016376</v>
          </cell>
          <cell r="AP6328">
            <v>0</v>
          </cell>
          <cell r="AQ6328">
            <v>0</v>
          </cell>
          <cell r="AV6328">
            <v>9500000</v>
          </cell>
        </row>
        <row r="6329">
          <cell r="E6329" t="str">
            <v>B25016743</v>
          </cell>
          <cell r="AP6329">
            <v>0</v>
          </cell>
          <cell r="AQ6329">
            <v>0</v>
          </cell>
          <cell r="AV6329">
            <v>8210000</v>
          </cell>
        </row>
        <row r="6330">
          <cell r="E6330" t="str">
            <v>B25017013</v>
          </cell>
          <cell r="AP6330">
            <v>0</v>
          </cell>
          <cell r="AQ6330">
            <v>0</v>
          </cell>
          <cell r="AV6330">
            <v>1410000</v>
          </cell>
        </row>
        <row r="6331">
          <cell r="E6331" t="str">
            <v>B25017043</v>
          </cell>
          <cell r="AP6331">
            <v>0</v>
          </cell>
          <cell r="AQ6331">
            <v>0</v>
          </cell>
          <cell r="AV6331">
            <v>7730000</v>
          </cell>
        </row>
        <row r="6332">
          <cell r="E6332" t="str">
            <v>D25019635</v>
          </cell>
          <cell r="AP6332">
            <v>0</v>
          </cell>
          <cell r="AQ6332">
            <v>0</v>
          </cell>
          <cell r="AV6332">
            <v>0</v>
          </cell>
        </row>
        <row r="6333">
          <cell r="E6333" t="str">
            <v>D26000172</v>
          </cell>
          <cell r="AP6333">
            <v>0</v>
          </cell>
          <cell r="AQ6333">
            <v>0</v>
          </cell>
          <cell r="AV6333">
            <v>0</v>
          </cell>
        </row>
        <row r="6334">
          <cell r="E6334" t="str">
            <v>D26000199</v>
          </cell>
          <cell r="AP6334">
            <v>0</v>
          </cell>
          <cell r="AQ6334">
            <v>0</v>
          </cell>
          <cell r="AV6334">
            <v>0</v>
          </cell>
        </row>
        <row r="6335">
          <cell r="E6335" t="str">
            <v>B26000195</v>
          </cell>
          <cell r="AP6335">
            <v>0</v>
          </cell>
          <cell r="AQ6335">
            <v>0</v>
          </cell>
          <cell r="AV6335">
            <v>0</v>
          </cell>
        </row>
        <row r="6336">
          <cell r="E6336" t="str">
            <v>D26000221</v>
          </cell>
          <cell r="AP6336">
            <v>0</v>
          </cell>
          <cell r="AQ6336">
            <v>0</v>
          </cell>
          <cell r="AV6336">
            <v>0</v>
          </cell>
        </row>
        <row r="6337">
          <cell r="E6337" t="str">
            <v>B26000519</v>
          </cell>
          <cell r="AP6337">
            <v>0</v>
          </cell>
          <cell r="AQ6337">
            <v>0</v>
          </cell>
          <cell r="AV6337">
            <v>0</v>
          </cell>
        </row>
        <row r="6338">
          <cell r="E6338" t="str">
            <v>B26000520</v>
          </cell>
          <cell r="AP6338">
            <v>0</v>
          </cell>
          <cell r="AQ6338">
            <v>0</v>
          </cell>
          <cell r="AV6338">
            <v>0</v>
          </cell>
        </row>
        <row r="6339">
          <cell r="E6339" t="str">
            <v>B26000822</v>
          </cell>
          <cell r="AP6339">
            <v>0</v>
          </cell>
          <cell r="AQ6339">
            <v>0</v>
          </cell>
          <cell r="AV6339">
            <v>0</v>
          </cell>
        </row>
        <row r="6340">
          <cell r="E6340" t="str">
            <v>B26000833</v>
          </cell>
          <cell r="AP6340">
            <v>0</v>
          </cell>
          <cell r="AQ6340">
            <v>0</v>
          </cell>
          <cell r="AV6340">
            <v>0</v>
          </cell>
        </row>
        <row r="6341">
          <cell r="E6341" t="str">
            <v>B26000880</v>
          </cell>
          <cell r="AP6341">
            <v>0</v>
          </cell>
          <cell r="AQ6341">
            <v>0</v>
          </cell>
          <cell r="AV6341">
            <v>0</v>
          </cell>
        </row>
        <row r="6342">
          <cell r="E6342" t="str">
            <v>D26000985</v>
          </cell>
          <cell r="AP6342">
            <v>0</v>
          </cell>
          <cell r="AQ6342">
            <v>0</v>
          </cell>
          <cell r="AV6342">
            <v>0</v>
          </cell>
        </row>
        <row r="6343">
          <cell r="E6343" t="str">
            <v>B26000990</v>
          </cell>
          <cell r="AP6343">
            <v>0</v>
          </cell>
          <cell r="AQ6343">
            <v>0</v>
          </cell>
          <cell r="AV6343">
            <v>0</v>
          </cell>
        </row>
        <row r="6344">
          <cell r="E6344" t="str">
            <v>D26001048</v>
          </cell>
          <cell r="AP6344">
            <v>0</v>
          </cell>
          <cell r="AQ6344">
            <v>0</v>
          </cell>
          <cell r="AV6344">
            <v>0</v>
          </cell>
        </row>
        <row r="6345">
          <cell r="E6345" t="str">
            <v>D26001208</v>
          </cell>
          <cell r="AP6345">
            <v>0</v>
          </cell>
          <cell r="AQ6345">
            <v>0</v>
          </cell>
          <cell r="AV6345">
            <v>0</v>
          </cell>
        </row>
        <row r="6346">
          <cell r="E6346" t="str">
            <v>D26001271</v>
          </cell>
          <cell r="AP6346">
            <v>0</v>
          </cell>
          <cell r="AQ6346">
            <v>0</v>
          </cell>
          <cell r="AV6346">
            <v>0</v>
          </cell>
        </row>
        <row r="6347">
          <cell r="E6347" t="str">
            <v>D26001278</v>
          </cell>
          <cell r="AP6347">
            <v>0</v>
          </cell>
          <cell r="AQ6347">
            <v>0</v>
          </cell>
          <cell r="AV6347">
            <v>0</v>
          </cell>
        </row>
        <row r="6348">
          <cell r="E6348" t="str">
            <v>B26001235</v>
          </cell>
          <cell r="AP6348">
            <v>0</v>
          </cell>
          <cell r="AQ6348">
            <v>0</v>
          </cell>
          <cell r="AV6348">
            <v>0</v>
          </cell>
        </row>
        <row r="6349">
          <cell r="E6349" t="str">
            <v>D26001374</v>
          </cell>
          <cell r="AP6349">
            <v>0</v>
          </cell>
          <cell r="AQ6349">
            <v>0</v>
          </cell>
          <cell r="AV6349">
            <v>0</v>
          </cell>
        </row>
        <row r="6350">
          <cell r="E6350" t="str">
            <v>B26001631</v>
          </cell>
          <cell r="AP6350">
            <v>0</v>
          </cell>
          <cell r="AQ6350">
            <v>0</v>
          </cell>
          <cell r="AV6350">
            <v>0</v>
          </cell>
        </row>
        <row r="6351">
          <cell r="E6351" t="str">
            <v>D26001788</v>
          </cell>
          <cell r="AP6351">
            <v>0</v>
          </cell>
          <cell r="AQ6351">
            <v>0</v>
          </cell>
          <cell r="AV6351">
            <v>0</v>
          </cell>
        </row>
        <row r="6352">
          <cell r="E6352" t="str">
            <v>B26001829</v>
          </cell>
          <cell r="AP6352">
            <v>0</v>
          </cell>
          <cell r="AQ6352">
            <v>0</v>
          </cell>
          <cell r="AV6352">
            <v>0</v>
          </cell>
        </row>
        <row r="6353">
          <cell r="E6353" t="str">
            <v>B26001836</v>
          </cell>
          <cell r="AP6353">
            <v>0</v>
          </cell>
          <cell r="AQ6353">
            <v>0</v>
          </cell>
          <cell r="AV6353">
            <v>0</v>
          </cell>
        </row>
        <row r="6354">
          <cell r="E6354" t="str">
            <v>B26001837</v>
          </cell>
          <cell r="AP6354">
            <v>0</v>
          </cell>
          <cell r="AQ6354">
            <v>0</v>
          </cell>
          <cell r="AV6354">
            <v>0</v>
          </cell>
        </row>
        <row r="6355">
          <cell r="E6355" t="str">
            <v>D26001944</v>
          </cell>
          <cell r="AP6355">
            <v>0</v>
          </cell>
          <cell r="AQ6355">
            <v>0</v>
          </cell>
          <cell r="AV6355">
            <v>0</v>
          </cell>
        </row>
        <row r="6356">
          <cell r="E6356" t="str">
            <v>B26001905</v>
          </cell>
          <cell r="AP6356">
            <v>0</v>
          </cell>
          <cell r="AQ6356">
            <v>0</v>
          </cell>
          <cell r="AV6356">
            <v>0</v>
          </cell>
        </row>
        <row r="6357">
          <cell r="E6357" t="str">
            <v>D26002147</v>
          </cell>
          <cell r="AP6357">
            <v>0</v>
          </cell>
          <cell r="AQ6357">
            <v>0</v>
          </cell>
          <cell r="AV6357">
            <v>0</v>
          </cell>
        </row>
        <row r="6358">
          <cell r="E6358" t="str">
            <v>B26002158</v>
          </cell>
          <cell r="AP6358">
            <v>0</v>
          </cell>
          <cell r="AQ6358">
            <v>0</v>
          </cell>
          <cell r="AV6358">
            <v>0</v>
          </cell>
        </row>
        <row r="6359">
          <cell r="E6359" t="str">
            <v>B26002160</v>
          </cell>
          <cell r="AP6359">
            <v>0</v>
          </cell>
          <cell r="AQ6359">
            <v>0</v>
          </cell>
          <cell r="AV6359">
            <v>11300000</v>
          </cell>
        </row>
        <row r="6360">
          <cell r="E6360" t="str">
            <v>D26002307</v>
          </cell>
          <cell r="AP6360">
            <v>0</v>
          </cell>
          <cell r="AQ6360">
            <v>0</v>
          </cell>
          <cell r="AV6360">
            <v>0</v>
          </cell>
        </row>
        <row r="6361">
          <cell r="E6361" t="str">
            <v>B25016192</v>
          </cell>
          <cell r="AP6361">
            <v>0</v>
          </cell>
          <cell r="AQ6361">
            <v>0</v>
          </cell>
          <cell r="AV6361">
            <v>0</v>
          </cell>
        </row>
        <row r="6362">
          <cell r="E6362" t="str">
            <v>T26000003</v>
          </cell>
          <cell r="AP6362">
            <v>0</v>
          </cell>
          <cell r="AQ6362">
            <v>0</v>
          </cell>
          <cell r="AV6362">
            <v>0</v>
          </cell>
        </row>
        <row r="6363">
          <cell r="E6363" t="str">
            <v>D25017244</v>
          </cell>
          <cell r="AP6363">
            <v>0</v>
          </cell>
          <cell r="AQ6363">
            <v>0</v>
          </cell>
          <cell r="AV6363">
            <v>7875000</v>
          </cell>
        </row>
        <row r="6364">
          <cell r="E6364" t="str">
            <v>B25015130</v>
          </cell>
          <cell r="AP6364">
            <v>0</v>
          </cell>
          <cell r="AQ6364">
            <v>0</v>
          </cell>
          <cell r="AV6364">
            <v>0</v>
          </cell>
        </row>
        <row r="6365">
          <cell r="E6365" t="str">
            <v>B25015305</v>
          </cell>
          <cell r="AP6365">
            <v>0</v>
          </cell>
          <cell r="AQ6365">
            <v>0</v>
          </cell>
          <cell r="AV6365">
            <v>0</v>
          </cell>
        </row>
        <row r="6366">
          <cell r="E6366" t="str">
            <v>D25018115</v>
          </cell>
          <cell r="AP6366">
            <v>0</v>
          </cell>
          <cell r="AQ6366">
            <v>0</v>
          </cell>
          <cell r="AV6366">
            <v>0</v>
          </cell>
        </row>
        <row r="6367">
          <cell r="E6367" t="str">
            <v>D25018171</v>
          </cell>
          <cell r="AP6367">
            <v>0</v>
          </cell>
          <cell r="AQ6367">
            <v>0</v>
          </cell>
          <cell r="AV6367">
            <v>0</v>
          </cell>
        </row>
        <row r="6368">
          <cell r="E6368" t="str">
            <v>D25018568</v>
          </cell>
          <cell r="AP6368">
            <v>0</v>
          </cell>
          <cell r="AQ6368">
            <v>0</v>
          </cell>
          <cell r="AV6368">
            <v>0</v>
          </cell>
        </row>
        <row r="6369">
          <cell r="E6369" t="str">
            <v>D25019184</v>
          </cell>
          <cell r="AP6369">
            <v>0</v>
          </cell>
          <cell r="AQ6369">
            <v>0</v>
          </cell>
          <cell r="AV6369">
            <v>0</v>
          </cell>
        </row>
        <row r="6370">
          <cell r="E6370" t="str">
            <v>D25019476</v>
          </cell>
          <cell r="AP6370">
            <v>0</v>
          </cell>
          <cell r="AQ6370">
            <v>0</v>
          </cell>
          <cell r="AV6370">
            <v>0</v>
          </cell>
        </row>
        <row r="6371">
          <cell r="E6371" t="str">
            <v>D25019477</v>
          </cell>
          <cell r="AP6371">
            <v>0</v>
          </cell>
          <cell r="AQ6371">
            <v>0</v>
          </cell>
          <cell r="AV6371">
            <v>0</v>
          </cell>
        </row>
        <row r="6372">
          <cell r="E6372" t="str">
            <v>B25017143</v>
          </cell>
          <cell r="AP6372">
            <v>0</v>
          </cell>
          <cell r="AQ6372">
            <v>0</v>
          </cell>
          <cell r="AV6372">
            <v>0</v>
          </cell>
        </row>
        <row r="6373">
          <cell r="E6373" t="str">
            <v>D26000064</v>
          </cell>
          <cell r="AP6373">
            <v>0</v>
          </cell>
          <cell r="AQ6373">
            <v>0</v>
          </cell>
          <cell r="AV6373">
            <v>0</v>
          </cell>
        </row>
        <row r="6374">
          <cell r="E6374" t="str">
            <v>D26000065</v>
          </cell>
          <cell r="AP6374">
            <v>0</v>
          </cell>
          <cell r="AQ6374">
            <v>0</v>
          </cell>
          <cell r="AV6374">
            <v>0</v>
          </cell>
        </row>
        <row r="6375">
          <cell r="E6375" t="str">
            <v>D26002003</v>
          </cell>
          <cell r="AP6375">
            <v>0</v>
          </cell>
          <cell r="AQ6375">
            <v>0</v>
          </cell>
          <cell r="AV6375">
            <v>0</v>
          </cell>
        </row>
        <row r="6376">
          <cell r="E6376" t="str">
            <v>D26002039</v>
          </cell>
          <cell r="AP6376">
            <v>0</v>
          </cell>
          <cell r="AQ6376">
            <v>0</v>
          </cell>
          <cell r="AV6376">
            <v>0</v>
          </cell>
        </row>
        <row r="6377">
          <cell r="E6377" t="str">
            <v>T25001776</v>
          </cell>
          <cell r="AP6377">
            <v>0</v>
          </cell>
          <cell r="AQ6377">
            <v>0</v>
          </cell>
          <cell r="AV6377">
            <v>0</v>
          </cell>
        </row>
        <row r="6378">
          <cell r="E6378" t="str">
            <v>D26001920</v>
          </cell>
          <cell r="AP6378">
            <v>0</v>
          </cell>
          <cell r="AQ6378">
            <v>0</v>
          </cell>
          <cell r="AV6378">
            <v>12319000</v>
          </cell>
        </row>
        <row r="6379">
          <cell r="E6379" t="str">
            <v>Z25003112</v>
          </cell>
          <cell r="AP6379">
            <v>0</v>
          </cell>
          <cell r="AQ6379">
            <v>0</v>
          </cell>
          <cell r="AV6379">
            <v>23250000</v>
          </cell>
        </row>
        <row r="6380">
          <cell r="E6380" t="str">
            <v>Z26000017</v>
          </cell>
          <cell r="AP6380">
            <v>0</v>
          </cell>
          <cell r="AQ6380">
            <v>0</v>
          </cell>
          <cell r="AV6380">
            <v>0</v>
          </cell>
        </row>
        <row r="6381">
          <cell r="E6381" t="str">
            <v>Z26000181</v>
          </cell>
          <cell r="AP6381">
            <v>0</v>
          </cell>
          <cell r="AQ6381">
            <v>0</v>
          </cell>
          <cell r="AV6381">
            <v>8100000</v>
          </cell>
        </row>
        <row r="6382">
          <cell r="E6382" t="str">
            <v>Z26000182</v>
          </cell>
          <cell r="AP6382">
            <v>0</v>
          </cell>
          <cell r="AQ6382">
            <v>0</v>
          </cell>
          <cell r="AV6382">
            <v>5400000</v>
          </cell>
        </row>
        <row r="6383">
          <cell r="E6383" t="str">
            <v>Z26000298</v>
          </cell>
          <cell r="AP6383">
            <v>0</v>
          </cell>
          <cell r="AQ6383">
            <v>0</v>
          </cell>
          <cell r="AV6383">
            <v>7560000</v>
          </cell>
        </row>
        <row r="6384">
          <cell r="E6384" t="str">
            <v>Z26000389</v>
          </cell>
          <cell r="AP6384">
            <v>0</v>
          </cell>
          <cell r="AQ6384">
            <v>0</v>
          </cell>
          <cell r="AV6384">
            <v>0</v>
          </cell>
        </row>
        <row r="6385">
          <cell r="E6385" t="str">
            <v>B26000379</v>
          </cell>
          <cell r="AP6385">
            <v>0</v>
          </cell>
          <cell r="AQ6385">
            <v>0</v>
          </cell>
          <cell r="AV6385">
            <v>0</v>
          </cell>
        </row>
        <row r="6386">
          <cell r="E6386" t="str">
            <v>B26000451</v>
          </cell>
          <cell r="AP6386">
            <v>0</v>
          </cell>
          <cell r="AQ6386">
            <v>0</v>
          </cell>
          <cell r="AV6386">
            <v>0</v>
          </cell>
        </row>
        <row r="6387">
          <cell r="E6387" t="str">
            <v>B26000456</v>
          </cell>
          <cell r="AP6387">
            <v>0</v>
          </cell>
          <cell r="AQ6387">
            <v>0</v>
          </cell>
          <cell r="AV6387">
            <v>0</v>
          </cell>
        </row>
        <row r="6388">
          <cell r="E6388" t="str">
            <v>B26000707</v>
          </cell>
          <cell r="AP6388">
            <v>0</v>
          </cell>
          <cell r="AQ6388">
            <v>0</v>
          </cell>
          <cell r="AV6388">
            <v>0</v>
          </cell>
        </row>
        <row r="6389">
          <cell r="E6389" t="str">
            <v>B26001462</v>
          </cell>
          <cell r="AP6389">
            <v>0</v>
          </cell>
          <cell r="AQ6389">
            <v>0</v>
          </cell>
          <cell r="AV6389">
            <v>0</v>
          </cell>
        </row>
        <row r="6390">
          <cell r="E6390" t="str">
            <v>D26001560</v>
          </cell>
          <cell r="AP6390">
            <v>0</v>
          </cell>
          <cell r="AQ6390">
            <v>0</v>
          </cell>
          <cell r="AV6390">
            <v>0</v>
          </cell>
        </row>
        <row r="6391">
          <cell r="E6391" t="str">
            <v>D26002417</v>
          </cell>
          <cell r="AP6391">
            <v>0</v>
          </cell>
          <cell r="AQ6391">
            <v>0</v>
          </cell>
          <cell r="AV6391">
            <v>0</v>
          </cell>
        </row>
        <row r="6392">
          <cell r="E6392" t="str">
            <v>D26002418</v>
          </cell>
          <cell r="AP6392">
            <v>0</v>
          </cell>
          <cell r="AQ6392">
            <v>0</v>
          </cell>
          <cell r="AV6392">
            <v>0</v>
          </cell>
        </row>
        <row r="6393">
          <cell r="E6393" t="str">
            <v>D26002419</v>
          </cell>
          <cell r="AP6393">
            <v>0</v>
          </cell>
          <cell r="AQ6393">
            <v>0</v>
          </cell>
          <cell r="AV6393">
            <v>0</v>
          </cell>
        </row>
        <row r="6394">
          <cell r="E6394" t="str">
            <v>Z25003241</v>
          </cell>
          <cell r="AP6394">
            <v>0</v>
          </cell>
          <cell r="AQ6394">
            <v>0</v>
          </cell>
          <cell r="AV6394">
            <v>0</v>
          </cell>
        </row>
        <row r="6395">
          <cell r="E6395" t="str">
            <v>Z26000025</v>
          </cell>
          <cell r="AP6395">
            <v>0</v>
          </cell>
          <cell r="AQ6395">
            <v>0</v>
          </cell>
          <cell r="AV6395">
            <v>0</v>
          </cell>
        </row>
        <row r="6396">
          <cell r="E6396" t="str">
            <v>Z26000237</v>
          </cell>
          <cell r="AP6396">
            <v>0</v>
          </cell>
          <cell r="AQ6396">
            <v>0</v>
          </cell>
          <cell r="AV6396">
            <v>0</v>
          </cell>
        </row>
        <row r="6397">
          <cell r="E6397" t="str">
            <v>Z26000392</v>
          </cell>
          <cell r="AP6397">
            <v>0</v>
          </cell>
          <cell r="AQ6397">
            <v>0</v>
          </cell>
          <cell r="AV6397">
            <v>0</v>
          </cell>
        </row>
        <row r="6398">
          <cell r="E6398" t="str">
            <v>T26000156</v>
          </cell>
          <cell r="AP6398">
            <v>0</v>
          </cell>
          <cell r="AQ6398">
            <v>0</v>
          </cell>
          <cell r="AV6398">
            <v>0</v>
          </cell>
        </row>
        <row r="6399">
          <cell r="E6399" t="str">
            <v>T26000157</v>
          </cell>
          <cell r="AP6399">
            <v>0</v>
          </cell>
          <cell r="AQ6399">
            <v>0</v>
          </cell>
          <cell r="AV6399">
            <v>0</v>
          </cell>
        </row>
        <row r="6400">
          <cell r="E6400" t="str">
            <v>D25016736</v>
          </cell>
          <cell r="AP6400">
            <v>0</v>
          </cell>
          <cell r="AQ6400">
            <v>0</v>
          </cell>
          <cell r="AV6400">
            <v>0</v>
          </cell>
        </row>
        <row r="6401">
          <cell r="E6401" t="str">
            <v>D25016855</v>
          </cell>
          <cell r="AP6401">
            <v>0</v>
          </cell>
          <cell r="AQ6401">
            <v>0</v>
          </cell>
          <cell r="AV6401">
            <v>0</v>
          </cell>
        </row>
        <row r="6402">
          <cell r="E6402" t="str">
            <v>B25014592</v>
          </cell>
          <cell r="AP6402">
            <v>0</v>
          </cell>
          <cell r="AQ6402">
            <v>0</v>
          </cell>
          <cell r="AV6402">
            <v>0</v>
          </cell>
        </row>
        <row r="6403">
          <cell r="E6403" t="str">
            <v>D25016987</v>
          </cell>
          <cell r="AP6403">
            <v>0</v>
          </cell>
          <cell r="AQ6403">
            <v>0</v>
          </cell>
          <cell r="AV6403">
            <v>0</v>
          </cell>
        </row>
        <row r="6404">
          <cell r="E6404" t="str">
            <v>B25015156</v>
          </cell>
          <cell r="AP6404">
            <v>0</v>
          </cell>
          <cell r="AQ6404">
            <v>0</v>
          </cell>
          <cell r="AV6404">
            <v>0</v>
          </cell>
        </row>
        <row r="6405">
          <cell r="E6405" t="str">
            <v>D25017582</v>
          </cell>
          <cell r="AP6405">
            <v>0</v>
          </cell>
          <cell r="AQ6405">
            <v>0</v>
          </cell>
          <cell r="AV6405">
            <v>0</v>
          </cell>
        </row>
        <row r="6406">
          <cell r="E6406" t="str">
            <v>B25015225</v>
          </cell>
          <cell r="AP6406">
            <v>0</v>
          </cell>
          <cell r="AQ6406">
            <v>0</v>
          </cell>
          <cell r="AV6406">
            <v>0</v>
          </cell>
        </row>
        <row r="6407">
          <cell r="E6407" t="str">
            <v>D25017837</v>
          </cell>
          <cell r="AP6407">
            <v>0</v>
          </cell>
          <cell r="AQ6407">
            <v>0</v>
          </cell>
          <cell r="AV6407">
            <v>0</v>
          </cell>
        </row>
        <row r="6408">
          <cell r="E6408" t="str">
            <v>D25018210</v>
          </cell>
          <cell r="AP6408">
            <v>0</v>
          </cell>
          <cell r="AQ6408">
            <v>0</v>
          </cell>
          <cell r="AV6408">
            <v>0</v>
          </cell>
        </row>
        <row r="6409">
          <cell r="E6409" t="str">
            <v>B25016202</v>
          </cell>
          <cell r="AP6409">
            <v>0</v>
          </cell>
          <cell r="AQ6409">
            <v>0</v>
          </cell>
          <cell r="AV6409">
            <v>0</v>
          </cell>
        </row>
        <row r="6410">
          <cell r="E6410" t="str">
            <v>D25018685</v>
          </cell>
          <cell r="AP6410">
            <v>0</v>
          </cell>
          <cell r="AQ6410">
            <v>0</v>
          </cell>
          <cell r="AV6410">
            <v>0</v>
          </cell>
        </row>
        <row r="6411">
          <cell r="E6411" t="str">
            <v>D25018685</v>
          </cell>
          <cell r="AP6411">
            <v>0</v>
          </cell>
          <cell r="AQ6411">
            <v>0</v>
          </cell>
          <cell r="AV6411">
            <v>0</v>
          </cell>
        </row>
        <row r="6412">
          <cell r="E6412" t="str">
            <v>D25018685</v>
          </cell>
          <cell r="AP6412">
            <v>0</v>
          </cell>
          <cell r="AQ6412">
            <v>0</v>
          </cell>
          <cell r="AV6412">
            <v>0</v>
          </cell>
        </row>
        <row r="6413">
          <cell r="E6413" t="str">
            <v>D25018686</v>
          </cell>
          <cell r="AP6413">
            <v>0</v>
          </cell>
          <cell r="AQ6413">
            <v>0</v>
          </cell>
          <cell r="AV6413">
            <v>0</v>
          </cell>
        </row>
        <row r="6414">
          <cell r="E6414" t="str">
            <v>D25018979</v>
          </cell>
          <cell r="AP6414">
            <v>0</v>
          </cell>
          <cell r="AQ6414">
            <v>0</v>
          </cell>
          <cell r="AV6414">
            <v>0</v>
          </cell>
        </row>
        <row r="6415">
          <cell r="E6415" t="str">
            <v>B25016581</v>
          </cell>
          <cell r="AP6415">
            <v>0</v>
          </cell>
          <cell r="AQ6415">
            <v>0</v>
          </cell>
          <cell r="AV6415">
            <v>0</v>
          </cell>
        </row>
        <row r="6416">
          <cell r="E6416" t="str">
            <v>B25016605</v>
          </cell>
          <cell r="AP6416">
            <v>0</v>
          </cell>
          <cell r="AQ6416">
            <v>0</v>
          </cell>
          <cell r="AV6416">
            <v>0</v>
          </cell>
        </row>
        <row r="6417">
          <cell r="E6417" t="str">
            <v>D25019309</v>
          </cell>
          <cell r="AP6417">
            <v>0</v>
          </cell>
          <cell r="AQ6417">
            <v>0</v>
          </cell>
          <cell r="AV6417">
            <v>0</v>
          </cell>
        </row>
        <row r="6418">
          <cell r="E6418" t="str">
            <v>B25016921</v>
          </cell>
          <cell r="AP6418">
            <v>0</v>
          </cell>
          <cell r="AQ6418">
            <v>0</v>
          </cell>
          <cell r="AV6418">
            <v>0</v>
          </cell>
        </row>
        <row r="6419">
          <cell r="E6419" t="str">
            <v>B25016989</v>
          </cell>
          <cell r="AP6419">
            <v>0</v>
          </cell>
          <cell r="AQ6419">
            <v>0</v>
          </cell>
          <cell r="AV6419">
            <v>0</v>
          </cell>
        </row>
        <row r="6420">
          <cell r="E6420" t="str">
            <v>D25019644</v>
          </cell>
          <cell r="AP6420">
            <v>0</v>
          </cell>
          <cell r="AQ6420">
            <v>0</v>
          </cell>
          <cell r="AV6420">
            <v>0</v>
          </cell>
        </row>
        <row r="6421">
          <cell r="E6421" t="str">
            <v>B26000063</v>
          </cell>
          <cell r="AP6421">
            <v>0</v>
          </cell>
          <cell r="AQ6421">
            <v>0</v>
          </cell>
          <cell r="AV6421">
            <v>0</v>
          </cell>
        </row>
        <row r="6422">
          <cell r="E6422" t="str">
            <v>B26000309</v>
          </cell>
          <cell r="AP6422">
            <v>0</v>
          </cell>
          <cell r="AQ6422">
            <v>0</v>
          </cell>
          <cell r="AV6422">
            <v>0</v>
          </cell>
        </row>
        <row r="6423">
          <cell r="E6423" t="str">
            <v>B26000320</v>
          </cell>
          <cell r="AP6423">
            <v>0</v>
          </cell>
          <cell r="AQ6423">
            <v>0</v>
          </cell>
          <cell r="AV6423">
            <v>0</v>
          </cell>
        </row>
        <row r="6424">
          <cell r="E6424" t="str">
            <v>B26000492</v>
          </cell>
          <cell r="AP6424">
            <v>0</v>
          </cell>
          <cell r="AQ6424">
            <v>0</v>
          </cell>
          <cell r="AV6424">
            <v>0</v>
          </cell>
        </row>
        <row r="6425">
          <cell r="E6425" t="str">
            <v>B26000604</v>
          </cell>
          <cell r="AP6425">
            <v>0</v>
          </cell>
          <cell r="AQ6425">
            <v>0</v>
          </cell>
          <cell r="AV6425">
            <v>0</v>
          </cell>
        </row>
        <row r="6426">
          <cell r="E6426" t="str">
            <v>B26000732</v>
          </cell>
          <cell r="AP6426">
            <v>0</v>
          </cell>
          <cell r="AQ6426">
            <v>45240000</v>
          </cell>
          <cell r="AV6426">
            <v>0</v>
          </cell>
        </row>
        <row r="6427">
          <cell r="E6427" t="str">
            <v>B26001066</v>
          </cell>
          <cell r="AP6427">
            <v>0</v>
          </cell>
          <cell r="AQ6427">
            <v>14400000</v>
          </cell>
          <cell r="AV6427">
            <v>0</v>
          </cell>
        </row>
        <row r="6428">
          <cell r="E6428" t="str">
            <v>B26001148</v>
          </cell>
          <cell r="AP6428">
            <v>0</v>
          </cell>
          <cell r="AQ6428">
            <v>134375000</v>
          </cell>
          <cell r="AV6428">
            <v>0</v>
          </cell>
        </row>
        <row r="6429">
          <cell r="E6429" t="str">
            <v>B26001443</v>
          </cell>
          <cell r="AP6429">
            <v>0</v>
          </cell>
          <cell r="AQ6429">
            <v>20375000</v>
          </cell>
          <cell r="AV6429">
            <v>0</v>
          </cell>
        </row>
        <row r="6430">
          <cell r="E6430" t="str">
            <v>B26001443</v>
          </cell>
          <cell r="AP6430">
            <v>0</v>
          </cell>
          <cell r="AQ6430">
            <v>112125000</v>
          </cell>
          <cell r="AV6430">
            <v>0</v>
          </cell>
        </row>
        <row r="6431">
          <cell r="E6431" t="str">
            <v>B26001448</v>
          </cell>
          <cell r="AP6431">
            <v>0</v>
          </cell>
          <cell r="AQ6431">
            <v>20375000</v>
          </cell>
          <cell r="AV6431">
            <v>0</v>
          </cell>
        </row>
        <row r="6432">
          <cell r="E6432" t="str">
            <v>B26001465</v>
          </cell>
          <cell r="AP6432">
            <v>0</v>
          </cell>
          <cell r="AQ6432">
            <v>0</v>
          </cell>
          <cell r="AV6432">
            <v>132000000</v>
          </cell>
        </row>
        <row r="6433">
          <cell r="E6433" t="str">
            <v>B26001750</v>
          </cell>
          <cell r="AP6433">
            <v>0</v>
          </cell>
          <cell r="AQ6433">
            <v>27280000</v>
          </cell>
          <cell r="AV6433">
            <v>0</v>
          </cell>
        </row>
        <row r="6434">
          <cell r="E6434" t="str">
            <v>D26002090</v>
          </cell>
          <cell r="AP6434">
            <v>0</v>
          </cell>
          <cell r="AQ6434">
            <v>0</v>
          </cell>
          <cell r="AV6434">
            <v>0</v>
          </cell>
        </row>
        <row r="6435">
          <cell r="E6435" t="str">
            <v>D26002117</v>
          </cell>
          <cell r="AP6435">
            <v>0</v>
          </cell>
          <cell r="AQ6435">
            <v>0</v>
          </cell>
          <cell r="AV6435">
            <v>0</v>
          </cell>
        </row>
        <row r="6436">
          <cell r="E6436" t="str">
            <v>D26002129</v>
          </cell>
          <cell r="AP6436">
            <v>0</v>
          </cell>
          <cell r="AQ6436">
            <v>0</v>
          </cell>
          <cell r="AV6436">
            <v>0</v>
          </cell>
        </row>
        <row r="6437">
          <cell r="E6437" t="str">
            <v>D26002141</v>
          </cell>
          <cell r="AP6437">
            <v>0</v>
          </cell>
          <cell r="AQ6437">
            <v>0</v>
          </cell>
          <cell r="AV6437">
            <v>0</v>
          </cell>
        </row>
        <row r="6438">
          <cell r="E6438" t="str">
            <v>B26002079</v>
          </cell>
          <cell r="AP6438">
            <v>0</v>
          </cell>
          <cell r="AQ6438">
            <v>0</v>
          </cell>
          <cell r="AV6438">
            <v>0</v>
          </cell>
        </row>
        <row r="6439">
          <cell r="E6439" t="str">
            <v>D26002287</v>
          </cell>
          <cell r="AP6439">
            <v>0</v>
          </cell>
          <cell r="AQ6439">
            <v>0</v>
          </cell>
          <cell r="AV6439">
            <v>0</v>
          </cell>
        </row>
        <row r="6440">
          <cell r="E6440" t="str">
            <v>D26002288</v>
          </cell>
          <cell r="AP6440">
            <v>0</v>
          </cell>
          <cell r="AQ6440">
            <v>0</v>
          </cell>
          <cell r="AV6440">
            <v>0</v>
          </cell>
        </row>
        <row r="6441">
          <cell r="E6441" t="str">
            <v>B26002177</v>
          </cell>
          <cell r="AP6441">
            <v>0</v>
          </cell>
          <cell r="AQ6441">
            <v>0</v>
          </cell>
          <cell r="AV6441">
            <v>0</v>
          </cell>
        </row>
        <row r="6442">
          <cell r="E6442" t="str">
            <v>D26002321</v>
          </cell>
          <cell r="AP6442">
            <v>0</v>
          </cell>
          <cell r="AQ6442">
            <v>0</v>
          </cell>
          <cell r="AV6442">
            <v>0</v>
          </cell>
        </row>
        <row r="6443">
          <cell r="E6443" t="str">
            <v>D26002327</v>
          </cell>
          <cell r="AP6443">
            <v>0</v>
          </cell>
          <cell r="AQ6443">
            <v>0</v>
          </cell>
          <cell r="AV6443">
            <v>0</v>
          </cell>
        </row>
        <row r="6444">
          <cell r="E6444" t="str">
            <v>B26002203</v>
          </cell>
          <cell r="AP6444">
            <v>0</v>
          </cell>
          <cell r="AQ6444">
            <v>0</v>
          </cell>
          <cell r="AV6444">
            <v>0</v>
          </cell>
        </row>
        <row r="6445">
          <cell r="E6445" t="str">
            <v>B26002235</v>
          </cell>
          <cell r="AP6445">
            <v>0</v>
          </cell>
          <cell r="AQ6445">
            <v>0</v>
          </cell>
          <cell r="AV6445">
            <v>0</v>
          </cell>
        </row>
        <row r="6446">
          <cell r="E6446" t="str">
            <v>D26000278</v>
          </cell>
          <cell r="AP6446">
            <v>0</v>
          </cell>
          <cell r="AQ6446">
            <v>0</v>
          </cell>
          <cell r="AV6446">
            <v>0</v>
          </cell>
        </row>
        <row r="6447">
          <cell r="E6447" t="str">
            <v>D26000279</v>
          </cell>
          <cell r="AP6447">
            <v>0</v>
          </cell>
          <cell r="AQ6447">
            <v>0</v>
          </cell>
          <cell r="AV6447">
            <v>0</v>
          </cell>
        </row>
        <row r="6448">
          <cell r="E6448" t="str">
            <v>D26000894</v>
          </cell>
          <cell r="AP6448">
            <v>0</v>
          </cell>
          <cell r="AQ6448">
            <v>0</v>
          </cell>
          <cell r="AV6448">
            <v>0</v>
          </cell>
        </row>
        <row r="6449">
          <cell r="E6449" t="str">
            <v>B26001850</v>
          </cell>
          <cell r="AP6449">
            <v>0</v>
          </cell>
          <cell r="AQ6449">
            <v>0</v>
          </cell>
          <cell r="AV6449">
            <v>0</v>
          </cell>
        </row>
        <row r="6450">
          <cell r="E6450" t="str">
            <v>D26001986</v>
          </cell>
          <cell r="AP6450">
            <v>0</v>
          </cell>
          <cell r="AQ6450">
            <v>0</v>
          </cell>
          <cell r="AV6450">
            <v>0</v>
          </cell>
        </row>
        <row r="6451">
          <cell r="E6451" t="str">
            <v>B26002208</v>
          </cell>
          <cell r="AP6451">
            <v>0</v>
          </cell>
          <cell r="AQ6451">
            <v>0</v>
          </cell>
          <cell r="AV6451">
            <v>0</v>
          </cell>
        </row>
        <row r="6452">
          <cell r="E6452" t="str">
            <v>T26000162</v>
          </cell>
          <cell r="AP6452">
            <v>0</v>
          </cell>
          <cell r="AQ6452">
            <v>0</v>
          </cell>
          <cell r="AV6452">
            <v>0</v>
          </cell>
        </row>
        <row r="6453">
          <cell r="E6453" t="str">
            <v>D26001666</v>
          </cell>
          <cell r="AP6453">
            <v>0</v>
          </cell>
          <cell r="AQ6453">
            <v>0</v>
          </cell>
          <cell r="AV6453">
            <v>0</v>
          </cell>
        </row>
        <row r="6454">
          <cell r="E6454" t="str">
            <v>B26001949</v>
          </cell>
          <cell r="AP6454">
            <v>0</v>
          </cell>
          <cell r="AQ6454">
            <v>0</v>
          </cell>
          <cell r="AV6454">
            <v>1870000</v>
          </cell>
        </row>
        <row r="6455">
          <cell r="E6455" t="str">
            <v>D26002086</v>
          </cell>
          <cell r="AP6455">
            <v>0</v>
          </cell>
          <cell r="AQ6455">
            <v>0</v>
          </cell>
          <cell r="AV6455">
            <v>8255000</v>
          </cell>
        </row>
        <row r="6456">
          <cell r="E6456" t="str">
            <v>R25000016</v>
          </cell>
          <cell r="AP6456">
            <v>0</v>
          </cell>
          <cell r="AQ6456">
            <v>0</v>
          </cell>
          <cell r="AV6456">
            <v>0</v>
          </cell>
        </row>
        <row r="6457">
          <cell r="E6457" t="str">
            <v>T25001692</v>
          </cell>
          <cell r="AP6457">
            <v>0</v>
          </cell>
          <cell r="AQ6457">
            <v>0</v>
          </cell>
          <cell r="AV6457">
            <v>2000000</v>
          </cell>
        </row>
        <row r="6458">
          <cell r="E6458" t="str">
            <v>B26000594</v>
          </cell>
          <cell r="AP6458">
            <v>0</v>
          </cell>
          <cell r="AQ6458">
            <v>0</v>
          </cell>
          <cell r="AV6458">
            <v>0</v>
          </cell>
        </row>
        <row r="6459">
          <cell r="E6459" t="str">
            <v>B26000595</v>
          </cell>
          <cell r="AP6459">
            <v>0</v>
          </cell>
          <cell r="AQ6459">
            <v>0</v>
          </cell>
          <cell r="AV6459">
            <v>0</v>
          </cell>
        </row>
        <row r="6460">
          <cell r="E6460" t="str">
            <v>D26000651</v>
          </cell>
          <cell r="AP6460">
            <v>0</v>
          </cell>
          <cell r="AQ6460">
            <v>0</v>
          </cell>
          <cell r="AV6460">
            <v>0</v>
          </cell>
        </row>
        <row r="6461">
          <cell r="E6461" t="str">
            <v>T25001865</v>
          </cell>
          <cell r="AP6461">
            <v>0</v>
          </cell>
          <cell r="AQ6461">
            <v>0</v>
          </cell>
          <cell r="AV6461">
            <v>0</v>
          </cell>
        </row>
        <row r="6462">
          <cell r="E6462" t="str">
            <v>T25001353</v>
          </cell>
          <cell r="AP6462">
            <v>0</v>
          </cell>
          <cell r="AQ6462">
            <v>0</v>
          </cell>
          <cell r="AV6462">
            <v>4400000</v>
          </cell>
        </row>
        <row r="6463">
          <cell r="E6463" t="str">
            <v>D26000819</v>
          </cell>
          <cell r="AP6463">
            <v>0</v>
          </cell>
          <cell r="AQ6463">
            <v>0</v>
          </cell>
          <cell r="AV6463">
            <v>2250000</v>
          </cell>
        </row>
        <row r="6464">
          <cell r="E6464" t="str">
            <v>D26001152</v>
          </cell>
          <cell r="AP6464">
            <v>0</v>
          </cell>
          <cell r="AQ6464">
            <v>0</v>
          </cell>
          <cell r="AV6464">
            <v>1710000</v>
          </cell>
        </row>
        <row r="6465">
          <cell r="E6465" t="str">
            <v>D26001634</v>
          </cell>
          <cell r="AP6465">
            <v>0</v>
          </cell>
          <cell r="AQ6465">
            <v>0</v>
          </cell>
          <cell r="AV6465">
            <v>20850000</v>
          </cell>
        </row>
        <row r="6466">
          <cell r="E6466" t="str">
            <v>B26002023</v>
          </cell>
          <cell r="AP6466">
            <v>0</v>
          </cell>
          <cell r="AQ6466">
            <v>0</v>
          </cell>
          <cell r="AV6466">
            <v>0</v>
          </cell>
        </row>
        <row r="6467">
          <cell r="E6467" t="str">
            <v>D26002325</v>
          </cell>
          <cell r="AP6467">
            <v>0</v>
          </cell>
          <cell r="AQ6467">
            <v>0</v>
          </cell>
          <cell r="AV6467">
            <v>0</v>
          </cell>
        </row>
        <row r="6468">
          <cell r="E6468" t="str">
            <v>B26002233</v>
          </cell>
          <cell r="AP6468">
            <v>0</v>
          </cell>
          <cell r="AQ6468">
            <v>0</v>
          </cell>
          <cell r="AV6468">
            <v>0</v>
          </cell>
        </row>
        <row r="6469">
          <cell r="E6469" t="str">
            <v>B26002236</v>
          </cell>
          <cell r="AP6469">
            <v>0</v>
          </cell>
          <cell r="AQ6469">
            <v>0</v>
          </cell>
          <cell r="AV6469">
            <v>0</v>
          </cell>
        </row>
        <row r="6470">
          <cell r="E6470" t="str">
            <v>T25001625</v>
          </cell>
          <cell r="AP6470">
            <v>0</v>
          </cell>
          <cell r="AQ6470">
            <v>0</v>
          </cell>
          <cell r="AV6470">
            <v>1880000</v>
          </cell>
        </row>
        <row r="6471">
          <cell r="E6471" t="str">
            <v>D25019383</v>
          </cell>
          <cell r="AP6471">
            <v>0</v>
          </cell>
          <cell r="AQ6471">
            <v>0</v>
          </cell>
          <cell r="AV6471">
            <v>0</v>
          </cell>
        </row>
        <row r="6472">
          <cell r="E6472" t="str">
            <v>B26002149</v>
          </cell>
          <cell r="AP6472">
            <v>0</v>
          </cell>
          <cell r="AQ6472">
            <v>0</v>
          </cell>
          <cell r="AV6472">
            <v>5490000</v>
          </cell>
        </row>
        <row r="6473">
          <cell r="E6473" t="str">
            <v>T26000088k</v>
          </cell>
          <cell r="AP6473">
            <v>0</v>
          </cell>
          <cell r="AQ6473">
            <v>0</v>
          </cell>
          <cell r="AV6473">
            <v>0</v>
          </cell>
        </row>
        <row r="6474">
          <cell r="E6474" t="str">
            <v>B26001517</v>
          </cell>
          <cell r="AP6474">
            <v>0</v>
          </cell>
          <cell r="AQ6474">
            <v>0</v>
          </cell>
          <cell r="AV6474">
            <v>0</v>
          </cell>
        </row>
        <row r="6475">
          <cell r="E6475" t="str">
            <v>D26001837</v>
          </cell>
          <cell r="AP6475">
            <v>0</v>
          </cell>
          <cell r="AQ6475">
            <v>0</v>
          </cell>
          <cell r="AV6475">
            <v>10400000</v>
          </cell>
        </row>
        <row r="6476">
          <cell r="E6476" t="str">
            <v>B26002042</v>
          </cell>
          <cell r="AP6476">
            <v>0</v>
          </cell>
          <cell r="AQ6476">
            <v>0</v>
          </cell>
          <cell r="AV6476">
            <v>33600000</v>
          </cell>
        </row>
        <row r="6477">
          <cell r="E6477" t="str">
            <v>D25018177</v>
          </cell>
          <cell r="AP6477">
            <v>0</v>
          </cell>
          <cell r="AQ6477">
            <v>0</v>
          </cell>
          <cell r="AV6477">
            <v>1840000</v>
          </cell>
        </row>
        <row r="6478">
          <cell r="E6478" t="str">
            <v>D25018834</v>
          </cell>
          <cell r="AP6478">
            <v>0</v>
          </cell>
          <cell r="AQ6478">
            <v>0</v>
          </cell>
          <cell r="AV6478">
            <v>4660000</v>
          </cell>
        </row>
        <row r="6479">
          <cell r="E6479" t="str">
            <v>D26000282</v>
          </cell>
          <cell r="AP6479">
            <v>0</v>
          </cell>
          <cell r="AQ6479">
            <v>0</v>
          </cell>
          <cell r="AV6479">
            <v>0</v>
          </cell>
        </row>
        <row r="6480">
          <cell r="E6480" t="str">
            <v>B26001778</v>
          </cell>
          <cell r="AP6480">
            <v>0</v>
          </cell>
          <cell r="AQ6480">
            <v>0</v>
          </cell>
          <cell r="AV6480">
            <v>2340000</v>
          </cell>
        </row>
        <row r="6481">
          <cell r="E6481" t="str">
            <v>B26001783</v>
          </cell>
          <cell r="AP6481">
            <v>0</v>
          </cell>
          <cell r="AQ6481">
            <v>0</v>
          </cell>
          <cell r="AV6481">
            <v>1040000</v>
          </cell>
        </row>
        <row r="6482">
          <cell r="E6482" t="str">
            <v>B26000043</v>
          </cell>
          <cell r="AP6482">
            <v>0</v>
          </cell>
          <cell r="AQ6482">
            <v>0</v>
          </cell>
          <cell r="AV6482">
            <v>0</v>
          </cell>
        </row>
        <row r="6483">
          <cell r="E6483" t="str">
            <v>B26000045</v>
          </cell>
          <cell r="AP6483">
            <v>0</v>
          </cell>
          <cell r="AQ6483">
            <v>0</v>
          </cell>
          <cell r="AV6483">
            <v>0</v>
          </cell>
        </row>
        <row r="6484">
          <cell r="E6484" t="str">
            <v>C26000008</v>
          </cell>
          <cell r="AP6484">
            <v>0</v>
          </cell>
          <cell r="AQ6484">
            <v>0</v>
          </cell>
          <cell r="AV6484">
            <v>0</v>
          </cell>
        </row>
        <row r="6485">
          <cell r="E6485" t="str">
            <v>B26000446</v>
          </cell>
          <cell r="AP6485">
            <v>0</v>
          </cell>
          <cell r="AQ6485">
            <v>0</v>
          </cell>
          <cell r="AV6485">
            <v>0</v>
          </cell>
        </row>
        <row r="6486">
          <cell r="E6486" t="str">
            <v>D26000516</v>
          </cell>
          <cell r="AP6486">
            <v>0</v>
          </cell>
          <cell r="AQ6486">
            <v>0</v>
          </cell>
          <cell r="AV6486">
            <v>0</v>
          </cell>
        </row>
        <row r="6487">
          <cell r="E6487" t="str">
            <v>B26000246</v>
          </cell>
          <cell r="AP6487">
            <v>0</v>
          </cell>
          <cell r="AQ6487">
            <v>0</v>
          </cell>
          <cell r="AV6487">
            <v>0</v>
          </cell>
        </row>
        <row r="6488">
          <cell r="E6488" t="str">
            <v>B26000247</v>
          </cell>
          <cell r="AP6488">
            <v>0</v>
          </cell>
          <cell r="AQ6488">
            <v>0</v>
          </cell>
          <cell r="AV6488">
            <v>0</v>
          </cell>
        </row>
        <row r="6489">
          <cell r="E6489" t="str">
            <v>D26001546</v>
          </cell>
          <cell r="AP6489">
            <v>0</v>
          </cell>
          <cell r="AQ6489">
            <v>0</v>
          </cell>
          <cell r="AV6489">
            <v>0</v>
          </cell>
        </row>
        <row r="6490">
          <cell r="E6490" t="str">
            <v>B25014156</v>
          </cell>
          <cell r="AP6490">
            <v>0</v>
          </cell>
          <cell r="AQ6490">
            <v>0</v>
          </cell>
          <cell r="AV6490">
            <v>1920000</v>
          </cell>
        </row>
        <row r="6491">
          <cell r="E6491" t="str">
            <v>D25018044</v>
          </cell>
          <cell r="AP6491">
            <v>0</v>
          </cell>
          <cell r="AQ6491">
            <v>0</v>
          </cell>
          <cell r="AV6491">
            <v>9608400</v>
          </cell>
        </row>
        <row r="6492">
          <cell r="E6492" t="str">
            <v>B25015992</v>
          </cell>
          <cell r="AP6492">
            <v>0</v>
          </cell>
          <cell r="AQ6492">
            <v>0</v>
          </cell>
          <cell r="AV6492">
            <v>8471600</v>
          </cell>
        </row>
        <row r="6493">
          <cell r="E6493" t="str">
            <v>B25015992</v>
          </cell>
          <cell r="AP6493">
            <v>0</v>
          </cell>
          <cell r="AQ6493">
            <v>0</v>
          </cell>
          <cell r="AV6493">
            <v>1199900</v>
          </cell>
        </row>
        <row r="6494">
          <cell r="E6494" t="str">
            <v>B25016085</v>
          </cell>
          <cell r="AP6494">
            <v>0</v>
          </cell>
          <cell r="AQ6494">
            <v>0</v>
          </cell>
          <cell r="AV6494">
            <v>4087500</v>
          </cell>
        </row>
        <row r="6495">
          <cell r="E6495" t="str">
            <v>D25018873</v>
          </cell>
          <cell r="AP6495">
            <v>0</v>
          </cell>
          <cell r="AQ6495">
            <v>0</v>
          </cell>
          <cell r="AV6495">
            <v>14712600</v>
          </cell>
        </row>
        <row r="6496">
          <cell r="E6496" t="str">
            <v>D25018889</v>
          </cell>
          <cell r="AP6496">
            <v>0</v>
          </cell>
          <cell r="AQ6496">
            <v>0</v>
          </cell>
          <cell r="AV6496">
            <v>0</v>
          </cell>
        </row>
        <row r="6497">
          <cell r="E6497" t="str">
            <v>D25019527</v>
          </cell>
          <cell r="AP6497">
            <v>0</v>
          </cell>
          <cell r="AQ6497">
            <v>0</v>
          </cell>
          <cell r="AV6497">
            <v>0</v>
          </cell>
        </row>
        <row r="6498">
          <cell r="E6498" t="str">
            <v>D25019528</v>
          </cell>
          <cell r="AP6498">
            <v>0</v>
          </cell>
          <cell r="AQ6498">
            <v>0</v>
          </cell>
          <cell r="AV6498">
            <v>0</v>
          </cell>
        </row>
        <row r="6499">
          <cell r="E6499" t="str">
            <v>D25019529</v>
          </cell>
          <cell r="AP6499">
            <v>0</v>
          </cell>
          <cell r="AQ6499">
            <v>0</v>
          </cell>
          <cell r="AV6499">
            <v>0</v>
          </cell>
        </row>
        <row r="6500">
          <cell r="E6500" t="str">
            <v>B26001458</v>
          </cell>
          <cell r="AP6500">
            <v>0</v>
          </cell>
          <cell r="AQ6500">
            <v>0</v>
          </cell>
          <cell r="AV6500">
            <v>19400000</v>
          </cell>
        </row>
        <row r="6501">
          <cell r="E6501" t="str">
            <v>B25015024</v>
          </cell>
          <cell r="AP6501">
            <v>0</v>
          </cell>
          <cell r="AQ6501">
            <v>0</v>
          </cell>
          <cell r="AV6501">
            <v>37550000</v>
          </cell>
        </row>
        <row r="6502">
          <cell r="E6502">
            <v>250197</v>
          </cell>
          <cell r="AP6502">
            <v>0</v>
          </cell>
          <cell r="AQ6502">
            <v>0</v>
          </cell>
          <cell r="AV6502">
            <v>0</v>
          </cell>
        </row>
        <row r="6503">
          <cell r="E6503">
            <v>250198</v>
          </cell>
          <cell r="AP6503">
            <v>0</v>
          </cell>
          <cell r="AQ6503">
            <v>0</v>
          </cell>
          <cell r="AV6503">
            <v>0</v>
          </cell>
        </row>
        <row r="6504">
          <cell r="E6504" t="str">
            <v>D25018478</v>
          </cell>
          <cell r="AP6504">
            <v>0</v>
          </cell>
          <cell r="AQ6504">
            <v>0</v>
          </cell>
          <cell r="AV6504">
            <v>96000000</v>
          </cell>
        </row>
        <row r="6505">
          <cell r="E6505" t="str">
            <v>D26000491</v>
          </cell>
          <cell r="AP6505">
            <v>0</v>
          </cell>
          <cell r="AQ6505">
            <v>0</v>
          </cell>
          <cell r="AV6505">
            <v>0</v>
          </cell>
        </row>
        <row r="6506">
          <cell r="E6506" t="str">
            <v>D26000947</v>
          </cell>
          <cell r="AP6506">
            <v>0</v>
          </cell>
          <cell r="AQ6506">
            <v>0</v>
          </cell>
          <cell r="AV6506">
            <v>0</v>
          </cell>
        </row>
        <row r="6507">
          <cell r="E6507" t="str">
            <v>D26000987</v>
          </cell>
          <cell r="AP6507">
            <v>0</v>
          </cell>
          <cell r="AQ6507">
            <v>0</v>
          </cell>
          <cell r="AV6507">
            <v>0</v>
          </cell>
        </row>
        <row r="6508">
          <cell r="E6508" t="str">
            <v>D26001963</v>
          </cell>
          <cell r="AP6508">
            <v>0</v>
          </cell>
          <cell r="AQ6508">
            <v>0</v>
          </cell>
          <cell r="AV6508">
            <v>0</v>
          </cell>
        </row>
        <row r="6509">
          <cell r="E6509" t="str">
            <v>B26001280</v>
          </cell>
          <cell r="AP6509">
            <v>0</v>
          </cell>
          <cell r="AQ6509">
            <v>0</v>
          </cell>
          <cell r="AV6509">
            <v>0</v>
          </cell>
        </row>
        <row r="6510">
          <cell r="E6510" t="str">
            <v>B26000884</v>
          </cell>
          <cell r="AP6510">
            <v>0</v>
          </cell>
          <cell r="AQ6510">
            <v>0</v>
          </cell>
          <cell r="AV6510">
            <v>0</v>
          </cell>
        </row>
        <row r="6511">
          <cell r="E6511" t="str">
            <v>B26001284</v>
          </cell>
          <cell r="AP6511">
            <v>0</v>
          </cell>
          <cell r="AQ6511">
            <v>0</v>
          </cell>
          <cell r="AV6511">
            <v>0</v>
          </cell>
        </row>
        <row r="6512">
          <cell r="E6512" t="str">
            <v>B26000116</v>
          </cell>
          <cell r="AP6512">
            <v>0</v>
          </cell>
          <cell r="AQ6512">
            <v>0</v>
          </cell>
          <cell r="AV6512">
            <v>1665000</v>
          </cell>
        </row>
        <row r="6513">
          <cell r="E6513" t="str">
            <v>B26000168</v>
          </cell>
          <cell r="AP6513">
            <v>0</v>
          </cell>
          <cell r="AQ6513">
            <v>0</v>
          </cell>
          <cell r="AV6513">
            <v>0</v>
          </cell>
        </row>
        <row r="6514">
          <cell r="E6514" t="str">
            <v>B26000499</v>
          </cell>
          <cell r="AP6514">
            <v>0</v>
          </cell>
          <cell r="AQ6514">
            <v>0</v>
          </cell>
          <cell r="AV6514">
            <v>0</v>
          </cell>
        </row>
        <row r="6515">
          <cell r="E6515" t="str">
            <v>B26000500</v>
          </cell>
          <cell r="AP6515">
            <v>0</v>
          </cell>
          <cell r="AQ6515">
            <v>0</v>
          </cell>
          <cell r="AV6515">
            <v>0</v>
          </cell>
        </row>
        <row r="6516">
          <cell r="E6516" t="str">
            <v>B26000507</v>
          </cell>
          <cell r="AP6516">
            <v>0</v>
          </cell>
          <cell r="AQ6516">
            <v>0</v>
          </cell>
          <cell r="AV6516">
            <v>0</v>
          </cell>
        </row>
        <row r="6517">
          <cell r="E6517" t="str">
            <v>B26000890</v>
          </cell>
          <cell r="AP6517">
            <v>0</v>
          </cell>
          <cell r="AQ6517">
            <v>0</v>
          </cell>
          <cell r="AV6517">
            <v>0</v>
          </cell>
        </row>
        <row r="6518">
          <cell r="E6518" t="str">
            <v>D26001435</v>
          </cell>
          <cell r="AP6518">
            <v>0</v>
          </cell>
          <cell r="AQ6518">
            <v>0</v>
          </cell>
          <cell r="AV6518">
            <v>0</v>
          </cell>
        </row>
        <row r="6519">
          <cell r="E6519" t="str">
            <v>D26001660</v>
          </cell>
          <cell r="AP6519">
            <v>0</v>
          </cell>
          <cell r="AQ6519">
            <v>0</v>
          </cell>
          <cell r="AV6519">
            <v>0</v>
          </cell>
        </row>
        <row r="6520">
          <cell r="E6520" t="str">
            <v>B26001842</v>
          </cell>
          <cell r="AP6520">
            <v>0</v>
          </cell>
          <cell r="AQ6520">
            <v>0</v>
          </cell>
          <cell r="AV6520">
            <v>0</v>
          </cell>
        </row>
        <row r="6521">
          <cell r="E6521" t="str">
            <v>B26001999</v>
          </cell>
          <cell r="AP6521">
            <v>0</v>
          </cell>
          <cell r="AQ6521">
            <v>0</v>
          </cell>
          <cell r="AV6521">
            <v>0</v>
          </cell>
        </row>
        <row r="6522">
          <cell r="E6522" t="str">
            <v>D26000785</v>
          </cell>
          <cell r="AP6522">
            <v>0</v>
          </cell>
          <cell r="AQ6522">
            <v>0</v>
          </cell>
          <cell r="AV6522">
            <v>0</v>
          </cell>
        </row>
        <row r="6523">
          <cell r="E6523" t="str">
            <v>B25014926</v>
          </cell>
          <cell r="AP6523">
            <v>0</v>
          </cell>
          <cell r="AQ6523">
            <v>0</v>
          </cell>
          <cell r="AV6523">
            <v>10000000</v>
          </cell>
        </row>
        <row r="6524">
          <cell r="E6524" t="str">
            <v>B25015763</v>
          </cell>
          <cell r="AP6524">
            <v>0</v>
          </cell>
          <cell r="AQ6524">
            <v>0</v>
          </cell>
          <cell r="AV6524">
            <v>0</v>
          </cell>
        </row>
        <row r="6525">
          <cell r="E6525" t="str">
            <v>B25015927</v>
          </cell>
          <cell r="AP6525">
            <v>0</v>
          </cell>
          <cell r="AQ6525">
            <v>0</v>
          </cell>
          <cell r="AV6525">
            <v>5000000</v>
          </cell>
        </row>
        <row r="6526">
          <cell r="E6526" t="str">
            <v>D25018368</v>
          </cell>
          <cell r="AP6526">
            <v>0</v>
          </cell>
          <cell r="AQ6526">
            <v>0</v>
          </cell>
          <cell r="AV6526">
            <v>8155000</v>
          </cell>
        </row>
        <row r="6527">
          <cell r="E6527" t="str">
            <v>D25019001</v>
          </cell>
          <cell r="AP6527">
            <v>0</v>
          </cell>
          <cell r="AQ6527">
            <v>0</v>
          </cell>
          <cell r="AV6527">
            <v>0</v>
          </cell>
        </row>
        <row r="6528">
          <cell r="E6528" t="str">
            <v>D25019019</v>
          </cell>
          <cell r="AP6528">
            <v>0</v>
          </cell>
          <cell r="AQ6528">
            <v>0</v>
          </cell>
          <cell r="AV6528">
            <v>0</v>
          </cell>
        </row>
        <row r="6529">
          <cell r="E6529" t="str">
            <v>D25019440</v>
          </cell>
          <cell r="AP6529">
            <v>0</v>
          </cell>
          <cell r="AQ6529">
            <v>0</v>
          </cell>
          <cell r="AV6529">
            <v>0</v>
          </cell>
        </row>
        <row r="6530">
          <cell r="E6530" t="str">
            <v>B25016982</v>
          </cell>
          <cell r="AP6530">
            <v>0</v>
          </cell>
          <cell r="AQ6530">
            <v>0</v>
          </cell>
          <cell r="AV6530">
            <v>0</v>
          </cell>
        </row>
        <row r="6531">
          <cell r="E6531" t="str">
            <v>D25019587</v>
          </cell>
          <cell r="AP6531">
            <v>0</v>
          </cell>
          <cell r="AQ6531">
            <v>0</v>
          </cell>
          <cell r="AV6531">
            <v>0</v>
          </cell>
        </row>
        <row r="6532">
          <cell r="E6532" t="str">
            <v>B26000022</v>
          </cell>
          <cell r="AP6532">
            <v>0</v>
          </cell>
          <cell r="AQ6532">
            <v>0</v>
          </cell>
          <cell r="AV6532">
            <v>0</v>
          </cell>
        </row>
        <row r="6533">
          <cell r="E6533" t="str">
            <v>D26000091</v>
          </cell>
          <cell r="AP6533">
            <v>0</v>
          </cell>
          <cell r="AQ6533">
            <v>0</v>
          </cell>
          <cell r="AV6533">
            <v>0</v>
          </cell>
        </row>
        <row r="6534">
          <cell r="E6534" t="str">
            <v>B26000175</v>
          </cell>
          <cell r="AP6534">
            <v>0</v>
          </cell>
          <cell r="AQ6534">
            <v>0</v>
          </cell>
          <cell r="AV6534">
            <v>0</v>
          </cell>
        </row>
        <row r="6535">
          <cell r="E6535" t="str">
            <v>D26000626</v>
          </cell>
          <cell r="AP6535">
            <v>0</v>
          </cell>
          <cell r="AQ6535">
            <v>0</v>
          </cell>
          <cell r="AV6535">
            <v>0</v>
          </cell>
        </row>
        <row r="6536">
          <cell r="E6536" t="str">
            <v>D26001467</v>
          </cell>
          <cell r="AP6536">
            <v>0</v>
          </cell>
          <cell r="AQ6536">
            <v>0</v>
          </cell>
          <cell r="AV6536">
            <v>0</v>
          </cell>
        </row>
        <row r="6537">
          <cell r="E6537" t="str">
            <v>B26001668</v>
          </cell>
          <cell r="AP6537">
            <v>0</v>
          </cell>
          <cell r="AQ6537">
            <v>0</v>
          </cell>
          <cell r="AV6537">
            <v>0</v>
          </cell>
        </row>
        <row r="6538">
          <cell r="E6538" t="str">
            <v>B26001796</v>
          </cell>
          <cell r="AP6538">
            <v>0</v>
          </cell>
          <cell r="AQ6538">
            <v>0</v>
          </cell>
          <cell r="AV6538">
            <v>0</v>
          </cell>
        </row>
        <row r="6539">
          <cell r="E6539" t="str">
            <v>D26002427</v>
          </cell>
          <cell r="AP6539">
            <v>0</v>
          </cell>
          <cell r="AQ6539">
            <v>0</v>
          </cell>
          <cell r="AV6539">
            <v>0</v>
          </cell>
        </row>
        <row r="6540">
          <cell r="E6540" t="str">
            <v>Z25003133</v>
          </cell>
          <cell r="AP6540">
            <v>0</v>
          </cell>
          <cell r="AQ6540">
            <v>0</v>
          </cell>
          <cell r="AV6540">
            <v>0</v>
          </cell>
        </row>
        <row r="6541">
          <cell r="E6541" t="str">
            <v>Z25003175</v>
          </cell>
          <cell r="AP6541">
            <v>0</v>
          </cell>
          <cell r="AQ6541">
            <v>0</v>
          </cell>
          <cell r="AV6541">
            <v>0</v>
          </cell>
        </row>
        <row r="6542">
          <cell r="E6542" t="str">
            <v>Z25003313</v>
          </cell>
          <cell r="AP6542">
            <v>0</v>
          </cell>
          <cell r="AQ6542">
            <v>0</v>
          </cell>
          <cell r="AV6542">
            <v>0</v>
          </cell>
        </row>
        <row r="6543">
          <cell r="E6543" t="str">
            <v>Z26000010</v>
          </cell>
          <cell r="AP6543">
            <v>0</v>
          </cell>
          <cell r="AQ6543">
            <v>0</v>
          </cell>
          <cell r="AV6543">
            <v>0</v>
          </cell>
        </row>
        <row r="6544">
          <cell r="E6544" t="str">
            <v>Z26000013</v>
          </cell>
          <cell r="AP6544">
            <v>0</v>
          </cell>
          <cell r="AQ6544">
            <v>0</v>
          </cell>
          <cell r="AV6544">
            <v>0</v>
          </cell>
        </row>
        <row r="6545">
          <cell r="E6545" t="str">
            <v>Z26000149</v>
          </cell>
          <cell r="AP6545">
            <v>0</v>
          </cell>
          <cell r="AQ6545">
            <v>0</v>
          </cell>
          <cell r="AV6545">
            <v>0</v>
          </cell>
        </row>
        <row r="6546">
          <cell r="E6546" t="str">
            <v>Z26000172</v>
          </cell>
          <cell r="AP6546">
            <v>0</v>
          </cell>
          <cell r="AQ6546">
            <v>0</v>
          </cell>
          <cell r="AV6546">
            <v>0</v>
          </cell>
        </row>
        <row r="6547">
          <cell r="E6547" t="str">
            <v>Z26000186</v>
          </cell>
          <cell r="AP6547">
            <v>0</v>
          </cell>
          <cell r="AQ6547">
            <v>0</v>
          </cell>
          <cell r="AV6547">
            <v>0</v>
          </cell>
        </row>
        <row r="6548">
          <cell r="E6548" t="str">
            <v>Z26000189</v>
          </cell>
          <cell r="AP6548">
            <v>0</v>
          </cell>
          <cell r="AQ6548">
            <v>0</v>
          </cell>
          <cell r="AV6548">
            <v>0</v>
          </cell>
        </row>
        <row r="6549">
          <cell r="E6549" t="str">
            <v>Z26000201</v>
          </cell>
          <cell r="AP6549">
            <v>0</v>
          </cell>
          <cell r="AQ6549">
            <v>0</v>
          </cell>
          <cell r="AV6549">
            <v>0</v>
          </cell>
        </row>
        <row r="6550">
          <cell r="E6550" t="str">
            <v>Z26000307</v>
          </cell>
          <cell r="AP6550">
            <v>0</v>
          </cell>
          <cell r="AQ6550">
            <v>0</v>
          </cell>
          <cell r="AV6550">
            <v>0</v>
          </cell>
        </row>
        <row r="6551">
          <cell r="E6551" t="str">
            <v>Z26000309</v>
          </cell>
          <cell r="AP6551">
            <v>0</v>
          </cell>
          <cell r="AQ6551">
            <v>0</v>
          </cell>
          <cell r="AV6551">
            <v>0</v>
          </cell>
        </row>
        <row r="6552">
          <cell r="E6552" t="str">
            <v>Z26000337</v>
          </cell>
          <cell r="AP6552">
            <v>0</v>
          </cell>
          <cell r="AQ6552">
            <v>0</v>
          </cell>
          <cell r="AV6552">
            <v>0</v>
          </cell>
        </row>
        <row r="6553">
          <cell r="E6553" t="str">
            <v>Z26000386</v>
          </cell>
          <cell r="AP6553">
            <v>0</v>
          </cell>
          <cell r="AQ6553">
            <v>0</v>
          </cell>
          <cell r="AV6553">
            <v>0</v>
          </cell>
        </row>
        <row r="6554">
          <cell r="E6554" t="str">
            <v>D26000891</v>
          </cell>
          <cell r="AP6554">
            <v>0</v>
          </cell>
          <cell r="AQ6554">
            <v>0</v>
          </cell>
          <cell r="AV6554">
            <v>0</v>
          </cell>
        </row>
        <row r="6555">
          <cell r="E6555" t="str">
            <v>D26000892</v>
          </cell>
          <cell r="AP6555">
            <v>0</v>
          </cell>
          <cell r="AQ6555">
            <v>0</v>
          </cell>
          <cell r="AV6555">
            <v>0</v>
          </cell>
        </row>
        <row r="6556">
          <cell r="E6556" t="str">
            <v>D26000893</v>
          </cell>
          <cell r="AP6556">
            <v>0</v>
          </cell>
          <cell r="AQ6556">
            <v>0</v>
          </cell>
          <cell r="AV6556">
            <v>0</v>
          </cell>
        </row>
        <row r="6557">
          <cell r="E6557" t="str">
            <v>B26002212</v>
          </cell>
          <cell r="AP6557">
            <v>0</v>
          </cell>
          <cell r="AQ6557">
            <v>0</v>
          </cell>
          <cell r="AV6557">
            <v>0</v>
          </cell>
        </row>
        <row r="6558">
          <cell r="E6558" t="str">
            <v>D25017659</v>
          </cell>
          <cell r="AP6558">
            <v>0</v>
          </cell>
          <cell r="AQ6558">
            <v>0</v>
          </cell>
          <cell r="AV6558">
            <v>0</v>
          </cell>
        </row>
        <row r="6559">
          <cell r="E6559" t="str">
            <v>D25018842</v>
          </cell>
          <cell r="AP6559">
            <v>0</v>
          </cell>
          <cell r="AQ6559">
            <v>0</v>
          </cell>
          <cell r="AV6559">
            <v>0</v>
          </cell>
        </row>
        <row r="6560">
          <cell r="E6560" t="str">
            <v>B25015526</v>
          </cell>
          <cell r="AP6560">
            <v>0</v>
          </cell>
          <cell r="AQ6560">
            <v>0</v>
          </cell>
          <cell r="AV6560">
            <v>2180000</v>
          </cell>
        </row>
        <row r="6561">
          <cell r="E6561" t="str">
            <v>D25019103</v>
          </cell>
          <cell r="AP6561">
            <v>0</v>
          </cell>
          <cell r="AQ6561">
            <v>0</v>
          </cell>
          <cell r="AV6561">
            <v>0</v>
          </cell>
        </row>
        <row r="6562">
          <cell r="E6562" t="str">
            <v>B26000114</v>
          </cell>
          <cell r="AP6562">
            <v>0</v>
          </cell>
          <cell r="AQ6562">
            <v>0</v>
          </cell>
          <cell r="AV6562">
            <v>0</v>
          </cell>
        </row>
        <row r="6563">
          <cell r="E6563" t="str">
            <v>D26000123</v>
          </cell>
          <cell r="AP6563">
            <v>0</v>
          </cell>
          <cell r="AQ6563">
            <v>0</v>
          </cell>
          <cell r="AV6563">
            <v>0</v>
          </cell>
        </row>
        <row r="6564">
          <cell r="E6564" t="str">
            <v>B26001621</v>
          </cell>
          <cell r="AP6564">
            <v>0</v>
          </cell>
          <cell r="AQ6564">
            <v>0</v>
          </cell>
          <cell r="AV6564">
            <v>0</v>
          </cell>
        </row>
        <row r="6565">
          <cell r="E6565" t="str">
            <v>B26001622</v>
          </cell>
          <cell r="AP6565">
            <v>0</v>
          </cell>
          <cell r="AQ6565">
            <v>0</v>
          </cell>
          <cell r="AV6565">
            <v>0</v>
          </cell>
        </row>
        <row r="6566">
          <cell r="E6566" t="str">
            <v>B26001666</v>
          </cell>
          <cell r="AP6566">
            <v>0</v>
          </cell>
          <cell r="AQ6566">
            <v>0</v>
          </cell>
          <cell r="AV6566">
            <v>0</v>
          </cell>
        </row>
        <row r="6567">
          <cell r="E6567" t="str">
            <v>B25016981</v>
          </cell>
          <cell r="AP6567">
            <v>0</v>
          </cell>
          <cell r="AQ6567">
            <v>0</v>
          </cell>
          <cell r="AV6567">
            <v>0</v>
          </cell>
        </row>
        <row r="6568">
          <cell r="E6568" t="str">
            <v>B25016983</v>
          </cell>
          <cell r="AP6568">
            <v>0</v>
          </cell>
          <cell r="AQ6568">
            <v>0</v>
          </cell>
          <cell r="AV6568">
            <v>4525000</v>
          </cell>
        </row>
        <row r="6569">
          <cell r="E6569" t="str">
            <v>B26000189</v>
          </cell>
          <cell r="AP6569">
            <v>0</v>
          </cell>
          <cell r="AQ6569">
            <v>0</v>
          </cell>
          <cell r="AV6569">
            <v>475000</v>
          </cell>
        </row>
        <row r="6570">
          <cell r="E6570" t="str">
            <v>T26000019</v>
          </cell>
          <cell r="AP6570">
            <v>0</v>
          </cell>
          <cell r="AQ6570">
            <v>0</v>
          </cell>
          <cell r="AV6570">
            <v>0</v>
          </cell>
        </row>
        <row r="6571">
          <cell r="E6571" t="str">
            <v>D26000364</v>
          </cell>
          <cell r="AP6571">
            <v>0</v>
          </cell>
          <cell r="AQ6571">
            <v>0</v>
          </cell>
          <cell r="AV6571">
            <v>0</v>
          </cell>
        </row>
        <row r="6572">
          <cell r="E6572" t="str">
            <v>B26001172</v>
          </cell>
          <cell r="AP6572">
            <v>0</v>
          </cell>
          <cell r="AQ6572">
            <v>0</v>
          </cell>
          <cell r="AV6572">
            <v>0</v>
          </cell>
        </row>
        <row r="6573">
          <cell r="E6573" t="str">
            <v>B26001176</v>
          </cell>
          <cell r="AP6573">
            <v>0</v>
          </cell>
          <cell r="AQ6573">
            <v>0</v>
          </cell>
          <cell r="AV6573">
            <v>0</v>
          </cell>
        </row>
        <row r="6574">
          <cell r="E6574" t="str">
            <v>B26001460</v>
          </cell>
          <cell r="AP6574">
            <v>0</v>
          </cell>
          <cell r="AQ6574">
            <v>0</v>
          </cell>
          <cell r="AV6574">
            <v>0</v>
          </cell>
        </row>
        <row r="6575">
          <cell r="E6575" t="str">
            <v>D26001601</v>
          </cell>
          <cell r="AP6575">
            <v>0</v>
          </cell>
          <cell r="AQ6575">
            <v>0</v>
          </cell>
          <cell r="AV6575">
            <v>0</v>
          </cell>
        </row>
        <row r="6576">
          <cell r="E6576" t="str">
            <v>D26001602</v>
          </cell>
          <cell r="AP6576">
            <v>0</v>
          </cell>
          <cell r="AQ6576">
            <v>0</v>
          </cell>
          <cell r="AV6576">
            <v>0</v>
          </cell>
        </row>
        <row r="6577">
          <cell r="E6577" t="str">
            <v>D26002151</v>
          </cell>
          <cell r="AP6577">
            <v>0</v>
          </cell>
          <cell r="AQ6577">
            <v>0</v>
          </cell>
          <cell r="AV6577">
            <v>0</v>
          </cell>
        </row>
        <row r="6578">
          <cell r="E6578" t="str">
            <v>D25018476</v>
          </cell>
          <cell r="AP6578">
            <v>0</v>
          </cell>
          <cell r="AQ6578">
            <v>0</v>
          </cell>
          <cell r="AV6578">
            <v>5968000</v>
          </cell>
        </row>
        <row r="6579">
          <cell r="E6579" t="str">
            <v>D25018846</v>
          </cell>
          <cell r="AP6579">
            <v>0</v>
          </cell>
          <cell r="AQ6579">
            <v>0</v>
          </cell>
          <cell r="AV6579">
            <v>1510000</v>
          </cell>
        </row>
        <row r="6580">
          <cell r="E6580" t="str">
            <v>D25019341</v>
          </cell>
          <cell r="AP6580">
            <v>0</v>
          </cell>
          <cell r="AQ6580">
            <v>0</v>
          </cell>
          <cell r="AV6580">
            <v>0</v>
          </cell>
        </row>
        <row r="6581">
          <cell r="E6581" t="str">
            <v>B26000385</v>
          </cell>
          <cell r="AP6581">
            <v>0</v>
          </cell>
          <cell r="AQ6581">
            <v>0</v>
          </cell>
          <cell r="AV6581">
            <v>0</v>
          </cell>
        </row>
        <row r="6582">
          <cell r="E6582" t="str">
            <v>D26000832</v>
          </cell>
          <cell r="AP6582">
            <v>0</v>
          </cell>
          <cell r="AQ6582">
            <v>0</v>
          </cell>
          <cell r="AV6582">
            <v>0</v>
          </cell>
        </row>
        <row r="6583">
          <cell r="E6583" t="str">
            <v>T26000146</v>
          </cell>
          <cell r="AP6583">
            <v>0</v>
          </cell>
          <cell r="AQ6583">
            <v>0</v>
          </cell>
          <cell r="AV6583">
            <v>0</v>
          </cell>
        </row>
        <row r="6584">
          <cell r="E6584" t="str">
            <v>B26002248</v>
          </cell>
          <cell r="AP6584">
            <v>0</v>
          </cell>
          <cell r="AQ6584">
            <v>0</v>
          </cell>
          <cell r="AV6584">
            <v>0</v>
          </cell>
        </row>
        <row r="6585">
          <cell r="E6585" t="str">
            <v>D26000057</v>
          </cell>
          <cell r="AP6585">
            <v>0</v>
          </cell>
          <cell r="AQ6585">
            <v>0</v>
          </cell>
          <cell r="AV6585">
            <v>0</v>
          </cell>
        </row>
        <row r="6586">
          <cell r="E6586" t="str">
            <v>D26001564</v>
          </cell>
          <cell r="AP6586">
            <v>0</v>
          </cell>
          <cell r="AQ6586">
            <v>0</v>
          </cell>
          <cell r="AV6586">
            <v>0</v>
          </cell>
        </row>
        <row r="6587">
          <cell r="E6587" t="str">
            <v>D25013787</v>
          </cell>
          <cell r="AP6587">
            <v>0</v>
          </cell>
          <cell r="AQ6587">
            <v>0</v>
          </cell>
          <cell r="AV6587">
            <v>4380000</v>
          </cell>
        </row>
        <row r="6588">
          <cell r="E6588" t="str">
            <v>B25013655</v>
          </cell>
          <cell r="AP6588">
            <v>0</v>
          </cell>
          <cell r="AQ6588">
            <v>0</v>
          </cell>
          <cell r="AV6588">
            <v>13200000</v>
          </cell>
        </row>
        <row r="6589">
          <cell r="E6589" t="str">
            <v>B25014606</v>
          </cell>
          <cell r="AP6589">
            <v>0</v>
          </cell>
          <cell r="AQ6589">
            <v>0</v>
          </cell>
          <cell r="AV6589">
            <v>860000</v>
          </cell>
        </row>
        <row r="6590">
          <cell r="E6590" t="str">
            <v>B25014698</v>
          </cell>
          <cell r="AP6590">
            <v>0</v>
          </cell>
          <cell r="AQ6590">
            <v>0</v>
          </cell>
          <cell r="AV6590">
            <v>3210000</v>
          </cell>
        </row>
        <row r="6591">
          <cell r="E6591" t="str">
            <v>D25017436</v>
          </cell>
          <cell r="AP6591">
            <v>0</v>
          </cell>
          <cell r="AQ6591">
            <v>0</v>
          </cell>
          <cell r="AV6591">
            <v>2105000</v>
          </cell>
        </row>
        <row r="6592">
          <cell r="E6592" t="str">
            <v>B25015576</v>
          </cell>
          <cell r="AP6592">
            <v>0</v>
          </cell>
          <cell r="AQ6592">
            <v>0</v>
          </cell>
          <cell r="AV6592">
            <v>0</v>
          </cell>
        </row>
        <row r="6593">
          <cell r="E6593" t="str">
            <v>D25018180</v>
          </cell>
          <cell r="AP6593">
            <v>0</v>
          </cell>
          <cell r="AQ6593">
            <v>0</v>
          </cell>
          <cell r="AV6593">
            <v>0</v>
          </cell>
        </row>
        <row r="6594">
          <cell r="E6594" t="str">
            <v>B25016094</v>
          </cell>
          <cell r="AP6594">
            <v>0</v>
          </cell>
          <cell r="AQ6594">
            <v>0</v>
          </cell>
          <cell r="AV6594">
            <v>0</v>
          </cell>
        </row>
        <row r="6595">
          <cell r="E6595" t="str">
            <v>B26000433</v>
          </cell>
          <cell r="AP6595">
            <v>0</v>
          </cell>
          <cell r="AQ6595">
            <v>0</v>
          </cell>
          <cell r="AV6595">
            <v>0</v>
          </cell>
        </row>
        <row r="6596">
          <cell r="E6596" t="str">
            <v>B26000689</v>
          </cell>
          <cell r="AP6596">
            <v>0</v>
          </cell>
          <cell r="AQ6596">
            <v>0</v>
          </cell>
          <cell r="AV6596">
            <v>0</v>
          </cell>
        </row>
        <row r="6597">
          <cell r="E6597" t="str">
            <v>B26000818</v>
          </cell>
          <cell r="AP6597">
            <v>0</v>
          </cell>
          <cell r="AQ6597">
            <v>0</v>
          </cell>
          <cell r="AV6597">
            <v>0</v>
          </cell>
        </row>
        <row r="6598">
          <cell r="E6598" t="str">
            <v>B26000934</v>
          </cell>
          <cell r="AP6598">
            <v>0</v>
          </cell>
          <cell r="AQ6598">
            <v>0</v>
          </cell>
          <cell r="AV6598">
            <v>0</v>
          </cell>
        </row>
        <row r="6599">
          <cell r="E6599" t="str">
            <v>B26001429</v>
          </cell>
          <cell r="AP6599">
            <v>0</v>
          </cell>
          <cell r="AQ6599">
            <v>0</v>
          </cell>
          <cell r="AV6599">
            <v>0</v>
          </cell>
        </row>
        <row r="6600">
          <cell r="E6600" t="str">
            <v>B26001660</v>
          </cell>
          <cell r="AP6600">
            <v>0</v>
          </cell>
          <cell r="AQ6600">
            <v>0</v>
          </cell>
          <cell r="AV6600">
            <v>0</v>
          </cell>
        </row>
        <row r="6601">
          <cell r="E6601" t="str">
            <v>D25018239</v>
          </cell>
          <cell r="AP6601">
            <v>0</v>
          </cell>
          <cell r="AQ6601">
            <v>0</v>
          </cell>
          <cell r="AV6601">
            <v>15500</v>
          </cell>
        </row>
        <row r="6602">
          <cell r="E6602" t="str">
            <v>D25019128</v>
          </cell>
          <cell r="AP6602">
            <v>0</v>
          </cell>
          <cell r="AQ6602">
            <v>0</v>
          </cell>
          <cell r="AV6602">
            <v>900000</v>
          </cell>
        </row>
        <row r="6603">
          <cell r="E6603" t="str">
            <v>D25019142</v>
          </cell>
          <cell r="AP6603">
            <v>0</v>
          </cell>
          <cell r="AQ6603">
            <v>0</v>
          </cell>
          <cell r="AV6603">
            <v>4880000</v>
          </cell>
        </row>
        <row r="6604">
          <cell r="E6604" t="str">
            <v>D25019143</v>
          </cell>
          <cell r="AP6604">
            <v>0</v>
          </cell>
          <cell r="AQ6604">
            <v>0</v>
          </cell>
          <cell r="AV6604">
            <v>1570000</v>
          </cell>
        </row>
        <row r="6605">
          <cell r="E6605" t="str">
            <v>B25016823</v>
          </cell>
          <cell r="AP6605">
            <v>0</v>
          </cell>
          <cell r="AQ6605">
            <v>0</v>
          </cell>
          <cell r="AV6605">
            <v>1187500</v>
          </cell>
        </row>
        <row r="6606">
          <cell r="E6606" t="str">
            <v>B25016925</v>
          </cell>
          <cell r="AP6606">
            <v>0</v>
          </cell>
          <cell r="AQ6606">
            <v>0</v>
          </cell>
          <cell r="AV6606">
            <v>740000</v>
          </cell>
        </row>
        <row r="6607">
          <cell r="E6607" t="str">
            <v>D26000268</v>
          </cell>
          <cell r="AP6607">
            <v>0</v>
          </cell>
          <cell r="AQ6607">
            <v>0</v>
          </cell>
          <cell r="AV6607">
            <v>2502500</v>
          </cell>
        </row>
        <row r="6608">
          <cell r="E6608" t="str">
            <v>D26000275</v>
          </cell>
          <cell r="AP6608">
            <v>0</v>
          </cell>
          <cell r="AQ6608">
            <v>0</v>
          </cell>
          <cell r="AV6608">
            <v>0</v>
          </cell>
        </row>
        <row r="6609">
          <cell r="E6609" t="str">
            <v>D26000355</v>
          </cell>
          <cell r="AP6609">
            <v>0</v>
          </cell>
          <cell r="AQ6609">
            <v>0</v>
          </cell>
          <cell r="AV6609">
            <v>0</v>
          </cell>
        </row>
        <row r="6610">
          <cell r="E6610" t="str">
            <v>D26000788</v>
          </cell>
          <cell r="AP6610">
            <v>0</v>
          </cell>
          <cell r="AQ6610">
            <v>0</v>
          </cell>
          <cell r="AV6610">
            <v>0</v>
          </cell>
        </row>
        <row r="6611">
          <cell r="E6611" t="str">
            <v>D26001044</v>
          </cell>
          <cell r="AP6611">
            <v>0</v>
          </cell>
          <cell r="AQ6611">
            <v>0</v>
          </cell>
          <cell r="AV6611">
            <v>0</v>
          </cell>
        </row>
        <row r="6612">
          <cell r="E6612" t="str">
            <v>D26001231</v>
          </cell>
          <cell r="AP6612">
            <v>0</v>
          </cell>
          <cell r="AQ6612">
            <v>0</v>
          </cell>
          <cell r="AV6612">
            <v>0</v>
          </cell>
        </row>
        <row r="6613">
          <cell r="E6613" t="str">
            <v>D26001274</v>
          </cell>
          <cell r="AP6613">
            <v>0</v>
          </cell>
          <cell r="AQ6613">
            <v>0</v>
          </cell>
          <cell r="AV6613">
            <v>0</v>
          </cell>
        </row>
        <row r="6614">
          <cell r="E6614" t="str">
            <v>D26001280</v>
          </cell>
          <cell r="AP6614">
            <v>0</v>
          </cell>
          <cell r="AQ6614">
            <v>0</v>
          </cell>
          <cell r="AV6614">
            <v>0</v>
          </cell>
        </row>
        <row r="6615">
          <cell r="E6615" t="str">
            <v>B26001232</v>
          </cell>
          <cell r="AP6615">
            <v>0</v>
          </cell>
          <cell r="AQ6615">
            <v>0</v>
          </cell>
          <cell r="AV6615">
            <v>0</v>
          </cell>
        </row>
        <row r="6616">
          <cell r="E6616" t="str">
            <v>D26001779</v>
          </cell>
          <cell r="AP6616">
            <v>0</v>
          </cell>
          <cell r="AQ6616">
            <v>0</v>
          </cell>
          <cell r="AV6616">
            <v>0</v>
          </cell>
        </row>
        <row r="6617">
          <cell r="E6617" t="str">
            <v>D26001782</v>
          </cell>
          <cell r="AP6617">
            <v>0</v>
          </cell>
          <cell r="AQ6617">
            <v>0</v>
          </cell>
          <cell r="AV6617">
            <v>0</v>
          </cell>
        </row>
        <row r="6618">
          <cell r="E6618" t="str">
            <v>B26001945</v>
          </cell>
          <cell r="AP6618">
            <v>0</v>
          </cell>
          <cell r="AQ6618">
            <v>0</v>
          </cell>
          <cell r="AV6618">
            <v>0</v>
          </cell>
        </row>
        <row r="6619">
          <cell r="E6619" t="str">
            <v>B26002019</v>
          </cell>
          <cell r="AP6619">
            <v>0</v>
          </cell>
          <cell r="AQ6619">
            <v>0</v>
          </cell>
          <cell r="AV6619">
            <v>0</v>
          </cell>
        </row>
        <row r="6620">
          <cell r="E6620" t="str">
            <v>D26002429</v>
          </cell>
          <cell r="AP6620">
            <v>0</v>
          </cell>
          <cell r="AQ6620">
            <v>0</v>
          </cell>
          <cell r="AV6620">
            <v>0</v>
          </cell>
        </row>
        <row r="6621">
          <cell r="E6621" t="str">
            <v>B25016320</v>
          </cell>
          <cell r="AP6621">
            <v>0</v>
          </cell>
          <cell r="AQ6621">
            <v>0</v>
          </cell>
          <cell r="AV6621">
            <v>0</v>
          </cell>
        </row>
        <row r="6622">
          <cell r="E6622" t="str">
            <v>B26001603</v>
          </cell>
          <cell r="AP6622">
            <v>0</v>
          </cell>
          <cell r="AQ6622">
            <v>0</v>
          </cell>
          <cell r="AV6622">
            <v>1978000</v>
          </cell>
        </row>
        <row r="6623">
          <cell r="E6623" t="str">
            <v>B26001436</v>
          </cell>
          <cell r="AP6623">
            <v>0</v>
          </cell>
          <cell r="AQ6623">
            <v>0</v>
          </cell>
          <cell r="AV6623">
            <v>0</v>
          </cell>
        </row>
        <row r="6624">
          <cell r="E6624" t="str">
            <v>D26002262</v>
          </cell>
          <cell r="AP6624">
            <v>0</v>
          </cell>
          <cell r="AQ6624">
            <v>0</v>
          </cell>
          <cell r="AV6624">
            <v>0</v>
          </cell>
        </row>
        <row r="6625">
          <cell r="E6625" t="str">
            <v>D25018732</v>
          </cell>
          <cell r="AP6625">
            <v>0</v>
          </cell>
          <cell r="AQ6625">
            <v>0</v>
          </cell>
          <cell r="AV6625">
            <v>1062500</v>
          </cell>
        </row>
        <row r="6626">
          <cell r="E6626" t="str">
            <v>B26000254</v>
          </cell>
          <cell r="AP6626">
            <v>0</v>
          </cell>
          <cell r="AQ6626">
            <v>0</v>
          </cell>
          <cell r="AV6626">
            <v>1800000</v>
          </cell>
        </row>
        <row r="6627">
          <cell r="E6627" t="str">
            <v>B26000255</v>
          </cell>
          <cell r="AP6627">
            <v>0</v>
          </cell>
          <cell r="AQ6627">
            <v>0</v>
          </cell>
          <cell r="AV6627">
            <v>680000</v>
          </cell>
        </row>
        <row r="6628">
          <cell r="E6628" t="str">
            <v>T26000046</v>
          </cell>
          <cell r="AP6628">
            <v>0</v>
          </cell>
          <cell r="AQ6628">
            <v>0</v>
          </cell>
          <cell r="AV6628">
            <v>0</v>
          </cell>
        </row>
        <row r="6629">
          <cell r="E6629" t="str">
            <v>D26001104</v>
          </cell>
          <cell r="AP6629">
            <v>0</v>
          </cell>
          <cell r="AQ6629">
            <v>0</v>
          </cell>
          <cell r="AV6629">
            <v>0</v>
          </cell>
        </row>
        <row r="6630">
          <cell r="E6630" t="str">
            <v>D26001105</v>
          </cell>
          <cell r="AP6630">
            <v>0</v>
          </cell>
          <cell r="AQ6630">
            <v>0</v>
          </cell>
          <cell r="AV6630">
            <v>0</v>
          </cell>
        </row>
        <row r="6631">
          <cell r="E6631" t="str">
            <v>B26002157</v>
          </cell>
          <cell r="AP6631">
            <v>0</v>
          </cell>
          <cell r="AQ6631">
            <v>0</v>
          </cell>
          <cell r="AV6631">
            <v>0</v>
          </cell>
        </row>
        <row r="6632">
          <cell r="E6632" t="str">
            <v>D25019640</v>
          </cell>
          <cell r="AP6632">
            <v>0</v>
          </cell>
          <cell r="AQ6632">
            <v>0</v>
          </cell>
          <cell r="AV6632">
            <v>0</v>
          </cell>
        </row>
        <row r="6633">
          <cell r="E6633" t="str">
            <v>D25019720</v>
          </cell>
          <cell r="AP6633">
            <v>0</v>
          </cell>
          <cell r="AQ6633">
            <v>0</v>
          </cell>
          <cell r="AV6633">
            <v>0</v>
          </cell>
        </row>
        <row r="6634">
          <cell r="E6634" t="str">
            <v>T25001900</v>
          </cell>
          <cell r="AP6634">
            <v>0</v>
          </cell>
          <cell r="AQ6634">
            <v>0</v>
          </cell>
          <cell r="AV6634">
            <v>0</v>
          </cell>
        </row>
        <row r="6635">
          <cell r="E6635" t="str">
            <v>T25001901</v>
          </cell>
          <cell r="AP6635">
            <v>0</v>
          </cell>
          <cell r="AQ6635">
            <v>0</v>
          </cell>
          <cell r="AV6635">
            <v>0</v>
          </cell>
        </row>
        <row r="6636">
          <cell r="E6636" t="str">
            <v>D26000325</v>
          </cell>
          <cell r="AP6636">
            <v>0</v>
          </cell>
          <cell r="AQ6636">
            <v>0</v>
          </cell>
          <cell r="AV6636">
            <v>0</v>
          </cell>
        </row>
        <row r="6637">
          <cell r="E6637" t="str">
            <v>D26000877</v>
          </cell>
          <cell r="AP6637">
            <v>0</v>
          </cell>
          <cell r="AQ6637">
            <v>0</v>
          </cell>
          <cell r="AV6637">
            <v>0</v>
          </cell>
        </row>
        <row r="6638">
          <cell r="E6638" t="str">
            <v>B26000163</v>
          </cell>
          <cell r="AP6638">
            <v>0</v>
          </cell>
          <cell r="AQ6638">
            <v>0</v>
          </cell>
          <cell r="AV6638">
            <v>0</v>
          </cell>
        </row>
        <row r="6639">
          <cell r="E6639" t="str">
            <v>B26000164</v>
          </cell>
          <cell r="AP6639">
            <v>0</v>
          </cell>
          <cell r="AQ6639">
            <v>0</v>
          </cell>
          <cell r="AV6639">
            <v>0</v>
          </cell>
        </row>
        <row r="6640">
          <cell r="E6640" t="str">
            <v>B26001386</v>
          </cell>
          <cell r="AP6640">
            <v>0</v>
          </cell>
          <cell r="AQ6640">
            <v>0</v>
          </cell>
          <cell r="AV6640">
            <v>0</v>
          </cell>
        </row>
        <row r="6641">
          <cell r="E6641" t="str">
            <v>B26001972</v>
          </cell>
          <cell r="AP6641">
            <v>0</v>
          </cell>
          <cell r="AQ6641">
            <v>0</v>
          </cell>
          <cell r="AV6641">
            <v>0</v>
          </cell>
        </row>
        <row r="6642">
          <cell r="E6642" t="str">
            <v>B26001973</v>
          </cell>
          <cell r="AP6642">
            <v>0</v>
          </cell>
          <cell r="AQ6642">
            <v>0</v>
          </cell>
          <cell r="AV6642">
            <v>0</v>
          </cell>
        </row>
        <row r="6643">
          <cell r="E6643" t="str">
            <v>B25016817</v>
          </cell>
          <cell r="AP6643">
            <v>0</v>
          </cell>
          <cell r="AQ6643">
            <v>0</v>
          </cell>
          <cell r="AV6643">
            <v>2603000</v>
          </cell>
        </row>
        <row r="6644">
          <cell r="E6644" t="str">
            <v>B25016821</v>
          </cell>
          <cell r="AP6644">
            <v>0</v>
          </cell>
          <cell r="AQ6644">
            <v>0</v>
          </cell>
          <cell r="AV6644">
            <v>540000</v>
          </cell>
        </row>
        <row r="6645">
          <cell r="E6645" t="str">
            <v>B25016835</v>
          </cell>
          <cell r="AP6645">
            <v>0</v>
          </cell>
          <cell r="AQ6645">
            <v>0</v>
          </cell>
          <cell r="AV6645">
            <v>0</v>
          </cell>
        </row>
        <row r="6646">
          <cell r="E6646" t="str">
            <v>N25000087</v>
          </cell>
          <cell r="AP6646">
            <v>0</v>
          </cell>
          <cell r="AQ6646">
            <v>0</v>
          </cell>
          <cell r="AV6646">
            <v>0</v>
          </cell>
        </row>
        <row r="6647">
          <cell r="E6647" t="str">
            <v>D25019685</v>
          </cell>
          <cell r="AP6647">
            <v>0</v>
          </cell>
          <cell r="AQ6647">
            <v>0</v>
          </cell>
          <cell r="AV6647">
            <v>0</v>
          </cell>
        </row>
        <row r="6648">
          <cell r="E6648" t="str">
            <v>B26000305</v>
          </cell>
          <cell r="AP6648">
            <v>0</v>
          </cell>
          <cell r="AQ6648">
            <v>0</v>
          </cell>
          <cell r="AV6648">
            <v>0</v>
          </cell>
        </row>
        <row r="6649">
          <cell r="E6649" t="str">
            <v>D26000342</v>
          </cell>
          <cell r="AP6649">
            <v>0</v>
          </cell>
          <cell r="AQ6649">
            <v>0</v>
          </cell>
          <cell r="AV6649">
            <v>0</v>
          </cell>
        </row>
        <row r="6650">
          <cell r="E6650" t="str">
            <v>B26001263</v>
          </cell>
          <cell r="AP6650">
            <v>0</v>
          </cell>
          <cell r="AQ6650">
            <v>0</v>
          </cell>
          <cell r="AV6650">
            <v>0</v>
          </cell>
        </row>
        <row r="6651">
          <cell r="E6651" t="str">
            <v>B26002094</v>
          </cell>
          <cell r="AP6651">
            <v>0</v>
          </cell>
          <cell r="AQ6651">
            <v>0</v>
          </cell>
          <cell r="AV6651">
            <v>0</v>
          </cell>
        </row>
        <row r="6652">
          <cell r="E6652" t="str">
            <v>B25010943</v>
          </cell>
          <cell r="AP6652">
            <v>0</v>
          </cell>
          <cell r="AQ6652">
            <v>0</v>
          </cell>
          <cell r="AV6652">
            <v>0</v>
          </cell>
        </row>
        <row r="6653">
          <cell r="E6653" t="str">
            <v>D25017776</v>
          </cell>
          <cell r="AP6653">
            <v>0</v>
          </cell>
          <cell r="AQ6653">
            <v>0</v>
          </cell>
          <cell r="AV6653">
            <v>3750000</v>
          </cell>
        </row>
        <row r="6654">
          <cell r="E6654" t="str">
            <v>D25018243</v>
          </cell>
          <cell r="AP6654">
            <v>0</v>
          </cell>
          <cell r="AQ6654">
            <v>0</v>
          </cell>
          <cell r="AV6654">
            <v>3250000</v>
          </cell>
        </row>
        <row r="6655">
          <cell r="E6655" t="str">
            <v>D25018571</v>
          </cell>
          <cell r="AP6655">
            <v>0</v>
          </cell>
          <cell r="AQ6655">
            <v>0</v>
          </cell>
          <cell r="AV6655">
            <v>0</v>
          </cell>
        </row>
        <row r="6656">
          <cell r="E6656" t="str">
            <v>B25016168</v>
          </cell>
          <cell r="AP6656">
            <v>0</v>
          </cell>
          <cell r="AQ6656">
            <v>0</v>
          </cell>
          <cell r="AV6656">
            <v>0</v>
          </cell>
        </row>
        <row r="6657">
          <cell r="E6657" t="str">
            <v>T25001842</v>
          </cell>
          <cell r="AP6657">
            <v>0</v>
          </cell>
          <cell r="AQ6657">
            <v>0</v>
          </cell>
          <cell r="AV6657">
            <v>0</v>
          </cell>
        </row>
        <row r="6658">
          <cell r="E6658" t="str">
            <v>D25018833</v>
          </cell>
          <cell r="AP6658">
            <v>0</v>
          </cell>
          <cell r="AQ6658">
            <v>0</v>
          </cell>
          <cell r="AV6658">
            <v>0</v>
          </cell>
        </row>
        <row r="6659">
          <cell r="E6659" t="str">
            <v>D25019627</v>
          </cell>
          <cell r="AP6659">
            <v>0</v>
          </cell>
          <cell r="AQ6659">
            <v>0</v>
          </cell>
          <cell r="AV6659">
            <v>0</v>
          </cell>
        </row>
        <row r="6660">
          <cell r="E6660" t="str">
            <v>D25019118</v>
          </cell>
          <cell r="AP6660">
            <v>0</v>
          </cell>
          <cell r="AQ6660">
            <v>0</v>
          </cell>
          <cell r="AV6660">
            <v>5800000</v>
          </cell>
        </row>
        <row r="6661">
          <cell r="E6661" t="str">
            <v>D25019140</v>
          </cell>
          <cell r="AP6661">
            <v>0</v>
          </cell>
          <cell r="AQ6661">
            <v>0</v>
          </cell>
          <cell r="AV6661">
            <v>250000</v>
          </cell>
        </row>
        <row r="6662">
          <cell r="E6662" t="str">
            <v>D26000402</v>
          </cell>
          <cell r="AP6662">
            <v>0</v>
          </cell>
          <cell r="AQ6662">
            <v>0</v>
          </cell>
          <cell r="AV6662">
            <v>0</v>
          </cell>
        </row>
        <row r="6663">
          <cell r="E6663" t="str">
            <v>D26000403</v>
          </cell>
          <cell r="AP6663">
            <v>0</v>
          </cell>
          <cell r="AQ6663">
            <v>0</v>
          </cell>
          <cell r="AV6663">
            <v>0</v>
          </cell>
        </row>
        <row r="6664">
          <cell r="E6664" t="str">
            <v>D25018300</v>
          </cell>
          <cell r="AP6664">
            <v>500</v>
          </cell>
          <cell r="AQ6664">
            <v>0</v>
          </cell>
          <cell r="AV6664">
            <v>6357000</v>
          </cell>
        </row>
        <row r="6665">
          <cell r="E6665" t="str">
            <v>B25016008</v>
          </cell>
          <cell r="AP6665">
            <v>0</v>
          </cell>
          <cell r="AQ6665">
            <v>0</v>
          </cell>
          <cell r="AV6665">
            <v>3250000</v>
          </cell>
        </row>
        <row r="6666">
          <cell r="E6666" t="str">
            <v>B26000092</v>
          </cell>
          <cell r="AP6666">
            <v>0</v>
          </cell>
          <cell r="AQ6666">
            <v>0</v>
          </cell>
          <cell r="AV6666">
            <v>0</v>
          </cell>
        </row>
        <row r="6667">
          <cell r="E6667" t="str">
            <v>B26000272</v>
          </cell>
          <cell r="AP6667">
            <v>0</v>
          </cell>
          <cell r="AQ6667">
            <v>0</v>
          </cell>
          <cell r="AV6667">
            <v>0</v>
          </cell>
        </row>
        <row r="6668">
          <cell r="E6668" t="str">
            <v>B26000607</v>
          </cell>
          <cell r="AP6668">
            <v>0</v>
          </cell>
          <cell r="AQ6668">
            <v>0</v>
          </cell>
          <cell r="AV6668">
            <v>0</v>
          </cell>
        </row>
        <row r="6669">
          <cell r="E6669" t="str">
            <v>T26000038</v>
          </cell>
          <cell r="AP6669">
            <v>0</v>
          </cell>
          <cell r="AQ6669">
            <v>0</v>
          </cell>
          <cell r="AV6669">
            <v>0</v>
          </cell>
        </row>
        <row r="6670">
          <cell r="E6670" t="str">
            <v>D26001347</v>
          </cell>
          <cell r="AP6670">
            <v>0</v>
          </cell>
          <cell r="AQ6670">
            <v>0</v>
          </cell>
          <cell r="AV6670">
            <v>0</v>
          </cell>
        </row>
        <row r="6671">
          <cell r="E6671" t="str">
            <v>D26002161</v>
          </cell>
          <cell r="AP6671">
            <v>0</v>
          </cell>
          <cell r="AQ6671">
            <v>0</v>
          </cell>
          <cell r="AV6671">
            <v>0</v>
          </cell>
        </row>
        <row r="6672">
          <cell r="E6672" t="str">
            <v>D26002162</v>
          </cell>
          <cell r="AP6672">
            <v>0</v>
          </cell>
          <cell r="AQ6672">
            <v>0</v>
          </cell>
          <cell r="AV6672">
            <v>2670000</v>
          </cell>
        </row>
        <row r="6673">
          <cell r="E6673" t="str">
            <v>Z26000263</v>
          </cell>
          <cell r="AP6673">
            <v>0</v>
          </cell>
          <cell r="AQ6673">
            <v>0</v>
          </cell>
          <cell r="AV6673">
            <v>0</v>
          </cell>
        </row>
        <row r="6674">
          <cell r="E6674" t="str">
            <v>Z26000265</v>
          </cell>
          <cell r="AP6674">
            <v>0</v>
          </cell>
          <cell r="AQ6674">
            <v>0</v>
          </cell>
          <cell r="AV6674">
            <v>0</v>
          </cell>
        </row>
        <row r="6675">
          <cell r="E6675" t="str">
            <v>Z26000343</v>
          </cell>
          <cell r="AP6675">
            <v>0</v>
          </cell>
          <cell r="AQ6675">
            <v>0</v>
          </cell>
          <cell r="AV6675">
            <v>138280000</v>
          </cell>
        </row>
        <row r="6676">
          <cell r="E6676" t="str">
            <v>T25001586</v>
          </cell>
          <cell r="AP6676">
            <v>0</v>
          </cell>
          <cell r="AQ6676">
            <v>0</v>
          </cell>
          <cell r="AV6676">
            <v>0</v>
          </cell>
        </row>
        <row r="6677">
          <cell r="E6677" t="str">
            <v>D25016178</v>
          </cell>
          <cell r="AP6677">
            <v>0</v>
          </cell>
          <cell r="AQ6677">
            <v>0</v>
          </cell>
          <cell r="AV6677">
            <v>30000000</v>
          </cell>
        </row>
        <row r="6678">
          <cell r="E6678" t="str">
            <v>D25016178</v>
          </cell>
          <cell r="AP6678">
            <v>0</v>
          </cell>
          <cell r="AQ6678">
            <v>0</v>
          </cell>
          <cell r="AV6678">
            <v>20000000</v>
          </cell>
        </row>
        <row r="6679">
          <cell r="E6679" t="str">
            <v>D25016178</v>
          </cell>
          <cell r="AP6679">
            <v>0</v>
          </cell>
          <cell r="AQ6679">
            <v>0</v>
          </cell>
          <cell r="AV6679">
            <v>20000000</v>
          </cell>
        </row>
        <row r="6680">
          <cell r="E6680" t="str">
            <v>D25018900</v>
          </cell>
          <cell r="AP6680">
            <v>0</v>
          </cell>
          <cell r="AQ6680">
            <v>0</v>
          </cell>
          <cell r="AV6680">
            <v>0</v>
          </cell>
        </row>
        <row r="6681">
          <cell r="E6681" t="str">
            <v>D25018997</v>
          </cell>
          <cell r="AP6681">
            <v>0</v>
          </cell>
          <cell r="AQ6681">
            <v>0</v>
          </cell>
          <cell r="AV6681">
            <v>0</v>
          </cell>
        </row>
        <row r="6682">
          <cell r="E6682" t="str">
            <v>D25018998</v>
          </cell>
          <cell r="AP6682">
            <v>0</v>
          </cell>
          <cell r="AQ6682">
            <v>0</v>
          </cell>
          <cell r="AV6682">
            <v>0</v>
          </cell>
        </row>
        <row r="6683">
          <cell r="E6683" t="str">
            <v>D25019266</v>
          </cell>
          <cell r="AP6683">
            <v>0</v>
          </cell>
          <cell r="AQ6683">
            <v>0</v>
          </cell>
          <cell r="AV6683">
            <v>0</v>
          </cell>
        </row>
        <row r="6684">
          <cell r="E6684" t="str">
            <v>D26001677</v>
          </cell>
          <cell r="AP6684">
            <v>0</v>
          </cell>
          <cell r="AQ6684">
            <v>0</v>
          </cell>
          <cell r="AV6684">
            <v>5287500</v>
          </cell>
        </row>
        <row r="6685">
          <cell r="E6685" t="str">
            <v>D26001678</v>
          </cell>
          <cell r="AP6685">
            <v>0</v>
          </cell>
          <cell r="AQ6685">
            <v>0</v>
          </cell>
          <cell r="AV6685">
            <v>0</v>
          </cell>
        </row>
        <row r="6686">
          <cell r="E6686" t="str">
            <v>D26001679</v>
          </cell>
          <cell r="AP6686">
            <v>0</v>
          </cell>
          <cell r="AQ6686">
            <v>0</v>
          </cell>
          <cell r="AV6686">
            <v>0</v>
          </cell>
        </row>
        <row r="6687">
          <cell r="E6687" t="str">
            <v>D26001680</v>
          </cell>
          <cell r="AP6687">
            <v>0</v>
          </cell>
          <cell r="AQ6687">
            <v>0</v>
          </cell>
          <cell r="AV6687">
            <v>0</v>
          </cell>
        </row>
        <row r="6688">
          <cell r="E6688" t="str">
            <v>T26000108</v>
          </cell>
          <cell r="AP6688">
            <v>0</v>
          </cell>
          <cell r="AQ6688">
            <v>0</v>
          </cell>
          <cell r="AV6688">
            <v>0</v>
          </cell>
        </row>
        <row r="6689">
          <cell r="E6689" t="str">
            <v>B26001615</v>
          </cell>
          <cell r="AP6689">
            <v>0</v>
          </cell>
          <cell r="AQ6689">
            <v>0</v>
          </cell>
          <cell r="AV6689">
            <v>11450000</v>
          </cell>
        </row>
        <row r="6690">
          <cell r="E6690" t="str">
            <v>D26000273</v>
          </cell>
          <cell r="AP6690">
            <v>0</v>
          </cell>
          <cell r="AQ6690">
            <v>0</v>
          </cell>
          <cell r="AV6690">
            <v>0</v>
          </cell>
        </row>
        <row r="6691">
          <cell r="E6691" t="str">
            <v>B26000330</v>
          </cell>
          <cell r="AP6691">
            <v>0</v>
          </cell>
          <cell r="AQ6691">
            <v>0</v>
          </cell>
          <cell r="AV6691">
            <v>0</v>
          </cell>
        </row>
        <row r="6692">
          <cell r="E6692" t="str">
            <v>B26000475</v>
          </cell>
          <cell r="AP6692">
            <v>0</v>
          </cell>
          <cell r="AQ6692">
            <v>0</v>
          </cell>
          <cell r="AV6692">
            <v>0</v>
          </cell>
        </row>
        <row r="6693">
          <cell r="E6693" t="str">
            <v>D26001658</v>
          </cell>
          <cell r="AP6693">
            <v>0</v>
          </cell>
          <cell r="AQ6693">
            <v>0</v>
          </cell>
          <cell r="AV6693">
            <v>0</v>
          </cell>
        </row>
        <row r="6694">
          <cell r="E6694" t="str">
            <v>D25013475</v>
          </cell>
          <cell r="AP6694">
            <v>0</v>
          </cell>
          <cell r="AQ6694">
            <v>0</v>
          </cell>
          <cell r="AV6694">
            <v>4000000</v>
          </cell>
        </row>
        <row r="6695">
          <cell r="E6695" t="str">
            <v>B25012121</v>
          </cell>
          <cell r="AP6695">
            <v>0</v>
          </cell>
          <cell r="AQ6695">
            <v>0</v>
          </cell>
          <cell r="AV6695">
            <v>0</v>
          </cell>
        </row>
        <row r="6696">
          <cell r="E6696" t="str">
            <v>B25016643</v>
          </cell>
          <cell r="AP6696">
            <v>0</v>
          </cell>
          <cell r="AQ6696">
            <v>0</v>
          </cell>
          <cell r="AV6696">
            <v>5100000</v>
          </cell>
        </row>
        <row r="6697">
          <cell r="E6697" t="str">
            <v>D25019413</v>
          </cell>
          <cell r="AP6697">
            <v>0</v>
          </cell>
          <cell r="AQ6697">
            <v>0</v>
          </cell>
          <cell r="AV6697">
            <v>1965000</v>
          </cell>
        </row>
        <row r="6698">
          <cell r="E6698" t="str">
            <v>D25019414</v>
          </cell>
          <cell r="AP6698">
            <v>0</v>
          </cell>
          <cell r="AQ6698">
            <v>0</v>
          </cell>
          <cell r="AV6698">
            <v>0</v>
          </cell>
        </row>
        <row r="6699">
          <cell r="E6699" t="str">
            <v>D25019415</v>
          </cell>
          <cell r="AP6699">
            <v>0</v>
          </cell>
          <cell r="AQ6699">
            <v>0</v>
          </cell>
          <cell r="AV6699">
            <v>0</v>
          </cell>
        </row>
        <row r="6700">
          <cell r="E6700" t="str">
            <v>B26000258</v>
          </cell>
          <cell r="AP6700">
            <v>0</v>
          </cell>
          <cell r="AQ6700">
            <v>0</v>
          </cell>
          <cell r="AV6700">
            <v>0</v>
          </cell>
        </row>
        <row r="6701">
          <cell r="E6701" t="str">
            <v>B26000259</v>
          </cell>
          <cell r="AP6701">
            <v>0</v>
          </cell>
          <cell r="AQ6701">
            <v>0</v>
          </cell>
          <cell r="AV6701">
            <v>0</v>
          </cell>
        </row>
        <row r="6702">
          <cell r="E6702" t="str">
            <v>D26000417</v>
          </cell>
          <cell r="AP6702">
            <v>0</v>
          </cell>
          <cell r="AQ6702">
            <v>0</v>
          </cell>
          <cell r="AV6702">
            <v>0</v>
          </cell>
        </row>
        <row r="6703">
          <cell r="E6703" t="str">
            <v>D26000895</v>
          </cell>
          <cell r="AP6703">
            <v>0</v>
          </cell>
          <cell r="AQ6703">
            <v>0</v>
          </cell>
          <cell r="AV6703">
            <v>0</v>
          </cell>
        </row>
        <row r="6704">
          <cell r="E6704" t="str">
            <v>B26001318</v>
          </cell>
          <cell r="AP6704">
            <v>0</v>
          </cell>
          <cell r="AQ6704">
            <v>0</v>
          </cell>
          <cell r="AV6704">
            <v>0</v>
          </cell>
        </row>
        <row r="6705">
          <cell r="E6705" t="str">
            <v>B26001322</v>
          </cell>
          <cell r="AP6705">
            <v>0</v>
          </cell>
          <cell r="AQ6705">
            <v>0</v>
          </cell>
          <cell r="AV6705">
            <v>0</v>
          </cell>
        </row>
        <row r="6706">
          <cell r="E6706" t="str">
            <v>B26002103</v>
          </cell>
          <cell r="AP6706">
            <v>0</v>
          </cell>
          <cell r="AQ6706">
            <v>0</v>
          </cell>
          <cell r="AV6706">
            <v>0</v>
          </cell>
        </row>
        <row r="6707">
          <cell r="E6707" t="str">
            <v>B26002105</v>
          </cell>
          <cell r="AP6707">
            <v>0</v>
          </cell>
          <cell r="AQ6707">
            <v>0</v>
          </cell>
          <cell r="AV6707">
            <v>0</v>
          </cell>
        </row>
        <row r="6708">
          <cell r="E6708" t="str">
            <v>B25015291</v>
          </cell>
          <cell r="AP6708">
            <v>0</v>
          </cell>
          <cell r="AQ6708">
            <v>0</v>
          </cell>
          <cell r="AV6708">
            <v>0</v>
          </cell>
        </row>
        <row r="6709">
          <cell r="E6709" t="str">
            <v>D25018254</v>
          </cell>
          <cell r="AP6709">
            <v>0</v>
          </cell>
          <cell r="AQ6709">
            <v>0</v>
          </cell>
          <cell r="AV6709">
            <v>0</v>
          </cell>
        </row>
        <row r="6710">
          <cell r="E6710" t="str">
            <v>D25019042</v>
          </cell>
          <cell r="AP6710">
            <v>0</v>
          </cell>
          <cell r="AQ6710">
            <v>0</v>
          </cell>
          <cell r="AV6710">
            <v>0</v>
          </cell>
        </row>
        <row r="6711">
          <cell r="E6711" t="str">
            <v>B26002182</v>
          </cell>
          <cell r="AP6711">
            <v>0</v>
          </cell>
          <cell r="AQ6711">
            <v>0</v>
          </cell>
          <cell r="AV6711">
            <v>0</v>
          </cell>
        </row>
        <row r="6712">
          <cell r="E6712" t="str">
            <v>D26002294</v>
          </cell>
          <cell r="AP6712">
            <v>0</v>
          </cell>
          <cell r="AQ6712">
            <v>0</v>
          </cell>
          <cell r="AV6712">
            <v>0</v>
          </cell>
        </row>
        <row r="6713">
          <cell r="E6713" t="str">
            <v>D25019668</v>
          </cell>
          <cell r="AP6713">
            <v>0</v>
          </cell>
          <cell r="AQ6713">
            <v>0</v>
          </cell>
          <cell r="AV6713">
            <v>0</v>
          </cell>
        </row>
        <row r="6714">
          <cell r="E6714" t="str">
            <v>B26000242</v>
          </cell>
          <cell r="AP6714">
            <v>0</v>
          </cell>
          <cell r="AQ6714">
            <v>0</v>
          </cell>
          <cell r="AV6714">
            <v>900000</v>
          </cell>
        </row>
        <row r="6715">
          <cell r="E6715" t="str">
            <v>B26000243</v>
          </cell>
          <cell r="AP6715">
            <v>0</v>
          </cell>
          <cell r="AQ6715">
            <v>0</v>
          </cell>
          <cell r="AV6715">
            <v>2990000</v>
          </cell>
        </row>
        <row r="6716">
          <cell r="E6716" t="str">
            <v>D26000301</v>
          </cell>
          <cell r="AP6716">
            <v>0</v>
          </cell>
          <cell r="AQ6716">
            <v>0</v>
          </cell>
          <cell r="AV6716">
            <v>960000</v>
          </cell>
        </row>
        <row r="6717">
          <cell r="E6717" t="str">
            <v>D26001064</v>
          </cell>
          <cell r="AP6717">
            <v>0</v>
          </cell>
          <cell r="AQ6717">
            <v>0</v>
          </cell>
          <cell r="AV6717">
            <v>0</v>
          </cell>
        </row>
        <row r="6718">
          <cell r="E6718" t="str">
            <v>D26001223</v>
          </cell>
          <cell r="AP6718">
            <v>0</v>
          </cell>
          <cell r="AQ6718">
            <v>0</v>
          </cell>
          <cell r="AV6718">
            <v>0</v>
          </cell>
        </row>
        <row r="6719">
          <cell r="E6719" t="str">
            <v>B26001371</v>
          </cell>
          <cell r="AP6719">
            <v>0</v>
          </cell>
          <cell r="AQ6719">
            <v>0</v>
          </cell>
          <cell r="AV6719">
            <v>0</v>
          </cell>
        </row>
        <row r="6720">
          <cell r="E6720" t="str">
            <v>B26002252</v>
          </cell>
          <cell r="AP6720">
            <v>0</v>
          </cell>
          <cell r="AQ6720">
            <v>0</v>
          </cell>
          <cell r="AV6720">
            <v>0</v>
          </cell>
        </row>
        <row r="6721">
          <cell r="E6721" t="str">
            <v>B26002253</v>
          </cell>
          <cell r="AP6721">
            <v>0</v>
          </cell>
          <cell r="AQ6721">
            <v>0</v>
          </cell>
          <cell r="AV6721">
            <v>0</v>
          </cell>
        </row>
        <row r="6722">
          <cell r="E6722" t="str">
            <v>D26001749</v>
          </cell>
          <cell r="AP6722">
            <v>0</v>
          </cell>
          <cell r="AQ6722">
            <v>0</v>
          </cell>
          <cell r="AV6722">
            <v>17800000</v>
          </cell>
        </row>
        <row r="6723">
          <cell r="E6723" t="str">
            <v>D26002096</v>
          </cell>
          <cell r="AP6723">
            <v>0</v>
          </cell>
          <cell r="AQ6723">
            <v>0</v>
          </cell>
          <cell r="AV6723">
            <v>5340000</v>
          </cell>
        </row>
        <row r="6724">
          <cell r="E6724" t="str">
            <v>T26000026</v>
          </cell>
          <cell r="AP6724">
            <v>0</v>
          </cell>
          <cell r="AQ6724">
            <v>0</v>
          </cell>
          <cell r="AV6724">
            <v>0</v>
          </cell>
        </row>
        <row r="6725">
          <cell r="E6725" t="str">
            <v>T26000027</v>
          </cell>
          <cell r="AP6725">
            <v>0</v>
          </cell>
          <cell r="AQ6725">
            <v>0</v>
          </cell>
          <cell r="AV6725">
            <v>0</v>
          </cell>
        </row>
        <row r="6726">
          <cell r="E6726" t="str">
            <v>T26000076</v>
          </cell>
          <cell r="AP6726">
            <v>0</v>
          </cell>
          <cell r="AQ6726">
            <v>0</v>
          </cell>
          <cell r="AV6726">
            <v>0</v>
          </cell>
        </row>
        <row r="6727">
          <cell r="E6727" t="str">
            <v>B26001736</v>
          </cell>
          <cell r="AP6727">
            <v>0</v>
          </cell>
          <cell r="AQ6727">
            <v>0</v>
          </cell>
          <cell r="AV6727">
            <v>0</v>
          </cell>
        </row>
        <row r="6728">
          <cell r="E6728" t="str">
            <v>B25016736</v>
          </cell>
          <cell r="AP6728">
            <v>0</v>
          </cell>
          <cell r="AQ6728">
            <v>0</v>
          </cell>
          <cell r="AV6728">
            <v>5480000</v>
          </cell>
        </row>
        <row r="6729">
          <cell r="E6729" t="str">
            <v>D26000346</v>
          </cell>
          <cell r="AP6729">
            <v>0</v>
          </cell>
          <cell r="AQ6729">
            <v>0</v>
          </cell>
          <cell r="AV6729">
            <v>0</v>
          </cell>
        </row>
        <row r="6730">
          <cell r="E6730" t="str">
            <v>D26000534</v>
          </cell>
          <cell r="AP6730">
            <v>0</v>
          </cell>
          <cell r="AQ6730">
            <v>0</v>
          </cell>
          <cell r="AV6730">
            <v>0</v>
          </cell>
        </row>
        <row r="6731">
          <cell r="E6731" t="str">
            <v>B26001022</v>
          </cell>
          <cell r="AP6731">
            <v>0</v>
          </cell>
          <cell r="AQ6731">
            <v>0</v>
          </cell>
          <cell r="AV6731">
            <v>0</v>
          </cell>
        </row>
        <row r="6732">
          <cell r="E6732" t="str">
            <v>D26001563</v>
          </cell>
          <cell r="AP6732">
            <v>0</v>
          </cell>
          <cell r="AQ6732">
            <v>0</v>
          </cell>
          <cell r="AV6732">
            <v>0</v>
          </cell>
        </row>
        <row r="6733">
          <cell r="E6733" t="str">
            <v>D26001570</v>
          </cell>
          <cell r="AP6733">
            <v>0</v>
          </cell>
          <cell r="AQ6733">
            <v>0</v>
          </cell>
          <cell r="AV6733">
            <v>0</v>
          </cell>
        </row>
        <row r="6734">
          <cell r="E6734" t="str">
            <v>D26001586</v>
          </cell>
          <cell r="AP6734">
            <v>0</v>
          </cell>
          <cell r="AQ6734">
            <v>0</v>
          </cell>
          <cell r="AV6734">
            <v>0</v>
          </cell>
        </row>
        <row r="6735">
          <cell r="E6735" t="str">
            <v>D26001864</v>
          </cell>
          <cell r="AP6735">
            <v>0</v>
          </cell>
          <cell r="AQ6735">
            <v>0</v>
          </cell>
          <cell r="AV6735">
            <v>0</v>
          </cell>
        </row>
        <row r="6736">
          <cell r="E6736" t="str">
            <v>D26002353</v>
          </cell>
          <cell r="AP6736">
            <v>0</v>
          </cell>
          <cell r="AQ6736">
            <v>0</v>
          </cell>
          <cell r="AV6736">
            <v>0</v>
          </cell>
        </row>
        <row r="6737">
          <cell r="E6737" t="str">
            <v>D25019389</v>
          </cell>
          <cell r="AP6737">
            <v>0</v>
          </cell>
          <cell r="AQ6737">
            <v>0</v>
          </cell>
          <cell r="AV6737">
            <v>6400000</v>
          </cell>
        </row>
        <row r="6738">
          <cell r="E6738" t="str">
            <v>D25019522</v>
          </cell>
          <cell r="AP6738">
            <v>0</v>
          </cell>
          <cell r="AQ6738">
            <v>0</v>
          </cell>
          <cell r="AV6738">
            <v>1375000</v>
          </cell>
        </row>
        <row r="6739">
          <cell r="E6739" t="str">
            <v>B26000228</v>
          </cell>
          <cell r="AP6739">
            <v>0</v>
          </cell>
          <cell r="AQ6739">
            <v>0</v>
          </cell>
          <cell r="AV6739">
            <v>0</v>
          </cell>
        </row>
        <row r="6740">
          <cell r="E6740" t="str">
            <v>D26000408</v>
          </cell>
          <cell r="AP6740">
            <v>0</v>
          </cell>
          <cell r="AQ6740">
            <v>0</v>
          </cell>
          <cell r="AV6740">
            <v>0</v>
          </cell>
        </row>
        <row r="6741">
          <cell r="E6741" t="str">
            <v>N26000010</v>
          </cell>
          <cell r="AP6741">
            <v>0</v>
          </cell>
          <cell r="AQ6741">
            <v>0</v>
          </cell>
          <cell r="AV6741">
            <v>0</v>
          </cell>
        </row>
        <row r="6742">
          <cell r="E6742" t="str">
            <v>B26001056</v>
          </cell>
          <cell r="AP6742">
            <v>0</v>
          </cell>
          <cell r="AQ6742">
            <v>0</v>
          </cell>
          <cell r="AV6742">
            <v>0</v>
          </cell>
        </row>
        <row r="6743">
          <cell r="E6743" t="str">
            <v>D26001762</v>
          </cell>
          <cell r="AP6743">
            <v>0</v>
          </cell>
          <cell r="AQ6743">
            <v>0</v>
          </cell>
          <cell r="AV6743">
            <v>0</v>
          </cell>
        </row>
        <row r="6744">
          <cell r="E6744" t="str">
            <v>B26002088</v>
          </cell>
          <cell r="AP6744">
            <v>0</v>
          </cell>
          <cell r="AQ6744">
            <v>0</v>
          </cell>
          <cell r="AV6744">
            <v>0</v>
          </cell>
        </row>
        <row r="6745">
          <cell r="E6745" t="str">
            <v>B25017056</v>
          </cell>
          <cell r="AP6745">
            <v>0</v>
          </cell>
          <cell r="AQ6745">
            <v>0</v>
          </cell>
          <cell r="AV6745">
            <v>1200000</v>
          </cell>
        </row>
        <row r="6746">
          <cell r="E6746" t="str">
            <v>D26000311</v>
          </cell>
          <cell r="AP6746">
            <v>0</v>
          </cell>
          <cell r="AQ6746">
            <v>0</v>
          </cell>
          <cell r="AV6746">
            <v>0</v>
          </cell>
        </row>
        <row r="6747">
          <cell r="E6747" t="str">
            <v>D26000621</v>
          </cell>
          <cell r="AP6747">
            <v>0</v>
          </cell>
          <cell r="AQ6747">
            <v>0</v>
          </cell>
          <cell r="AV6747">
            <v>0</v>
          </cell>
        </row>
        <row r="6748">
          <cell r="E6748" t="str">
            <v>D26000622</v>
          </cell>
          <cell r="AP6748">
            <v>0</v>
          </cell>
          <cell r="AQ6748">
            <v>0</v>
          </cell>
          <cell r="AV6748">
            <v>0</v>
          </cell>
        </row>
        <row r="6749">
          <cell r="E6749" t="str">
            <v>B26000676</v>
          </cell>
          <cell r="AP6749">
            <v>0</v>
          </cell>
          <cell r="AQ6749">
            <v>0</v>
          </cell>
          <cell r="AV6749">
            <v>0</v>
          </cell>
        </row>
        <row r="6750">
          <cell r="E6750" t="str">
            <v>D26000679</v>
          </cell>
          <cell r="AP6750">
            <v>0</v>
          </cell>
          <cell r="AQ6750">
            <v>0</v>
          </cell>
          <cell r="AV6750">
            <v>0</v>
          </cell>
        </row>
        <row r="6751">
          <cell r="E6751" t="str">
            <v>D26000763</v>
          </cell>
          <cell r="AP6751">
            <v>0</v>
          </cell>
          <cell r="AQ6751">
            <v>0</v>
          </cell>
          <cell r="AV6751">
            <v>0</v>
          </cell>
        </row>
        <row r="6752">
          <cell r="E6752" t="str">
            <v>D26000982</v>
          </cell>
          <cell r="AP6752">
            <v>0</v>
          </cell>
          <cell r="AQ6752">
            <v>0</v>
          </cell>
          <cell r="AV6752">
            <v>0</v>
          </cell>
        </row>
        <row r="6753">
          <cell r="E6753" t="str">
            <v>D26001092</v>
          </cell>
          <cell r="AP6753">
            <v>0</v>
          </cell>
          <cell r="AQ6753">
            <v>0</v>
          </cell>
          <cell r="AV6753">
            <v>0</v>
          </cell>
        </row>
        <row r="6754">
          <cell r="E6754" t="str">
            <v>B26001079</v>
          </cell>
          <cell r="AP6754">
            <v>0</v>
          </cell>
          <cell r="AQ6754">
            <v>0</v>
          </cell>
          <cell r="AV6754">
            <v>0</v>
          </cell>
        </row>
        <row r="6755">
          <cell r="E6755" t="str">
            <v>B26001204</v>
          </cell>
          <cell r="AP6755">
            <v>0</v>
          </cell>
          <cell r="AQ6755">
            <v>0</v>
          </cell>
          <cell r="AV6755">
            <v>0</v>
          </cell>
        </row>
        <row r="6756">
          <cell r="E6756" t="str">
            <v>D26001279</v>
          </cell>
          <cell r="AP6756">
            <v>0</v>
          </cell>
          <cell r="AQ6756">
            <v>0</v>
          </cell>
          <cell r="AV6756">
            <v>0</v>
          </cell>
        </row>
        <row r="6757">
          <cell r="E6757" t="str">
            <v>D26001390</v>
          </cell>
          <cell r="AP6757">
            <v>0</v>
          </cell>
          <cell r="AQ6757">
            <v>0</v>
          </cell>
          <cell r="AV6757">
            <v>0</v>
          </cell>
        </row>
        <row r="6758">
          <cell r="E6758" t="str">
            <v>D26001463</v>
          </cell>
          <cell r="AP6758">
            <v>0</v>
          </cell>
          <cell r="AQ6758">
            <v>0</v>
          </cell>
          <cell r="AV6758">
            <v>0</v>
          </cell>
        </row>
        <row r="6759">
          <cell r="E6759" t="str">
            <v>B26001447</v>
          </cell>
          <cell r="AP6759">
            <v>0</v>
          </cell>
          <cell r="AQ6759">
            <v>0</v>
          </cell>
          <cell r="AV6759">
            <v>0</v>
          </cell>
        </row>
        <row r="6760">
          <cell r="E6760" t="str">
            <v>D26001532</v>
          </cell>
          <cell r="AP6760">
            <v>0</v>
          </cell>
          <cell r="AQ6760">
            <v>0</v>
          </cell>
          <cell r="AV6760">
            <v>0</v>
          </cell>
        </row>
        <row r="6761">
          <cell r="E6761" t="str">
            <v>D26001698</v>
          </cell>
          <cell r="AP6761">
            <v>0</v>
          </cell>
          <cell r="AQ6761">
            <v>1440000</v>
          </cell>
          <cell r="AV6761">
            <v>0</v>
          </cell>
        </row>
        <row r="6762">
          <cell r="E6762" t="str">
            <v>D26001699</v>
          </cell>
          <cell r="AP6762">
            <v>0</v>
          </cell>
          <cell r="AQ6762">
            <v>839500</v>
          </cell>
          <cell r="AV6762">
            <v>0</v>
          </cell>
        </row>
        <row r="6763">
          <cell r="E6763" t="str">
            <v>B26001644</v>
          </cell>
          <cell r="AP6763">
            <v>0</v>
          </cell>
          <cell r="AQ6763">
            <v>1647000</v>
          </cell>
          <cell r="AV6763">
            <v>0</v>
          </cell>
        </row>
        <row r="6764">
          <cell r="E6764" t="str">
            <v>B26001743</v>
          </cell>
          <cell r="AP6764">
            <v>0</v>
          </cell>
          <cell r="AQ6764">
            <v>3869500</v>
          </cell>
          <cell r="AV6764">
            <v>0</v>
          </cell>
        </row>
        <row r="6765">
          <cell r="E6765" t="str">
            <v>B26001744</v>
          </cell>
          <cell r="AP6765">
            <v>0</v>
          </cell>
          <cell r="AQ6765">
            <v>986500</v>
          </cell>
          <cell r="AV6765">
            <v>0</v>
          </cell>
        </row>
        <row r="6766">
          <cell r="E6766" t="str">
            <v>D26001925</v>
          </cell>
          <cell r="AP6766">
            <v>0</v>
          </cell>
          <cell r="AQ6766">
            <v>510000</v>
          </cell>
          <cell r="AV6766">
            <v>0</v>
          </cell>
        </row>
        <row r="6767">
          <cell r="E6767" t="str">
            <v>B26002086</v>
          </cell>
          <cell r="AP6767">
            <v>0</v>
          </cell>
          <cell r="AQ6767">
            <v>1676000</v>
          </cell>
          <cell r="AV6767">
            <v>0</v>
          </cell>
        </row>
        <row r="6768">
          <cell r="E6768" t="str">
            <v>B26002087</v>
          </cell>
          <cell r="AP6768">
            <v>0</v>
          </cell>
          <cell r="AQ6768">
            <v>1884000</v>
          </cell>
          <cell r="AV6768">
            <v>0</v>
          </cell>
        </row>
        <row r="6769">
          <cell r="E6769" t="str">
            <v>B25015512</v>
          </cell>
          <cell r="AP6769">
            <v>0</v>
          </cell>
          <cell r="AQ6769">
            <v>0</v>
          </cell>
          <cell r="AV6769">
            <v>137700000</v>
          </cell>
        </row>
        <row r="6770">
          <cell r="E6770" t="str">
            <v>B25015575</v>
          </cell>
          <cell r="AP6770">
            <v>0</v>
          </cell>
          <cell r="AQ6770">
            <v>0</v>
          </cell>
          <cell r="AV6770">
            <v>140000000</v>
          </cell>
        </row>
        <row r="6771">
          <cell r="E6771" t="str">
            <v>B25015575</v>
          </cell>
          <cell r="AP6771">
            <v>0</v>
          </cell>
          <cell r="AQ6771">
            <v>0</v>
          </cell>
          <cell r="AV6771">
            <v>135400000</v>
          </cell>
        </row>
        <row r="6772">
          <cell r="E6772" t="str">
            <v>D25018433</v>
          </cell>
          <cell r="AP6772">
            <v>0</v>
          </cell>
          <cell r="AQ6772">
            <v>0</v>
          </cell>
          <cell r="AV6772">
            <v>117000000</v>
          </cell>
        </row>
        <row r="6773">
          <cell r="E6773" t="str">
            <v>D25018433</v>
          </cell>
          <cell r="AP6773">
            <v>0</v>
          </cell>
          <cell r="AQ6773">
            <v>0</v>
          </cell>
          <cell r="AV6773">
            <v>100000000</v>
          </cell>
        </row>
        <row r="6774">
          <cell r="E6774" t="str">
            <v>T25001825</v>
          </cell>
          <cell r="AP6774">
            <v>0</v>
          </cell>
          <cell r="AQ6774">
            <v>0</v>
          </cell>
          <cell r="AV6774">
            <v>0</v>
          </cell>
        </row>
        <row r="6775">
          <cell r="E6775" t="str">
            <v>T25001840</v>
          </cell>
          <cell r="AP6775">
            <v>0</v>
          </cell>
          <cell r="AQ6775">
            <v>0</v>
          </cell>
          <cell r="AV6775">
            <v>0</v>
          </cell>
        </row>
        <row r="6776">
          <cell r="E6776" t="str">
            <v>B25016195</v>
          </cell>
          <cell r="AP6776">
            <v>0</v>
          </cell>
          <cell r="AQ6776">
            <v>0</v>
          </cell>
          <cell r="AV6776">
            <v>0</v>
          </cell>
        </row>
        <row r="6777">
          <cell r="E6777" t="str">
            <v>D25018882</v>
          </cell>
          <cell r="AP6777">
            <v>0</v>
          </cell>
          <cell r="AQ6777">
            <v>0</v>
          </cell>
          <cell r="AV6777">
            <v>0</v>
          </cell>
        </row>
        <row r="6778">
          <cell r="E6778" t="str">
            <v>D25019123</v>
          </cell>
          <cell r="AP6778">
            <v>0</v>
          </cell>
          <cell r="AQ6778">
            <v>0</v>
          </cell>
          <cell r="AV6778">
            <v>0</v>
          </cell>
        </row>
        <row r="6779">
          <cell r="E6779" t="str">
            <v>D26000372</v>
          </cell>
          <cell r="AP6779">
            <v>0</v>
          </cell>
          <cell r="AQ6779">
            <v>0</v>
          </cell>
          <cell r="AV6779">
            <v>0</v>
          </cell>
        </row>
        <row r="6780">
          <cell r="E6780" t="str">
            <v>D26000562</v>
          </cell>
          <cell r="AP6780">
            <v>0</v>
          </cell>
          <cell r="AQ6780">
            <v>0</v>
          </cell>
          <cell r="AV6780">
            <v>0</v>
          </cell>
        </row>
        <row r="6781">
          <cell r="E6781" t="str">
            <v>D26000795</v>
          </cell>
          <cell r="AP6781">
            <v>0</v>
          </cell>
          <cell r="AQ6781">
            <v>0</v>
          </cell>
          <cell r="AV6781">
            <v>0</v>
          </cell>
        </row>
        <row r="6782">
          <cell r="E6782" t="str">
            <v>D26001163</v>
          </cell>
          <cell r="AP6782">
            <v>0</v>
          </cell>
          <cell r="AQ6782">
            <v>0</v>
          </cell>
          <cell r="AV6782">
            <v>0</v>
          </cell>
        </row>
        <row r="6783">
          <cell r="E6783" t="str">
            <v>D26001164</v>
          </cell>
          <cell r="AP6783">
            <v>0</v>
          </cell>
          <cell r="AQ6783">
            <v>0</v>
          </cell>
          <cell r="AV6783">
            <v>0</v>
          </cell>
        </row>
        <row r="6784">
          <cell r="E6784" t="str">
            <v>D26001731</v>
          </cell>
          <cell r="AP6784">
            <v>0</v>
          </cell>
          <cell r="AQ6784">
            <v>0</v>
          </cell>
          <cell r="AV6784">
            <v>0</v>
          </cell>
        </row>
        <row r="6785">
          <cell r="E6785" t="str">
            <v>D26001755</v>
          </cell>
          <cell r="AP6785">
            <v>0</v>
          </cell>
          <cell r="AQ6785">
            <v>0</v>
          </cell>
          <cell r="AV6785">
            <v>0</v>
          </cell>
        </row>
        <row r="6786">
          <cell r="E6786" t="str">
            <v>B26001805</v>
          </cell>
          <cell r="AP6786">
            <v>0</v>
          </cell>
          <cell r="AQ6786">
            <v>0</v>
          </cell>
          <cell r="AV6786">
            <v>0</v>
          </cell>
        </row>
        <row r="6787">
          <cell r="E6787" t="str">
            <v>D26002032</v>
          </cell>
          <cell r="AP6787">
            <v>0</v>
          </cell>
          <cell r="AQ6787">
            <v>0</v>
          </cell>
          <cell r="AV6787">
            <v>0</v>
          </cell>
        </row>
        <row r="6788">
          <cell r="E6788" t="str">
            <v>D26002266</v>
          </cell>
          <cell r="AP6788">
            <v>0</v>
          </cell>
          <cell r="AQ6788">
            <v>0</v>
          </cell>
          <cell r="AV6788">
            <v>0</v>
          </cell>
        </row>
        <row r="6789">
          <cell r="E6789" t="str">
            <v>D26002328</v>
          </cell>
          <cell r="AP6789">
            <v>0</v>
          </cell>
          <cell r="AQ6789">
            <v>0</v>
          </cell>
          <cell r="AV6789">
            <v>0</v>
          </cell>
        </row>
        <row r="6790">
          <cell r="E6790" t="str">
            <v>D25016147</v>
          </cell>
          <cell r="AP6790">
            <v>0</v>
          </cell>
          <cell r="AQ6790">
            <v>0</v>
          </cell>
          <cell r="AV6790">
            <v>308125000</v>
          </cell>
        </row>
        <row r="6791">
          <cell r="E6791" t="str">
            <v>D25016147</v>
          </cell>
          <cell r="AP6791">
            <v>0</v>
          </cell>
          <cell r="AQ6791">
            <v>0</v>
          </cell>
          <cell r="AV6791">
            <v>200000000</v>
          </cell>
        </row>
        <row r="6792">
          <cell r="E6792" t="str">
            <v>D25018869</v>
          </cell>
          <cell r="AP6792">
            <v>0</v>
          </cell>
          <cell r="AQ6792">
            <v>0</v>
          </cell>
          <cell r="AV6792">
            <v>172500000</v>
          </cell>
        </row>
        <row r="6793">
          <cell r="E6793" t="str">
            <v>Z25003266</v>
          </cell>
          <cell r="AP6793">
            <v>0</v>
          </cell>
          <cell r="AQ6793">
            <v>0</v>
          </cell>
          <cell r="AV6793">
            <v>0</v>
          </cell>
        </row>
        <row r="6794">
          <cell r="E6794" t="str">
            <v>D26000365</v>
          </cell>
          <cell r="AP6794">
            <v>0</v>
          </cell>
          <cell r="AQ6794">
            <v>0</v>
          </cell>
          <cell r="AV6794">
            <v>0</v>
          </cell>
        </row>
        <row r="6795">
          <cell r="E6795" t="str">
            <v>Z26000203</v>
          </cell>
          <cell r="AP6795">
            <v>0</v>
          </cell>
          <cell r="AQ6795">
            <v>0</v>
          </cell>
          <cell r="AV6795">
            <v>0</v>
          </cell>
        </row>
        <row r="6796">
          <cell r="E6796" t="str">
            <v>Z26000312</v>
          </cell>
          <cell r="AP6796">
            <v>0</v>
          </cell>
          <cell r="AQ6796">
            <v>0</v>
          </cell>
          <cell r="AV6796">
            <v>0</v>
          </cell>
        </row>
        <row r="6797">
          <cell r="E6797" t="str">
            <v>D26001870</v>
          </cell>
          <cell r="AP6797">
            <v>0</v>
          </cell>
          <cell r="AQ6797">
            <v>0</v>
          </cell>
          <cell r="AV6797">
            <v>0</v>
          </cell>
        </row>
        <row r="6798">
          <cell r="E6798" t="str">
            <v>Z26000338</v>
          </cell>
          <cell r="AP6798">
            <v>0</v>
          </cell>
          <cell r="AQ6798">
            <v>0</v>
          </cell>
          <cell r="AV6798">
            <v>0</v>
          </cell>
        </row>
        <row r="6799">
          <cell r="E6799" t="str">
            <v>Z26000357</v>
          </cell>
          <cell r="AP6799">
            <v>0</v>
          </cell>
          <cell r="AQ6799">
            <v>0</v>
          </cell>
          <cell r="AV6799">
            <v>0</v>
          </cell>
        </row>
        <row r="6800">
          <cell r="E6800" t="str">
            <v>D26002245</v>
          </cell>
          <cell r="AP6800">
            <v>0</v>
          </cell>
          <cell r="AQ6800">
            <v>0</v>
          </cell>
          <cell r="AV6800">
            <v>0</v>
          </cell>
        </row>
        <row r="6801">
          <cell r="E6801" t="str">
            <v>D25016427</v>
          </cell>
          <cell r="AP6801">
            <v>0</v>
          </cell>
          <cell r="AQ6801">
            <v>0</v>
          </cell>
          <cell r="AV6801">
            <v>0</v>
          </cell>
        </row>
        <row r="6802">
          <cell r="E6802" t="str">
            <v>D25016464</v>
          </cell>
          <cell r="AP6802">
            <v>0</v>
          </cell>
          <cell r="AQ6802">
            <v>0</v>
          </cell>
          <cell r="AV6802">
            <v>0</v>
          </cell>
        </row>
        <row r="6803">
          <cell r="E6803" t="str">
            <v>D25016539</v>
          </cell>
          <cell r="AP6803">
            <v>0</v>
          </cell>
          <cell r="AQ6803">
            <v>0</v>
          </cell>
          <cell r="AV6803">
            <v>0</v>
          </cell>
        </row>
        <row r="6804">
          <cell r="E6804" t="str">
            <v>D25016812</v>
          </cell>
          <cell r="AP6804">
            <v>0</v>
          </cell>
          <cell r="AQ6804">
            <v>0</v>
          </cell>
          <cell r="AV6804">
            <v>0</v>
          </cell>
        </row>
        <row r="6805">
          <cell r="E6805" t="str">
            <v>D25017107</v>
          </cell>
          <cell r="AP6805">
            <v>0</v>
          </cell>
          <cell r="AQ6805">
            <v>0</v>
          </cell>
          <cell r="AV6805">
            <v>0</v>
          </cell>
        </row>
        <row r="6806">
          <cell r="E6806" t="str">
            <v>D25017315</v>
          </cell>
          <cell r="AP6806">
            <v>0</v>
          </cell>
          <cell r="AQ6806">
            <v>0</v>
          </cell>
          <cell r="AV6806">
            <v>0</v>
          </cell>
        </row>
        <row r="6807">
          <cell r="E6807" t="str">
            <v>D25017698</v>
          </cell>
          <cell r="AP6807">
            <v>0</v>
          </cell>
          <cell r="AQ6807">
            <v>0</v>
          </cell>
          <cell r="AV6807">
            <v>0</v>
          </cell>
        </row>
        <row r="6808">
          <cell r="E6808" t="str">
            <v>D25018251</v>
          </cell>
          <cell r="AP6808">
            <v>0</v>
          </cell>
          <cell r="AQ6808">
            <v>0</v>
          </cell>
          <cell r="AV6808">
            <v>0</v>
          </cell>
        </row>
        <row r="6809">
          <cell r="E6809" t="str">
            <v>D25018302</v>
          </cell>
          <cell r="AP6809">
            <v>0</v>
          </cell>
          <cell r="AQ6809">
            <v>0</v>
          </cell>
          <cell r="AV6809">
            <v>0</v>
          </cell>
        </row>
        <row r="6810">
          <cell r="E6810" t="str">
            <v>D25018453</v>
          </cell>
          <cell r="AP6810">
            <v>0</v>
          </cell>
          <cell r="AQ6810">
            <v>0</v>
          </cell>
          <cell r="AV6810">
            <v>0</v>
          </cell>
        </row>
        <row r="6811">
          <cell r="E6811" t="str">
            <v>D25018491</v>
          </cell>
          <cell r="AP6811">
            <v>0</v>
          </cell>
          <cell r="AQ6811">
            <v>0</v>
          </cell>
          <cell r="AV6811">
            <v>0</v>
          </cell>
        </row>
        <row r="6812">
          <cell r="E6812" t="str">
            <v>D25019005</v>
          </cell>
          <cell r="AP6812">
            <v>0</v>
          </cell>
          <cell r="AQ6812">
            <v>0</v>
          </cell>
          <cell r="AV6812">
            <v>0</v>
          </cell>
        </row>
        <row r="6813">
          <cell r="E6813" t="str">
            <v>D26000062</v>
          </cell>
          <cell r="AP6813">
            <v>0</v>
          </cell>
          <cell r="AQ6813">
            <v>0</v>
          </cell>
          <cell r="AV6813">
            <v>0</v>
          </cell>
        </row>
        <row r="6814">
          <cell r="E6814" t="str">
            <v>B26000565</v>
          </cell>
          <cell r="AP6814">
            <v>0</v>
          </cell>
          <cell r="AQ6814">
            <v>0</v>
          </cell>
          <cell r="AV6814">
            <v>0</v>
          </cell>
        </row>
        <row r="6815">
          <cell r="E6815" t="str">
            <v>D26000552</v>
          </cell>
          <cell r="AP6815">
            <v>0</v>
          </cell>
          <cell r="AQ6815">
            <v>0</v>
          </cell>
          <cell r="AV6815">
            <v>0</v>
          </cell>
        </row>
        <row r="6816">
          <cell r="E6816" t="str">
            <v>D26000595</v>
          </cell>
          <cell r="AP6816">
            <v>0</v>
          </cell>
          <cell r="AQ6816">
            <v>0</v>
          </cell>
          <cell r="AV6816">
            <v>0</v>
          </cell>
        </row>
        <row r="6817">
          <cell r="E6817" t="str">
            <v>D26000710</v>
          </cell>
          <cell r="AP6817">
            <v>0</v>
          </cell>
          <cell r="AQ6817">
            <v>0</v>
          </cell>
          <cell r="AV6817">
            <v>0</v>
          </cell>
        </row>
        <row r="6818">
          <cell r="E6818" t="str">
            <v>D26000721</v>
          </cell>
          <cell r="AP6818">
            <v>0</v>
          </cell>
          <cell r="AQ6818">
            <v>0</v>
          </cell>
          <cell r="AV6818">
            <v>0</v>
          </cell>
        </row>
        <row r="6819">
          <cell r="E6819" t="str">
            <v>D26000951</v>
          </cell>
          <cell r="AP6819">
            <v>0</v>
          </cell>
          <cell r="AQ6819">
            <v>0</v>
          </cell>
          <cell r="AV6819">
            <v>0</v>
          </cell>
        </row>
        <row r="6820">
          <cell r="E6820" t="str">
            <v>D26001083</v>
          </cell>
          <cell r="AP6820">
            <v>0</v>
          </cell>
          <cell r="AQ6820">
            <v>0</v>
          </cell>
          <cell r="AV6820">
            <v>0</v>
          </cell>
        </row>
        <row r="6821">
          <cell r="E6821" t="str">
            <v>D26001088</v>
          </cell>
          <cell r="AP6821">
            <v>0</v>
          </cell>
          <cell r="AQ6821">
            <v>0</v>
          </cell>
          <cell r="AV6821">
            <v>0</v>
          </cell>
        </row>
        <row r="6822">
          <cell r="E6822" t="str">
            <v>D26001122</v>
          </cell>
          <cell r="AP6822">
            <v>0</v>
          </cell>
          <cell r="AQ6822">
            <v>0</v>
          </cell>
          <cell r="AV6822">
            <v>0</v>
          </cell>
        </row>
        <row r="6823">
          <cell r="E6823" t="str">
            <v>D26001377</v>
          </cell>
          <cell r="AP6823">
            <v>0</v>
          </cell>
          <cell r="AQ6823">
            <v>0</v>
          </cell>
          <cell r="AV6823">
            <v>0</v>
          </cell>
        </row>
        <row r="6824">
          <cell r="E6824" t="str">
            <v>D26001477</v>
          </cell>
          <cell r="AP6824">
            <v>0</v>
          </cell>
          <cell r="AQ6824">
            <v>0</v>
          </cell>
          <cell r="AV6824">
            <v>0</v>
          </cell>
        </row>
        <row r="6825">
          <cell r="E6825" t="str">
            <v>D26001497</v>
          </cell>
          <cell r="AP6825">
            <v>0</v>
          </cell>
          <cell r="AQ6825">
            <v>0</v>
          </cell>
          <cell r="AV6825">
            <v>0</v>
          </cell>
        </row>
        <row r="6826">
          <cell r="E6826" t="str">
            <v>D26001499</v>
          </cell>
          <cell r="AP6826">
            <v>0</v>
          </cell>
          <cell r="AQ6826">
            <v>0</v>
          </cell>
          <cell r="AV6826">
            <v>0</v>
          </cell>
        </row>
        <row r="6827">
          <cell r="E6827" t="str">
            <v>D26001746</v>
          </cell>
          <cell r="AP6827">
            <v>0</v>
          </cell>
          <cell r="AQ6827">
            <v>0</v>
          </cell>
          <cell r="AV6827">
            <v>0</v>
          </cell>
        </row>
        <row r="6828">
          <cell r="E6828" t="str">
            <v>B26001715</v>
          </cell>
          <cell r="AP6828">
            <v>0</v>
          </cell>
          <cell r="AQ6828">
            <v>0</v>
          </cell>
          <cell r="AV6828">
            <v>0</v>
          </cell>
        </row>
        <row r="6829">
          <cell r="E6829" t="str">
            <v>D26001861</v>
          </cell>
          <cell r="AP6829">
            <v>0</v>
          </cell>
          <cell r="AQ6829">
            <v>0</v>
          </cell>
          <cell r="AV6829">
            <v>0</v>
          </cell>
        </row>
        <row r="6830">
          <cell r="E6830" t="str">
            <v>D26001877</v>
          </cell>
          <cell r="AP6830">
            <v>0</v>
          </cell>
          <cell r="AQ6830">
            <v>0</v>
          </cell>
          <cell r="AV6830">
            <v>0</v>
          </cell>
        </row>
        <row r="6831">
          <cell r="E6831" t="str">
            <v>B26001801</v>
          </cell>
          <cell r="AP6831">
            <v>0</v>
          </cell>
          <cell r="AQ6831">
            <v>0</v>
          </cell>
          <cell r="AV6831">
            <v>0</v>
          </cell>
        </row>
        <row r="6832">
          <cell r="E6832" t="str">
            <v>B26001900</v>
          </cell>
          <cell r="AP6832">
            <v>0</v>
          </cell>
          <cell r="AQ6832">
            <v>0</v>
          </cell>
          <cell r="AV6832">
            <v>0</v>
          </cell>
        </row>
        <row r="6833">
          <cell r="E6833" t="str">
            <v>D26002095</v>
          </cell>
          <cell r="AP6833">
            <v>0</v>
          </cell>
          <cell r="AQ6833">
            <v>0</v>
          </cell>
          <cell r="AV6833">
            <v>0</v>
          </cell>
        </row>
        <row r="6834">
          <cell r="E6834" t="str">
            <v>D26002324</v>
          </cell>
          <cell r="AP6834">
            <v>0</v>
          </cell>
          <cell r="AQ6834">
            <v>0</v>
          </cell>
          <cell r="AV6834">
            <v>0</v>
          </cell>
        </row>
        <row r="6835">
          <cell r="E6835" t="str">
            <v>B26002216</v>
          </cell>
          <cell r="AP6835">
            <v>0</v>
          </cell>
          <cell r="AQ6835">
            <v>0</v>
          </cell>
          <cell r="AV6835">
            <v>0</v>
          </cell>
        </row>
        <row r="6836">
          <cell r="E6836" t="str">
            <v>B26002159</v>
          </cell>
          <cell r="AP6836">
            <v>0</v>
          </cell>
          <cell r="AQ6836">
            <v>0</v>
          </cell>
          <cell r="AV6836">
            <v>1075000</v>
          </cell>
        </row>
        <row r="6837">
          <cell r="E6837" t="str">
            <v>B26001760</v>
          </cell>
          <cell r="AP6837">
            <v>0</v>
          </cell>
          <cell r="AQ6837">
            <v>0</v>
          </cell>
          <cell r="AV6837">
            <v>27250000</v>
          </cell>
        </row>
        <row r="6838">
          <cell r="E6838" t="str">
            <v>B26001760</v>
          </cell>
          <cell r="AP6838">
            <v>250000</v>
          </cell>
          <cell r="AQ6838">
            <v>0</v>
          </cell>
          <cell r="AV6838">
            <v>0</v>
          </cell>
        </row>
        <row r="6839">
          <cell r="E6839" t="str">
            <v>D26002010</v>
          </cell>
          <cell r="AP6839">
            <v>0</v>
          </cell>
          <cell r="AQ6839">
            <v>0</v>
          </cell>
          <cell r="AV6839">
            <v>0</v>
          </cell>
        </row>
        <row r="6840">
          <cell r="E6840" t="str">
            <v>D26002173</v>
          </cell>
          <cell r="AP6840">
            <v>0</v>
          </cell>
          <cell r="AQ6840">
            <v>0</v>
          </cell>
          <cell r="AV6840">
            <v>4682500</v>
          </cell>
        </row>
        <row r="6841">
          <cell r="E6841" t="str">
            <v>D26002174</v>
          </cell>
          <cell r="AP6841">
            <v>0</v>
          </cell>
          <cell r="AQ6841">
            <v>0</v>
          </cell>
          <cell r="AV6841">
            <v>1950000</v>
          </cell>
        </row>
        <row r="6842">
          <cell r="E6842" t="str">
            <v>N26000020</v>
          </cell>
          <cell r="AP6842">
            <v>0</v>
          </cell>
          <cell r="AQ6842">
            <v>0</v>
          </cell>
          <cell r="AV6842">
            <v>0</v>
          </cell>
        </row>
        <row r="6843">
          <cell r="E6843" t="str">
            <v>B26000219</v>
          </cell>
          <cell r="AP6843">
            <v>0</v>
          </cell>
          <cell r="AQ6843">
            <v>0</v>
          </cell>
          <cell r="AV6843">
            <v>6800000</v>
          </cell>
        </row>
        <row r="6844">
          <cell r="E6844" t="str">
            <v>B26000485</v>
          </cell>
          <cell r="AP6844">
            <v>0</v>
          </cell>
          <cell r="AQ6844">
            <v>0</v>
          </cell>
          <cell r="AV6844">
            <v>0</v>
          </cell>
        </row>
        <row r="6845">
          <cell r="E6845" t="str">
            <v>B26000584</v>
          </cell>
          <cell r="AP6845">
            <v>0</v>
          </cell>
          <cell r="AQ6845">
            <v>0</v>
          </cell>
          <cell r="AV6845">
            <v>0</v>
          </cell>
        </row>
        <row r="6846">
          <cell r="E6846" t="str">
            <v>D26000684</v>
          </cell>
          <cell r="AP6846">
            <v>0</v>
          </cell>
          <cell r="AQ6846">
            <v>0</v>
          </cell>
          <cell r="AV6846">
            <v>0</v>
          </cell>
        </row>
        <row r="6847">
          <cell r="E6847" t="str">
            <v>D26000804</v>
          </cell>
          <cell r="AP6847">
            <v>0</v>
          </cell>
          <cell r="AQ6847">
            <v>0</v>
          </cell>
          <cell r="AV6847">
            <v>0</v>
          </cell>
        </row>
        <row r="6848">
          <cell r="E6848" t="str">
            <v>B26000976</v>
          </cell>
          <cell r="AP6848">
            <v>0</v>
          </cell>
          <cell r="AQ6848">
            <v>0</v>
          </cell>
          <cell r="AV6848">
            <v>0</v>
          </cell>
        </row>
        <row r="6849">
          <cell r="E6849" t="str">
            <v>D26001640</v>
          </cell>
          <cell r="AP6849">
            <v>0</v>
          </cell>
          <cell r="AQ6849">
            <v>0</v>
          </cell>
          <cell r="AV6849">
            <v>0</v>
          </cell>
        </row>
        <row r="6850">
          <cell r="E6850" t="str">
            <v>B26001677</v>
          </cell>
          <cell r="AP6850">
            <v>0</v>
          </cell>
          <cell r="AQ6850">
            <v>0</v>
          </cell>
          <cell r="AV6850">
            <v>0</v>
          </cell>
        </row>
        <row r="6851">
          <cell r="E6851" t="str">
            <v>B26000814</v>
          </cell>
          <cell r="AP6851">
            <v>0</v>
          </cell>
          <cell r="AQ6851">
            <v>0</v>
          </cell>
          <cell r="AV6851">
            <v>0</v>
          </cell>
        </row>
        <row r="6852">
          <cell r="E6852" t="str">
            <v>D26001220</v>
          </cell>
          <cell r="AP6852">
            <v>0</v>
          </cell>
          <cell r="AQ6852">
            <v>0</v>
          </cell>
          <cell r="AV6852">
            <v>0</v>
          </cell>
        </row>
        <row r="6853">
          <cell r="E6853" t="str">
            <v>D26001575</v>
          </cell>
          <cell r="AP6853">
            <v>0</v>
          </cell>
          <cell r="AQ6853">
            <v>0</v>
          </cell>
          <cell r="AV6853">
            <v>0</v>
          </cell>
        </row>
        <row r="6854">
          <cell r="E6854" t="str">
            <v>B26001946</v>
          </cell>
          <cell r="AP6854">
            <v>0</v>
          </cell>
          <cell r="AQ6854">
            <v>0</v>
          </cell>
          <cell r="AV6854">
            <v>0</v>
          </cell>
        </row>
        <row r="6855">
          <cell r="E6855" t="str">
            <v>B26002070</v>
          </cell>
          <cell r="AP6855">
            <v>0</v>
          </cell>
          <cell r="AQ6855">
            <v>0</v>
          </cell>
          <cell r="AV6855">
            <v>0</v>
          </cell>
        </row>
        <row r="6856">
          <cell r="E6856" t="str">
            <v>D26002200</v>
          </cell>
          <cell r="AP6856">
            <v>0</v>
          </cell>
          <cell r="AQ6856">
            <v>0</v>
          </cell>
          <cell r="AV6856">
            <v>0</v>
          </cell>
        </row>
        <row r="6857">
          <cell r="E6857" t="str">
            <v>B26001792</v>
          </cell>
          <cell r="AP6857">
            <v>0</v>
          </cell>
          <cell r="AQ6857">
            <v>0</v>
          </cell>
          <cell r="AV6857">
            <v>600000</v>
          </cell>
        </row>
        <row r="6858">
          <cell r="E6858" t="str">
            <v>D26001911</v>
          </cell>
          <cell r="AP6858">
            <v>0</v>
          </cell>
          <cell r="AQ6858">
            <v>0</v>
          </cell>
          <cell r="AV6858">
            <v>1275000</v>
          </cell>
        </row>
        <row r="6859">
          <cell r="E6859" t="str">
            <v>B25015974</v>
          </cell>
          <cell r="AP6859">
            <v>0</v>
          </cell>
          <cell r="AQ6859">
            <v>0</v>
          </cell>
          <cell r="AV6859">
            <v>95500000</v>
          </cell>
        </row>
        <row r="6860">
          <cell r="E6860" t="str">
            <v>D26000725</v>
          </cell>
          <cell r="AP6860">
            <v>0</v>
          </cell>
          <cell r="AQ6860">
            <v>0</v>
          </cell>
          <cell r="AV6860">
            <v>0</v>
          </cell>
        </row>
        <row r="6861">
          <cell r="E6861" t="str">
            <v>D26001408</v>
          </cell>
          <cell r="AP6861">
            <v>0</v>
          </cell>
          <cell r="AQ6861">
            <v>0</v>
          </cell>
          <cell r="AV6861">
            <v>0</v>
          </cell>
        </row>
        <row r="6862">
          <cell r="E6862" t="str">
            <v>D26001653</v>
          </cell>
          <cell r="AP6862">
            <v>0</v>
          </cell>
          <cell r="AQ6862">
            <v>0</v>
          </cell>
          <cell r="AV6862">
            <v>0</v>
          </cell>
        </row>
        <row r="6863">
          <cell r="E6863" t="str">
            <v>B26001772</v>
          </cell>
          <cell r="AP6863">
            <v>0</v>
          </cell>
          <cell r="AQ6863">
            <v>0</v>
          </cell>
          <cell r="AV6863">
            <v>0</v>
          </cell>
        </row>
        <row r="6864">
          <cell r="E6864" t="str">
            <v>B26001806</v>
          </cell>
          <cell r="AP6864">
            <v>0</v>
          </cell>
          <cell r="AQ6864">
            <v>0</v>
          </cell>
          <cell r="AV6864">
            <v>31200000</v>
          </cell>
        </row>
        <row r="6865">
          <cell r="E6865" t="str">
            <v>N26000017</v>
          </cell>
          <cell r="AP6865">
            <v>0</v>
          </cell>
          <cell r="AQ6865">
            <v>0</v>
          </cell>
          <cell r="AV6865">
            <v>0</v>
          </cell>
        </row>
        <row r="6866">
          <cell r="E6866" t="str">
            <v>D26001652</v>
          </cell>
          <cell r="AP6866">
            <v>0</v>
          </cell>
          <cell r="AQ6866">
            <v>0</v>
          </cell>
          <cell r="AV6866">
            <v>660000</v>
          </cell>
        </row>
        <row r="6867">
          <cell r="E6867" t="str">
            <v>B26001627</v>
          </cell>
          <cell r="AP6867">
            <v>0</v>
          </cell>
          <cell r="AQ6867">
            <v>0</v>
          </cell>
          <cell r="AV6867">
            <v>8910000</v>
          </cell>
        </row>
        <row r="6868">
          <cell r="E6868" t="str">
            <v>B26000016</v>
          </cell>
          <cell r="AP6868">
            <v>0</v>
          </cell>
          <cell r="AQ6868">
            <v>0</v>
          </cell>
          <cell r="AV6868">
            <v>0</v>
          </cell>
        </row>
        <row r="6869">
          <cell r="E6869" t="str">
            <v>B25016667</v>
          </cell>
          <cell r="AP6869">
            <v>0</v>
          </cell>
          <cell r="AQ6869">
            <v>0</v>
          </cell>
          <cell r="AV6869">
            <v>7560000</v>
          </cell>
        </row>
        <row r="6870">
          <cell r="E6870" t="str">
            <v>D26002099</v>
          </cell>
          <cell r="AP6870">
            <v>0</v>
          </cell>
          <cell r="AQ6870">
            <v>0</v>
          </cell>
          <cell r="AV6870">
            <v>165500</v>
          </cell>
        </row>
        <row r="6871">
          <cell r="E6871" t="str">
            <v>D25017411</v>
          </cell>
          <cell r="AP6871">
            <v>0</v>
          </cell>
          <cell r="AQ6871">
            <v>0</v>
          </cell>
          <cell r="AV6871">
            <v>345000</v>
          </cell>
        </row>
        <row r="6872">
          <cell r="E6872" t="str">
            <v>D25017419</v>
          </cell>
          <cell r="AP6872">
            <v>0</v>
          </cell>
          <cell r="AQ6872">
            <v>0</v>
          </cell>
          <cell r="AV6872">
            <v>3330000</v>
          </cell>
        </row>
        <row r="6873">
          <cell r="E6873" t="str">
            <v>D25017766</v>
          </cell>
          <cell r="AP6873">
            <v>0</v>
          </cell>
          <cell r="AQ6873">
            <v>0</v>
          </cell>
          <cell r="AV6873">
            <v>300000</v>
          </cell>
        </row>
        <row r="6874">
          <cell r="E6874" t="str">
            <v>D25017998</v>
          </cell>
          <cell r="AP6874">
            <v>0</v>
          </cell>
          <cell r="AQ6874">
            <v>0</v>
          </cell>
          <cell r="AV6874">
            <v>1415000</v>
          </cell>
        </row>
        <row r="6875">
          <cell r="E6875" t="str">
            <v>D25018321</v>
          </cell>
          <cell r="AP6875">
            <v>0</v>
          </cell>
          <cell r="AQ6875">
            <v>0</v>
          </cell>
          <cell r="AV6875">
            <v>3237500</v>
          </cell>
        </row>
        <row r="6876">
          <cell r="E6876" t="str">
            <v>D25018366</v>
          </cell>
          <cell r="AP6876">
            <v>0</v>
          </cell>
          <cell r="AQ6876">
            <v>0</v>
          </cell>
          <cell r="AV6876">
            <v>3618000</v>
          </cell>
        </row>
        <row r="6877">
          <cell r="E6877" t="str">
            <v>T25001824</v>
          </cell>
          <cell r="AP6877">
            <v>0</v>
          </cell>
          <cell r="AQ6877">
            <v>0</v>
          </cell>
          <cell r="AV6877">
            <v>2250000</v>
          </cell>
        </row>
        <row r="6878">
          <cell r="E6878" t="str">
            <v>B25016167</v>
          </cell>
          <cell r="AP6878">
            <v>0</v>
          </cell>
          <cell r="AQ6878">
            <v>0</v>
          </cell>
          <cell r="AV6878">
            <v>3072500</v>
          </cell>
        </row>
        <row r="6879">
          <cell r="E6879" t="str">
            <v>B25016275</v>
          </cell>
          <cell r="AP6879">
            <v>0</v>
          </cell>
          <cell r="AQ6879">
            <v>0</v>
          </cell>
          <cell r="AV6879">
            <v>1492000</v>
          </cell>
        </row>
        <row r="6880">
          <cell r="E6880" t="str">
            <v>B25016275</v>
          </cell>
          <cell r="AP6880">
            <v>0</v>
          </cell>
          <cell r="AQ6880">
            <v>0</v>
          </cell>
          <cell r="AV6880">
            <v>4538000</v>
          </cell>
        </row>
        <row r="6881">
          <cell r="E6881" t="str">
            <v>B25016313</v>
          </cell>
          <cell r="AP6881">
            <v>0</v>
          </cell>
          <cell r="AQ6881">
            <v>0</v>
          </cell>
          <cell r="AV6881">
            <v>3400000</v>
          </cell>
        </row>
        <row r="6882">
          <cell r="E6882" t="str">
            <v>B25016456</v>
          </cell>
          <cell r="AP6882">
            <v>0</v>
          </cell>
          <cell r="AQ6882">
            <v>0</v>
          </cell>
          <cell r="AV6882">
            <v>3366000</v>
          </cell>
        </row>
        <row r="6883">
          <cell r="E6883" t="str">
            <v>B25016558</v>
          </cell>
          <cell r="AP6883">
            <v>0</v>
          </cell>
          <cell r="AQ6883">
            <v>0</v>
          </cell>
          <cell r="AV6883">
            <v>10000000</v>
          </cell>
        </row>
        <row r="6884">
          <cell r="E6884" t="str">
            <v>B25016558</v>
          </cell>
          <cell r="AP6884">
            <v>0</v>
          </cell>
          <cell r="AQ6884">
            <v>0</v>
          </cell>
          <cell r="AV6884">
            <v>2240000</v>
          </cell>
        </row>
        <row r="6885">
          <cell r="E6885" t="str">
            <v>B25016603</v>
          </cell>
          <cell r="AP6885">
            <v>0</v>
          </cell>
          <cell r="AQ6885">
            <v>0</v>
          </cell>
          <cell r="AV6885">
            <v>0</v>
          </cell>
        </row>
        <row r="6886">
          <cell r="E6886" t="str">
            <v>B25016604</v>
          </cell>
          <cell r="AP6886">
            <v>0</v>
          </cell>
          <cell r="AQ6886">
            <v>0</v>
          </cell>
          <cell r="AV6886">
            <v>292000</v>
          </cell>
        </row>
        <row r="6887">
          <cell r="E6887" t="str">
            <v>D25019192</v>
          </cell>
          <cell r="AP6887">
            <v>0</v>
          </cell>
          <cell r="AQ6887">
            <v>0</v>
          </cell>
          <cell r="AV6887">
            <v>8160000</v>
          </cell>
        </row>
        <row r="6888">
          <cell r="E6888" t="str">
            <v>B25016783</v>
          </cell>
          <cell r="AP6888">
            <v>0</v>
          </cell>
          <cell r="AQ6888">
            <v>0</v>
          </cell>
          <cell r="AV6888">
            <v>0</v>
          </cell>
        </row>
        <row r="6889">
          <cell r="E6889" t="str">
            <v>D25019403</v>
          </cell>
          <cell r="AP6889">
            <v>0</v>
          </cell>
          <cell r="AQ6889">
            <v>0</v>
          </cell>
          <cell r="AV6889">
            <v>0</v>
          </cell>
        </row>
        <row r="6890">
          <cell r="E6890" t="str">
            <v>D25019424</v>
          </cell>
          <cell r="AP6890">
            <v>0</v>
          </cell>
          <cell r="AQ6890">
            <v>0</v>
          </cell>
          <cell r="AV6890">
            <v>1960000</v>
          </cell>
        </row>
        <row r="6891">
          <cell r="E6891" t="str">
            <v>B25016960</v>
          </cell>
          <cell r="AP6891">
            <v>0</v>
          </cell>
          <cell r="AQ6891">
            <v>0</v>
          </cell>
          <cell r="AV6891">
            <v>0</v>
          </cell>
        </row>
        <row r="6892">
          <cell r="E6892" t="str">
            <v>D26000276</v>
          </cell>
          <cell r="AP6892">
            <v>0</v>
          </cell>
          <cell r="AQ6892">
            <v>0</v>
          </cell>
          <cell r="AV6892">
            <v>0</v>
          </cell>
        </row>
        <row r="6893">
          <cell r="E6893" t="str">
            <v>D26000277</v>
          </cell>
          <cell r="AP6893">
            <v>0</v>
          </cell>
          <cell r="AQ6893">
            <v>0</v>
          </cell>
          <cell r="AV6893">
            <v>3720000</v>
          </cell>
        </row>
        <row r="6894">
          <cell r="E6894" t="str">
            <v>B26000405</v>
          </cell>
          <cell r="AP6894">
            <v>0</v>
          </cell>
          <cell r="AQ6894">
            <v>0</v>
          </cell>
          <cell r="AV6894">
            <v>2976000</v>
          </cell>
        </row>
        <row r="6895">
          <cell r="E6895" t="str">
            <v>D26001002</v>
          </cell>
          <cell r="AP6895">
            <v>0</v>
          </cell>
          <cell r="AQ6895">
            <v>0</v>
          </cell>
          <cell r="AV6895">
            <v>0</v>
          </cell>
        </row>
        <row r="6896">
          <cell r="E6896" t="str">
            <v>D26001158</v>
          </cell>
          <cell r="AP6896">
            <v>0</v>
          </cell>
          <cell r="AQ6896">
            <v>0</v>
          </cell>
          <cell r="AV6896">
            <v>0</v>
          </cell>
        </row>
        <row r="6897">
          <cell r="E6897" t="str">
            <v>D26001159</v>
          </cell>
          <cell r="AP6897">
            <v>0</v>
          </cell>
          <cell r="AQ6897">
            <v>0</v>
          </cell>
          <cell r="AV6897">
            <v>0</v>
          </cell>
        </row>
        <row r="6898">
          <cell r="E6898" t="str">
            <v>D26001418</v>
          </cell>
          <cell r="AP6898">
            <v>0</v>
          </cell>
          <cell r="AQ6898">
            <v>0</v>
          </cell>
          <cell r="AV6898">
            <v>0</v>
          </cell>
        </row>
        <row r="6899">
          <cell r="E6899" t="str">
            <v>B26001370</v>
          </cell>
          <cell r="AP6899">
            <v>0</v>
          </cell>
          <cell r="AQ6899">
            <v>0</v>
          </cell>
          <cell r="AV6899">
            <v>0</v>
          </cell>
        </row>
        <row r="6900">
          <cell r="E6900" t="str">
            <v>D26001439</v>
          </cell>
          <cell r="AP6900">
            <v>0</v>
          </cell>
          <cell r="AQ6900">
            <v>0</v>
          </cell>
          <cell r="AV6900">
            <v>0</v>
          </cell>
        </row>
        <row r="6901">
          <cell r="E6901" t="str">
            <v>B26001690</v>
          </cell>
          <cell r="AP6901">
            <v>0</v>
          </cell>
          <cell r="AQ6901">
            <v>0</v>
          </cell>
          <cell r="AV6901">
            <v>0</v>
          </cell>
        </row>
        <row r="6902">
          <cell r="E6902" t="str">
            <v>D26001776</v>
          </cell>
          <cell r="AP6902">
            <v>0</v>
          </cell>
          <cell r="AQ6902">
            <v>0</v>
          </cell>
          <cell r="AV6902">
            <v>0</v>
          </cell>
        </row>
        <row r="6903">
          <cell r="E6903" t="str">
            <v>B26001814</v>
          </cell>
          <cell r="AP6903">
            <v>0</v>
          </cell>
          <cell r="AQ6903">
            <v>0</v>
          </cell>
          <cell r="AV6903">
            <v>0</v>
          </cell>
        </row>
        <row r="6904">
          <cell r="E6904" t="str">
            <v>D26001916</v>
          </cell>
          <cell r="AP6904">
            <v>0</v>
          </cell>
          <cell r="AQ6904">
            <v>0</v>
          </cell>
          <cell r="AV6904">
            <v>0</v>
          </cell>
        </row>
        <row r="6905">
          <cell r="E6905" t="str">
            <v>B26002064</v>
          </cell>
          <cell r="AP6905">
            <v>0</v>
          </cell>
          <cell r="AQ6905">
            <v>0</v>
          </cell>
          <cell r="AV6905">
            <v>0</v>
          </cell>
        </row>
        <row r="6906">
          <cell r="E6906" t="str">
            <v>T26000153</v>
          </cell>
          <cell r="AP6906">
            <v>0</v>
          </cell>
          <cell r="AQ6906">
            <v>0</v>
          </cell>
          <cell r="AV6906">
            <v>0</v>
          </cell>
        </row>
        <row r="6907">
          <cell r="E6907" t="str">
            <v>B26002242</v>
          </cell>
          <cell r="AP6907">
            <v>0</v>
          </cell>
          <cell r="AQ6907">
            <v>0</v>
          </cell>
          <cell r="AV6907">
            <v>0</v>
          </cell>
        </row>
        <row r="6908">
          <cell r="E6908" t="str">
            <v>B26002243</v>
          </cell>
          <cell r="AP6908">
            <v>0</v>
          </cell>
          <cell r="AQ6908">
            <v>0</v>
          </cell>
          <cell r="AV6908">
            <v>0</v>
          </cell>
        </row>
        <row r="6909">
          <cell r="E6909" t="str">
            <v>B25013621</v>
          </cell>
          <cell r="AP6909">
            <v>0</v>
          </cell>
          <cell r="AQ6909">
            <v>0</v>
          </cell>
          <cell r="AV6909">
            <v>19400000</v>
          </cell>
        </row>
        <row r="6910">
          <cell r="E6910" t="str">
            <v>D25017834</v>
          </cell>
          <cell r="AP6910">
            <v>0</v>
          </cell>
          <cell r="AQ6910">
            <v>0</v>
          </cell>
          <cell r="AV6910">
            <v>600000</v>
          </cell>
        </row>
        <row r="6911">
          <cell r="E6911" t="str">
            <v>D25017834</v>
          </cell>
          <cell r="AP6911">
            <v>0</v>
          </cell>
          <cell r="AQ6911">
            <v>0</v>
          </cell>
          <cell r="AV6911">
            <v>20000000</v>
          </cell>
        </row>
        <row r="6912">
          <cell r="E6912" t="str">
            <v>D26001853</v>
          </cell>
          <cell r="AP6912">
            <v>0</v>
          </cell>
          <cell r="AQ6912">
            <v>0</v>
          </cell>
          <cell r="AV6912">
            <v>7360000</v>
          </cell>
        </row>
        <row r="6913">
          <cell r="E6913" t="str">
            <v>D26000505</v>
          </cell>
          <cell r="AP6913">
            <v>0</v>
          </cell>
          <cell r="AQ6913">
            <v>0</v>
          </cell>
          <cell r="AV6913">
            <v>33387500</v>
          </cell>
        </row>
        <row r="6914">
          <cell r="E6914" t="str">
            <v>D26001027</v>
          </cell>
          <cell r="AP6914">
            <v>0</v>
          </cell>
          <cell r="AQ6914">
            <v>0</v>
          </cell>
          <cell r="AV6914">
            <v>0</v>
          </cell>
        </row>
        <row r="6915">
          <cell r="E6915" t="str">
            <v>B26002188</v>
          </cell>
          <cell r="AP6915">
            <v>0</v>
          </cell>
          <cell r="AQ6915">
            <v>0</v>
          </cell>
          <cell r="AV6915">
            <v>0</v>
          </cell>
        </row>
        <row r="6916">
          <cell r="E6916" t="str">
            <v>R25000105</v>
          </cell>
          <cell r="AP6916">
            <v>0</v>
          </cell>
          <cell r="AQ6916">
            <v>0</v>
          </cell>
          <cell r="AV6916">
            <v>0</v>
          </cell>
        </row>
        <row r="6917">
          <cell r="E6917" t="str">
            <v>B26000187</v>
          </cell>
          <cell r="AP6917">
            <v>0</v>
          </cell>
          <cell r="AQ6917">
            <v>0</v>
          </cell>
          <cell r="AV6917">
            <v>3672000</v>
          </cell>
        </row>
        <row r="6918">
          <cell r="E6918" t="str">
            <v>B26000188</v>
          </cell>
          <cell r="AP6918">
            <v>0</v>
          </cell>
          <cell r="AQ6918">
            <v>0</v>
          </cell>
          <cell r="AV6918">
            <v>29805000</v>
          </cell>
        </row>
        <row r="6919">
          <cell r="E6919" t="str">
            <v>B26001397</v>
          </cell>
          <cell r="AP6919">
            <v>0</v>
          </cell>
          <cell r="AQ6919">
            <v>0</v>
          </cell>
          <cell r="AV6919">
            <v>0</v>
          </cell>
        </row>
        <row r="6920">
          <cell r="E6920" t="str">
            <v>B26001398</v>
          </cell>
          <cell r="AP6920">
            <v>0</v>
          </cell>
          <cell r="AQ6920">
            <v>0</v>
          </cell>
          <cell r="AV6920">
            <v>0</v>
          </cell>
        </row>
        <row r="6921">
          <cell r="E6921" t="str">
            <v>D26002134</v>
          </cell>
          <cell r="AP6921">
            <v>0</v>
          </cell>
          <cell r="AQ6921">
            <v>0</v>
          </cell>
          <cell r="AV6921">
            <v>0</v>
          </cell>
        </row>
        <row r="6922">
          <cell r="E6922" t="str">
            <v>D26002232</v>
          </cell>
          <cell r="AP6922">
            <v>0</v>
          </cell>
          <cell r="AQ6922">
            <v>0</v>
          </cell>
          <cell r="AV6922">
            <v>0</v>
          </cell>
        </row>
        <row r="6923">
          <cell r="E6923" t="str">
            <v>D26002234</v>
          </cell>
          <cell r="AP6923">
            <v>0</v>
          </cell>
          <cell r="AQ6923">
            <v>0</v>
          </cell>
          <cell r="AV6923">
            <v>0</v>
          </cell>
        </row>
        <row r="6924">
          <cell r="E6924" t="str">
            <v>D26002006</v>
          </cell>
          <cell r="AP6924">
            <v>0</v>
          </cell>
          <cell r="AQ6924">
            <v>0</v>
          </cell>
          <cell r="AV6924">
            <v>0</v>
          </cell>
        </row>
        <row r="6925">
          <cell r="E6925" t="str">
            <v>D26002004</v>
          </cell>
          <cell r="AP6925">
            <v>0</v>
          </cell>
          <cell r="AQ6925">
            <v>0</v>
          </cell>
          <cell r="AV6925">
            <v>0</v>
          </cell>
        </row>
        <row r="6926">
          <cell r="E6926" t="str">
            <v>D26001373</v>
          </cell>
          <cell r="AP6926">
            <v>0</v>
          </cell>
          <cell r="AQ6926">
            <v>0</v>
          </cell>
          <cell r="AV6926">
            <v>27880000</v>
          </cell>
        </row>
        <row r="6927">
          <cell r="E6927" t="str">
            <v>D26001876</v>
          </cell>
          <cell r="AP6927">
            <v>0</v>
          </cell>
          <cell r="AQ6927">
            <v>0</v>
          </cell>
          <cell r="AV6927">
            <v>14630000</v>
          </cell>
        </row>
        <row r="6928">
          <cell r="E6928" t="str">
            <v>B26002190</v>
          </cell>
          <cell r="AP6928">
            <v>0</v>
          </cell>
          <cell r="AQ6928">
            <v>0</v>
          </cell>
          <cell r="AV6928">
            <v>0</v>
          </cell>
        </row>
        <row r="6929">
          <cell r="E6929" t="str">
            <v>D26001702</v>
          </cell>
          <cell r="AP6929">
            <v>0</v>
          </cell>
          <cell r="AQ6929">
            <v>0</v>
          </cell>
          <cell r="AV6929">
            <v>8600000</v>
          </cell>
        </row>
        <row r="6930">
          <cell r="E6930" t="str">
            <v>B26001597</v>
          </cell>
          <cell r="AP6930">
            <v>0</v>
          </cell>
          <cell r="AQ6930">
            <v>0</v>
          </cell>
          <cell r="AV6930">
            <v>9200000</v>
          </cell>
        </row>
        <row r="6931">
          <cell r="E6931" t="str">
            <v>D26002024</v>
          </cell>
          <cell r="AP6931">
            <v>0</v>
          </cell>
          <cell r="AQ6931">
            <v>0</v>
          </cell>
          <cell r="AV6931">
            <v>7750000</v>
          </cell>
        </row>
        <row r="6932">
          <cell r="E6932" t="str">
            <v>D26002351</v>
          </cell>
          <cell r="AP6932">
            <v>0</v>
          </cell>
          <cell r="AQ6932">
            <v>0</v>
          </cell>
          <cell r="AV6932">
            <v>22300000</v>
          </cell>
        </row>
        <row r="6933">
          <cell r="E6933" t="str">
            <v>D25019612</v>
          </cell>
          <cell r="AP6933">
            <v>0</v>
          </cell>
          <cell r="AQ6933">
            <v>0</v>
          </cell>
          <cell r="AV6933">
            <v>6030000</v>
          </cell>
        </row>
        <row r="6934">
          <cell r="E6934" t="str">
            <v>D25019613</v>
          </cell>
          <cell r="AP6934">
            <v>0</v>
          </cell>
          <cell r="AQ6934">
            <v>0</v>
          </cell>
          <cell r="AV6934">
            <v>6030000</v>
          </cell>
        </row>
        <row r="6935">
          <cell r="E6935" t="str">
            <v>B26000807</v>
          </cell>
          <cell r="AP6935">
            <v>0</v>
          </cell>
          <cell r="AQ6935">
            <v>0</v>
          </cell>
          <cell r="AV6935">
            <v>0</v>
          </cell>
        </row>
        <row r="6936">
          <cell r="E6936" t="str">
            <v>B26000838</v>
          </cell>
          <cell r="AP6936">
            <v>0</v>
          </cell>
          <cell r="AQ6936">
            <v>0</v>
          </cell>
          <cell r="AV6936">
            <v>0</v>
          </cell>
        </row>
        <row r="6937">
          <cell r="E6937" t="str">
            <v>B26001071</v>
          </cell>
          <cell r="AP6937">
            <v>0</v>
          </cell>
          <cell r="AQ6937">
            <v>0</v>
          </cell>
          <cell r="AV6937">
            <v>0</v>
          </cell>
        </row>
        <row r="6938">
          <cell r="E6938" t="str">
            <v>B26001072</v>
          </cell>
          <cell r="AP6938">
            <v>0</v>
          </cell>
          <cell r="AQ6938">
            <v>0</v>
          </cell>
          <cell r="AV6938">
            <v>0</v>
          </cell>
        </row>
        <row r="6939">
          <cell r="E6939" t="str">
            <v>D26001584</v>
          </cell>
          <cell r="AP6939">
            <v>0</v>
          </cell>
          <cell r="AQ6939">
            <v>0</v>
          </cell>
          <cell r="AV6939">
            <v>0</v>
          </cell>
        </row>
        <row r="6940">
          <cell r="E6940" t="str">
            <v>D26001585</v>
          </cell>
          <cell r="AP6940">
            <v>0</v>
          </cell>
          <cell r="AQ6940">
            <v>0</v>
          </cell>
          <cell r="AV6940">
            <v>0</v>
          </cell>
        </row>
        <row r="6941">
          <cell r="E6941" t="str">
            <v>D26001614</v>
          </cell>
          <cell r="AP6941">
            <v>0</v>
          </cell>
          <cell r="AQ6941">
            <v>0</v>
          </cell>
          <cell r="AV6941">
            <v>0</v>
          </cell>
        </row>
        <row r="6942">
          <cell r="E6942" t="str">
            <v>T26000114</v>
          </cell>
          <cell r="AP6942">
            <v>0</v>
          </cell>
          <cell r="AQ6942">
            <v>0</v>
          </cell>
          <cell r="AV6942">
            <v>1940000</v>
          </cell>
        </row>
        <row r="6943">
          <cell r="E6943" t="str">
            <v>D25018570</v>
          </cell>
          <cell r="AP6943">
            <v>0</v>
          </cell>
          <cell r="AQ6943">
            <v>0</v>
          </cell>
          <cell r="AV6943">
            <v>14900000</v>
          </cell>
        </row>
        <row r="6944">
          <cell r="E6944" t="str">
            <v>D25018687</v>
          </cell>
          <cell r="AP6944">
            <v>0</v>
          </cell>
          <cell r="AQ6944">
            <v>0</v>
          </cell>
          <cell r="AV6944">
            <v>0</v>
          </cell>
        </row>
        <row r="6945">
          <cell r="E6945" t="str">
            <v>B25016269</v>
          </cell>
          <cell r="AP6945">
            <v>0</v>
          </cell>
          <cell r="AQ6945">
            <v>0</v>
          </cell>
          <cell r="AV6945">
            <v>0</v>
          </cell>
        </row>
        <row r="6946">
          <cell r="E6946" t="str">
            <v>D25018993</v>
          </cell>
          <cell r="AP6946">
            <v>0</v>
          </cell>
          <cell r="AQ6946">
            <v>0</v>
          </cell>
          <cell r="AV6946">
            <v>0</v>
          </cell>
        </row>
        <row r="6947">
          <cell r="E6947" t="str">
            <v>T25001505</v>
          </cell>
          <cell r="AP6947">
            <v>0</v>
          </cell>
          <cell r="AQ6947">
            <v>0</v>
          </cell>
          <cell r="AV6947">
            <v>0</v>
          </cell>
        </row>
        <row r="6948">
          <cell r="E6948" t="str">
            <v>D26000048</v>
          </cell>
          <cell r="AP6948">
            <v>0</v>
          </cell>
          <cell r="AQ6948">
            <v>0</v>
          </cell>
          <cell r="AV6948">
            <v>0</v>
          </cell>
        </row>
        <row r="6949">
          <cell r="E6949" t="str">
            <v>B26001784</v>
          </cell>
          <cell r="AP6949">
            <v>0</v>
          </cell>
          <cell r="AQ6949">
            <v>0</v>
          </cell>
          <cell r="AV6949">
            <v>0</v>
          </cell>
        </row>
        <row r="6950">
          <cell r="E6950" t="str">
            <v>B26001961</v>
          </cell>
          <cell r="AP6950">
            <v>0</v>
          </cell>
          <cell r="AQ6950">
            <v>0</v>
          </cell>
          <cell r="AV6950">
            <v>5160000</v>
          </cell>
        </row>
        <row r="6951">
          <cell r="E6951" t="str">
            <v>D26002139</v>
          </cell>
          <cell r="AP6951">
            <v>0</v>
          </cell>
          <cell r="AQ6951">
            <v>0</v>
          </cell>
          <cell r="AV6951">
            <v>3200000</v>
          </cell>
        </row>
        <row r="6952">
          <cell r="E6952" t="str">
            <v>B26000141</v>
          </cell>
          <cell r="AP6952">
            <v>0</v>
          </cell>
          <cell r="AQ6952">
            <v>0</v>
          </cell>
          <cell r="AV6952">
            <v>4680000</v>
          </cell>
        </row>
        <row r="6953">
          <cell r="E6953" t="str">
            <v>T26000013</v>
          </cell>
          <cell r="AP6953">
            <v>0</v>
          </cell>
          <cell r="AQ6953">
            <v>0</v>
          </cell>
          <cell r="AV6953">
            <v>0</v>
          </cell>
        </row>
        <row r="6954">
          <cell r="E6954" t="str">
            <v>D26001489</v>
          </cell>
          <cell r="AP6954">
            <v>0</v>
          </cell>
          <cell r="AQ6954">
            <v>0</v>
          </cell>
          <cell r="AV6954">
            <v>0</v>
          </cell>
        </row>
        <row r="6955">
          <cell r="E6955" t="str">
            <v>B26002186</v>
          </cell>
          <cell r="AP6955">
            <v>0</v>
          </cell>
          <cell r="AQ6955">
            <v>0</v>
          </cell>
          <cell r="AV6955">
            <v>0</v>
          </cell>
        </row>
        <row r="6956">
          <cell r="E6956" t="str">
            <v>B26001205</v>
          </cell>
          <cell r="AP6956">
            <v>0</v>
          </cell>
          <cell r="AQ6956">
            <v>0</v>
          </cell>
          <cell r="AV6956">
            <v>0</v>
          </cell>
        </row>
        <row r="6957">
          <cell r="E6957" t="str">
            <v>B26001876</v>
          </cell>
          <cell r="AP6957">
            <v>0</v>
          </cell>
          <cell r="AQ6957">
            <v>0</v>
          </cell>
          <cell r="AV6957">
            <v>0</v>
          </cell>
        </row>
        <row r="6958">
          <cell r="E6958" t="str">
            <v>T25001864</v>
          </cell>
          <cell r="AP6958">
            <v>0</v>
          </cell>
          <cell r="AQ6958">
            <v>0</v>
          </cell>
          <cell r="AV6958">
            <v>0</v>
          </cell>
        </row>
        <row r="6959">
          <cell r="E6959" t="str">
            <v>D25019346</v>
          </cell>
          <cell r="AP6959">
            <v>0</v>
          </cell>
          <cell r="AQ6959">
            <v>0</v>
          </cell>
          <cell r="AV6959">
            <v>3705000</v>
          </cell>
        </row>
        <row r="6960">
          <cell r="E6960" t="str">
            <v>B26000220</v>
          </cell>
          <cell r="AP6960">
            <v>0</v>
          </cell>
          <cell r="AQ6960">
            <v>0</v>
          </cell>
          <cell r="AV6960">
            <v>4415000</v>
          </cell>
        </row>
        <row r="6961">
          <cell r="E6961" t="str">
            <v>B26000221</v>
          </cell>
          <cell r="AP6961">
            <v>0</v>
          </cell>
          <cell r="AQ6961">
            <v>0</v>
          </cell>
          <cell r="AV6961">
            <v>0</v>
          </cell>
        </row>
        <row r="6962">
          <cell r="E6962" t="str">
            <v>B26000931</v>
          </cell>
          <cell r="AP6962">
            <v>0</v>
          </cell>
          <cell r="AQ6962">
            <v>0</v>
          </cell>
          <cell r="AV6962">
            <v>0</v>
          </cell>
        </row>
        <row r="6963">
          <cell r="E6963" t="str">
            <v>B26000932</v>
          </cell>
          <cell r="AP6963">
            <v>0</v>
          </cell>
          <cell r="AQ6963">
            <v>0</v>
          </cell>
          <cell r="AV6963">
            <v>0</v>
          </cell>
        </row>
        <row r="6964">
          <cell r="E6964" t="str">
            <v>D26001259</v>
          </cell>
          <cell r="AP6964">
            <v>0</v>
          </cell>
          <cell r="AQ6964">
            <v>0</v>
          </cell>
          <cell r="AV6964">
            <v>0</v>
          </cell>
        </row>
        <row r="6965">
          <cell r="E6965" t="str">
            <v>B26001890</v>
          </cell>
          <cell r="AP6965">
            <v>0</v>
          </cell>
          <cell r="AQ6965">
            <v>0</v>
          </cell>
          <cell r="AV6965">
            <v>0</v>
          </cell>
        </row>
        <row r="6966">
          <cell r="E6966" t="str">
            <v>B26001506</v>
          </cell>
          <cell r="AP6966">
            <v>0</v>
          </cell>
          <cell r="AQ6966">
            <v>0</v>
          </cell>
          <cell r="AV6966">
            <v>0</v>
          </cell>
        </row>
        <row r="6967">
          <cell r="E6967" t="str">
            <v>B26001507</v>
          </cell>
          <cell r="AP6967">
            <v>0</v>
          </cell>
          <cell r="AQ6967">
            <v>0</v>
          </cell>
          <cell r="AV6967">
            <v>0</v>
          </cell>
        </row>
        <row r="6968">
          <cell r="E6968" t="str">
            <v>D26001750</v>
          </cell>
          <cell r="AP6968">
            <v>0</v>
          </cell>
          <cell r="AQ6968">
            <v>0</v>
          </cell>
          <cell r="AV6968">
            <v>0</v>
          </cell>
        </row>
        <row r="6969">
          <cell r="E6969" t="str">
            <v>B26001894</v>
          </cell>
          <cell r="AP6969">
            <v>0</v>
          </cell>
          <cell r="AQ6969">
            <v>0</v>
          </cell>
          <cell r="AV6969">
            <v>5240000</v>
          </cell>
        </row>
        <row r="6970">
          <cell r="E6970" t="str">
            <v>D25019133</v>
          </cell>
          <cell r="AP6970">
            <v>0</v>
          </cell>
          <cell r="AQ6970">
            <v>0</v>
          </cell>
          <cell r="AV6970">
            <v>900000</v>
          </cell>
        </row>
        <row r="6971">
          <cell r="E6971" t="str">
            <v>B25016733</v>
          </cell>
          <cell r="AP6971">
            <v>0</v>
          </cell>
          <cell r="AQ6971">
            <v>0</v>
          </cell>
          <cell r="AV6971">
            <v>1375000</v>
          </cell>
        </row>
        <row r="6972">
          <cell r="E6972" t="str">
            <v>D25019444</v>
          </cell>
          <cell r="AP6972">
            <v>0</v>
          </cell>
          <cell r="AQ6972">
            <v>0</v>
          </cell>
          <cell r="AV6972">
            <v>3208800</v>
          </cell>
        </row>
        <row r="6973">
          <cell r="E6973" t="str">
            <v>B25016945</v>
          </cell>
          <cell r="AP6973">
            <v>0</v>
          </cell>
          <cell r="AQ6973">
            <v>0</v>
          </cell>
          <cell r="AV6973">
            <v>1350000</v>
          </cell>
        </row>
        <row r="6974">
          <cell r="E6974" t="str">
            <v>B25017122</v>
          </cell>
          <cell r="AP6974">
            <v>0</v>
          </cell>
          <cell r="AQ6974">
            <v>0</v>
          </cell>
          <cell r="AV6974">
            <v>1350000</v>
          </cell>
        </row>
        <row r="6975">
          <cell r="E6975" t="str">
            <v>B26000035</v>
          </cell>
          <cell r="AP6975">
            <v>0</v>
          </cell>
          <cell r="AQ6975">
            <v>0</v>
          </cell>
          <cell r="AV6975">
            <v>1687500</v>
          </cell>
        </row>
        <row r="6976">
          <cell r="E6976" t="str">
            <v>D26000341</v>
          </cell>
          <cell r="AP6976">
            <v>0</v>
          </cell>
          <cell r="AQ6976">
            <v>0</v>
          </cell>
          <cell r="AV6976">
            <v>0</v>
          </cell>
        </row>
        <row r="6977">
          <cell r="E6977" t="str">
            <v>D26000357</v>
          </cell>
          <cell r="AP6977">
            <v>0</v>
          </cell>
          <cell r="AQ6977">
            <v>0</v>
          </cell>
          <cell r="AV6977">
            <v>0</v>
          </cell>
        </row>
        <row r="6978">
          <cell r="E6978" t="str">
            <v>D26000366</v>
          </cell>
          <cell r="AP6978">
            <v>0</v>
          </cell>
          <cell r="AQ6978">
            <v>0</v>
          </cell>
          <cell r="AV6978">
            <v>0</v>
          </cell>
        </row>
        <row r="6979">
          <cell r="E6979" t="str">
            <v>D26000517</v>
          </cell>
          <cell r="AP6979">
            <v>0</v>
          </cell>
          <cell r="AQ6979">
            <v>0</v>
          </cell>
          <cell r="AV6979">
            <v>0</v>
          </cell>
        </row>
        <row r="6980">
          <cell r="E6980" t="str">
            <v>B26000611</v>
          </cell>
          <cell r="AP6980">
            <v>0</v>
          </cell>
          <cell r="AQ6980">
            <v>0</v>
          </cell>
          <cell r="AV6980">
            <v>0</v>
          </cell>
        </row>
        <row r="6981">
          <cell r="E6981" t="str">
            <v>B26000612</v>
          </cell>
          <cell r="AP6981">
            <v>0</v>
          </cell>
          <cell r="AQ6981">
            <v>0</v>
          </cell>
          <cell r="AV6981">
            <v>0</v>
          </cell>
        </row>
        <row r="6982">
          <cell r="E6982" t="str">
            <v>D26000792</v>
          </cell>
          <cell r="AP6982">
            <v>0</v>
          </cell>
          <cell r="AQ6982">
            <v>0</v>
          </cell>
          <cell r="AV6982">
            <v>0</v>
          </cell>
        </row>
        <row r="6983">
          <cell r="E6983" t="str">
            <v>D26000813</v>
          </cell>
          <cell r="AP6983">
            <v>0</v>
          </cell>
          <cell r="AQ6983">
            <v>0</v>
          </cell>
          <cell r="AV6983">
            <v>0</v>
          </cell>
        </row>
        <row r="6984">
          <cell r="E6984" t="str">
            <v>D26000815</v>
          </cell>
          <cell r="AP6984">
            <v>0</v>
          </cell>
          <cell r="AQ6984">
            <v>0</v>
          </cell>
          <cell r="AV6984">
            <v>0</v>
          </cell>
        </row>
        <row r="6985">
          <cell r="E6985" t="str">
            <v>B26000922</v>
          </cell>
          <cell r="AP6985">
            <v>0</v>
          </cell>
          <cell r="AQ6985">
            <v>0</v>
          </cell>
          <cell r="AV6985">
            <v>0</v>
          </cell>
        </row>
        <row r="6986">
          <cell r="E6986" t="str">
            <v>D26000949</v>
          </cell>
          <cell r="AP6986">
            <v>0</v>
          </cell>
          <cell r="AQ6986">
            <v>0</v>
          </cell>
          <cell r="AV6986">
            <v>0</v>
          </cell>
        </row>
        <row r="6987">
          <cell r="E6987" t="str">
            <v>D26001054</v>
          </cell>
          <cell r="AP6987">
            <v>0</v>
          </cell>
          <cell r="AQ6987">
            <v>0</v>
          </cell>
          <cell r="AV6987">
            <v>0</v>
          </cell>
        </row>
        <row r="6988">
          <cell r="E6988" t="str">
            <v>B26001005</v>
          </cell>
          <cell r="AP6988">
            <v>0</v>
          </cell>
          <cell r="AQ6988">
            <v>0</v>
          </cell>
          <cell r="AV6988">
            <v>0</v>
          </cell>
        </row>
        <row r="6989">
          <cell r="E6989" t="str">
            <v>D26001288</v>
          </cell>
          <cell r="AP6989">
            <v>0</v>
          </cell>
          <cell r="AQ6989">
            <v>0</v>
          </cell>
          <cell r="AV6989">
            <v>0</v>
          </cell>
        </row>
        <row r="6990">
          <cell r="E6990" t="str">
            <v>B26001504</v>
          </cell>
          <cell r="AP6990">
            <v>0</v>
          </cell>
          <cell r="AQ6990">
            <v>0</v>
          </cell>
          <cell r="AV6990">
            <v>0</v>
          </cell>
        </row>
        <row r="6991">
          <cell r="E6991" t="str">
            <v>D26001650</v>
          </cell>
          <cell r="AP6991">
            <v>0</v>
          </cell>
          <cell r="AQ6991">
            <v>0</v>
          </cell>
          <cell r="AV6991">
            <v>0</v>
          </cell>
        </row>
        <row r="6992">
          <cell r="E6992" t="str">
            <v>B26002015</v>
          </cell>
          <cell r="AP6992">
            <v>0</v>
          </cell>
          <cell r="AQ6992">
            <v>0</v>
          </cell>
          <cell r="AV6992">
            <v>0</v>
          </cell>
        </row>
        <row r="6993">
          <cell r="E6993" t="str">
            <v>B26002017</v>
          </cell>
          <cell r="AP6993">
            <v>0</v>
          </cell>
          <cell r="AQ6993">
            <v>0</v>
          </cell>
          <cell r="AV6993">
            <v>0</v>
          </cell>
        </row>
        <row r="6994">
          <cell r="E6994" t="str">
            <v>D26002209</v>
          </cell>
          <cell r="AP6994">
            <v>0</v>
          </cell>
          <cell r="AQ6994">
            <v>0</v>
          </cell>
          <cell r="AV6994">
            <v>0</v>
          </cell>
        </row>
        <row r="6995">
          <cell r="E6995" t="str">
            <v>D26002223</v>
          </cell>
          <cell r="AP6995">
            <v>0</v>
          </cell>
          <cell r="AQ6995">
            <v>0</v>
          </cell>
          <cell r="AV6995">
            <v>0</v>
          </cell>
        </row>
        <row r="6996">
          <cell r="E6996" t="str">
            <v>D26002224</v>
          </cell>
          <cell r="AP6996">
            <v>0</v>
          </cell>
          <cell r="AQ6996">
            <v>0</v>
          </cell>
          <cell r="AV6996">
            <v>0</v>
          </cell>
        </row>
        <row r="6997">
          <cell r="E6997" t="str">
            <v>B26001861</v>
          </cell>
          <cell r="AP6997">
            <v>0</v>
          </cell>
          <cell r="AQ6997">
            <v>0</v>
          </cell>
          <cell r="AV6997">
            <v>0</v>
          </cell>
        </row>
        <row r="6998">
          <cell r="E6998" t="str">
            <v>D26002360</v>
          </cell>
          <cell r="AP6998">
            <v>0</v>
          </cell>
          <cell r="AQ6998">
            <v>0</v>
          </cell>
          <cell r="AV6998">
            <v>5500000</v>
          </cell>
        </row>
        <row r="6999">
          <cell r="E6999" t="str">
            <v>B25015546</v>
          </cell>
          <cell r="AP6999">
            <v>0</v>
          </cell>
          <cell r="AQ6999">
            <v>0</v>
          </cell>
          <cell r="AV6999">
            <v>24275000</v>
          </cell>
        </row>
        <row r="7000">
          <cell r="E7000" t="str">
            <v>B25015825</v>
          </cell>
          <cell r="AP7000">
            <v>0</v>
          </cell>
          <cell r="AQ7000">
            <v>0</v>
          </cell>
          <cell r="AV7000">
            <v>37035000</v>
          </cell>
        </row>
        <row r="7001">
          <cell r="E7001" t="str">
            <v>B25015827</v>
          </cell>
          <cell r="AP7001">
            <v>0</v>
          </cell>
          <cell r="AQ7001">
            <v>0</v>
          </cell>
          <cell r="AV7001">
            <v>6475000</v>
          </cell>
        </row>
        <row r="7002">
          <cell r="E7002" t="str">
            <v>D25018339</v>
          </cell>
          <cell r="AP7002">
            <v>0</v>
          </cell>
          <cell r="AQ7002">
            <v>0</v>
          </cell>
          <cell r="AV7002">
            <v>1750000</v>
          </cell>
        </row>
        <row r="7003">
          <cell r="E7003" t="str">
            <v>B25016280</v>
          </cell>
          <cell r="AP7003">
            <v>0</v>
          </cell>
          <cell r="AQ7003">
            <v>0</v>
          </cell>
          <cell r="AV7003">
            <v>0</v>
          </cell>
        </row>
        <row r="7004">
          <cell r="E7004" t="str">
            <v>B25016282</v>
          </cell>
          <cell r="AP7004">
            <v>0</v>
          </cell>
          <cell r="AQ7004">
            <v>0</v>
          </cell>
          <cell r="AV7004">
            <v>0</v>
          </cell>
        </row>
        <row r="7005">
          <cell r="E7005" t="str">
            <v>B25016415</v>
          </cell>
          <cell r="AP7005">
            <v>0</v>
          </cell>
          <cell r="AQ7005">
            <v>0</v>
          </cell>
          <cell r="AV7005">
            <v>0</v>
          </cell>
        </row>
        <row r="7006">
          <cell r="E7006" t="str">
            <v>B25016517</v>
          </cell>
          <cell r="AP7006">
            <v>0</v>
          </cell>
          <cell r="AQ7006">
            <v>0</v>
          </cell>
          <cell r="AV7006">
            <v>0</v>
          </cell>
        </row>
        <row r="7007">
          <cell r="E7007" t="str">
            <v>D25019007</v>
          </cell>
          <cell r="AP7007">
            <v>0</v>
          </cell>
          <cell r="AQ7007">
            <v>0</v>
          </cell>
          <cell r="AV7007">
            <v>0</v>
          </cell>
        </row>
        <row r="7008">
          <cell r="E7008" t="str">
            <v>B25016730</v>
          </cell>
          <cell r="AP7008">
            <v>0</v>
          </cell>
          <cell r="AQ7008">
            <v>0</v>
          </cell>
          <cell r="AV7008">
            <v>0</v>
          </cell>
        </row>
        <row r="7009">
          <cell r="E7009" t="str">
            <v>D25019344</v>
          </cell>
          <cell r="AP7009">
            <v>0</v>
          </cell>
          <cell r="AQ7009">
            <v>0</v>
          </cell>
          <cell r="AV7009">
            <v>0</v>
          </cell>
        </row>
        <row r="7010">
          <cell r="E7010" t="str">
            <v>D25019545</v>
          </cell>
          <cell r="AP7010">
            <v>0</v>
          </cell>
          <cell r="AQ7010">
            <v>0</v>
          </cell>
          <cell r="AV7010">
            <v>0</v>
          </cell>
        </row>
        <row r="7011">
          <cell r="E7011" t="str">
            <v>D25019705</v>
          </cell>
          <cell r="AP7011">
            <v>0</v>
          </cell>
          <cell r="AQ7011">
            <v>0</v>
          </cell>
          <cell r="AV7011">
            <v>0</v>
          </cell>
        </row>
        <row r="7012">
          <cell r="E7012" t="str">
            <v>B26000112</v>
          </cell>
          <cell r="AP7012">
            <v>0</v>
          </cell>
          <cell r="AQ7012">
            <v>0</v>
          </cell>
          <cell r="AV7012">
            <v>0</v>
          </cell>
        </row>
        <row r="7013">
          <cell r="E7013" t="str">
            <v>D26000018</v>
          </cell>
          <cell r="AP7013">
            <v>0</v>
          </cell>
          <cell r="AQ7013">
            <v>0</v>
          </cell>
          <cell r="AV7013">
            <v>0</v>
          </cell>
        </row>
        <row r="7014">
          <cell r="E7014" t="str">
            <v>D26000046</v>
          </cell>
          <cell r="AP7014">
            <v>0</v>
          </cell>
          <cell r="AQ7014">
            <v>0</v>
          </cell>
          <cell r="AV7014">
            <v>0</v>
          </cell>
        </row>
        <row r="7015">
          <cell r="E7015" t="str">
            <v>B26000270</v>
          </cell>
          <cell r="AP7015">
            <v>0</v>
          </cell>
          <cell r="AQ7015">
            <v>0</v>
          </cell>
          <cell r="AV7015">
            <v>14925000</v>
          </cell>
        </row>
        <row r="7016">
          <cell r="E7016" t="str">
            <v>B26000441</v>
          </cell>
          <cell r="AP7016">
            <v>0</v>
          </cell>
          <cell r="AQ7016">
            <v>0</v>
          </cell>
          <cell r="AV7016">
            <v>0</v>
          </cell>
        </row>
        <row r="7017">
          <cell r="E7017" t="str">
            <v>B26000501</v>
          </cell>
          <cell r="AP7017">
            <v>0</v>
          </cell>
          <cell r="AQ7017">
            <v>0</v>
          </cell>
          <cell r="AV7017">
            <v>0</v>
          </cell>
        </row>
        <row r="7018">
          <cell r="E7018" t="str">
            <v>B26000886</v>
          </cell>
          <cell r="AP7018">
            <v>0</v>
          </cell>
          <cell r="AQ7018">
            <v>0</v>
          </cell>
          <cell r="AV7018">
            <v>0</v>
          </cell>
        </row>
        <row r="7019">
          <cell r="E7019" t="str">
            <v>B26000973</v>
          </cell>
          <cell r="AP7019">
            <v>0</v>
          </cell>
          <cell r="AQ7019">
            <v>0</v>
          </cell>
          <cell r="AV7019">
            <v>0</v>
          </cell>
        </row>
        <row r="7020">
          <cell r="E7020" t="str">
            <v>B26001640</v>
          </cell>
          <cell r="AP7020">
            <v>0</v>
          </cell>
          <cell r="AQ7020">
            <v>0</v>
          </cell>
          <cell r="AV7020">
            <v>656000000</v>
          </cell>
        </row>
        <row r="7021">
          <cell r="E7021" t="str">
            <v>B26001641</v>
          </cell>
          <cell r="AP7021">
            <v>0</v>
          </cell>
          <cell r="AQ7021">
            <v>0</v>
          </cell>
          <cell r="AV7021">
            <v>0</v>
          </cell>
        </row>
        <row r="7022">
          <cell r="E7022" t="str">
            <v>B26001662</v>
          </cell>
          <cell r="AP7022">
            <v>0</v>
          </cell>
          <cell r="AQ7022">
            <v>0</v>
          </cell>
          <cell r="AV7022">
            <v>0</v>
          </cell>
        </row>
        <row r="7023">
          <cell r="E7023" t="str">
            <v>B26001663</v>
          </cell>
          <cell r="AP7023">
            <v>0</v>
          </cell>
          <cell r="AQ7023">
            <v>0</v>
          </cell>
          <cell r="AV7023">
            <v>0</v>
          </cell>
        </row>
        <row r="7024">
          <cell r="E7024" t="str">
            <v>D26001966</v>
          </cell>
          <cell r="AP7024">
            <v>0</v>
          </cell>
          <cell r="AQ7024">
            <v>0</v>
          </cell>
          <cell r="AV7024">
            <v>0</v>
          </cell>
        </row>
        <row r="7025">
          <cell r="E7025" t="str">
            <v>D26001984</v>
          </cell>
          <cell r="AP7025">
            <v>0</v>
          </cell>
          <cell r="AQ7025">
            <v>0</v>
          </cell>
          <cell r="AV7025">
            <v>131000000</v>
          </cell>
        </row>
        <row r="7026">
          <cell r="E7026" t="str">
            <v>D26002018</v>
          </cell>
          <cell r="AP7026">
            <v>0</v>
          </cell>
          <cell r="AQ7026">
            <v>0</v>
          </cell>
          <cell r="AV7026">
            <v>0</v>
          </cell>
        </row>
        <row r="7027">
          <cell r="E7027" t="str">
            <v>B26002011</v>
          </cell>
          <cell r="AP7027">
            <v>0</v>
          </cell>
          <cell r="AQ7027">
            <v>0</v>
          </cell>
          <cell r="AV7027">
            <v>0</v>
          </cell>
        </row>
        <row r="7028">
          <cell r="E7028" t="str">
            <v>B26002012</v>
          </cell>
          <cell r="AP7028">
            <v>0</v>
          </cell>
          <cell r="AQ7028">
            <v>0</v>
          </cell>
          <cell r="AV7028">
            <v>10237500</v>
          </cell>
        </row>
        <row r="7029">
          <cell r="E7029" t="str">
            <v>D26002169</v>
          </cell>
          <cell r="AP7029">
            <v>0</v>
          </cell>
          <cell r="AQ7029">
            <v>0</v>
          </cell>
          <cell r="AV7029">
            <v>71762500</v>
          </cell>
        </row>
        <row r="7030">
          <cell r="E7030" t="str">
            <v>D26002169</v>
          </cell>
          <cell r="AP7030">
            <v>0</v>
          </cell>
          <cell r="AQ7030">
            <v>0</v>
          </cell>
          <cell r="AV7030">
            <v>321489250</v>
          </cell>
        </row>
        <row r="7031">
          <cell r="E7031" t="str">
            <v>D26002169</v>
          </cell>
          <cell r="AP7031">
            <v>0</v>
          </cell>
          <cell r="AQ7031">
            <v>0</v>
          </cell>
          <cell r="AV7031">
            <v>83510750</v>
          </cell>
        </row>
        <row r="7032">
          <cell r="E7032" t="str">
            <v>D26002169</v>
          </cell>
          <cell r="AP7032">
            <v>0</v>
          </cell>
          <cell r="AQ7032">
            <v>0</v>
          </cell>
          <cell r="AV7032">
            <v>218000000</v>
          </cell>
        </row>
        <row r="7033">
          <cell r="E7033" t="str">
            <v>D26002169</v>
          </cell>
          <cell r="AP7033">
            <v>0</v>
          </cell>
          <cell r="AQ7033">
            <v>0</v>
          </cell>
          <cell r="AV7033">
            <v>10237500</v>
          </cell>
        </row>
        <row r="7034">
          <cell r="E7034" t="str">
            <v>D26002225</v>
          </cell>
          <cell r="AP7034">
            <v>0</v>
          </cell>
          <cell r="AQ7034">
            <v>0</v>
          </cell>
          <cell r="AV7034">
            <v>218000000</v>
          </cell>
        </row>
        <row r="7035">
          <cell r="E7035" t="str">
            <v>D26002268</v>
          </cell>
          <cell r="AP7035">
            <v>0</v>
          </cell>
          <cell r="AQ7035">
            <v>0</v>
          </cell>
          <cell r="AV7035">
            <v>20735000</v>
          </cell>
        </row>
        <row r="7036">
          <cell r="E7036" t="str">
            <v>D26002269</v>
          </cell>
          <cell r="AP7036">
            <v>0</v>
          </cell>
          <cell r="AQ7036">
            <v>0</v>
          </cell>
          <cell r="AV7036">
            <v>0</v>
          </cell>
        </row>
        <row r="7037">
          <cell r="E7037" t="str">
            <v>D26002368</v>
          </cell>
          <cell r="AP7037">
            <v>0</v>
          </cell>
          <cell r="AQ7037">
            <v>0</v>
          </cell>
          <cell r="AV7037">
            <v>0</v>
          </cell>
        </row>
        <row r="7038">
          <cell r="E7038" t="str">
            <v>D25018748</v>
          </cell>
          <cell r="AP7038">
            <v>0</v>
          </cell>
          <cell r="AQ7038">
            <v>0</v>
          </cell>
          <cell r="AV7038">
            <v>0</v>
          </cell>
        </row>
        <row r="7039">
          <cell r="E7039" t="str">
            <v>D26001459</v>
          </cell>
          <cell r="AP7039">
            <v>0</v>
          </cell>
          <cell r="AQ7039">
            <v>0</v>
          </cell>
          <cell r="AV7039">
            <v>0</v>
          </cell>
        </row>
        <row r="7040">
          <cell r="E7040" t="str">
            <v>D25018467</v>
          </cell>
          <cell r="AP7040">
            <v>0</v>
          </cell>
          <cell r="AQ7040">
            <v>38746000</v>
          </cell>
          <cell r="AV7040">
            <v>0</v>
          </cell>
        </row>
        <row r="7041">
          <cell r="E7041" t="str">
            <v>D25018615</v>
          </cell>
          <cell r="AP7041">
            <v>0</v>
          </cell>
          <cell r="AQ7041">
            <v>27750000</v>
          </cell>
          <cell r="AV7041">
            <v>0</v>
          </cell>
        </row>
        <row r="7042">
          <cell r="E7042" t="str">
            <v>D25018949</v>
          </cell>
          <cell r="AP7042">
            <v>0</v>
          </cell>
          <cell r="AQ7042">
            <v>19000000</v>
          </cell>
          <cell r="AV7042">
            <v>0</v>
          </cell>
        </row>
        <row r="7043">
          <cell r="E7043" t="str">
            <v>B25016579</v>
          </cell>
          <cell r="AP7043">
            <v>0</v>
          </cell>
          <cell r="AQ7043">
            <v>64504000</v>
          </cell>
          <cell r="AV7043">
            <v>0</v>
          </cell>
        </row>
        <row r="7044">
          <cell r="E7044" t="str">
            <v>B25016579</v>
          </cell>
          <cell r="AP7044">
            <v>0</v>
          </cell>
          <cell r="AQ7044">
            <v>24086000</v>
          </cell>
          <cell r="AV7044">
            <v>0</v>
          </cell>
        </row>
        <row r="7045">
          <cell r="E7045" t="str">
            <v>D25019137</v>
          </cell>
          <cell r="AP7045">
            <v>0</v>
          </cell>
          <cell r="AQ7045">
            <v>92910000</v>
          </cell>
          <cell r="AV7045">
            <v>0</v>
          </cell>
        </row>
        <row r="7046">
          <cell r="E7046" t="str">
            <v>D25019183</v>
          </cell>
          <cell r="AP7046">
            <v>0</v>
          </cell>
          <cell r="AQ7046">
            <v>38000000</v>
          </cell>
          <cell r="AV7046">
            <v>0</v>
          </cell>
        </row>
        <row r="7047">
          <cell r="E7047" t="str">
            <v>D26000910</v>
          </cell>
          <cell r="AP7047">
            <v>0</v>
          </cell>
          <cell r="AQ7047">
            <v>0</v>
          </cell>
          <cell r="AV7047">
            <v>0</v>
          </cell>
        </row>
        <row r="7048">
          <cell r="E7048" t="str">
            <v>B26001311</v>
          </cell>
          <cell r="AP7048">
            <v>0</v>
          </cell>
          <cell r="AQ7048">
            <v>0</v>
          </cell>
          <cell r="AV7048">
            <v>0</v>
          </cell>
        </row>
        <row r="7049">
          <cell r="E7049" t="str">
            <v>B26001500</v>
          </cell>
          <cell r="AP7049">
            <v>0</v>
          </cell>
          <cell r="AQ7049">
            <v>0</v>
          </cell>
          <cell r="AV7049">
            <v>133000000</v>
          </cell>
        </row>
        <row r="7050">
          <cell r="E7050" t="str">
            <v>D26001748</v>
          </cell>
          <cell r="AP7050">
            <v>0</v>
          </cell>
          <cell r="AQ7050">
            <v>0</v>
          </cell>
          <cell r="AV7050">
            <v>0</v>
          </cell>
        </row>
        <row r="7051">
          <cell r="E7051" t="str">
            <v>D26001753</v>
          </cell>
          <cell r="AP7051">
            <v>0</v>
          </cell>
          <cell r="AQ7051">
            <v>0</v>
          </cell>
          <cell r="AV7051">
            <v>19000000</v>
          </cell>
        </row>
        <row r="7052">
          <cell r="E7052" t="str">
            <v>D26001754</v>
          </cell>
          <cell r="AP7052">
            <v>0</v>
          </cell>
          <cell r="AQ7052">
            <v>0</v>
          </cell>
          <cell r="AV7052">
            <v>0</v>
          </cell>
        </row>
        <row r="7053">
          <cell r="E7053" t="str">
            <v>D26001873</v>
          </cell>
          <cell r="AP7053">
            <v>0</v>
          </cell>
          <cell r="AQ7053">
            <v>0</v>
          </cell>
          <cell r="AV7053">
            <v>0</v>
          </cell>
        </row>
        <row r="7054">
          <cell r="E7054" t="str">
            <v>D26001874</v>
          </cell>
          <cell r="AP7054">
            <v>0</v>
          </cell>
          <cell r="AQ7054">
            <v>0</v>
          </cell>
          <cell r="AV7054">
            <v>0</v>
          </cell>
        </row>
        <row r="7055">
          <cell r="E7055" t="str">
            <v>D26002029</v>
          </cell>
          <cell r="AP7055">
            <v>0</v>
          </cell>
          <cell r="AQ7055">
            <v>0</v>
          </cell>
          <cell r="AV7055">
            <v>0</v>
          </cell>
        </row>
        <row r="7056">
          <cell r="E7056" t="str">
            <v>D26002261</v>
          </cell>
          <cell r="AP7056">
            <v>0</v>
          </cell>
          <cell r="AQ7056">
            <v>0</v>
          </cell>
          <cell r="AV7056">
            <v>0</v>
          </cell>
        </row>
        <row r="7057">
          <cell r="E7057" t="str">
            <v>B26002189</v>
          </cell>
          <cell r="AP7057">
            <v>0</v>
          </cell>
          <cell r="AQ7057">
            <v>0</v>
          </cell>
          <cell r="AV7057">
            <v>0</v>
          </cell>
        </row>
        <row r="7058">
          <cell r="E7058" t="str">
            <v>B26002234</v>
          </cell>
          <cell r="AP7058">
            <v>0</v>
          </cell>
          <cell r="AQ7058">
            <v>0</v>
          </cell>
          <cell r="AV7058">
            <v>0</v>
          </cell>
        </row>
        <row r="7059">
          <cell r="E7059" t="str">
            <v>D26002397</v>
          </cell>
          <cell r="AP7059">
            <v>0</v>
          </cell>
          <cell r="AQ7059">
            <v>0</v>
          </cell>
          <cell r="AV7059">
            <v>0</v>
          </cell>
        </row>
        <row r="7060">
          <cell r="E7060" t="str">
            <v>Z25003334</v>
          </cell>
          <cell r="AP7060">
            <v>0</v>
          </cell>
          <cell r="AQ7060">
            <v>0</v>
          </cell>
          <cell r="AV7060">
            <v>5600000</v>
          </cell>
        </row>
        <row r="7061">
          <cell r="E7061" t="str">
            <v>D26000428</v>
          </cell>
          <cell r="AP7061">
            <v>0</v>
          </cell>
          <cell r="AQ7061">
            <v>0</v>
          </cell>
          <cell r="AV7061">
            <v>7700000</v>
          </cell>
        </row>
        <row r="7062">
          <cell r="E7062" t="str">
            <v>D26001452</v>
          </cell>
          <cell r="AP7062">
            <v>0</v>
          </cell>
          <cell r="AQ7062">
            <v>0</v>
          </cell>
          <cell r="AV7062">
            <v>0</v>
          </cell>
        </row>
        <row r="7063">
          <cell r="E7063" t="str">
            <v>Z26000238</v>
          </cell>
          <cell r="AP7063">
            <v>0</v>
          </cell>
          <cell r="AQ7063">
            <v>0</v>
          </cell>
          <cell r="AV7063">
            <v>0</v>
          </cell>
        </row>
        <row r="7064">
          <cell r="E7064" t="str">
            <v>Z26000244</v>
          </cell>
          <cell r="AP7064">
            <v>0</v>
          </cell>
          <cell r="AQ7064">
            <v>0</v>
          </cell>
          <cell r="AV7064">
            <v>0</v>
          </cell>
        </row>
        <row r="7065">
          <cell r="E7065" t="str">
            <v>T26000144</v>
          </cell>
          <cell r="AP7065">
            <v>0</v>
          </cell>
          <cell r="AQ7065">
            <v>0</v>
          </cell>
          <cell r="AV7065">
            <v>3456000</v>
          </cell>
        </row>
        <row r="7066">
          <cell r="E7066" t="str">
            <v>B25016725</v>
          </cell>
          <cell r="AP7066">
            <v>0</v>
          </cell>
          <cell r="AQ7066">
            <v>0</v>
          </cell>
          <cell r="AV7066">
            <v>0</v>
          </cell>
        </row>
        <row r="7067">
          <cell r="E7067" t="str">
            <v>D25019252</v>
          </cell>
          <cell r="AP7067">
            <v>0</v>
          </cell>
          <cell r="AQ7067">
            <v>0</v>
          </cell>
          <cell r="AV7067">
            <v>0</v>
          </cell>
        </row>
        <row r="7068">
          <cell r="E7068" t="str">
            <v>B25014613</v>
          </cell>
          <cell r="AP7068">
            <v>0</v>
          </cell>
          <cell r="AQ7068">
            <v>0</v>
          </cell>
          <cell r="AV7068">
            <v>3400000</v>
          </cell>
        </row>
        <row r="7069">
          <cell r="E7069" t="str">
            <v>B25015210</v>
          </cell>
          <cell r="AP7069">
            <v>0</v>
          </cell>
          <cell r="AQ7069">
            <v>0</v>
          </cell>
          <cell r="AV7069">
            <v>7150000</v>
          </cell>
        </row>
        <row r="7070">
          <cell r="E7070" t="str">
            <v>B25015806</v>
          </cell>
          <cell r="AP7070">
            <v>0</v>
          </cell>
          <cell r="AQ7070">
            <v>0</v>
          </cell>
          <cell r="AV7070">
            <v>2450000</v>
          </cell>
        </row>
        <row r="7071">
          <cell r="E7071" t="str">
            <v>B25015910</v>
          </cell>
          <cell r="AP7071">
            <v>0</v>
          </cell>
          <cell r="AQ7071">
            <v>0</v>
          </cell>
          <cell r="AV7071">
            <v>4560000</v>
          </cell>
        </row>
        <row r="7072">
          <cell r="E7072" t="str">
            <v>T25001806</v>
          </cell>
          <cell r="AP7072">
            <v>0</v>
          </cell>
          <cell r="AQ7072">
            <v>0</v>
          </cell>
          <cell r="AV7072">
            <v>3875000</v>
          </cell>
        </row>
        <row r="7073">
          <cell r="E7073" t="str">
            <v>D25018398</v>
          </cell>
          <cell r="AP7073">
            <v>0</v>
          </cell>
          <cell r="AQ7073">
            <v>0</v>
          </cell>
          <cell r="AV7073">
            <v>5312500</v>
          </cell>
        </row>
        <row r="7074">
          <cell r="E7074" t="str">
            <v>T25001820</v>
          </cell>
          <cell r="AP7074">
            <v>0</v>
          </cell>
          <cell r="AQ7074">
            <v>0</v>
          </cell>
          <cell r="AV7074">
            <v>6520000</v>
          </cell>
        </row>
        <row r="7075">
          <cell r="E7075" t="str">
            <v>D25018620</v>
          </cell>
          <cell r="AP7075">
            <v>0</v>
          </cell>
          <cell r="AQ7075">
            <v>0</v>
          </cell>
          <cell r="AV7075">
            <v>5400000</v>
          </cell>
        </row>
        <row r="7076">
          <cell r="E7076" t="str">
            <v>D25018908</v>
          </cell>
          <cell r="AP7076">
            <v>0</v>
          </cell>
          <cell r="AQ7076">
            <v>0</v>
          </cell>
          <cell r="AV7076">
            <v>2355000</v>
          </cell>
        </row>
        <row r="7077">
          <cell r="E7077" t="str">
            <v>B25017094</v>
          </cell>
          <cell r="AP7077">
            <v>0</v>
          </cell>
          <cell r="AQ7077">
            <v>0</v>
          </cell>
          <cell r="AV7077">
            <v>18000000</v>
          </cell>
        </row>
        <row r="7078">
          <cell r="E7078" t="str">
            <v>D26000236</v>
          </cell>
          <cell r="AP7078">
            <v>0</v>
          </cell>
          <cell r="AQ7078">
            <v>0</v>
          </cell>
          <cell r="AV7078">
            <v>3200000</v>
          </cell>
        </row>
        <row r="7079">
          <cell r="E7079" t="str">
            <v>D26000484</v>
          </cell>
          <cell r="AP7079">
            <v>0</v>
          </cell>
          <cell r="AQ7079">
            <v>0</v>
          </cell>
          <cell r="AV7079">
            <v>1800000</v>
          </cell>
        </row>
        <row r="7080">
          <cell r="E7080" t="str">
            <v>B26000798</v>
          </cell>
          <cell r="AP7080">
            <v>0</v>
          </cell>
          <cell r="AQ7080">
            <v>0</v>
          </cell>
          <cell r="AV7080">
            <v>2460000</v>
          </cell>
        </row>
        <row r="7081">
          <cell r="E7081" t="str">
            <v>B26001036</v>
          </cell>
          <cell r="AP7081">
            <v>0</v>
          </cell>
          <cell r="AQ7081">
            <v>0</v>
          </cell>
          <cell r="AV7081">
            <v>10800000</v>
          </cell>
        </row>
        <row r="7082">
          <cell r="E7082" t="str">
            <v>B26001058</v>
          </cell>
          <cell r="AP7082">
            <v>0</v>
          </cell>
          <cell r="AQ7082">
            <v>0</v>
          </cell>
          <cell r="AV7082">
            <v>3060000</v>
          </cell>
        </row>
        <row r="7083">
          <cell r="E7083" t="str">
            <v>T26000082</v>
          </cell>
          <cell r="AP7083">
            <v>0</v>
          </cell>
          <cell r="AQ7083">
            <v>0</v>
          </cell>
          <cell r="AV7083">
            <v>700000</v>
          </cell>
        </row>
        <row r="7084">
          <cell r="E7084" t="str">
            <v>D26001957</v>
          </cell>
          <cell r="AP7084">
            <v>0</v>
          </cell>
          <cell r="AQ7084">
            <v>0</v>
          </cell>
          <cell r="AV7084">
            <v>0</v>
          </cell>
        </row>
        <row r="7085">
          <cell r="E7085" t="str">
            <v>B26002053</v>
          </cell>
          <cell r="AP7085">
            <v>0</v>
          </cell>
          <cell r="AQ7085">
            <v>0</v>
          </cell>
          <cell r="AV7085">
            <v>1350000</v>
          </cell>
        </row>
        <row r="7086">
          <cell r="E7086" t="str">
            <v>B26001646</v>
          </cell>
          <cell r="AP7086">
            <v>0</v>
          </cell>
          <cell r="AQ7086">
            <v>0</v>
          </cell>
          <cell r="AV7086">
            <v>15200</v>
          </cell>
        </row>
        <row r="7087">
          <cell r="E7087" t="str">
            <v>B26001647</v>
          </cell>
          <cell r="AP7087">
            <v>0</v>
          </cell>
          <cell r="AQ7087">
            <v>0</v>
          </cell>
          <cell r="AV7087">
            <v>58000</v>
          </cell>
        </row>
        <row r="7088">
          <cell r="E7088" t="str">
            <v>B26001860</v>
          </cell>
          <cell r="AP7088">
            <v>0</v>
          </cell>
          <cell r="AQ7088">
            <v>0</v>
          </cell>
          <cell r="AV7088">
            <v>1270000</v>
          </cell>
        </row>
        <row r="7089">
          <cell r="E7089" t="str">
            <v>D25019446</v>
          </cell>
          <cell r="AP7089">
            <v>0</v>
          </cell>
          <cell r="AQ7089">
            <v>0</v>
          </cell>
          <cell r="AV7089">
            <v>0</v>
          </cell>
        </row>
        <row r="7090">
          <cell r="E7090" t="str">
            <v>B25017027</v>
          </cell>
          <cell r="AP7090">
            <v>0</v>
          </cell>
          <cell r="AQ7090">
            <v>0</v>
          </cell>
          <cell r="AV7090">
            <v>0</v>
          </cell>
        </row>
        <row r="7091">
          <cell r="E7091" t="str">
            <v>D25019588</v>
          </cell>
          <cell r="AP7091">
            <v>0</v>
          </cell>
          <cell r="AQ7091">
            <v>0</v>
          </cell>
          <cell r="AV7091">
            <v>0</v>
          </cell>
        </row>
        <row r="7092">
          <cell r="E7092" t="str">
            <v>B26000422</v>
          </cell>
          <cell r="AP7092">
            <v>0</v>
          </cell>
          <cell r="AQ7092">
            <v>0</v>
          </cell>
          <cell r="AV7092">
            <v>0</v>
          </cell>
        </row>
        <row r="7093">
          <cell r="E7093" t="str">
            <v>B26000424</v>
          </cell>
          <cell r="AP7093">
            <v>0</v>
          </cell>
          <cell r="AQ7093">
            <v>0</v>
          </cell>
          <cell r="AV7093">
            <v>0</v>
          </cell>
        </row>
        <row r="7094">
          <cell r="E7094" t="str">
            <v>D26001155</v>
          </cell>
          <cell r="AP7094">
            <v>0</v>
          </cell>
          <cell r="AQ7094">
            <v>0</v>
          </cell>
          <cell r="AV7094">
            <v>0</v>
          </cell>
        </row>
        <row r="7095">
          <cell r="E7095" t="str">
            <v>D26001207</v>
          </cell>
          <cell r="AP7095">
            <v>0</v>
          </cell>
          <cell r="AQ7095">
            <v>0</v>
          </cell>
          <cell r="AV7095">
            <v>0</v>
          </cell>
        </row>
        <row r="7096">
          <cell r="E7096" t="str">
            <v>D26001364</v>
          </cell>
          <cell r="AP7096">
            <v>0</v>
          </cell>
          <cell r="AQ7096">
            <v>0</v>
          </cell>
          <cell r="AV7096">
            <v>0</v>
          </cell>
        </row>
        <row r="7097">
          <cell r="E7097" t="str">
            <v>B26001541</v>
          </cell>
          <cell r="AP7097">
            <v>0</v>
          </cell>
          <cell r="AQ7097">
            <v>0</v>
          </cell>
          <cell r="AV7097">
            <v>0</v>
          </cell>
        </row>
        <row r="7098">
          <cell r="E7098" t="str">
            <v>B26001636</v>
          </cell>
          <cell r="AP7098">
            <v>0</v>
          </cell>
          <cell r="AQ7098">
            <v>0</v>
          </cell>
          <cell r="AV7098">
            <v>0</v>
          </cell>
        </row>
        <row r="7099">
          <cell r="E7099" t="str">
            <v>B26001637</v>
          </cell>
          <cell r="AP7099">
            <v>0</v>
          </cell>
          <cell r="AQ7099">
            <v>0</v>
          </cell>
          <cell r="AV7099">
            <v>0</v>
          </cell>
        </row>
        <row r="7100">
          <cell r="E7100" t="str">
            <v>D26001739</v>
          </cell>
          <cell r="AP7100">
            <v>0</v>
          </cell>
          <cell r="AQ7100">
            <v>0</v>
          </cell>
          <cell r="AV7100">
            <v>0</v>
          </cell>
        </row>
        <row r="7101">
          <cell r="E7101" t="str">
            <v>B26001723</v>
          </cell>
          <cell r="AP7101">
            <v>0</v>
          </cell>
          <cell r="AQ7101">
            <v>0</v>
          </cell>
          <cell r="AV7101">
            <v>0</v>
          </cell>
        </row>
        <row r="7102">
          <cell r="E7102" t="str">
            <v>D26001844</v>
          </cell>
          <cell r="AP7102">
            <v>0</v>
          </cell>
          <cell r="AQ7102">
            <v>0</v>
          </cell>
          <cell r="AV7102">
            <v>0</v>
          </cell>
        </row>
        <row r="7103">
          <cell r="E7103" t="str">
            <v>B26002084</v>
          </cell>
          <cell r="AP7103">
            <v>0</v>
          </cell>
          <cell r="AQ7103">
            <v>0</v>
          </cell>
          <cell r="AV7103">
            <v>0</v>
          </cell>
        </row>
        <row r="7104">
          <cell r="E7104" t="str">
            <v>D26002156</v>
          </cell>
          <cell r="AP7104">
            <v>0</v>
          </cell>
          <cell r="AQ7104">
            <v>0</v>
          </cell>
          <cell r="AV7104">
            <v>9750000</v>
          </cell>
        </row>
        <row r="7105">
          <cell r="E7105" t="str">
            <v>D26001887</v>
          </cell>
          <cell r="AP7105">
            <v>0</v>
          </cell>
          <cell r="AQ7105">
            <v>0</v>
          </cell>
          <cell r="AV7105">
            <v>15380000</v>
          </cell>
        </row>
        <row r="7106">
          <cell r="E7106" t="str">
            <v>C26000098</v>
          </cell>
          <cell r="AP7106">
            <v>0</v>
          </cell>
          <cell r="AQ7106">
            <v>0</v>
          </cell>
          <cell r="AV7106">
            <v>0</v>
          </cell>
        </row>
        <row r="7107">
          <cell r="E7107" t="str">
            <v>M26000025</v>
          </cell>
          <cell r="AP7107">
            <v>0</v>
          </cell>
          <cell r="AQ7107">
            <v>0</v>
          </cell>
          <cell r="AV7107">
            <v>0</v>
          </cell>
        </row>
        <row r="7108">
          <cell r="E7108" t="str">
            <v>T25001650K</v>
          </cell>
          <cell r="AP7108">
            <v>0</v>
          </cell>
          <cell r="AQ7108">
            <v>0</v>
          </cell>
          <cell r="AV7108">
            <v>0</v>
          </cell>
        </row>
        <row r="7109">
          <cell r="E7109" t="str">
            <v>T25001664</v>
          </cell>
          <cell r="AP7109">
            <v>0</v>
          </cell>
          <cell r="AQ7109">
            <v>0</v>
          </cell>
          <cell r="AV7109">
            <v>4360000</v>
          </cell>
        </row>
        <row r="7110">
          <cell r="E7110" t="str">
            <v>D25017969</v>
          </cell>
          <cell r="AP7110">
            <v>0</v>
          </cell>
          <cell r="AQ7110">
            <v>0</v>
          </cell>
          <cell r="AV7110">
            <v>3640000</v>
          </cell>
        </row>
        <row r="7111">
          <cell r="E7111" t="str">
            <v>D25017969</v>
          </cell>
          <cell r="AP7111">
            <v>0</v>
          </cell>
          <cell r="AQ7111">
            <v>0</v>
          </cell>
          <cell r="AV7111">
            <v>4000000</v>
          </cell>
        </row>
        <row r="7112">
          <cell r="E7112" t="str">
            <v>B26000483</v>
          </cell>
          <cell r="AP7112">
            <v>0</v>
          </cell>
          <cell r="AQ7112">
            <v>0</v>
          </cell>
          <cell r="AV7112">
            <v>0</v>
          </cell>
        </row>
        <row r="7113">
          <cell r="E7113" t="str">
            <v>B26000849</v>
          </cell>
          <cell r="AP7113">
            <v>0</v>
          </cell>
          <cell r="AQ7113">
            <v>0</v>
          </cell>
          <cell r="AV7113">
            <v>0</v>
          </cell>
        </row>
        <row r="7114">
          <cell r="E7114" t="str">
            <v>B26001718</v>
          </cell>
          <cell r="AP7114">
            <v>0</v>
          </cell>
          <cell r="AQ7114">
            <v>0</v>
          </cell>
          <cell r="AV7114">
            <v>0</v>
          </cell>
        </row>
        <row r="7115">
          <cell r="E7115" t="str">
            <v>D26002373</v>
          </cell>
          <cell r="AP7115">
            <v>0</v>
          </cell>
          <cell r="AQ7115">
            <v>0</v>
          </cell>
          <cell r="AV7115">
            <v>0</v>
          </cell>
        </row>
        <row r="7116">
          <cell r="E7116" t="str">
            <v>B25015014</v>
          </cell>
          <cell r="AP7116">
            <v>0</v>
          </cell>
          <cell r="AQ7116">
            <v>0</v>
          </cell>
          <cell r="AV7116">
            <v>0</v>
          </cell>
        </row>
        <row r="7117">
          <cell r="E7117" t="str">
            <v>D25017847</v>
          </cell>
          <cell r="AP7117">
            <v>0</v>
          </cell>
          <cell r="AQ7117">
            <v>0</v>
          </cell>
          <cell r="AV7117">
            <v>0</v>
          </cell>
        </row>
        <row r="7118">
          <cell r="E7118" t="str">
            <v>B25015804</v>
          </cell>
          <cell r="AP7118">
            <v>0</v>
          </cell>
          <cell r="AQ7118">
            <v>0</v>
          </cell>
          <cell r="AV7118">
            <v>0</v>
          </cell>
        </row>
        <row r="7119">
          <cell r="E7119" t="str">
            <v>B25016077</v>
          </cell>
          <cell r="AP7119">
            <v>0</v>
          </cell>
          <cell r="AQ7119">
            <v>0</v>
          </cell>
          <cell r="AV7119">
            <v>920000</v>
          </cell>
        </row>
        <row r="7120">
          <cell r="E7120" t="str">
            <v>D25018581</v>
          </cell>
          <cell r="AP7120">
            <v>0</v>
          </cell>
          <cell r="AQ7120">
            <v>0</v>
          </cell>
          <cell r="AV7120">
            <v>1496000</v>
          </cell>
        </row>
        <row r="7121">
          <cell r="E7121" t="str">
            <v>D25018724</v>
          </cell>
          <cell r="AP7121">
            <v>0</v>
          </cell>
          <cell r="AQ7121">
            <v>0</v>
          </cell>
          <cell r="AV7121">
            <v>1062500</v>
          </cell>
        </row>
        <row r="7122">
          <cell r="E7122" t="str">
            <v>D25018766</v>
          </cell>
          <cell r="AP7122">
            <v>0</v>
          </cell>
          <cell r="AQ7122">
            <v>0</v>
          </cell>
          <cell r="AV7122">
            <v>12240000</v>
          </cell>
        </row>
        <row r="7123">
          <cell r="E7123" t="str">
            <v>B25016403</v>
          </cell>
          <cell r="AP7123">
            <v>0</v>
          </cell>
          <cell r="AQ7123">
            <v>0</v>
          </cell>
          <cell r="AV7123">
            <v>1600000</v>
          </cell>
        </row>
        <row r="7124">
          <cell r="E7124" t="str">
            <v>B25016449</v>
          </cell>
          <cell r="AP7124">
            <v>0</v>
          </cell>
          <cell r="AQ7124">
            <v>0</v>
          </cell>
          <cell r="AV7124">
            <v>920000</v>
          </cell>
        </row>
        <row r="7125">
          <cell r="E7125" t="str">
            <v>D25018941</v>
          </cell>
          <cell r="AP7125">
            <v>0</v>
          </cell>
          <cell r="AQ7125">
            <v>0</v>
          </cell>
          <cell r="AV7125">
            <v>0</v>
          </cell>
        </row>
        <row r="7126">
          <cell r="E7126" t="str">
            <v>D25018968</v>
          </cell>
          <cell r="AP7126">
            <v>0</v>
          </cell>
          <cell r="AQ7126">
            <v>0</v>
          </cell>
          <cell r="AV7126">
            <v>0</v>
          </cell>
        </row>
        <row r="7127">
          <cell r="E7127" t="str">
            <v>D25019405</v>
          </cell>
          <cell r="AP7127">
            <v>0</v>
          </cell>
          <cell r="AQ7127">
            <v>0</v>
          </cell>
          <cell r="AV7127">
            <v>0</v>
          </cell>
        </row>
        <row r="7128">
          <cell r="E7128" t="str">
            <v>D25019406</v>
          </cell>
          <cell r="AP7128">
            <v>0</v>
          </cell>
          <cell r="AQ7128">
            <v>0</v>
          </cell>
          <cell r="AV7128">
            <v>0</v>
          </cell>
        </row>
        <row r="7129">
          <cell r="E7129" t="str">
            <v>B26000104</v>
          </cell>
          <cell r="AP7129">
            <v>0</v>
          </cell>
          <cell r="AQ7129">
            <v>0</v>
          </cell>
          <cell r="AV7129">
            <v>0</v>
          </cell>
        </row>
        <row r="7130">
          <cell r="E7130" t="str">
            <v>B26000105</v>
          </cell>
          <cell r="AP7130">
            <v>0</v>
          </cell>
          <cell r="AQ7130">
            <v>0</v>
          </cell>
          <cell r="AV7130">
            <v>0</v>
          </cell>
        </row>
        <row r="7131">
          <cell r="E7131" t="str">
            <v>B26000265</v>
          </cell>
          <cell r="AP7131">
            <v>0</v>
          </cell>
          <cell r="AQ7131">
            <v>0</v>
          </cell>
          <cell r="AV7131">
            <v>0</v>
          </cell>
        </row>
        <row r="7132">
          <cell r="E7132" t="str">
            <v>B26000266</v>
          </cell>
          <cell r="AP7132">
            <v>0</v>
          </cell>
          <cell r="AQ7132">
            <v>0</v>
          </cell>
          <cell r="AV7132">
            <v>0</v>
          </cell>
        </row>
        <row r="7133">
          <cell r="E7133" t="str">
            <v>D26000312</v>
          </cell>
          <cell r="AP7133">
            <v>0</v>
          </cell>
          <cell r="AQ7133">
            <v>0</v>
          </cell>
          <cell r="AV7133">
            <v>0</v>
          </cell>
        </row>
        <row r="7134">
          <cell r="E7134" t="str">
            <v>B26000396</v>
          </cell>
          <cell r="AP7134">
            <v>0</v>
          </cell>
          <cell r="AQ7134">
            <v>0</v>
          </cell>
          <cell r="AV7134">
            <v>0</v>
          </cell>
        </row>
        <row r="7135">
          <cell r="E7135" t="str">
            <v>D26000509</v>
          </cell>
          <cell r="AP7135">
            <v>0</v>
          </cell>
          <cell r="AQ7135">
            <v>0</v>
          </cell>
          <cell r="AV7135">
            <v>0</v>
          </cell>
        </row>
        <row r="7136">
          <cell r="E7136" t="str">
            <v>D26000564</v>
          </cell>
          <cell r="AP7136">
            <v>0</v>
          </cell>
          <cell r="AQ7136">
            <v>0</v>
          </cell>
          <cell r="AV7136">
            <v>0</v>
          </cell>
        </row>
        <row r="7137">
          <cell r="E7137" t="str">
            <v>D26000984</v>
          </cell>
          <cell r="AP7137">
            <v>0</v>
          </cell>
          <cell r="AQ7137">
            <v>0</v>
          </cell>
          <cell r="AV7137">
            <v>0</v>
          </cell>
        </row>
        <row r="7138">
          <cell r="E7138" t="str">
            <v>B26000961</v>
          </cell>
          <cell r="AP7138">
            <v>0</v>
          </cell>
          <cell r="AQ7138">
            <v>0</v>
          </cell>
          <cell r="AV7138">
            <v>0</v>
          </cell>
        </row>
        <row r="7139">
          <cell r="E7139" t="str">
            <v>D26001056</v>
          </cell>
          <cell r="AP7139">
            <v>0</v>
          </cell>
          <cell r="AQ7139">
            <v>0</v>
          </cell>
          <cell r="AV7139">
            <v>0</v>
          </cell>
        </row>
        <row r="7140">
          <cell r="E7140" t="str">
            <v>D26001312</v>
          </cell>
          <cell r="AP7140">
            <v>0</v>
          </cell>
          <cell r="AQ7140">
            <v>0</v>
          </cell>
          <cell r="AV7140">
            <v>0</v>
          </cell>
        </row>
        <row r="7141">
          <cell r="E7141" t="str">
            <v>B26001407</v>
          </cell>
          <cell r="AP7141">
            <v>0</v>
          </cell>
          <cell r="AQ7141">
            <v>0</v>
          </cell>
          <cell r="AV7141">
            <v>0</v>
          </cell>
        </row>
        <row r="7142">
          <cell r="E7142" t="str">
            <v>B26001408</v>
          </cell>
          <cell r="AP7142">
            <v>0</v>
          </cell>
          <cell r="AQ7142">
            <v>0</v>
          </cell>
          <cell r="AV7142">
            <v>0</v>
          </cell>
        </row>
        <row r="7143">
          <cell r="E7143" t="str">
            <v>B26001709</v>
          </cell>
          <cell r="AP7143">
            <v>0</v>
          </cell>
          <cell r="AQ7143">
            <v>0</v>
          </cell>
          <cell r="AV7143">
            <v>0</v>
          </cell>
        </row>
        <row r="7144">
          <cell r="E7144" t="str">
            <v>D26001768</v>
          </cell>
          <cell r="AP7144">
            <v>0</v>
          </cell>
          <cell r="AQ7144">
            <v>0</v>
          </cell>
          <cell r="AV7144">
            <v>0</v>
          </cell>
        </row>
        <row r="7145">
          <cell r="E7145" t="str">
            <v>B26001754</v>
          </cell>
          <cell r="AP7145">
            <v>0</v>
          </cell>
          <cell r="AQ7145">
            <v>0</v>
          </cell>
          <cell r="AV7145">
            <v>0</v>
          </cell>
        </row>
        <row r="7146">
          <cell r="E7146" t="str">
            <v>B26001755</v>
          </cell>
          <cell r="AP7146">
            <v>0</v>
          </cell>
          <cell r="AQ7146">
            <v>0</v>
          </cell>
          <cell r="AV7146">
            <v>0</v>
          </cell>
        </row>
        <row r="7147">
          <cell r="E7147" t="str">
            <v>D26001978</v>
          </cell>
          <cell r="AP7147">
            <v>0</v>
          </cell>
          <cell r="AQ7147">
            <v>0</v>
          </cell>
          <cell r="AV7147">
            <v>0</v>
          </cell>
        </row>
        <row r="7148">
          <cell r="E7148" t="str">
            <v>T26000140</v>
          </cell>
          <cell r="AP7148">
            <v>0</v>
          </cell>
          <cell r="AQ7148">
            <v>0</v>
          </cell>
          <cell r="AV7148">
            <v>0</v>
          </cell>
        </row>
        <row r="7149">
          <cell r="E7149" t="str">
            <v>B26001996</v>
          </cell>
          <cell r="AP7149">
            <v>0</v>
          </cell>
          <cell r="AQ7149">
            <v>0</v>
          </cell>
          <cell r="AV7149">
            <v>0</v>
          </cell>
        </row>
        <row r="7150">
          <cell r="E7150" t="str">
            <v>B26001997</v>
          </cell>
          <cell r="AP7150">
            <v>0</v>
          </cell>
          <cell r="AQ7150">
            <v>0</v>
          </cell>
          <cell r="AV7150">
            <v>0</v>
          </cell>
        </row>
        <row r="7151">
          <cell r="E7151" t="str">
            <v>D26002135</v>
          </cell>
          <cell r="AP7151">
            <v>0</v>
          </cell>
          <cell r="AQ7151">
            <v>0</v>
          </cell>
          <cell r="AV7151">
            <v>0</v>
          </cell>
        </row>
        <row r="7152">
          <cell r="E7152" t="str">
            <v>D26002379</v>
          </cell>
          <cell r="AP7152">
            <v>0</v>
          </cell>
          <cell r="AQ7152">
            <v>0</v>
          </cell>
          <cell r="AV7152">
            <v>0</v>
          </cell>
        </row>
        <row r="7153">
          <cell r="E7153" t="str">
            <v>D26002380</v>
          </cell>
          <cell r="AP7153">
            <v>0</v>
          </cell>
          <cell r="AQ7153">
            <v>0</v>
          </cell>
          <cell r="AV7153">
            <v>0</v>
          </cell>
        </row>
        <row r="7154">
          <cell r="E7154" t="str">
            <v>D26000747</v>
          </cell>
          <cell r="AP7154">
            <v>0</v>
          </cell>
          <cell r="AQ7154">
            <v>0</v>
          </cell>
          <cell r="AV7154">
            <v>6750000</v>
          </cell>
        </row>
        <row r="7155">
          <cell r="E7155" t="str">
            <v>D26000751</v>
          </cell>
          <cell r="AP7155">
            <v>0</v>
          </cell>
          <cell r="AQ7155">
            <v>0</v>
          </cell>
          <cell r="AV7155">
            <v>2845000</v>
          </cell>
        </row>
        <row r="7156">
          <cell r="E7156" t="str">
            <v>B26001530</v>
          </cell>
          <cell r="AP7156">
            <v>0</v>
          </cell>
          <cell r="AQ7156">
            <v>0</v>
          </cell>
          <cell r="AV7156">
            <v>0</v>
          </cell>
        </row>
        <row r="7157">
          <cell r="E7157" t="str">
            <v>B26001875</v>
          </cell>
          <cell r="AP7157">
            <v>0</v>
          </cell>
          <cell r="AQ7157">
            <v>0</v>
          </cell>
          <cell r="AV7157">
            <v>0</v>
          </cell>
        </row>
        <row r="7158">
          <cell r="E7158" t="str">
            <v>B26001093</v>
          </cell>
          <cell r="AP7158">
            <v>0</v>
          </cell>
          <cell r="AQ7158">
            <v>0</v>
          </cell>
          <cell r="AV7158">
            <v>0</v>
          </cell>
        </row>
        <row r="7159">
          <cell r="E7159" t="str">
            <v>B25016506</v>
          </cell>
          <cell r="AP7159">
            <v>0</v>
          </cell>
          <cell r="AQ7159">
            <v>0</v>
          </cell>
          <cell r="AV7159">
            <v>3400000</v>
          </cell>
        </row>
        <row r="7160">
          <cell r="E7160" t="str">
            <v>B26000861</v>
          </cell>
          <cell r="AP7160">
            <v>0</v>
          </cell>
          <cell r="AQ7160">
            <v>0</v>
          </cell>
          <cell r="AV7160">
            <v>0</v>
          </cell>
        </row>
        <row r="7161">
          <cell r="E7161" t="str">
            <v>B26000967</v>
          </cell>
          <cell r="AP7161">
            <v>0</v>
          </cell>
          <cell r="AQ7161">
            <v>0</v>
          </cell>
          <cell r="AV7161">
            <v>0</v>
          </cell>
        </row>
        <row r="7162">
          <cell r="E7162" t="str">
            <v>D26001363</v>
          </cell>
          <cell r="AP7162">
            <v>0</v>
          </cell>
          <cell r="AQ7162">
            <v>0</v>
          </cell>
          <cell r="AV7162">
            <v>0</v>
          </cell>
        </row>
        <row r="7163">
          <cell r="E7163" t="str">
            <v>B25016720</v>
          </cell>
          <cell r="AP7163">
            <v>0</v>
          </cell>
          <cell r="AQ7163">
            <v>0</v>
          </cell>
          <cell r="AV7163">
            <v>0</v>
          </cell>
        </row>
        <row r="7164">
          <cell r="E7164" t="str">
            <v>B26002178</v>
          </cell>
          <cell r="AP7164">
            <v>0</v>
          </cell>
          <cell r="AQ7164">
            <v>0</v>
          </cell>
          <cell r="AV7164">
            <v>0</v>
          </cell>
        </row>
        <row r="7165">
          <cell r="E7165" t="str">
            <v>D26002355</v>
          </cell>
          <cell r="AP7165">
            <v>0</v>
          </cell>
          <cell r="AQ7165">
            <v>0</v>
          </cell>
          <cell r="AV7165">
            <v>0</v>
          </cell>
        </row>
        <row r="7166">
          <cell r="E7166" t="str">
            <v>B25016527</v>
          </cell>
          <cell r="AP7166">
            <v>0</v>
          </cell>
          <cell r="AQ7166">
            <v>0</v>
          </cell>
          <cell r="AV7166">
            <v>3885000</v>
          </cell>
        </row>
        <row r="7167">
          <cell r="E7167" t="str">
            <v>D26000349</v>
          </cell>
          <cell r="AP7167">
            <v>0</v>
          </cell>
          <cell r="AQ7167">
            <v>0</v>
          </cell>
          <cell r="AV7167">
            <v>0</v>
          </cell>
        </row>
        <row r="7168">
          <cell r="E7168" t="str">
            <v>B26001364</v>
          </cell>
          <cell r="AP7168">
            <v>0</v>
          </cell>
          <cell r="AQ7168">
            <v>0</v>
          </cell>
          <cell r="AV7168">
            <v>0</v>
          </cell>
        </row>
        <row r="7169">
          <cell r="E7169" t="str">
            <v>T24000579</v>
          </cell>
          <cell r="AP7169">
            <v>0</v>
          </cell>
          <cell r="AQ7169">
            <v>0</v>
          </cell>
          <cell r="AV7169">
            <v>0</v>
          </cell>
        </row>
        <row r="7170">
          <cell r="E7170" t="str">
            <v>D26002378</v>
          </cell>
          <cell r="AP7170">
            <v>0</v>
          </cell>
          <cell r="AQ7170">
            <v>0</v>
          </cell>
          <cell r="AV7170">
            <v>0</v>
          </cell>
        </row>
        <row r="7171">
          <cell r="E7171" t="str">
            <v>T26000094</v>
          </cell>
          <cell r="AP7171">
            <v>0</v>
          </cell>
          <cell r="AQ7171">
            <v>0</v>
          </cell>
          <cell r="AV7171">
            <v>0</v>
          </cell>
        </row>
        <row r="7172">
          <cell r="E7172" t="str">
            <v>T26000095</v>
          </cell>
          <cell r="AP7172">
            <v>0</v>
          </cell>
          <cell r="AQ7172">
            <v>0</v>
          </cell>
          <cell r="AV7172">
            <v>0</v>
          </cell>
        </row>
        <row r="7173">
          <cell r="E7173" t="str">
            <v>B25016872</v>
          </cell>
          <cell r="AP7173">
            <v>0</v>
          </cell>
          <cell r="AQ7173">
            <v>0</v>
          </cell>
          <cell r="AV7173">
            <v>0</v>
          </cell>
        </row>
        <row r="7174">
          <cell r="E7174" t="str">
            <v>D25018456</v>
          </cell>
          <cell r="AP7174">
            <v>0</v>
          </cell>
          <cell r="AQ7174">
            <v>0</v>
          </cell>
          <cell r="AV7174">
            <v>900000</v>
          </cell>
        </row>
        <row r="7175">
          <cell r="E7175" t="str">
            <v>D25018691</v>
          </cell>
          <cell r="AP7175">
            <v>0</v>
          </cell>
          <cell r="AQ7175">
            <v>0</v>
          </cell>
          <cell r="AV7175">
            <v>1720000</v>
          </cell>
        </row>
        <row r="7176">
          <cell r="E7176" t="str">
            <v>D25019380</v>
          </cell>
          <cell r="AP7176">
            <v>0</v>
          </cell>
          <cell r="AQ7176">
            <v>0</v>
          </cell>
          <cell r="AV7176">
            <v>2733250</v>
          </cell>
        </row>
        <row r="7177">
          <cell r="E7177" t="str">
            <v>B25016924</v>
          </cell>
          <cell r="AP7177">
            <v>0</v>
          </cell>
          <cell r="AQ7177">
            <v>0</v>
          </cell>
          <cell r="AV7177">
            <v>0</v>
          </cell>
        </row>
        <row r="7178">
          <cell r="E7178" t="str">
            <v>D25019503</v>
          </cell>
          <cell r="AP7178">
            <v>0</v>
          </cell>
          <cell r="AQ7178">
            <v>0</v>
          </cell>
          <cell r="AV7178">
            <v>0</v>
          </cell>
        </row>
        <row r="7179">
          <cell r="E7179" t="str">
            <v>B25016963</v>
          </cell>
          <cell r="AP7179">
            <v>0</v>
          </cell>
          <cell r="AQ7179">
            <v>0</v>
          </cell>
          <cell r="AV7179">
            <v>0</v>
          </cell>
        </row>
        <row r="7180">
          <cell r="E7180" t="str">
            <v>B26000087</v>
          </cell>
          <cell r="AP7180">
            <v>0</v>
          </cell>
          <cell r="AQ7180">
            <v>0</v>
          </cell>
          <cell r="AV7180">
            <v>0</v>
          </cell>
        </row>
        <row r="7181">
          <cell r="E7181" t="str">
            <v>D26002198</v>
          </cell>
          <cell r="AP7181">
            <v>0</v>
          </cell>
          <cell r="AQ7181">
            <v>0</v>
          </cell>
          <cell r="AV7181">
            <v>0</v>
          </cell>
        </row>
        <row r="7182">
          <cell r="E7182" t="str">
            <v>B26002163</v>
          </cell>
          <cell r="AP7182">
            <v>0</v>
          </cell>
          <cell r="AQ7182">
            <v>0</v>
          </cell>
          <cell r="AV7182">
            <v>0</v>
          </cell>
        </row>
        <row r="7183">
          <cell r="E7183" t="str">
            <v>B26001571</v>
          </cell>
          <cell r="AP7183">
            <v>0</v>
          </cell>
          <cell r="AQ7183">
            <v>0</v>
          </cell>
          <cell r="AV7183">
            <v>0</v>
          </cell>
        </row>
        <row r="7184">
          <cell r="E7184" t="str">
            <v>B26001572</v>
          </cell>
          <cell r="AP7184">
            <v>0</v>
          </cell>
          <cell r="AQ7184">
            <v>0</v>
          </cell>
          <cell r="AV7184">
            <v>0</v>
          </cell>
        </row>
        <row r="7185">
          <cell r="E7185" t="str">
            <v>T26000115</v>
          </cell>
          <cell r="AP7185">
            <v>0</v>
          </cell>
          <cell r="AQ7185">
            <v>0</v>
          </cell>
          <cell r="AV7185">
            <v>3720000</v>
          </cell>
        </row>
        <row r="7186">
          <cell r="E7186" t="str">
            <v>B25016002</v>
          </cell>
          <cell r="AP7186">
            <v>0</v>
          </cell>
          <cell r="AQ7186">
            <v>0</v>
          </cell>
          <cell r="AV7186">
            <v>7551000</v>
          </cell>
        </row>
        <row r="7187">
          <cell r="E7187" t="str">
            <v>B25016440</v>
          </cell>
          <cell r="AP7187">
            <v>0</v>
          </cell>
          <cell r="AQ7187">
            <v>0</v>
          </cell>
          <cell r="AV7187">
            <v>0</v>
          </cell>
        </row>
        <row r="7188">
          <cell r="E7188" t="str">
            <v>D25019251</v>
          </cell>
          <cell r="AP7188">
            <v>0</v>
          </cell>
          <cell r="AQ7188">
            <v>0</v>
          </cell>
          <cell r="AV7188">
            <v>0</v>
          </cell>
        </row>
        <row r="7189">
          <cell r="E7189" t="str">
            <v>B25016920</v>
          </cell>
          <cell r="AP7189">
            <v>0</v>
          </cell>
          <cell r="AQ7189">
            <v>0</v>
          </cell>
          <cell r="AV7189">
            <v>0</v>
          </cell>
        </row>
        <row r="7190">
          <cell r="E7190" t="str">
            <v>B26000197</v>
          </cell>
          <cell r="AP7190">
            <v>0</v>
          </cell>
          <cell r="AQ7190">
            <v>0</v>
          </cell>
          <cell r="AV7190">
            <v>3300000</v>
          </cell>
        </row>
        <row r="7191">
          <cell r="E7191" t="str">
            <v>D26000285</v>
          </cell>
          <cell r="AP7191">
            <v>0</v>
          </cell>
          <cell r="AQ7191">
            <v>0</v>
          </cell>
          <cell r="AV7191">
            <v>0</v>
          </cell>
        </row>
        <row r="7192">
          <cell r="E7192" t="str">
            <v>D26000339</v>
          </cell>
          <cell r="AP7192">
            <v>0</v>
          </cell>
          <cell r="AQ7192">
            <v>0</v>
          </cell>
          <cell r="AV7192">
            <v>0</v>
          </cell>
        </row>
        <row r="7193">
          <cell r="E7193" t="str">
            <v>D26000436</v>
          </cell>
          <cell r="AP7193">
            <v>0</v>
          </cell>
          <cell r="AQ7193">
            <v>0</v>
          </cell>
          <cell r="AV7193">
            <v>0</v>
          </cell>
        </row>
        <row r="7194">
          <cell r="E7194" t="str">
            <v>B26000448</v>
          </cell>
          <cell r="AP7194">
            <v>0</v>
          </cell>
          <cell r="AQ7194">
            <v>0</v>
          </cell>
          <cell r="AV7194">
            <v>630000</v>
          </cell>
        </row>
        <row r="7195">
          <cell r="E7195" t="str">
            <v>B26000969</v>
          </cell>
          <cell r="AP7195">
            <v>0</v>
          </cell>
          <cell r="AQ7195">
            <v>0</v>
          </cell>
          <cell r="AV7195">
            <v>0</v>
          </cell>
        </row>
        <row r="7196">
          <cell r="E7196" t="str">
            <v>B26000989</v>
          </cell>
          <cell r="AP7196">
            <v>0</v>
          </cell>
          <cell r="AQ7196">
            <v>0</v>
          </cell>
          <cell r="AV7196">
            <v>0</v>
          </cell>
        </row>
        <row r="7197">
          <cell r="E7197" t="str">
            <v>B26001057</v>
          </cell>
          <cell r="AP7197">
            <v>0</v>
          </cell>
          <cell r="AQ7197">
            <v>0</v>
          </cell>
          <cell r="AV7197">
            <v>0</v>
          </cell>
        </row>
        <row r="7198">
          <cell r="E7198" t="str">
            <v>D26001086</v>
          </cell>
          <cell r="AP7198">
            <v>0</v>
          </cell>
          <cell r="AQ7198">
            <v>0</v>
          </cell>
          <cell r="AV7198">
            <v>0</v>
          </cell>
        </row>
        <row r="7199">
          <cell r="E7199" t="str">
            <v>D26001087</v>
          </cell>
          <cell r="AP7199">
            <v>0</v>
          </cell>
          <cell r="AQ7199">
            <v>0</v>
          </cell>
          <cell r="AV7199">
            <v>0</v>
          </cell>
        </row>
        <row r="7200">
          <cell r="E7200" t="str">
            <v>D26001226</v>
          </cell>
          <cell r="AP7200">
            <v>0</v>
          </cell>
          <cell r="AQ7200">
            <v>0</v>
          </cell>
          <cell r="AV7200">
            <v>0</v>
          </cell>
        </row>
        <row r="7201">
          <cell r="E7201" t="str">
            <v>D26001227</v>
          </cell>
          <cell r="AP7201">
            <v>0</v>
          </cell>
          <cell r="AQ7201">
            <v>0</v>
          </cell>
          <cell r="AV7201">
            <v>0</v>
          </cell>
        </row>
        <row r="7202">
          <cell r="E7202" t="str">
            <v>D26001387</v>
          </cell>
          <cell r="AP7202">
            <v>0</v>
          </cell>
          <cell r="AQ7202">
            <v>0</v>
          </cell>
          <cell r="AV7202">
            <v>0</v>
          </cell>
        </row>
        <row r="7203">
          <cell r="E7203" t="str">
            <v>D26001410</v>
          </cell>
          <cell r="AP7203">
            <v>0</v>
          </cell>
          <cell r="AQ7203">
            <v>0</v>
          </cell>
          <cell r="AV7203">
            <v>0</v>
          </cell>
        </row>
        <row r="7204">
          <cell r="E7204" t="str">
            <v>B26001391</v>
          </cell>
          <cell r="AP7204">
            <v>0</v>
          </cell>
          <cell r="AQ7204">
            <v>0</v>
          </cell>
          <cell r="AV7204">
            <v>0</v>
          </cell>
        </row>
        <row r="7205">
          <cell r="E7205" t="str">
            <v>D26001471</v>
          </cell>
          <cell r="AP7205">
            <v>0</v>
          </cell>
          <cell r="AQ7205">
            <v>0</v>
          </cell>
          <cell r="AV7205">
            <v>0</v>
          </cell>
        </row>
        <row r="7206">
          <cell r="E7206" t="str">
            <v>D26002048</v>
          </cell>
          <cell r="AP7206">
            <v>0</v>
          </cell>
          <cell r="AQ7206">
            <v>0</v>
          </cell>
          <cell r="AV7206">
            <v>0</v>
          </cell>
        </row>
        <row r="7207">
          <cell r="E7207" t="str">
            <v>B26002097</v>
          </cell>
          <cell r="AP7207">
            <v>0</v>
          </cell>
          <cell r="AQ7207">
            <v>0</v>
          </cell>
          <cell r="AV7207">
            <v>0</v>
          </cell>
        </row>
        <row r="7208">
          <cell r="E7208" t="str">
            <v>B26002146</v>
          </cell>
          <cell r="AP7208">
            <v>0</v>
          </cell>
          <cell r="AQ7208">
            <v>0</v>
          </cell>
          <cell r="AV7208">
            <v>0</v>
          </cell>
        </row>
        <row r="7209">
          <cell r="E7209" t="str">
            <v>B26002151</v>
          </cell>
          <cell r="AP7209">
            <v>0</v>
          </cell>
          <cell r="AQ7209">
            <v>0</v>
          </cell>
          <cell r="AV7209">
            <v>0</v>
          </cell>
        </row>
        <row r="7210">
          <cell r="E7210" t="str">
            <v>D26002246</v>
          </cell>
          <cell r="AP7210">
            <v>0</v>
          </cell>
          <cell r="AQ7210">
            <v>0</v>
          </cell>
          <cell r="AV7210">
            <v>0</v>
          </cell>
        </row>
        <row r="7211">
          <cell r="E7211" t="str">
            <v>D26002303</v>
          </cell>
          <cell r="AP7211">
            <v>0</v>
          </cell>
          <cell r="AQ7211">
            <v>0</v>
          </cell>
          <cell r="AV7211">
            <v>0</v>
          </cell>
        </row>
        <row r="7212">
          <cell r="E7212" t="str">
            <v>D26002363</v>
          </cell>
          <cell r="AP7212">
            <v>0</v>
          </cell>
          <cell r="AQ7212">
            <v>0</v>
          </cell>
          <cell r="AV7212">
            <v>0</v>
          </cell>
        </row>
        <row r="7213">
          <cell r="E7213" t="str">
            <v>B26002205</v>
          </cell>
          <cell r="AP7213">
            <v>0</v>
          </cell>
          <cell r="AQ7213">
            <v>0</v>
          </cell>
          <cell r="AV7213">
            <v>0</v>
          </cell>
        </row>
        <row r="7214">
          <cell r="E7214" t="str">
            <v>D25017696</v>
          </cell>
          <cell r="AP7214">
            <v>0</v>
          </cell>
          <cell r="AQ7214">
            <v>0</v>
          </cell>
          <cell r="AV7214">
            <v>5025000</v>
          </cell>
        </row>
        <row r="7215">
          <cell r="E7215" t="str">
            <v>D25017696</v>
          </cell>
          <cell r="AP7215">
            <v>975000</v>
          </cell>
          <cell r="AQ7215">
            <v>0</v>
          </cell>
          <cell r="AV7215">
            <v>0</v>
          </cell>
        </row>
        <row r="7216">
          <cell r="E7216" t="str">
            <v>D25017697</v>
          </cell>
          <cell r="AP7216">
            <v>0</v>
          </cell>
          <cell r="AQ7216">
            <v>0</v>
          </cell>
          <cell r="AV7216">
            <v>0</v>
          </cell>
        </row>
        <row r="7217">
          <cell r="E7217" t="str">
            <v>D26002415</v>
          </cell>
          <cell r="AP7217">
            <v>0</v>
          </cell>
          <cell r="AQ7217">
            <v>0</v>
          </cell>
          <cell r="AV7217">
            <v>0</v>
          </cell>
        </row>
        <row r="7218">
          <cell r="E7218" t="str">
            <v>D26002014</v>
          </cell>
          <cell r="AP7218">
            <v>0</v>
          </cell>
          <cell r="AQ7218">
            <v>0</v>
          </cell>
          <cell r="AV7218">
            <v>22800000</v>
          </cell>
        </row>
        <row r="7219">
          <cell r="E7219" t="str">
            <v>D26000941</v>
          </cell>
          <cell r="AP7219">
            <v>0</v>
          </cell>
          <cell r="AQ7219">
            <v>0</v>
          </cell>
          <cell r="AV7219">
            <v>0</v>
          </cell>
        </row>
        <row r="7220">
          <cell r="E7220" t="str">
            <v>D26001067</v>
          </cell>
          <cell r="AP7220">
            <v>0</v>
          </cell>
          <cell r="AQ7220">
            <v>0</v>
          </cell>
          <cell r="AV7220">
            <v>0</v>
          </cell>
        </row>
        <row r="7221">
          <cell r="E7221" t="str">
            <v>D26001771</v>
          </cell>
          <cell r="AP7221">
            <v>0</v>
          </cell>
          <cell r="AQ7221">
            <v>0</v>
          </cell>
          <cell r="AV7221">
            <v>385000</v>
          </cell>
        </row>
        <row r="7222">
          <cell r="E7222" t="str">
            <v>B26001566</v>
          </cell>
          <cell r="AP7222">
            <v>0</v>
          </cell>
          <cell r="AQ7222">
            <v>0</v>
          </cell>
          <cell r="AV7222">
            <v>6120000</v>
          </cell>
        </row>
        <row r="7224">
          <cell r="E7224" t="str">
            <v>x</v>
          </cell>
          <cell r="AP7224" t="str">
            <v>x</v>
          </cell>
          <cell r="AQ7224" t="str">
            <v>x</v>
          </cell>
          <cell r="AV7224" t="str">
            <v>x</v>
          </cell>
        </row>
        <row r="7225">
          <cell r="AP7225">
            <v>91746088</v>
          </cell>
          <cell r="AQ7225">
            <v>10900117250</v>
          </cell>
          <cell r="AV7225">
            <v>50080805360.509995</v>
          </cell>
        </row>
        <row r="7226">
          <cell r="AQ7226">
            <v>10825247500</v>
          </cell>
        </row>
        <row r="7227">
          <cell r="AQ7227">
            <v>74869750</v>
          </cell>
        </row>
        <row r="7228">
          <cell r="AQ7228">
            <v>74870000</v>
          </cell>
        </row>
        <row r="7230">
          <cell r="AP7230" t="str">
            <v>Jelita, UD</v>
          </cell>
          <cell r="AQ7230">
            <v>250</v>
          </cell>
        </row>
        <row r="7231">
          <cell r="AP7231" t="str">
            <v>Jelita, UD</v>
          </cell>
        </row>
        <row r="7232">
          <cell r="AP7232" t="str">
            <v>Sumber Berkat/Agus</v>
          </cell>
        </row>
        <row r="7233">
          <cell r="AP7233" t="str">
            <v>Subur Tani Agro Raya Sejahtera, CV (Asuransi MAG)</v>
          </cell>
        </row>
        <row r="7234">
          <cell r="AP7234" t="str">
            <v>Subur Tani Agro Raya Sejahtera, CV (Asuransi MAG)</v>
          </cell>
        </row>
        <row r="7235">
          <cell r="AP7235" t="str">
            <v>Subur Tani Agro Raya Sejahtera, CV (Asuransi MAG)</v>
          </cell>
        </row>
        <row r="7236">
          <cell r="AP7236" t="str">
            <v>Subur Tani Agro Raya Sejahtera, CV (Asuransi MAG)</v>
          </cell>
        </row>
      </sheetData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1"/>
    </sheetNames>
    <sheetDataSet>
      <sheetData sheetId="0">
        <row r="12">
          <cell r="E12" t="str">
            <v>Morodadi/Heru</v>
          </cell>
          <cell r="I12">
            <v>2432500</v>
          </cell>
        </row>
        <row r="13">
          <cell r="E13" t="str">
            <v>Morodadi/Heru</v>
          </cell>
          <cell r="I13">
            <v>4550000</v>
          </cell>
        </row>
        <row r="14">
          <cell r="E14" t="str">
            <v>Morodadi/Heru</v>
          </cell>
          <cell r="I14">
            <v>3300000</v>
          </cell>
        </row>
        <row r="15">
          <cell r="E15" t="str">
            <v>Morodadi/Heru</v>
          </cell>
          <cell r="I15">
            <v>3680000</v>
          </cell>
        </row>
        <row r="16">
          <cell r="E16" t="str">
            <v>Morodadi/Heru</v>
          </cell>
          <cell r="I16">
            <v>1725000</v>
          </cell>
        </row>
        <row r="17">
          <cell r="E17" t="str">
            <v>Morodadi/Heru</v>
          </cell>
          <cell r="I17">
            <v>1150000</v>
          </cell>
        </row>
        <row r="18">
          <cell r="E18" t="str">
            <v>Berkah Tani/Sugianto</v>
          </cell>
          <cell r="I18">
            <v>2324400</v>
          </cell>
        </row>
        <row r="19">
          <cell r="E19" t="str">
            <v>Rio Tani/Trio</v>
          </cell>
          <cell r="I19">
            <v>2400000</v>
          </cell>
        </row>
        <row r="20">
          <cell r="E20" t="str">
            <v>Sri Alfi Tani/Arya</v>
          </cell>
          <cell r="I20">
            <v>9820000</v>
          </cell>
        </row>
        <row r="21">
          <cell r="E21" t="str">
            <v>Handal Tani/Handal</v>
          </cell>
          <cell r="I21">
            <v>720000</v>
          </cell>
        </row>
        <row r="22">
          <cell r="E22" t="str">
            <v>Tani Harapan</v>
          </cell>
          <cell r="I22">
            <v>5970000</v>
          </cell>
        </row>
        <row r="23">
          <cell r="E23" t="str">
            <v>Rio Tani/Trio</v>
          </cell>
          <cell r="I23">
            <v>2775000</v>
          </cell>
        </row>
        <row r="24">
          <cell r="E24" t="str">
            <v>Berkah Tani/Eka Adimas</v>
          </cell>
          <cell r="I24">
            <v>3500000</v>
          </cell>
        </row>
        <row r="25">
          <cell r="E25" t="str">
            <v>Rio Tani/Trio</v>
          </cell>
          <cell r="I25">
            <v>7600000</v>
          </cell>
        </row>
        <row r="26">
          <cell r="E26" t="str">
            <v>Cahaya Tani/Rudi</v>
          </cell>
          <cell r="I26">
            <v>5380000</v>
          </cell>
        </row>
        <row r="27">
          <cell r="E27" t="str">
            <v>Permata, UD/Badar</v>
          </cell>
          <cell r="I27">
            <v>1137000</v>
          </cell>
        </row>
        <row r="28">
          <cell r="E28" t="str">
            <v>Permata, UD/Badar</v>
          </cell>
          <cell r="I28">
            <v>2102500</v>
          </cell>
        </row>
        <row r="29">
          <cell r="E29" t="str">
            <v>Rio Tani/Trio</v>
          </cell>
          <cell r="I29">
            <v>1840000</v>
          </cell>
        </row>
        <row r="30">
          <cell r="E30" t="str">
            <v>Han Cin</v>
          </cell>
          <cell r="I30">
            <v>80000</v>
          </cell>
        </row>
        <row r="31">
          <cell r="E31" t="str">
            <v>Tani Barokah/Muhdor</v>
          </cell>
          <cell r="I31">
            <v>2790000</v>
          </cell>
        </row>
        <row r="32">
          <cell r="E32" t="str">
            <v>Tani Jaya/Erna</v>
          </cell>
          <cell r="I32">
            <v>6000000</v>
          </cell>
        </row>
        <row r="33">
          <cell r="E33" t="str">
            <v>Permata, UD/Badar</v>
          </cell>
          <cell r="I33">
            <v>3037500</v>
          </cell>
        </row>
        <row r="34">
          <cell r="E34" t="str">
            <v>Tani Jaya/Mul</v>
          </cell>
          <cell r="I34">
            <v>4655000</v>
          </cell>
        </row>
        <row r="35">
          <cell r="E35" t="str">
            <v>Alam Tani</v>
          </cell>
          <cell r="I35">
            <v>41600000</v>
          </cell>
        </row>
        <row r="36">
          <cell r="E36" t="str">
            <v>Permata, UD/Badar</v>
          </cell>
          <cell r="I36">
            <v>6220000</v>
          </cell>
        </row>
        <row r="37">
          <cell r="E37" t="str">
            <v>Permata, UD/Badar</v>
          </cell>
          <cell r="I37">
            <v>1780000</v>
          </cell>
        </row>
        <row r="38">
          <cell r="E38" t="str">
            <v>Agro Mandiri/Nurlaela</v>
          </cell>
          <cell r="I38">
            <v>1200000</v>
          </cell>
        </row>
        <row r="39">
          <cell r="E39" t="str">
            <v>Permata, UD/Badar</v>
          </cell>
          <cell r="I39">
            <v>3577500</v>
          </cell>
        </row>
        <row r="40">
          <cell r="E40" t="str">
            <v>Permata, UD/Badar</v>
          </cell>
          <cell r="I40">
            <v>1824000</v>
          </cell>
        </row>
        <row r="41">
          <cell r="E41" t="str">
            <v>Sumber Rejeki/Sudarto</v>
          </cell>
          <cell r="I41">
            <v>10000000</v>
          </cell>
        </row>
        <row r="42">
          <cell r="E42" t="str">
            <v>Berkah Kayra/Nuyun</v>
          </cell>
          <cell r="I42">
            <v>803000</v>
          </cell>
        </row>
        <row r="43">
          <cell r="E43" t="str">
            <v>Bumi Jaya, UD/Farida</v>
          </cell>
          <cell r="I43">
            <v>6770000</v>
          </cell>
        </row>
        <row r="44">
          <cell r="E44" t="str">
            <v>Fajar Agro</v>
          </cell>
          <cell r="I44">
            <v>11400000</v>
          </cell>
        </row>
        <row r="45">
          <cell r="E45" t="str">
            <v>Tani Barokah/Muhdor</v>
          </cell>
          <cell r="I45">
            <v>937500</v>
          </cell>
        </row>
        <row r="46">
          <cell r="E46" t="str">
            <v>Permata, UD/Badar</v>
          </cell>
          <cell r="I46">
            <v>1380000</v>
          </cell>
        </row>
        <row r="47">
          <cell r="E47" t="str">
            <v>Cipta Jaya Multifarm</v>
          </cell>
          <cell r="I47">
            <v>51500000</v>
          </cell>
        </row>
        <row r="48">
          <cell r="E48" t="str">
            <v>Han Cin</v>
          </cell>
          <cell r="I48">
            <v>160000</v>
          </cell>
        </row>
        <row r="49">
          <cell r="E49" t="str">
            <v>Sumber Rejeki/Dhimas</v>
          </cell>
          <cell r="I49">
            <v>7000000</v>
          </cell>
        </row>
        <row r="50">
          <cell r="E50" t="str">
            <v>Tani Joss</v>
          </cell>
          <cell r="I50">
            <v>8709000</v>
          </cell>
        </row>
        <row r="51">
          <cell r="E51" t="str">
            <v>Tani Maju Jaya/Ivan</v>
          </cell>
          <cell r="I51">
            <v>2280000</v>
          </cell>
        </row>
        <row r="52">
          <cell r="E52" t="str">
            <v>Permata, UD/Badar</v>
          </cell>
          <cell r="I52">
            <v>888000</v>
          </cell>
        </row>
        <row r="53">
          <cell r="E53" t="str">
            <v>Riski Tani/Hadi</v>
          </cell>
          <cell r="I53">
            <v>6875000</v>
          </cell>
        </row>
        <row r="54">
          <cell r="E54" t="str">
            <v>Tani Joss</v>
          </cell>
          <cell r="I54">
            <v>888000</v>
          </cell>
        </row>
        <row r="55">
          <cell r="E55" t="str">
            <v>Tani Jaya/Mul</v>
          </cell>
          <cell r="I55">
            <v>7620000</v>
          </cell>
        </row>
        <row r="56">
          <cell r="E56" t="str">
            <v>Cipta Jaya Multifarm</v>
          </cell>
          <cell r="I56">
            <v>54400000</v>
          </cell>
        </row>
        <row r="57">
          <cell r="E57" t="str">
            <v>Cipta Jaya Multifarm</v>
          </cell>
          <cell r="I57">
            <v>106200000</v>
          </cell>
        </row>
        <row r="58">
          <cell r="E58" t="str">
            <v>Tani Lancar/Maskur</v>
          </cell>
          <cell r="I58">
            <v>6000000</v>
          </cell>
        </row>
        <row r="59">
          <cell r="E59" t="str">
            <v>Berkah Tani/Joko</v>
          </cell>
          <cell r="I59">
            <v>18525000</v>
          </cell>
        </row>
        <row r="60">
          <cell r="E60" t="str">
            <v>Saka Tani/Marsilah</v>
          </cell>
          <cell r="I60">
            <v>6000000</v>
          </cell>
        </row>
        <row r="61">
          <cell r="E61" t="str">
            <v>Sumber Rejeki/Dadang</v>
          </cell>
          <cell r="I61">
            <v>5500000</v>
          </cell>
        </row>
        <row r="62">
          <cell r="E62" t="str">
            <v>Tani Joss</v>
          </cell>
          <cell r="I62">
            <v>5800000</v>
          </cell>
        </row>
        <row r="63">
          <cell r="E63" t="str">
            <v>Damar Batur Nusantara</v>
          </cell>
          <cell r="I63">
            <v>3168000</v>
          </cell>
        </row>
        <row r="64">
          <cell r="E64" t="str">
            <v>Berkah, Kios/Wahyudi</v>
          </cell>
          <cell r="I64">
            <v>2320000</v>
          </cell>
        </row>
        <row r="65">
          <cell r="E65" t="str">
            <v>Nayunda/Edi</v>
          </cell>
          <cell r="I65">
            <v>6580000</v>
          </cell>
        </row>
        <row r="66">
          <cell r="E66" t="str">
            <v>Indra Tani/Nyoto</v>
          </cell>
          <cell r="I66">
            <v>6625000</v>
          </cell>
        </row>
        <row r="67">
          <cell r="E67" t="str">
            <v>Kampung Tani/Aguk</v>
          </cell>
          <cell r="I67">
            <v>512500</v>
          </cell>
        </row>
        <row r="68">
          <cell r="E68" t="str">
            <v>Andri Pristianto</v>
          </cell>
          <cell r="I68">
            <v>903500</v>
          </cell>
        </row>
        <row r="69">
          <cell r="E69" t="str">
            <v>Mitro Tani/Hadiyudin</v>
          </cell>
          <cell r="I69">
            <v>9060000</v>
          </cell>
        </row>
        <row r="70">
          <cell r="E70" t="str">
            <v>CV. Surya Agro Pradhana</v>
          </cell>
          <cell r="I70">
            <v>4950000</v>
          </cell>
        </row>
        <row r="71">
          <cell r="E71" t="str">
            <v>CV. Surya Agro Pradhana</v>
          </cell>
          <cell r="I71">
            <v>235272500</v>
          </cell>
        </row>
        <row r="72">
          <cell r="E72" t="str">
            <v>CV. Surya Agro Pradhana</v>
          </cell>
          <cell r="I72">
            <v>12300000</v>
          </cell>
        </row>
        <row r="73">
          <cell r="E73" t="str">
            <v>Damar Batur Nusantara</v>
          </cell>
          <cell r="I73">
            <v>59954125</v>
          </cell>
        </row>
        <row r="74">
          <cell r="E74" t="str">
            <v>Putro Tani/Supriyanto</v>
          </cell>
          <cell r="I74">
            <v>5930000</v>
          </cell>
        </row>
        <row r="75">
          <cell r="E75" t="str">
            <v>Sumber Agro/Suhadi</v>
          </cell>
          <cell r="I75">
            <v>9510000</v>
          </cell>
        </row>
        <row r="76">
          <cell r="E76" t="str">
            <v>Sumber Agung Tani/Atik</v>
          </cell>
          <cell r="I76">
            <v>2527500</v>
          </cell>
        </row>
        <row r="77">
          <cell r="E77" t="str">
            <v>Sumber Eka Tani/Alief</v>
          </cell>
          <cell r="I77">
            <v>4391500</v>
          </cell>
        </row>
        <row r="78">
          <cell r="E78" t="str">
            <v>Sumber Tani/Kudhori</v>
          </cell>
          <cell r="I78">
            <v>5400000</v>
          </cell>
        </row>
        <row r="79">
          <cell r="E79" t="str">
            <v>Kampung Tani/Aguk</v>
          </cell>
          <cell r="I79">
            <v>800000</v>
          </cell>
        </row>
        <row r="80">
          <cell r="E80" t="str">
            <v>Barokah Tani/Widianto</v>
          </cell>
          <cell r="I80">
            <v>14760000</v>
          </cell>
        </row>
        <row r="81">
          <cell r="E81" t="str">
            <v>Maju Tani/Dedi Kurniawan</v>
          </cell>
          <cell r="I81">
            <v>1980000</v>
          </cell>
        </row>
        <row r="82">
          <cell r="E82" t="str">
            <v>Sekar Tani/Matori</v>
          </cell>
          <cell r="I82">
            <v>5142600</v>
          </cell>
        </row>
        <row r="83">
          <cell r="E83" t="str">
            <v>Sekar Tani/Matori</v>
          </cell>
          <cell r="I83">
            <v>18000000</v>
          </cell>
        </row>
        <row r="84">
          <cell r="E84" t="str">
            <v>Sekar Tani/Matori</v>
          </cell>
          <cell r="I84">
            <v>2010000</v>
          </cell>
        </row>
        <row r="85">
          <cell r="E85" t="str">
            <v>Tani Jaya/Irawan</v>
          </cell>
          <cell r="I85">
            <v>1767500</v>
          </cell>
        </row>
        <row r="86">
          <cell r="E86" t="str">
            <v>Tani Mulyo, UD/Bastian</v>
          </cell>
          <cell r="I86">
            <v>5340000</v>
          </cell>
        </row>
        <row r="87">
          <cell r="E87" t="str">
            <v>Tani Mulyo, UD/Bastian</v>
          </cell>
          <cell r="I87">
            <v>1720000</v>
          </cell>
        </row>
        <row r="88">
          <cell r="E88" t="str">
            <v>Al Badar/Badar, H</v>
          </cell>
          <cell r="I88">
            <v>13429000</v>
          </cell>
        </row>
        <row r="89">
          <cell r="E89" t="str">
            <v>Al Badar/Badar, H</v>
          </cell>
          <cell r="I89">
            <v>3760000</v>
          </cell>
        </row>
        <row r="90">
          <cell r="E90" t="str">
            <v>Berkat Tani/Benny</v>
          </cell>
          <cell r="I90">
            <v>19125000</v>
          </cell>
        </row>
        <row r="91">
          <cell r="E91" t="str">
            <v>Bumi Jaya, UD/Farida</v>
          </cell>
          <cell r="I91">
            <v>4912500</v>
          </cell>
        </row>
        <row r="92">
          <cell r="E92" t="str">
            <v>Cipta Jaya Multifarm</v>
          </cell>
          <cell r="I92">
            <v>62500000</v>
          </cell>
        </row>
        <row r="93">
          <cell r="E93" t="str">
            <v>Damar Batur Nusantara</v>
          </cell>
          <cell r="I93">
            <v>129750000</v>
          </cell>
        </row>
        <row r="94">
          <cell r="E94" t="str">
            <v>Damar Batur Nusantara</v>
          </cell>
          <cell r="I94">
            <v>63405000</v>
          </cell>
        </row>
        <row r="95">
          <cell r="E95" t="str">
            <v>Djago Tani/Edi</v>
          </cell>
          <cell r="I95">
            <v>12335000</v>
          </cell>
        </row>
        <row r="96">
          <cell r="E96" t="str">
            <v>Istoni</v>
          </cell>
          <cell r="I96">
            <v>10900000</v>
          </cell>
        </row>
        <row r="97">
          <cell r="E97" t="str">
            <v>Riski Tani/Hadi</v>
          </cell>
          <cell r="I97">
            <v>7278300</v>
          </cell>
        </row>
        <row r="98">
          <cell r="E98" t="str">
            <v>Riski Tani/Hadi</v>
          </cell>
          <cell r="I98">
            <v>13000000</v>
          </cell>
        </row>
        <row r="99">
          <cell r="E99" t="str">
            <v>Sekar Tani/Matori</v>
          </cell>
          <cell r="I99">
            <v>5520000</v>
          </cell>
        </row>
        <row r="100">
          <cell r="E100" t="str">
            <v>Tani Maju Jaya/Ivan</v>
          </cell>
          <cell r="I100">
            <v>1165000</v>
          </cell>
        </row>
        <row r="101">
          <cell r="E101" t="str">
            <v>CV. Surya Agro Pradhana</v>
          </cell>
          <cell r="I101">
            <v>10400000</v>
          </cell>
        </row>
        <row r="102">
          <cell r="E102" t="str">
            <v>CV. Surya Agro Pradhana</v>
          </cell>
          <cell r="I102">
            <v>20625000</v>
          </cell>
        </row>
        <row r="103">
          <cell r="E103" t="str">
            <v>Damar Batur Nusantara</v>
          </cell>
          <cell r="I103">
            <v>5400000</v>
          </cell>
        </row>
        <row r="104">
          <cell r="E104" t="str">
            <v>Ira Tani/Dani, H</v>
          </cell>
          <cell r="I104">
            <v>1600000</v>
          </cell>
        </row>
        <row r="105">
          <cell r="E105" t="str">
            <v>Riski Tani/Hadi</v>
          </cell>
          <cell r="I105">
            <v>1360000</v>
          </cell>
        </row>
        <row r="106">
          <cell r="E106" t="str">
            <v>Sekar Tani/Matori</v>
          </cell>
          <cell r="I106">
            <v>11120000</v>
          </cell>
        </row>
        <row r="107">
          <cell r="E107" t="str">
            <v>Sekar Tani/Matori</v>
          </cell>
          <cell r="I107">
            <v>19500000</v>
          </cell>
        </row>
        <row r="108">
          <cell r="E108" t="str">
            <v>Slamet/Cin Ing</v>
          </cell>
          <cell r="I108">
            <v>6000000</v>
          </cell>
        </row>
        <row r="109">
          <cell r="E109" t="str">
            <v>Stasiun Tani, CV</v>
          </cell>
          <cell r="I109">
            <v>1688000</v>
          </cell>
        </row>
        <row r="110">
          <cell r="E110" t="str">
            <v>Tani Mulyo, UD/Bastian</v>
          </cell>
          <cell r="I110">
            <v>940000</v>
          </cell>
        </row>
        <row r="111">
          <cell r="E111" t="str">
            <v>Wira Tani, UD</v>
          </cell>
          <cell r="I111">
            <v>3020000</v>
          </cell>
        </row>
        <row r="112">
          <cell r="E112" t="str">
            <v>Al Badar/Badar, H</v>
          </cell>
          <cell r="I112">
            <v>1600000</v>
          </cell>
        </row>
        <row r="113">
          <cell r="E113" t="str">
            <v>Barokah Tani/Widianto</v>
          </cell>
          <cell r="I113">
            <v>3300000</v>
          </cell>
        </row>
        <row r="114">
          <cell r="E114" t="str">
            <v>Budi Karya Tani</v>
          </cell>
          <cell r="I114">
            <v>2530000</v>
          </cell>
        </row>
        <row r="115">
          <cell r="E115" t="str">
            <v>Budi Karya Tani</v>
          </cell>
          <cell r="I115">
            <v>5980000</v>
          </cell>
        </row>
        <row r="116">
          <cell r="E116" t="str">
            <v>Damar Batur Nusantara</v>
          </cell>
          <cell r="I116">
            <v>12487500</v>
          </cell>
        </row>
        <row r="117">
          <cell r="E117">
            <v>0</v>
          </cell>
          <cell r="I117">
            <v>0</v>
          </cell>
        </row>
        <row r="118">
          <cell r="E118" t="str">
            <v>Sekar Tani/Matori</v>
          </cell>
          <cell r="I118">
            <v>1125000</v>
          </cell>
        </row>
        <row r="119">
          <cell r="E119" t="str">
            <v>Sekar Tani/Matori</v>
          </cell>
          <cell r="I119">
            <v>4310000</v>
          </cell>
        </row>
        <row r="120">
          <cell r="E120" t="str">
            <v>Sumber Keluarga</v>
          </cell>
          <cell r="I120">
            <v>3950000</v>
          </cell>
        </row>
        <row r="121">
          <cell r="E121" t="str">
            <v>Tani WSM Sejahtera/Sulistiawan</v>
          </cell>
          <cell r="I121">
            <v>13500000</v>
          </cell>
        </row>
        <row r="122">
          <cell r="E122" t="str">
            <v>Al Badar/Badar, H</v>
          </cell>
          <cell r="I122">
            <v>12600000</v>
          </cell>
        </row>
        <row r="123">
          <cell r="E123" t="str">
            <v>Barokah Tani/Widianto</v>
          </cell>
          <cell r="I123">
            <v>4000000</v>
          </cell>
        </row>
        <row r="124">
          <cell r="E124" t="str">
            <v>Bumi Jaya, UD/Farida</v>
          </cell>
          <cell r="I124">
            <v>8800000</v>
          </cell>
        </row>
        <row r="125">
          <cell r="E125" t="str">
            <v>Kampung Tani/Aguk</v>
          </cell>
          <cell r="I125">
            <v>3237500</v>
          </cell>
        </row>
        <row r="126">
          <cell r="E126" t="str">
            <v>Kampung Tani/Aguk</v>
          </cell>
          <cell r="I126">
            <v>1696500</v>
          </cell>
        </row>
        <row r="127">
          <cell r="E127" t="str">
            <v>Riski Tani/Hadi</v>
          </cell>
          <cell r="I127">
            <v>3500000</v>
          </cell>
        </row>
        <row r="128">
          <cell r="E128" t="str">
            <v>D Live Tani</v>
          </cell>
          <cell r="I128">
            <v>8400000</v>
          </cell>
        </row>
        <row r="129">
          <cell r="E129" t="str">
            <v>Damar Batur Nusantara</v>
          </cell>
          <cell r="I129">
            <v>42000000</v>
          </cell>
        </row>
        <row r="130">
          <cell r="E130" t="str">
            <v>Tani Sejati/Ivan</v>
          </cell>
          <cell r="I130">
            <v>250000000</v>
          </cell>
        </row>
        <row r="131">
          <cell r="E131" t="str">
            <v>Tani Sejati/Ivan</v>
          </cell>
          <cell r="I131">
            <v>216300000</v>
          </cell>
        </row>
        <row r="132">
          <cell r="E132" t="str">
            <v>Agro Mandiri/Nurlaela</v>
          </cell>
          <cell r="I132">
            <v>4630000</v>
          </cell>
        </row>
        <row r="133">
          <cell r="E133" t="str">
            <v>Hasil Tani/Marmi</v>
          </cell>
          <cell r="I133">
            <v>1450000</v>
          </cell>
        </row>
        <row r="134">
          <cell r="E134" t="str">
            <v>Hasil Tani/Marmi</v>
          </cell>
          <cell r="I134">
            <v>730000</v>
          </cell>
        </row>
        <row r="135">
          <cell r="E135" t="str">
            <v>Kampung Tani/Aguk</v>
          </cell>
          <cell r="I135">
            <v>5450000</v>
          </cell>
        </row>
        <row r="136">
          <cell r="E136" t="str">
            <v>Roy Mandiri, UD/Faikul</v>
          </cell>
          <cell r="I136">
            <v>12530000</v>
          </cell>
        </row>
        <row r="137">
          <cell r="E137" t="str">
            <v>Saka Tani/Marsilah</v>
          </cell>
          <cell r="I137">
            <v>4760000</v>
          </cell>
        </row>
        <row r="138">
          <cell r="E138" t="str">
            <v>Sumber Tani/Kudhori</v>
          </cell>
          <cell r="I138">
            <v>4440000</v>
          </cell>
        </row>
        <row r="139">
          <cell r="E139" t="str">
            <v>Tani WSM Sejahtera/Sulistiawan</v>
          </cell>
          <cell r="I139">
            <v>3475000</v>
          </cell>
        </row>
        <row r="140">
          <cell r="E140" t="str">
            <v>Anggoro Makmur/Yayuk</v>
          </cell>
          <cell r="I140">
            <v>3960000</v>
          </cell>
        </row>
        <row r="141">
          <cell r="E141" t="str">
            <v>Anggoro Makmur/Yayuk</v>
          </cell>
          <cell r="I141">
            <v>2570000</v>
          </cell>
        </row>
        <row r="142">
          <cell r="E142" t="str">
            <v>Berkah, Kios/Wahyudi</v>
          </cell>
          <cell r="I142">
            <v>3540000</v>
          </cell>
        </row>
        <row r="143">
          <cell r="E143" t="str">
            <v>Berkah, Kios/Wahyudi</v>
          </cell>
          <cell r="I143">
            <v>650000</v>
          </cell>
        </row>
        <row r="144">
          <cell r="E144" t="str">
            <v>Bintang Berlian/Hairun</v>
          </cell>
          <cell r="I144">
            <v>4240000</v>
          </cell>
        </row>
        <row r="145">
          <cell r="E145" t="str">
            <v>Damar Batur Nusantara</v>
          </cell>
          <cell r="I145">
            <v>4920000</v>
          </cell>
        </row>
        <row r="146">
          <cell r="E146" t="str">
            <v>Djago Tani/Edi</v>
          </cell>
          <cell r="I146">
            <v>6150000</v>
          </cell>
        </row>
        <row r="147">
          <cell r="E147" t="str">
            <v>Moga Berkah/Robid</v>
          </cell>
          <cell r="I147">
            <v>11000000</v>
          </cell>
        </row>
        <row r="148">
          <cell r="E148" t="str">
            <v>Pelita Tani, CV/Budi</v>
          </cell>
          <cell r="I148">
            <v>180000000</v>
          </cell>
        </row>
        <row r="149">
          <cell r="E149" t="str">
            <v>Tani Barokah/Muhdor</v>
          </cell>
          <cell r="I149">
            <v>900000</v>
          </cell>
        </row>
        <row r="150">
          <cell r="E150" t="str">
            <v>Al Badar/Badar, H</v>
          </cell>
          <cell r="I150">
            <v>22400000</v>
          </cell>
        </row>
        <row r="151">
          <cell r="E151" t="str">
            <v>Bumi Jaya, UD/Farida</v>
          </cell>
          <cell r="I151">
            <v>35000000</v>
          </cell>
        </row>
        <row r="152">
          <cell r="E152" t="str">
            <v>Damar Batur Nusantara</v>
          </cell>
          <cell r="I152">
            <v>30720000</v>
          </cell>
        </row>
        <row r="153">
          <cell r="E153" t="str">
            <v>Djago Tani/Edi</v>
          </cell>
          <cell r="I153">
            <v>1600000</v>
          </cell>
        </row>
        <row r="154">
          <cell r="E154" t="str">
            <v>Indra Tani/Nyoto</v>
          </cell>
          <cell r="I154">
            <v>25060000</v>
          </cell>
        </row>
        <row r="155">
          <cell r="E155" t="str">
            <v>Indra Tani/Nyoto</v>
          </cell>
          <cell r="I155">
            <v>2499000</v>
          </cell>
        </row>
        <row r="156">
          <cell r="E156" t="str">
            <v>Maju Tani/Dedi Kurniawan</v>
          </cell>
          <cell r="I156">
            <v>780000</v>
          </cell>
        </row>
        <row r="157">
          <cell r="E157" t="str">
            <v>Riski Tani/Hadi</v>
          </cell>
          <cell r="I157">
            <v>6480000</v>
          </cell>
        </row>
        <row r="158">
          <cell r="E158" t="str">
            <v>Tani Jaya/Erna</v>
          </cell>
          <cell r="I158">
            <v>4800000</v>
          </cell>
        </row>
        <row r="159">
          <cell r="E159" t="str">
            <v>Tani Jaya/Erna</v>
          </cell>
          <cell r="I159">
            <v>2160000</v>
          </cell>
        </row>
        <row r="160">
          <cell r="E160" t="str">
            <v>Abdi Rahmat Tani/Lidya</v>
          </cell>
          <cell r="I160">
            <v>11440000</v>
          </cell>
        </row>
        <row r="161">
          <cell r="E161" t="str">
            <v>Al Badar/Badar, H</v>
          </cell>
          <cell r="I161">
            <v>3640000</v>
          </cell>
        </row>
        <row r="162">
          <cell r="E162" t="str">
            <v>Al Badar/Badar, H</v>
          </cell>
          <cell r="I162">
            <v>2460000</v>
          </cell>
        </row>
        <row r="163">
          <cell r="E163" t="str">
            <v>Berkah Tani/Intan Sri</v>
          </cell>
          <cell r="I163">
            <v>4300000</v>
          </cell>
        </row>
        <row r="164">
          <cell r="E164" t="str">
            <v>Damar Batur Nusantara</v>
          </cell>
          <cell r="I164">
            <v>5400000</v>
          </cell>
        </row>
        <row r="165">
          <cell r="E165" t="str">
            <v>Damar Batur Nusantara</v>
          </cell>
          <cell r="I165">
            <v>30550000</v>
          </cell>
        </row>
        <row r="166">
          <cell r="E166" t="str">
            <v>Damar Batur Nusantara</v>
          </cell>
          <cell r="I166">
            <v>28680000</v>
          </cell>
        </row>
        <row r="167">
          <cell r="E167" t="str">
            <v>Djago Tani/Edi</v>
          </cell>
          <cell r="I167">
            <v>375000</v>
          </cell>
        </row>
        <row r="168">
          <cell r="E168" t="str">
            <v>Hari Tani, UD/Amin</v>
          </cell>
          <cell r="I168">
            <v>2160000</v>
          </cell>
        </row>
        <row r="169">
          <cell r="E169" t="str">
            <v>Karya Tani, UD/Tomo</v>
          </cell>
          <cell r="I169">
            <v>920000</v>
          </cell>
        </row>
        <row r="170">
          <cell r="E170" t="str">
            <v>Karya Tani, UD/Tomo</v>
          </cell>
          <cell r="I170">
            <v>4400000</v>
          </cell>
        </row>
        <row r="171">
          <cell r="E171" t="str">
            <v>Tani Jaya/Mul</v>
          </cell>
          <cell r="I171">
            <v>7170000</v>
          </cell>
        </row>
        <row r="172">
          <cell r="E172" t="str">
            <v>Tani Makmur Sentosa</v>
          </cell>
          <cell r="I172">
            <v>980000</v>
          </cell>
        </row>
        <row r="173">
          <cell r="E173" t="str">
            <v>Agro Suci/Bety</v>
          </cell>
          <cell r="I173">
            <v>170000</v>
          </cell>
        </row>
        <row r="174">
          <cell r="E174" t="str">
            <v>Al Badar/Badar, H</v>
          </cell>
          <cell r="I174">
            <v>1730000</v>
          </cell>
        </row>
        <row r="175">
          <cell r="E175" t="str">
            <v>Berkah Tani/Intan Sri</v>
          </cell>
          <cell r="I175">
            <v>5126000</v>
          </cell>
        </row>
        <row r="176">
          <cell r="E176" t="str">
            <v>Bumi Jaya, UD/Farida</v>
          </cell>
          <cell r="I176">
            <v>1400000</v>
          </cell>
        </row>
        <row r="177">
          <cell r="E177" t="str">
            <v>Bumi Jaya, UD/Farida</v>
          </cell>
          <cell r="I177">
            <v>12910000</v>
          </cell>
        </row>
        <row r="178">
          <cell r="E178" t="str">
            <v>Bumi Jaya, UD/Farida</v>
          </cell>
          <cell r="I178">
            <v>29040000</v>
          </cell>
        </row>
        <row r="179">
          <cell r="E179" t="str">
            <v>D Live Tani</v>
          </cell>
          <cell r="I179">
            <v>10360000</v>
          </cell>
        </row>
        <row r="180">
          <cell r="E180" t="str">
            <v>Gemilang, Toko</v>
          </cell>
          <cell r="I180">
            <v>3485000</v>
          </cell>
        </row>
        <row r="181">
          <cell r="E181" t="str">
            <v>Hasil Usaha, UD</v>
          </cell>
          <cell r="I181">
            <v>9900000</v>
          </cell>
        </row>
        <row r="182">
          <cell r="E182" t="str">
            <v>Riski Tani/Hadi</v>
          </cell>
          <cell r="I182">
            <v>9600000</v>
          </cell>
        </row>
        <row r="183">
          <cell r="E183" t="str">
            <v>Tani Agung/Robert</v>
          </cell>
          <cell r="I183">
            <v>5688000</v>
          </cell>
        </row>
        <row r="184">
          <cell r="E184" t="str">
            <v>Saka Tani/Marsilah</v>
          </cell>
          <cell r="I184">
            <v>2000000</v>
          </cell>
        </row>
        <row r="185">
          <cell r="E185" t="str">
            <v>Sekar Tani/Matori</v>
          </cell>
          <cell r="I185">
            <v>247800000</v>
          </cell>
        </row>
        <row r="186">
          <cell r="E186" t="str">
            <v>Tani Maju Jaya/Ivan</v>
          </cell>
          <cell r="I186">
            <v>3960000</v>
          </cell>
        </row>
        <row r="187">
          <cell r="E187" t="str">
            <v>Al Badar/Badar, H</v>
          </cell>
          <cell r="I187">
            <v>6600000</v>
          </cell>
        </row>
        <row r="188">
          <cell r="E188" t="str">
            <v>Berkat Tani/Benny</v>
          </cell>
          <cell r="I188">
            <v>8104000</v>
          </cell>
        </row>
        <row r="189">
          <cell r="E189" t="str">
            <v>Bumi Jaya, UD/Farida</v>
          </cell>
          <cell r="I189">
            <v>5973600</v>
          </cell>
        </row>
        <row r="190">
          <cell r="E190" t="str">
            <v>Bumi Jaya, UD/Farida</v>
          </cell>
          <cell r="I190">
            <v>15200000</v>
          </cell>
        </row>
        <row r="191">
          <cell r="E191" t="str">
            <v>Bumi Jaya, UD/Farida</v>
          </cell>
          <cell r="I191">
            <v>3688000</v>
          </cell>
        </row>
        <row r="192">
          <cell r="E192" t="str">
            <v>Damar Batur Nusantara</v>
          </cell>
          <cell r="I192">
            <v>53080000</v>
          </cell>
        </row>
        <row r="193">
          <cell r="E193" t="str">
            <v>Hasil Usaha, UD</v>
          </cell>
          <cell r="I193">
            <v>8600000</v>
          </cell>
        </row>
        <row r="194">
          <cell r="E194" t="str">
            <v>Kampung Tani/Aguk</v>
          </cell>
          <cell r="I194">
            <v>6640000</v>
          </cell>
        </row>
        <row r="195">
          <cell r="E195" t="str">
            <v>Pelita Tani, CV/Budi</v>
          </cell>
          <cell r="I195">
            <v>72187500</v>
          </cell>
        </row>
        <row r="196">
          <cell r="E196" t="str">
            <v>Permata, UD/Badar</v>
          </cell>
          <cell r="I196">
            <v>7806600</v>
          </cell>
        </row>
        <row r="197">
          <cell r="E197" t="str">
            <v>Permata, UD/Badar</v>
          </cell>
          <cell r="I197">
            <v>3100000</v>
          </cell>
        </row>
        <row r="198">
          <cell r="E198" t="str">
            <v>Tani Agung/Robert</v>
          </cell>
          <cell r="I198">
            <v>5688000</v>
          </cell>
        </row>
        <row r="199">
          <cell r="E199" t="str">
            <v>Andalas Farm, UD</v>
          </cell>
          <cell r="I199">
            <v>1200000</v>
          </cell>
        </row>
        <row r="200">
          <cell r="E200" t="str">
            <v>Berkah Abadi Tani/Widodo</v>
          </cell>
          <cell r="I200">
            <v>320000000</v>
          </cell>
        </row>
        <row r="201">
          <cell r="E201" t="str">
            <v>Damar Batur Nusantara</v>
          </cell>
          <cell r="I201">
            <v>4275000</v>
          </cell>
        </row>
        <row r="202">
          <cell r="E202" t="str">
            <v>Damar Batur Nusantara</v>
          </cell>
          <cell r="I202">
            <v>2040000</v>
          </cell>
        </row>
        <row r="203">
          <cell r="E203" t="str">
            <v>Intani, Toko</v>
          </cell>
          <cell r="I203">
            <v>6084000</v>
          </cell>
        </row>
        <row r="204">
          <cell r="E204" t="str">
            <v>Permata, UD/Badar</v>
          </cell>
          <cell r="I204">
            <v>5505000</v>
          </cell>
        </row>
        <row r="205">
          <cell r="E205" t="str">
            <v>Sugeng Makmur, Toko</v>
          </cell>
          <cell r="I205">
            <v>14300000</v>
          </cell>
        </row>
        <row r="206">
          <cell r="E206" t="str">
            <v>Sumber Tani/Eko Wardono</v>
          </cell>
          <cell r="I206">
            <v>3427757</v>
          </cell>
        </row>
        <row r="207">
          <cell r="E207" t="str">
            <v>Sumber Tani/Eko Wardono</v>
          </cell>
          <cell r="I207">
            <v>9900000</v>
          </cell>
        </row>
        <row r="208">
          <cell r="E208" t="str">
            <v>Tani Agung/Robert</v>
          </cell>
          <cell r="I208">
            <v>47500000</v>
          </cell>
        </row>
        <row r="209">
          <cell r="E209" t="str">
            <v>Tani Barokah/Muhdor</v>
          </cell>
          <cell r="I209">
            <v>660000</v>
          </cell>
        </row>
        <row r="210">
          <cell r="E210" t="str">
            <v>Bima Tani Jaya/Kevin Pratama</v>
          </cell>
          <cell r="I210">
            <v>11688000</v>
          </cell>
        </row>
        <row r="211">
          <cell r="E211" t="str">
            <v>Bima Tani Jaya/Kevin Pratama</v>
          </cell>
          <cell r="I211">
            <v>10800000</v>
          </cell>
        </row>
        <row r="212">
          <cell r="E212" t="str">
            <v>Bima Tani Jaya/Kevin Pratama</v>
          </cell>
          <cell r="I212">
            <v>4359000</v>
          </cell>
        </row>
        <row r="213">
          <cell r="E213" t="str">
            <v>CV. Surya Agro Pradhana</v>
          </cell>
          <cell r="I213">
            <v>31316000</v>
          </cell>
        </row>
        <row r="214">
          <cell r="E214" t="str">
            <v>CV. Surya Agro Pradhana</v>
          </cell>
          <cell r="I214">
            <v>10000000</v>
          </cell>
        </row>
        <row r="215">
          <cell r="E215" t="str">
            <v>CV. Surya Agro Pradhana</v>
          </cell>
          <cell r="I215">
            <v>43000000</v>
          </cell>
        </row>
        <row r="216">
          <cell r="E216" t="str">
            <v>Damar Batur Nusantara</v>
          </cell>
          <cell r="I216">
            <v>3460000</v>
          </cell>
        </row>
        <row r="217">
          <cell r="E217" t="str">
            <v>Damar Batur Nusantara</v>
          </cell>
          <cell r="I217">
            <v>36000000</v>
          </cell>
        </row>
        <row r="218">
          <cell r="E218" t="str">
            <v>Damar Batur Nusantara</v>
          </cell>
          <cell r="I218">
            <v>30722500</v>
          </cell>
        </row>
        <row r="219">
          <cell r="E219" t="str">
            <v>Djago Tani/Edi</v>
          </cell>
          <cell r="I219">
            <v>1500000</v>
          </cell>
        </row>
        <row r="220">
          <cell r="E220" t="str">
            <v>Era Tani/Abdul Wakik</v>
          </cell>
          <cell r="I220">
            <v>3855000</v>
          </cell>
        </row>
        <row r="221">
          <cell r="E221" t="str">
            <v>Merdeka Tani/Sugiono</v>
          </cell>
          <cell r="I221">
            <v>141600000</v>
          </cell>
        </row>
        <row r="222">
          <cell r="E222" t="str">
            <v>Merdeka Tani/Sugiono</v>
          </cell>
          <cell r="I222">
            <v>36000000</v>
          </cell>
        </row>
        <row r="223">
          <cell r="E223" t="str">
            <v>Tani Sejati/Ivan</v>
          </cell>
          <cell r="I223">
            <v>69000000</v>
          </cell>
        </row>
        <row r="224">
          <cell r="E224" t="str">
            <v>Agro Suci/Bety</v>
          </cell>
          <cell r="I224">
            <v>1900000</v>
          </cell>
        </row>
        <row r="225">
          <cell r="E225" t="str">
            <v>Agro Suci/Bety</v>
          </cell>
          <cell r="I225">
            <v>14400000</v>
          </cell>
        </row>
        <row r="226">
          <cell r="E226" t="str">
            <v>Agro Suci/Bety</v>
          </cell>
          <cell r="I226">
            <v>1730000</v>
          </cell>
        </row>
        <row r="227">
          <cell r="E227" t="str">
            <v>Andalas Farm, UD</v>
          </cell>
          <cell r="I227">
            <v>1700000</v>
          </cell>
        </row>
        <row r="228">
          <cell r="E228" t="str">
            <v>Berkah Abadi Tani/Widodo</v>
          </cell>
          <cell r="I228">
            <v>23100000</v>
          </cell>
        </row>
        <row r="229">
          <cell r="E229" t="str">
            <v>Damar Batur Nusantara</v>
          </cell>
          <cell r="I229">
            <v>5400000</v>
          </cell>
        </row>
        <row r="230">
          <cell r="E230" t="str">
            <v>Merdeka Tani/Sugiono</v>
          </cell>
          <cell r="I230">
            <v>10000000</v>
          </cell>
        </row>
        <row r="231">
          <cell r="E231" t="str">
            <v>Merdeka Tani/Sugiono</v>
          </cell>
          <cell r="I231">
            <v>13000000</v>
          </cell>
        </row>
        <row r="232">
          <cell r="E232" t="str">
            <v>Pelita Tani, CV/Budi</v>
          </cell>
          <cell r="I232">
            <v>12500000</v>
          </cell>
        </row>
        <row r="233">
          <cell r="E233" t="str">
            <v>Roy Mandiri, UD/Faikul</v>
          </cell>
          <cell r="I233">
            <v>13900000</v>
          </cell>
        </row>
        <row r="234">
          <cell r="E234" t="str">
            <v>Sumber Tani 2, UD</v>
          </cell>
          <cell r="I234">
            <v>1000500</v>
          </cell>
        </row>
        <row r="235">
          <cell r="E235" t="str">
            <v>Tani Joss</v>
          </cell>
          <cell r="I235">
            <v>3800000</v>
          </cell>
        </row>
        <row r="236">
          <cell r="E236" t="str">
            <v>Tani Joss</v>
          </cell>
          <cell r="I236">
            <v>2452500</v>
          </cell>
        </row>
        <row r="237">
          <cell r="E237" t="str">
            <v>Tani Joss</v>
          </cell>
          <cell r="I237">
            <v>3420000</v>
          </cell>
        </row>
        <row r="238">
          <cell r="E238" t="str">
            <v>Tani Mulyo, UD/Bastian</v>
          </cell>
          <cell r="I238">
            <v>1720000</v>
          </cell>
        </row>
        <row r="239">
          <cell r="E239" t="str">
            <v>Tani Mulyo, UD/Bastian</v>
          </cell>
          <cell r="I239">
            <v>1240000</v>
          </cell>
        </row>
        <row r="240">
          <cell r="E240" t="str">
            <v>Tani Mulyo, UD/Bastian</v>
          </cell>
          <cell r="I240">
            <v>3440000</v>
          </cell>
        </row>
        <row r="241">
          <cell r="E241" t="str">
            <v>Wira Tani, UD</v>
          </cell>
          <cell r="I241">
            <v>2690000</v>
          </cell>
        </row>
        <row r="242">
          <cell r="E242" t="str">
            <v>Wira Tani, UD</v>
          </cell>
          <cell r="I242">
            <v>4160000</v>
          </cell>
        </row>
        <row r="243">
          <cell r="E243" t="str">
            <v>Agro Suci/Bety</v>
          </cell>
          <cell r="I243">
            <v>2300000</v>
          </cell>
        </row>
        <row r="244">
          <cell r="E244" t="str">
            <v>Agro Suci/Bety</v>
          </cell>
          <cell r="I244">
            <v>1860000</v>
          </cell>
        </row>
        <row r="245">
          <cell r="E245" t="str">
            <v>Al Badar/Badar, H</v>
          </cell>
          <cell r="I245">
            <v>3760000</v>
          </cell>
        </row>
        <row r="246">
          <cell r="E246" t="str">
            <v>Berkah Abadi Tani/Widodo</v>
          </cell>
          <cell r="I246">
            <v>118080000</v>
          </cell>
        </row>
        <row r="247">
          <cell r="E247" t="str">
            <v>Bima Tani Jaya/Kevin Pratama</v>
          </cell>
          <cell r="I247">
            <v>1900000</v>
          </cell>
        </row>
        <row r="248">
          <cell r="E248" t="str">
            <v>Bima Tani Jaya/Kevin Pratama</v>
          </cell>
          <cell r="I248">
            <v>1980000</v>
          </cell>
        </row>
        <row r="249">
          <cell r="E249" t="str">
            <v>Bintang Sejahtera</v>
          </cell>
          <cell r="I249">
            <v>18770000</v>
          </cell>
        </row>
        <row r="250">
          <cell r="E250" t="str">
            <v>Biso Tani/Supriadi</v>
          </cell>
          <cell r="I250">
            <v>3600000</v>
          </cell>
        </row>
        <row r="251">
          <cell r="E251" t="str">
            <v>Cahaya Tani/Rudi</v>
          </cell>
          <cell r="I251">
            <v>9771500</v>
          </cell>
        </row>
        <row r="252">
          <cell r="E252" t="str">
            <v>Cahaya Tani/Rudi</v>
          </cell>
          <cell r="I252">
            <v>1656000</v>
          </cell>
        </row>
        <row r="253">
          <cell r="E253" t="str">
            <v>Damar Batur Nusantara</v>
          </cell>
          <cell r="I253">
            <v>56880000</v>
          </cell>
        </row>
        <row r="254">
          <cell r="E254" t="str">
            <v>Damar Batur Nusantara</v>
          </cell>
          <cell r="I254">
            <v>1265000</v>
          </cell>
        </row>
        <row r="255">
          <cell r="E255" t="str">
            <v>Djago Tani/Edi</v>
          </cell>
          <cell r="I255">
            <v>4500000</v>
          </cell>
        </row>
        <row r="256">
          <cell r="E256" t="str">
            <v>Gajah Tani Makmur</v>
          </cell>
          <cell r="I256">
            <v>4500000</v>
          </cell>
        </row>
        <row r="257">
          <cell r="E257" t="str">
            <v>Ira Tani/Dani, H</v>
          </cell>
          <cell r="I257">
            <v>4200000</v>
          </cell>
        </row>
        <row r="258">
          <cell r="E258" t="str">
            <v>Merdeka Tani/Sugiono</v>
          </cell>
          <cell r="I258">
            <v>21000000</v>
          </cell>
        </row>
        <row r="259">
          <cell r="E259" t="str">
            <v>Merdeka Tani/Sugiono</v>
          </cell>
          <cell r="I259">
            <v>2400000</v>
          </cell>
        </row>
        <row r="260">
          <cell r="E260" t="str">
            <v>Mubarok, Toko</v>
          </cell>
          <cell r="I260">
            <v>5520000</v>
          </cell>
        </row>
        <row r="261">
          <cell r="E261" t="str">
            <v>Riski Tani/Hadi</v>
          </cell>
          <cell r="I261">
            <v>13411500</v>
          </cell>
        </row>
        <row r="262">
          <cell r="E262" t="str">
            <v>Sumber Brantas</v>
          </cell>
          <cell r="I262">
            <v>53650000</v>
          </cell>
        </row>
        <row r="263">
          <cell r="E263" t="str">
            <v>Sumber Makmur/Henry</v>
          </cell>
          <cell r="I263">
            <v>32160000</v>
          </cell>
        </row>
        <row r="264">
          <cell r="E264" t="str">
            <v>Sumber Tani/Eko Wardono</v>
          </cell>
          <cell r="I264">
            <v>2340000</v>
          </cell>
        </row>
        <row r="265">
          <cell r="E265" t="str">
            <v>Sumber Tani/Eko Wardono</v>
          </cell>
          <cell r="I265">
            <v>1920000</v>
          </cell>
        </row>
        <row r="266">
          <cell r="E266" t="str">
            <v>Agro Suci/Bety</v>
          </cell>
          <cell r="I266">
            <v>1137600</v>
          </cell>
        </row>
        <row r="267">
          <cell r="E267" t="str">
            <v>Bima Tani Jaya/Kevin Pratama</v>
          </cell>
          <cell r="I267">
            <v>2300000</v>
          </cell>
        </row>
        <row r="268">
          <cell r="E268" t="str">
            <v>Bima Tani Jaya/Kevin Pratama</v>
          </cell>
          <cell r="I268">
            <v>4560000</v>
          </cell>
        </row>
        <row r="269">
          <cell r="E269" t="str">
            <v>Bumi Jaya, UD/Farida</v>
          </cell>
          <cell r="I269">
            <v>1500000</v>
          </cell>
        </row>
        <row r="270">
          <cell r="E270" t="str">
            <v>Cahaya Tani/Damiyanto</v>
          </cell>
          <cell r="I270">
            <v>2652500</v>
          </cell>
        </row>
        <row r="271">
          <cell r="E271" t="str">
            <v>Cahaya Tani/Damiyanto</v>
          </cell>
          <cell r="I271">
            <v>9800000</v>
          </cell>
        </row>
        <row r="272">
          <cell r="E272" t="str">
            <v>CV. Surya Agro Pradhana</v>
          </cell>
          <cell r="I272">
            <v>135977500</v>
          </cell>
        </row>
        <row r="273">
          <cell r="E273" t="str">
            <v>CV. Surya Agro Pradhana</v>
          </cell>
          <cell r="I273">
            <v>10000000</v>
          </cell>
        </row>
        <row r="274">
          <cell r="E274" t="str">
            <v>Ghanesa Tani/Erviana</v>
          </cell>
          <cell r="I274">
            <v>1600000</v>
          </cell>
        </row>
        <row r="275">
          <cell r="E275" t="str">
            <v>Indah Tani/Endah</v>
          </cell>
          <cell r="I275">
            <v>3780000</v>
          </cell>
        </row>
        <row r="276">
          <cell r="E276" t="str">
            <v>Indah Tani/Endah</v>
          </cell>
          <cell r="I276">
            <v>1205000</v>
          </cell>
        </row>
        <row r="277">
          <cell r="E277" t="str">
            <v>Kharisma/Nanang</v>
          </cell>
          <cell r="I277">
            <v>3900000</v>
          </cell>
        </row>
        <row r="278">
          <cell r="E278" t="str">
            <v>Maju Tani/Dedi Kurniawan</v>
          </cell>
          <cell r="I278">
            <v>2468000</v>
          </cell>
        </row>
        <row r="279">
          <cell r="E279" t="str">
            <v>Maju Tani/Dedi Kurniawan</v>
          </cell>
          <cell r="I279">
            <v>1332000</v>
          </cell>
        </row>
        <row r="280">
          <cell r="E280" t="str">
            <v>Maju Tani/Dedi Kurniawan</v>
          </cell>
          <cell r="I280">
            <v>410000</v>
          </cell>
        </row>
        <row r="281">
          <cell r="E281">
            <v>0</v>
          </cell>
          <cell r="I281">
            <v>0</v>
          </cell>
        </row>
        <row r="282">
          <cell r="E282" t="str">
            <v>Merdeka Tani/Sugiono</v>
          </cell>
          <cell r="I282">
            <v>93000000</v>
          </cell>
        </row>
        <row r="283">
          <cell r="E283" t="str">
            <v>Pelita Tani, CV/Budi</v>
          </cell>
          <cell r="I283">
            <v>72187500</v>
          </cell>
        </row>
        <row r="284">
          <cell r="E284" t="str">
            <v>Riski Tani/Hadi</v>
          </cell>
          <cell r="I284">
            <v>4740000</v>
          </cell>
        </row>
        <row r="285">
          <cell r="E285" t="str">
            <v>Sadar Sari/Farid Firdaus</v>
          </cell>
          <cell r="I285">
            <v>1515000</v>
          </cell>
        </row>
        <row r="286">
          <cell r="E286" t="str">
            <v>Serba Hasil/Ansori</v>
          </cell>
          <cell r="I286">
            <v>49500000</v>
          </cell>
        </row>
        <row r="287">
          <cell r="E287" t="str">
            <v>Serba Hasil/Ansori</v>
          </cell>
          <cell r="I287">
            <v>7150000</v>
          </cell>
        </row>
        <row r="288">
          <cell r="E288" t="str">
            <v>Serba Hasil/Ansori</v>
          </cell>
          <cell r="I288">
            <v>3375000</v>
          </cell>
        </row>
        <row r="289">
          <cell r="E289" t="str">
            <v>Sugeng Makmur, Toko</v>
          </cell>
          <cell r="I289">
            <v>12660000</v>
          </cell>
        </row>
        <row r="290">
          <cell r="E290" t="str">
            <v>Sugeng Makmur, Toko</v>
          </cell>
          <cell r="I290">
            <v>19800000</v>
          </cell>
        </row>
        <row r="291">
          <cell r="E291" t="str">
            <v>Tulus Ayu</v>
          </cell>
          <cell r="I291">
            <v>5865000</v>
          </cell>
        </row>
        <row r="292">
          <cell r="E292" t="str">
            <v>Benih Jaya</v>
          </cell>
          <cell r="I292">
            <v>1365000</v>
          </cell>
        </row>
        <row r="293">
          <cell r="E293" t="str">
            <v>CV. Surya Agro Pradhana</v>
          </cell>
          <cell r="I293">
            <v>36325000</v>
          </cell>
        </row>
        <row r="294">
          <cell r="E294" t="str">
            <v>CV. Surya Agro Pradhana</v>
          </cell>
          <cell r="I294">
            <v>9900000</v>
          </cell>
        </row>
        <row r="295">
          <cell r="E295" t="str">
            <v>Hikmah Tani/Elma</v>
          </cell>
          <cell r="I295">
            <v>5865000</v>
          </cell>
        </row>
        <row r="296">
          <cell r="E296" t="str">
            <v>Nayunda/Edi</v>
          </cell>
          <cell r="I296">
            <v>3440000</v>
          </cell>
        </row>
        <row r="297">
          <cell r="E297" t="str">
            <v>Serba Hasil/Ansori</v>
          </cell>
          <cell r="I297">
            <v>8600000</v>
          </cell>
        </row>
        <row r="298">
          <cell r="E298" t="str">
            <v>Tani Bersatu</v>
          </cell>
          <cell r="I298">
            <v>18500000</v>
          </cell>
        </row>
        <row r="299">
          <cell r="E299" t="str">
            <v>Anugrah Tani Sejahtera/Siswoyo Adi P</v>
          </cell>
          <cell r="I299">
            <v>15770000</v>
          </cell>
        </row>
        <row r="300">
          <cell r="E300" t="str">
            <v>Bima Tani Jaya/Kevin Pratama</v>
          </cell>
          <cell r="I300">
            <v>4080000</v>
          </cell>
        </row>
        <row r="301">
          <cell r="E301" t="str">
            <v>Bina Mandiri, UD/Nurul</v>
          </cell>
          <cell r="I301">
            <v>2475000</v>
          </cell>
        </row>
        <row r="302">
          <cell r="E302" t="str">
            <v>Bintang Berkah Barokah, CV</v>
          </cell>
          <cell r="I302">
            <v>18500000</v>
          </cell>
        </row>
        <row r="303">
          <cell r="E303" t="str">
            <v>Bumi Tani 2/Hafid</v>
          </cell>
          <cell r="I303">
            <v>1350000</v>
          </cell>
        </row>
        <row r="304">
          <cell r="E304" t="str">
            <v>Bursa Tani/Brian</v>
          </cell>
          <cell r="I304">
            <v>10000000</v>
          </cell>
        </row>
        <row r="305">
          <cell r="E305" t="str">
            <v>Damar Batur Nusantara</v>
          </cell>
          <cell r="I305">
            <v>2460000</v>
          </cell>
        </row>
        <row r="306">
          <cell r="E306" t="str">
            <v>Damar Batur Nusantara</v>
          </cell>
          <cell r="I306">
            <v>48500000</v>
          </cell>
        </row>
        <row r="307">
          <cell r="E307" t="str">
            <v>Damar Batur Nusantara</v>
          </cell>
          <cell r="I307">
            <v>2700000</v>
          </cell>
        </row>
        <row r="308">
          <cell r="E308" t="str">
            <v>Merdeka Tani/Sugiono</v>
          </cell>
          <cell r="I308">
            <v>8700000</v>
          </cell>
        </row>
        <row r="309">
          <cell r="E309" t="str">
            <v>Merdeka Tani/Sugiono</v>
          </cell>
          <cell r="I309">
            <v>14000000</v>
          </cell>
        </row>
        <row r="310">
          <cell r="E310" t="str">
            <v>Purbaya</v>
          </cell>
          <cell r="I310">
            <v>129760000</v>
          </cell>
        </row>
        <row r="311">
          <cell r="E311" t="str">
            <v>Roy Mandiri, UD/Faikul</v>
          </cell>
          <cell r="I311">
            <v>6900000</v>
          </cell>
        </row>
        <row r="312">
          <cell r="E312" t="str">
            <v>Sadar Sari/Farid Firdaus</v>
          </cell>
          <cell r="I312">
            <v>2520000</v>
          </cell>
        </row>
        <row r="313">
          <cell r="E313" t="str">
            <v>Serba Hasil/Ansori</v>
          </cell>
          <cell r="I313">
            <v>20000000</v>
          </cell>
        </row>
        <row r="314">
          <cell r="E314" t="str">
            <v>Subur Makmur, UD</v>
          </cell>
          <cell r="I314">
            <v>75000000</v>
          </cell>
        </row>
        <row r="315">
          <cell r="E315" t="str">
            <v>Sumber Tani/Eko Wardono</v>
          </cell>
          <cell r="I315">
            <v>9800000</v>
          </cell>
        </row>
        <row r="316">
          <cell r="E316" t="str">
            <v>Sumber Tani/Eko Wardono</v>
          </cell>
          <cell r="I316">
            <v>2320000</v>
          </cell>
        </row>
        <row r="317">
          <cell r="E317" t="str">
            <v>Tani Subur/Saiful</v>
          </cell>
          <cell r="I317">
            <v>1125000</v>
          </cell>
        </row>
        <row r="318">
          <cell r="E318" t="str">
            <v>Tani Subur/Saiful</v>
          </cell>
          <cell r="I318">
            <v>4935000</v>
          </cell>
        </row>
        <row r="319">
          <cell r="E319" t="str">
            <v>Tani Subur/Saiful</v>
          </cell>
          <cell r="I319">
            <v>575000</v>
          </cell>
        </row>
        <row r="320">
          <cell r="E320" t="str">
            <v>Al Badar/Badar, H</v>
          </cell>
          <cell r="I320">
            <v>9175000</v>
          </cell>
        </row>
        <row r="321">
          <cell r="E321" t="str">
            <v>Al Badar/Badar, H</v>
          </cell>
          <cell r="I321">
            <v>470000</v>
          </cell>
        </row>
        <row r="322">
          <cell r="E322" t="str">
            <v>Al Badar/Badar, H</v>
          </cell>
          <cell r="I322">
            <v>2000000</v>
          </cell>
        </row>
        <row r="323">
          <cell r="E323" t="str">
            <v>Andalas Farm, UD</v>
          </cell>
          <cell r="I323">
            <v>1410000</v>
          </cell>
        </row>
        <row r="324">
          <cell r="E324" t="str">
            <v>Berkah Kayra/Nuyun</v>
          </cell>
          <cell r="I324">
            <v>705000</v>
          </cell>
        </row>
        <row r="325">
          <cell r="E325" t="str">
            <v>Bima Tani Jaya/Kevin Pratama</v>
          </cell>
          <cell r="I325">
            <v>4200000</v>
          </cell>
        </row>
        <row r="326">
          <cell r="E326" t="str">
            <v>Bina Mandiri, UD/Nurul</v>
          </cell>
          <cell r="I326">
            <v>1450000</v>
          </cell>
        </row>
        <row r="327">
          <cell r="E327" t="str">
            <v>Bursa Tani/Brian</v>
          </cell>
          <cell r="I327">
            <v>3350000</v>
          </cell>
        </row>
        <row r="328">
          <cell r="E328" t="str">
            <v>Djago Tani/Edi</v>
          </cell>
          <cell r="I328">
            <v>1175000</v>
          </cell>
        </row>
        <row r="329">
          <cell r="E329" t="str">
            <v>Era Tani/Abdul Wakik</v>
          </cell>
          <cell r="I329">
            <v>1917500</v>
          </cell>
        </row>
        <row r="330">
          <cell r="E330" t="str">
            <v>Era Tani/Abdul Wakik</v>
          </cell>
          <cell r="I330">
            <v>370000</v>
          </cell>
        </row>
        <row r="331">
          <cell r="E331" t="str">
            <v>Mahkota/Cik Cuan</v>
          </cell>
          <cell r="I331">
            <v>3000000</v>
          </cell>
        </row>
        <row r="332">
          <cell r="E332" t="str">
            <v>Merdeka Tani/Sugiono</v>
          </cell>
          <cell r="I332">
            <v>40680000</v>
          </cell>
        </row>
        <row r="333">
          <cell r="E333" t="str">
            <v>Moga Berkah/Robid</v>
          </cell>
          <cell r="I333">
            <v>5075000</v>
          </cell>
        </row>
        <row r="334">
          <cell r="E334" t="str">
            <v>Riski Tani/Hadi</v>
          </cell>
          <cell r="I334">
            <v>20204000</v>
          </cell>
        </row>
        <row r="335">
          <cell r="E335" t="str">
            <v>Riski Tani/Hadi</v>
          </cell>
          <cell r="I335">
            <v>7980000</v>
          </cell>
        </row>
        <row r="336">
          <cell r="E336" t="str">
            <v>Riski Tani/Hadi</v>
          </cell>
          <cell r="I336">
            <v>6420000</v>
          </cell>
        </row>
        <row r="337">
          <cell r="E337" t="str">
            <v>Roda Tani/Srinarsih</v>
          </cell>
          <cell r="I337">
            <v>1840000</v>
          </cell>
        </row>
        <row r="338">
          <cell r="E338">
            <v>0</v>
          </cell>
          <cell r="I338">
            <v>0</v>
          </cell>
        </row>
        <row r="339">
          <cell r="E339" t="str">
            <v>Sugeng Makmur, Toko</v>
          </cell>
          <cell r="I339">
            <v>11000000</v>
          </cell>
        </row>
        <row r="340">
          <cell r="E340" t="str">
            <v>Tani Bersatu</v>
          </cell>
          <cell r="I340">
            <v>7960000</v>
          </cell>
        </row>
        <row r="341">
          <cell r="E341" t="str">
            <v>Agro Suci/Bety</v>
          </cell>
          <cell r="I341">
            <v>5375000</v>
          </cell>
        </row>
        <row r="342">
          <cell r="E342" t="str">
            <v>Almeera Tani/Alif</v>
          </cell>
          <cell r="I342">
            <v>16170000</v>
          </cell>
        </row>
        <row r="343">
          <cell r="E343" t="str">
            <v>Anggoro Makmur/Yayuk</v>
          </cell>
          <cell r="I343">
            <v>390000</v>
          </cell>
        </row>
        <row r="344">
          <cell r="E344" t="str">
            <v>Anggoro Makmur/Yayuk</v>
          </cell>
          <cell r="I344">
            <v>2480000</v>
          </cell>
        </row>
        <row r="345">
          <cell r="E345" t="str">
            <v>Bima Tani Jaya/Kevin Pratama</v>
          </cell>
          <cell r="I345">
            <v>1030000</v>
          </cell>
        </row>
        <row r="346">
          <cell r="E346" t="str">
            <v>Damar Batur Nusantara</v>
          </cell>
          <cell r="I346">
            <v>16712500</v>
          </cell>
        </row>
        <row r="347">
          <cell r="E347" t="str">
            <v>Damar Batur Nusantara</v>
          </cell>
          <cell r="I347">
            <v>3460000</v>
          </cell>
        </row>
        <row r="348">
          <cell r="E348" t="str">
            <v>Griya Tani/Sri</v>
          </cell>
          <cell r="I348">
            <v>18828500</v>
          </cell>
        </row>
        <row r="349">
          <cell r="E349" t="str">
            <v>Hasil Usaha, UD</v>
          </cell>
          <cell r="I349">
            <v>38700000</v>
          </cell>
        </row>
        <row r="350">
          <cell r="E350" t="str">
            <v>Kharisma/Nanang</v>
          </cell>
          <cell r="I350">
            <v>1487500</v>
          </cell>
        </row>
        <row r="351">
          <cell r="E351" t="str">
            <v>Luhur Tani/M. Itqon</v>
          </cell>
          <cell r="I351">
            <v>6480000</v>
          </cell>
        </row>
        <row r="352">
          <cell r="E352" t="str">
            <v>Maju Jaya/Azwar</v>
          </cell>
          <cell r="I352">
            <v>11400000</v>
          </cell>
        </row>
        <row r="353">
          <cell r="E353" t="str">
            <v>Omah Tani/Agus</v>
          </cell>
          <cell r="I353">
            <v>4600000</v>
          </cell>
        </row>
        <row r="354">
          <cell r="E354" t="str">
            <v>Pasha Tani</v>
          </cell>
          <cell r="I354">
            <v>3040000</v>
          </cell>
        </row>
        <row r="355">
          <cell r="E355" t="str">
            <v>Serba Hasil/Ansori</v>
          </cell>
          <cell r="I355">
            <v>28300000</v>
          </cell>
        </row>
        <row r="356">
          <cell r="E356" t="str">
            <v>Serba Hasil/Ansori</v>
          </cell>
          <cell r="I356">
            <v>17200000</v>
          </cell>
        </row>
        <row r="357">
          <cell r="E357" t="str">
            <v>Wira Tani, UD</v>
          </cell>
          <cell r="I357">
            <v>3264000</v>
          </cell>
        </row>
        <row r="358">
          <cell r="E358" t="str">
            <v>Zifa Tani/Purwanto</v>
          </cell>
          <cell r="I358">
            <v>2110000</v>
          </cell>
        </row>
        <row r="359">
          <cell r="E359" t="str">
            <v>Bima Tani Jaya/Kevin Pratama</v>
          </cell>
          <cell r="I359">
            <v>1500000</v>
          </cell>
        </row>
        <row r="360">
          <cell r="E360" t="str">
            <v>Cipta Jaya Multifarm</v>
          </cell>
          <cell r="I360">
            <v>2112000</v>
          </cell>
        </row>
        <row r="361">
          <cell r="E361" t="str">
            <v>CV. Surya Agro Pradhana</v>
          </cell>
          <cell r="I361">
            <v>68125000</v>
          </cell>
        </row>
        <row r="362">
          <cell r="E362" t="str">
            <v>Rizki Tani/Ratna</v>
          </cell>
          <cell r="I362">
            <v>388890000</v>
          </cell>
        </row>
        <row r="363">
          <cell r="E363" t="str">
            <v>Rizki Tani/Ratna</v>
          </cell>
          <cell r="I363">
            <v>387996000</v>
          </cell>
        </row>
        <row r="364">
          <cell r="E364" t="str">
            <v>Serba Hasil/Ansori</v>
          </cell>
          <cell r="I364">
            <v>13320000</v>
          </cell>
        </row>
        <row r="365">
          <cell r="E365" t="str">
            <v>Sumber Hidup/Ugik</v>
          </cell>
          <cell r="I365">
            <v>5400000</v>
          </cell>
        </row>
        <row r="366">
          <cell r="E366">
            <v>0</v>
          </cell>
          <cell r="I366">
            <v>0</v>
          </cell>
        </row>
        <row r="367">
          <cell r="E367">
            <v>0</v>
          </cell>
          <cell r="I367">
            <v>0</v>
          </cell>
        </row>
        <row r="368">
          <cell r="E368">
            <v>0</v>
          </cell>
          <cell r="I368">
            <v>0</v>
          </cell>
        </row>
        <row r="369">
          <cell r="E369">
            <v>0</v>
          </cell>
          <cell r="I369">
            <v>0</v>
          </cell>
        </row>
        <row r="370">
          <cell r="E370">
            <v>0</v>
          </cell>
          <cell r="I370">
            <v>0</v>
          </cell>
        </row>
        <row r="371">
          <cell r="E371">
            <v>0</v>
          </cell>
          <cell r="I371">
            <v>0</v>
          </cell>
        </row>
        <row r="372">
          <cell r="E372">
            <v>0</v>
          </cell>
          <cell r="I372">
            <v>0</v>
          </cell>
        </row>
        <row r="373">
          <cell r="E373">
            <v>0</v>
          </cell>
          <cell r="I373">
            <v>0</v>
          </cell>
        </row>
        <row r="374">
          <cell r="E374">
            <v>0</v>
          </cell>
          <cell r="I374">
            <v>0</v>
          </cell>
        </row>
        <row r="375">
          <cell r="E375">
            <v>0</v>
          </cell>
          <cell r="I375">
            <v>0</v>
          </cell>
        </row>
        <row r="376">
          <cell r="E376">
            <v>0</v>
          </cell>
          <cell r="I376">
            <v>0</v>
          </cell>
        </row>
        <row r="377">
          <cell r="E377">
            <v>0</v>
          </cell>
          <cell r="I377">
            <v>0</v>
          </cell>
        </row>
        <row r="378">
          <cell r="E378">
            <v>0</v>
          </cell>
          <cell r="I378">
            <v>0</v>
          </cell>
        </row>
        <row r="379">
          <cell r="E379">
            <v>0</v>
          </cell>
          <cell r="I379">
            <v>0</v>
          </cell>
        </row>
        <row r="380">
          <cell r="E380">
            <v>0</v>
          </cell>
          <cell r="I380">
            <v>0</v>
          </cell>
        </row>
        <row r="381">
          <cell r="E381">
            <v>0</v>
          </cell>
          <cell r="I381">
            <v>0</v>
          </cell>
        </row>
        <row r="382">
          <cell r="E382">
            <v>0</v>
          </cell>
          <cell r="I382">
            <v>0</v>
          </cell>
        </row>
        <row r="383">
          <cell r="E383">
            <v>0</v>
          </cell>
          <cell r="I383">
            <v>0</v>
          </cell>
        </row>
        <row r="384">
          <cell r="E384">
            <v>0</v>
          </cell>
          <cell r="I384">
            <v>0</v>
          </cell>
        </row>
        <row r="385">
          <cell r="E385">
            <v>0</v>
          </cell>
          <cell r="I385">
            <v>0</v>
          </cell>
        </row>
        <row r="386">
          <cell r="E386">
            <v>0</v>
          </cell>
          <cell r="I386">
            <v>0</v>
          </cell>
        </row>
        <row r="387">
          <cell r="E387">
            <v>0</v>
          </cell>
          <cell r="I387">
            <v>0</v>
          </cell>
        </row>
        <row r="388">
          <cell r="E388">
            <v>0</v>
          </cell>
          <cell r="I388">
            <v>0</v>
          </cell>
        </row>
        <row r="389">
          <cell r="E389">
            <v>0</v>
          </cell>
          <cell r="I389">
            <v>0</v>
          </cell>
        </row>
        <row r="390">
          <cell r="E390">
            <v>0</v>
          </cell>
          <cell r="I390">
            <v>0</v>
          </cell>
        </row>
        <row r="391">
          <cell r="E391">
            <v>0</v>
          </cell>
          <cell r="I391">
            <v>0</v>
          </cell>
        </row>
        <row r="392">
          <cell r="E392">
            <v>0</v>
          </cell>
          <cell r="I392">
            <v>0</v>
          </cell>
        </row>
        <row r="393">
          <cell r="E393">
            <v>0</v>
          </cell>
          <cell r="I393">
            <v>0</v>
          </cell>
        </row>
        <row r="394">
          <cell r="E394">
            <v>0</v>
          </cell>
          <cell r="I394">
            <v>0</v>
          </cell>
        </row>
        <row r="395">
          <cell r="E395">
            <v>0</v>
          </cell>
          <cell r="I395">
            <v>0</v>
          </cell>
        </row>
        <row r="396">
          <cell r="E396">
            <v>0</v>
          </cell>
          <cell r="I396">
            <v>0</v>
          </cell>
        </row>
        <row r="397">
          <cell r="E397">
            <v>0</v>
          </cell>
          <cell r="I397">
            <v>0</v>
          </cell>
        </row>
        <row r="398">
          <cell r="E398">
            <v>0</v>
          </cell>
          <cell r="I398">
            <v>0</v>
          </cell>
        </row>
        <row r="399">
          <cell r="E399">
            <v>0</v>
          </cell>
          <cell r="I399">
            <v>0</v>
          </cell>
        </row>
        <row r="400">
          <cell r="E400">
            <v>0</v>
          </cell>
          <cell r="I400">
            <v>0</v>
          </cell>
        </row>
        <row r="401">
          <cell r="E401">
            <v>0</v>
          </cell>
          <cell r="I401">
            <v>0</v>
          </cell>
        </row>
        <row r="402">
          <cell r="E402">
            <v>0</v>
          </cell>
          <cell r="I402">
            <v>0</v>
          </cell>
        </row>
        <row r="403">
          <cell r="E403">
            <v>0</v>
          </cell>
          <cell r="I403">
            <v>0</v>
          </cell>
        </row>
        <row r="404">
          <cell r="E404">
            <v>0</v>
          </cell>
          <cell r="I404">
            <v>0</v>
          </cell>
        </row>
        <row r="405">
          <cell r="E405">
            <v>0</v>
          </cell>
          <cell r="I405">
            <v>0</v>
          </cell>
        </row>
        <row r="406">
          <cell r="E406">
            <v>0</v>
          </cell>
          <cell r="I406">
            <v>0</v>
          </cell>
        </row>
        <row r="407">
          <cell r="E407">
            <v>0</v>
          </cell>
          <cell r="I407">
            <v>0</v>
          </cell>
        </row>
        <row r="408">
          <cell r="E408">
            <v>0</v>
          </cell>
          <cell r="I408">
            <v>0</v>
          </cell>
        </row>
        <row r="409">
          <cell r="E409">
            <v>0</v>
          </cell>
          <cell r="I409">
            <v>0</v>
          </cell>
        </row>
        <row r="410">
          <cell r="E410">
            <v>0</v>
          </cell>
          <cell r="I410">
            <v>0</v>
          </cell>
        </row>
        <row r="411">
          <cell r="E411">
            <v>0</v>
          </cell>
          <cell r="I411">
            <v>0</v>
          </cell>
        </row>
        <row r="412">
          <cell r="E412">
            <v>0</v>
          </cell>
          <cell r="I412">
            <v>0</v>
          </cell>
        </row>
        <row r="413">
          <cell r="E413">
            <v>0</v>
          </cell>
          <cell r="I413">
            <v>0</v>
          </cell>
        </row>
        <row r="414">
          <cell r="E414">
            <v>0</v>
          </cell>
          <cell r="I414">
            <v>0</v>
          </cell>
        </row>
        <row r="415">
          <cell r="E415">
            <v>0</v>
          </cell>
          <cell r="I415">
            <v>0</v>
          </cell>
        </row>
        <row r="416">
          <cell r="E416">
            <v>0</v>
          </cell>
          <cell r="I416">
            <v>0</v>
          </cell>
        </row>
        <row r="417">
          <cell r="E417">
            <v>0</v>
          </cell>
          <cell r="I417">
            <v>0</v>
          </cell>
        </row>
        <row r="418">
          <cell r="E418">
            <v>0</v>
          </cell>
          <cell r="I418">
            <v>0</v>
          </cell>
        </row>
        <row r="419">
          <cell r="E419">
            <v>0</v>
          </cell>
          <cell r="I419">
            <v>0</v>
          </cell>
        </row>
        <row r="420">
          <cell r="E420">
            <v>0</v>
          </cell>
          <cell r="I420">
            <v>0</v>
          </cell>
        </row>
        <row r="421">
          <cell r="E421">
            <v>0</v>
          </cell>
          <cell r="I421">
            <v>0</v>
          </cell>
        </row>
        <row r="422">
          <cell r="E422">
            <v>0</v>
          </cell>
          <cell r="I422">
            <v>0</v>
          </cell>
        </row>
        <row r="423">
          <cell r="E423">
            <v>0</v>
          </cell>
          <cell r="I423">
            <v>0</v>
          </cell>
        </row>
        <row r="424">
          <cell r="E424">
            <v>0</v>
          </cell>
          <cell r="I424">
            <v>0</v>
          </cell>
        </row>
        <row r="425">
          <cell r="E425">
            <v>0</v>
          </cell>
          <cell r="I425">
            <v>0</v>
          </cell>
        </row>
        <row r="426">
          <cell r="E426">
            <v>0</v>
          </cell>
          <cell r="I426">
            <v>0</v>
          </cell>
        </row>
        <row r="427">
          <cell r="E427">
            <v>0</v>
          </cell>
          <cell r="I427">
            <v>0</v>
          </cell>
        </row>
        <row r="428">
          <cell r="E428">
            <v>0</v>
          </cell>
          <cell r="I428">
            <v>0</v>
          </cell>
        </row>
        <row r="429">
          <cell r="E429">
            <v>0</v>
          </cell>
          <cell r="I429">
            <v>0</v>
          </cell>
        </row>
        <row r="430">
          <cell r="E430">
            <v>0</v>
          </cell>
          <cell r="I430">
            <v>0</v>
          </cell>
        </row>
        <row r="431">
          <cell r="E431">
            <v>0</v>
          </cell>
          <cell r="I431">
            <v>0</v>
          </cell>
        </row>
        <row r="432">
          <cell r="E432">
            <v>0</v>
          </cell>
          <cell r="I432">
            <v>0</v>
          </cell>
        </row>
        <row r="433">
          <cell r="E433">
            <v>0</v>
          </cell>
          <cell r="I433">
            <v>0</v>
          </cell>
        </row>
        <row r="434">
          <cell r="E434">
            <v>0</v>
          </cell>
          <cell r="I434">
            <v>0</v>
          </cell>
        </row>
        <row r="435">
          <cell r="E435">
            <v>0</v>
          </cell>
          <cell r="I435">
            <v>0</v>
          </cell>
        </row>
        <row r="436">
          <cell r="E436">
            <v>0</v>
          </cell>
          <cell r="I436">
            <v>0</v>
          </cell>
        </row>
        <row r="437">
          <cell r="E437">
            <v>0</v>
          </cell>
          <cell r="I437">
            <v>0</v>
          </cell>
        </row>
        <row r="438">
          <cell r="E438">
            <v>0</v>
          </cell>
          <cell r="I438">
            <v>0</v>
          </cell>
        </row>
        <row r="439">
          <cell r="E439">
            <v>0</v>
          </cell>
          <cell r="I439">
            <v>0</v>
          </cell>
        </row>
        <row r="440">
          <cell r="E440">
            <v>0</v>
          </cell>
          <cell r="I440">
            <v>0</v>
          </cell>
        </row>
        <row r="441">
          <cell r="E441">
            <v>0</v>
          </cell>
          <cell r="I441">
            <v>0</v>
          </cell>
        </row>
        <row r="442">
          <cell r="E442">
            <v>0</v>
          </cell>
          <cell r="I442">
            <v>0</v>
          </cell>
        </row>
        <row r="443">
          <cell r="E443">
            <v>0</v>
          </cell>
          <cell r="I443">
            <v>0</v>
          </cell>
        </row>
        <row r="444">
          <cell r="E444">
            <v>0</v>
          </cell>
          <cell r="I444">
            <v>0</v>
          </cell>
        </row>
        <row r="445">
          <cell r="E445">
            <v>0</v>
          </cell>
          <cell r="I445">
            <v>0</v>
          </cell>
        </row>
        <row r="446">
          <cell r="E446">
            <v>0</v>
          </cell>
          <cell r="I446">
            <v>0</v>
          </cell>
        </row>
        <row r="447">
          <cell r="E447">
            <v>0</v>
          </cell>
          <cell r="I447">
            <v>0</v>
          </cell>
        </row>
        <row r="448">
          <cell r="E448">
            <v>0</v>
          </cell>
          <cell r="I448">
            <v>0</v>
          </cell>
        </row>
        <row r="449">
          <cell r="E449">
            <v>0</v>
          </cell>
          <cell r="I449">
            <v>0</v>
          </cell>
        </row>
        <row r="450">
          <cell r="E450">
            <v>0</v>
          </cell>
          <cell r="I450">
            <v>0</v>
          </cell>
        </row>
        <row r="451">
          <cell r="E451">
            <v>0</v>
          </cell>
          <cell r="I451">
            <v>0</v>
          </cell>
        </row>
        <row r="452">
          <cell r="E452">
            <v>0</v>
          </cell>
          <cell r="I452">
            <v>0</v>
          </cell>
        </row>
        <row r="453">
          <cell r="E453">
            <v>0</v>
          </cell>
          <cell r="I453">
            <v>0</v>
          </cell>
        </row>
        <row r="454">
          <cell r="E454">
            <v>0</v>
          </cell>
          <cell r="I454">
            <v>0</v>
          </cell>
        </row>
        <row r="455">
          <cell r="E455">
            <v>0</v>
          </cell>
          <cell r="I455">
            <v>0</v>
          </cell>
        </row>
        <row r="456">
          <cell r="E456">
            <v>0</v>
          </cell>
          <cell r="I456">
            <v>0</v>
          </cell>
        </row>
        <row r="457">
          <cell r="E457">
            <v>0</v>
          </cell>
          <cell r="I457">
            <v>0</v>
          </cell>
        </row>
        <row r="458">
          <cell r="E458">
            <v>0</v>
          </cell>
          <cell r="I458">
            <v>0</v>
          </cell>
        </row>
        <row r="459">
          <cell r="E459">
            <v>0</v>
          </cell>
          <cell r="I459">
            <v>0</v>
          </cell>
        </row>
        <row r="460">
          <cell r="E460">
            <v>0</v>
          </cell>
          <cell r="I460">
            <v>0</v>
          </cell>
        </row>
        <row r="461">
          <cell r="E461">
            <v>0</v>
          </cell>
          <cell r="I461">
            <v>0</v>
          </cell>
        </row>
        <row r="462">
          <cell r="E462">
            <v>0</v>
          </cell>
          <cell r="I462">
            <v>0</v>
          </cell>
        </row>
        <row r="463">
          <cell r="E463">
            <v>0</v>
          </cell>
          <cell r="I463">
            <v>0</v>
          </cell>
        </row>
        <row r="464">
          <cell r="E464">
            <v>0</v>
          </cell>
          <cell r="I464">
            <v>0</v>
          </cell>
        </row>
        <row r="465">
          <cell r="E465">
            <v>0</v>
          </cell>
          <cell r="I465">
            <v>0</v>
          </cell>
        </row>
        <row r="466">
          <cell r="E466">
            <v>0</v>
          </cell>
          <cell r="I466">
            <v>0</v>
          </cell>
        </row>
        <row r="467">
          <cell r="E467">
            <v>0</v>
          </cell>
          <cell r="I467">
            <v>0</v>
          </cell>
        </row>
        <row r="468">
          <cell r="E468">
            <v>0</v>
          </cell>
          <cell r="I468">
            <v>0</v>
          </cell>
        </row>
        <row r="469">
          <cell r="E469">
            <v>0</v>
          </cell>
          <cell r="I469">
            <v>0</v>
          </cell>
        </row>
        <row r="470">
          <cell r="E470">
            <v>0</v>
          </cell>
          <cell r="I470">
            <v>0</v>
          </cell>
        </row>
        <row r="471">
          <cell r="E471">
            <v>0</v>
          </cell>
          <cell r="I471">
            <v>0</v>
          </cell>
        </row>
        <row r="472">
          <cell r="E472">
            <v>0</v>
          </cell>
          <cell r="I472">
            <v>0</v>
          </cell>
        </row>
        <row r="473">
          <cell r="E473">
            <v>0</v>
          </cell>
          <cell r="I473">
            <v>0</v>
          </cell>
        </row>
        <row r="474">
          <cell r="E474">
            <v>0</v>
          </cell>
          <cell r="I474">
            <v>0</v>
          </cell>
        </row>
        <row r="475">
          <cell r="E475">
            <v>0</v>
          </cell>
          <cell r="I475">
            <v>0</v>
          </cell>
        </row>
        <row r="476">
          <cell r="E476">
            <v>0</v>
          </cell>
          <cell r="I476">
            <v>0</v>
          </cell>
        </row>
        <row r="477">
          <cell r="E477">
            <v>0</v>
          </cell>
          <cell r="I477">
            <v>0</v>
          </cell>
        </row>
        <row r="478">
          <cell r="E478">
            <v>0</v>
          </cell>
          <cell r="I478">
            <v>0</v>
          </cell>
        </row>
        <row r="479">
          <cell r="E479">
            <v>0</v>
          </cell>
          <cell r="I479">
            <v>0</v>
          </cell>
        </row>
        <row r="480">
          <cell r="E480">
            <v>0</v>
          </cell>
          <cell r="I480">
            <v>0</v>
          </cell>
        </row>
        <row r="481">
          <cell r="E481">
            <v>0</v>
          </cell>
          <cell r="I481">
            <v>0</v>
          </cell>
        </row>
        <row r="482">
          <cell r="E482">
            <v>0</v>
          </cell>
          <cell r="I482">
            <v>0</v>
          </cell>
        </row>
        <row r="483">
          <cell r="E483">
            <v>0</v>
          </cell>
          <cell r="I483">
            <v>0</v>
          </cell>
        </row>
        <row r="484">
          <cell r="E484">
            <v>0</v>
          </cell>
          <cell r="I484">
            <v>0</v>
          </cell>
        </row>
        <row r="485">
          <cell r="E485">
            <v>0</v>
          </cell>
          <cell r="I485">
            <v>0</v>
          </cell>
        </row>
        <row r="486">
          <cell r="E486">
            <v>0</v>
          </cell>
          <cell r="I486">
            <v>0</v>
          </cell>
        </row>
        <row r="487">
          <cell r="E487">
            <v>0</v>
          </cell>
          <cell r="I487">
            <v>0</v>
          </cell>
        </row>
        <row r="488">
          <cell r="E488">
            <v>0</v>
          </cell>
          <cell r="I488">
            <v>0</v>
          </cell>
        </row>
        <row r="489">
          <cell r="E489">
            <v>0</v>
          </cell>
          <cell r="I489">
            <v>0</v>
          </cell>
        </row>
        <row r="490">
          <cell r="E490">
            <v>0</v>
          </cell>
          <cell r="I490">
            <v>0</v>
          </cell>
        </row>
        <row r="491">
          <cell r="E491">
            <v>0</v>
          </cell>
          <cell r="I491">
            <v>0</v>
          </cell>
        </row>
        <row r="492">
          <cell r="E492">
            <v>0</v>
          </cell>
          <cell r="I492">
            <v>0</v>
          </cell>
        </row>
        <row r="493">
          <cell r="E493">
            <v>0</v>
          </cell>
          <cell r="I493">
            <v>0</v>
          </cell>
        </row>
        <row r="494">
          <cell r="E494">
            <v>0</v>
          </cell>
          <cell r="I494">
            <v>0</v>
          </cell>
        </row>
        <row r="495">
          <cell r="E495">
            <v>0</v>
          </cell>
          <cell r="I495">
            <v>0</v>
          </cell>
        </row>
        <row r="496">
          <cell r="E496">
            <v>0</v>
          </cell>
          <cell r="I496">
            <v>0</v>
          </cell>
        </row>
        <row r="497">
          <cell r="E497">
            <v>0</v>
          </cell>
          <cell r="I497">
            <v>0</v>
          </cell>
        </row>
        <row r="498">
          <cell r="E498">
            <v>0</v>
          </cell>
          <cell r="I498">
            <v>0</v>
          </cell>
        </row>
        <row r="499">
          <cell r="E499">
            <v>0</v>
          </cell>
          <cell r="I499">
            <v>0</v>
          </cell>
        </row>
        <row r="500">
          <cell r="E500">
            <v>0</v>
          </cell>
          <cell r="I500">
            <v>0</v>
          </cell>
        </row>
        <row r="501">
          <cell r="E501">
            <v>0</v>
          </cell>
          <cell r="I501">
            <v>0</v>
          </cell>
        </row>
        <row r="502">
          <cell r="E502">
            <v>0</v>
          </cell>
          <cell r="I502">
            <v>0</v>
          </cell>
        </row>
        <row r="503">
          <cell r="E503">
            <v>0</v>
          </cell>
          <cell r="I503">
            <v>0</v>
          </cell>
        </row>
        <row r="504">
          <cell r="E504">
            <v>0</v>
          </cell>
          <cell r="I504">
            <v>0</v>
          </cell>
        </row>
        <row r="505">
          <cell r="E505">
            <v>0</v>
          </cell>
          <cell r="I505">
            <v>0</v>
          </cell>
        </row>
        <row r="506">
          <cell r="E506">
            <v>0</v>
          </cell>
          <cell r="I506">
            <v>0</v>
          </cell>
        </row>
        <row r="507">
          <cell r="E507">
            <v>0</v>
          </cell>
          <cell r="I507">
            <v>0</v>
          </cell>
        </row>
        <row r="508">
          <cell r="E508">
            <v>0</v>
          </cell>
          <cell r="I508">
            <v>0</v>
          </cell>
        </row>
        <row r="509">
          <cell r="E509">
            <v>0</v>
          </cell>
          <cell r="I509">
            <v>0</v>
          </cell>
        </row>
        <row r="510">
          <cell r="E510">
            <v>0</v>
          </cell>
          <cell r="I510">
            <v>0</v>
          </cell>
        </row>
        <row r="511">
          <cell r="E511">
            <v>0</v>
          </cell>
          <cell r="I511">
            <v>0</v>
          </cell>
        </row>
        <row r="512">
          <cell r="E512">
            <v>0</v>
          </cell>
          <cell r="I512">
            <v>0</v>
          </cell>
        </row>
        <row r="513">
          <cell r="E513">
            <v>0</v>
          </cell>
          <cell r="I513">
            <v>0</v>
          </cell>
        </row>
        <row r="514">
          <cell r="E514">
            <v>0</v>
          </cell>
          <cell r="I514">
            <v>0</v>
          </cell>
        </row>
        <row r="515">
          <cell r="E515">
            <v>0</v>
          </cell>
          <cell r="I515">
            <v>0</v>
          </cell>
        </row>
        <row r="516">
          <cell r="E516">
            <v>0</v>
          </cell>
          <cell r="I516">
            <v>0</v>
          </cell>
        </row>
        <row r="517">
          <cell r="E517">
            <v>0</v>
          </cell>
          <cell r="I517">
            <v>0</v>
          </cell>
        </row>
        <row r="518">
          <cell r="E518">
            <v>0</v>
          </cell>
          <cell r="I518">
            <v>0</v>
          </cell>
        </row>
        <row r="519">
          <cell r="E519">
            <v>0</v>
          </cell>
          <cell r="I519">
            <v>0</v>
          </cell>
        </row>
        <row r="520">
          <cell r="E520">
            <v>0</v>
          </cell>
          <cell r="I520">
            <v>0</v>
          </cell>
        </row>
        <row r="521">
          <cell r="E521">
            <v>0</v>
          </cell>
          <cell r="I521">
            <v>0</v>
          </cell>
        </row>
        <row r="522">
          <cell r="E522">
            <v>0</v>
          </cell>
          <cell r="I522">
            <v>0</v>
          </cell>
        </row>
        <row r="523">
          <cell r="E523">
            <v>0</v>
          </cell>
          <cell r="I523">
            <v>0</v>
          </cell>
        </row>
        <row r="524">
          <cell r="E524">
            <v>0</v>
          </cell>
          <cell r="I524">
            <v>0</v>
          </cell>
        </row>
        <row r="525">
          <cell r="E525">
            <v>0</v>
          </cell>
          <cell r="I525">
            <v>0</v>
          </cell>
        </row>
        <row r="526">
          <cell r="E526">
            <v>0</v>
          </cell>
          <cell r="I526">
            <v>0</v>
          </cell>
        </row>
        <row r="527">
          <cell r="E527">
            <v>0</v>
          </cell>
          <cell r="I527">
            <v>0</v>
          </cell>
        </row>
        <row r="528">
          <cell r="E528">
            <v>0</v>
          </cell>
          <cell r="I528">
            <v>0</v>
          </cell>
        </row>
        <row r="529">
          <cell r="E529">
            <v>0</v>
          </cell>
          <cell r="I529">
            <v>0</v>
          </cell>
        </row>
        <row r="530">
          <cell r="E530">
            <v>0</v>
          </cell>
          <cell r="I530">
            <v>0</v>
          </cell>
        </row>
        <row r="531">
          <cell r="E531">
            <v>0</v>
          </cell>
          <cell r="I531">
            <v>0</v>
          </cell>
        </row>
        <row r="532">
          <cell r="E532">
            <v>0</v>
          </cell>
          <cell r="I532">
            <v>0</v>
          </cell>
        </row>
        <row r="533">
          <cell r="E533">
            <v>0</v>
          </cell>
          <cell r="I533">
            <v>0</v>
          </cell>
        </row>
        <row r="534">
          <cell r="E534">
            <v>0</v>
          </cell>
          <cell r="I534">
            <v>0</v>
          </cell>
        </row>
        <row r="535">
          <cell r="E535">
            <v>0</v>
          </cell>
          <cell r="I535">
            <v>0</v>
          </cell>
        </row>
        <row r="536">
          <cell r="E536">
            <v>0</v>
          </cell>
          <cell r="I536">
            <v>0</v>
          </cell>
        </row>
        <row r="537">
          <cell r="E537">
            <v>0</v>
          </cell>
          <cell r="I537">
            <v>0</v>
          </cell>
        </row>
        <row r="538">
          <cell r="E538">
            <v>0</v>
          </cell>
          <cell r="I538">
            <v>0</v>
          </cell>
        </row>
        <row r="539">
          <cell r="E539">
            <v>0</v>
          </cell>
          <cell r="I539">
            <v>0</v>
          </cell>
        </row>
        <row r="540">
          <cell r="E540">
            <v>0</v>
          </cell>
          <cell r="I540">
            <v>0</v>
          </cell>
        </row>
        <row r="541">
          <cell r="E541">
            <v>0</v>
          </cell>
          <cell r="I541">
            <v>0</v>
          </cell>
        </row>
        <row r="542">
          <cell r="E542">
            <v>0</v>
          </cell>
          <cell r="I542">
            <v>0</v>
          </cell>
        </row>
        <row r="543">
          <cell r="E543">
            <v>0</v>
          </cell>
          <cell r="I543">
            <v>0</v>
          </cell>
        </row>
        <row r="544">
          <cell r="E544">
            <v>0</v>
          </cell>
          <cell r="I544">
            <v>0</v>
          </cell>
        </row>
        <row r="545">
          <cell r="E545">
            <v>0</v>
          </cell>
          <cell r="I545">
            <v>0</v>
          </cell>
        </row>
        <row r="546">
          <cell r="E546">
            <v>0</v>
          </cell>
          <cell r="I546">
            <v>0</v>
          </cell>
        </row>
        <row r="547">
          <cell r="E547">
            <v>0</v>
          </cell>
          <cell r="I547">
            <v>0</v>
          </cell>
        </row>
        <row r="548">
          <cell r="E548">
            <v>0</v>
          </cell>
          <cell r="I548">
            <v>0</v>
          </cell>
        </row>
        <row r="549">
          <cell r="E549">
            <v>0</v>
          </cell>
          <cell r="I549">
            <v>0</v>
          </cell>
        </row>
        <row r="550">
          <cell r="E550">
            <v>0</v>
          </cell>
          <cell r="I550">
            <v>0</v>
          </cell>
        </row>
        <row r="551">
          <cell r="E551">
            <v>0</v>
          </cell>
          <cell r="I551">
            <v>0</v>
          </cell>
        </row>
        <row r="552">
          <cell r="E552">
            <v>0</v>
          </cell>
          <cell r="I552">
            <v>0</v>
          </cell>
        </row>
        <row r="553">
          <cell r="E553">
            <v>0</v>
          </cell>
          <cell r="I553">
            <v>0</v>
          </cell>
        </row>
        <row r="554">
          <cell r="E554">
            <v>0</v>
          </cell>
          <cell r="I554">
            <v>0</v>
          </cell>
        </row>
        <row r="555">
          <cell r="E555">
            <v>0</v>
          </cell>
          <cell r="I555">
            <v>0</v>
          </cell>
        </row>
        <row r="556">
          <cell r="E556">
            <v>0</v>
          </cell>
          <cell r="I556">
            <v>0</v>
          </cell>
        </row>
        <row r="557">
          <cell r="E557">
            <v>0</v>
          </cell>
          <cell r="I557">
            <v>0</v>
          </cell>
        </row>
        <row r="558">
          <cell r="E558">
            <v>0</v>
          </cell>
          <cell r="I558">
            <v>0</v>
          </cell>
        </row>
        <row r="559">
          <cell r="E559">
            <v>0</v>
          </cell>
          <cell r="I559">
            <v>0</v>
          </cell>
        </row>
        <row r="560">
          <cell r="E560">
            <v>0</v>
          </cell>
          <cell r="I560">
            <v>0</v>
          </cell>
        </row>
        <row r="561">
          <cell r="E561">
            <v>0</v>
          </cell>
          <cell r="I561">
            <v>0</v>
          </cell>
        </row>
        <row r="562">
          <cell r="E562">
            <v>0</v>
          </cell>
          <cell r="I562">
            <v>0</v>
          </cell>
        </row>
        <row r="563">
          <cell r="E563">
            <v>0</v>
          </cell>
          <cell r="I563">
            <v>0</v>
          </cell>
        </row>
        <row r="564">
          <cell r="E564">
            <v>0</v>
          </cell>
          <cell r="I564">
            <v>0</v>
          </cell>
        </row>
        <row r="565">
          <cell r="E565">
            <v>0</v>
          </cell>
          <cell r="I565">
            <v>0</v>
          </cell>
        </row>
        <row r="566">
          <cell r="E566">
            <v>0</v>
          </cell>
          <cell r="I566">
            <v>0</v>
          </cell>
        </row>
        <row r="567">
          <cell r="E567">
            <v>0</v>
          </cell>
          <cell r="I567">
            <v>0</v>
          </cell>
        </row>
        <row r="568">
          <cell r="E568">
            <v>0</v>
          </cell>
          <cell r="I568">
            <v>0</v>
          </cell>
        </row>
        <row r="569">
          <cell r="E569">
            <v>0</v>
          </cell>
          <cell r="I569">
            <v>0</v>
          </cell>
        </row>
        <row r="570">
          <cell r="E570">
            <v>0</v>
          </cell>
          <cell r="I570">
            <v>0</v>
          </cell>
        </row>
        <row r="571">
          <cell r="E571">
            <v>0</v>
          </cell>
          <cell r="I571">
            <v>0</v>
          </cell>
        </row>
        <row r="572">
          <cell r="E572">
            <v>0</v>
          </cell>
          <cell r="I572">
            <v>0</v>
          </cell>
        </row>
        <row r="573">
          <cell r="E573">
            <v>0</v>
          </cell>
          <cell r="I573">
            <v>0</v>
          </cell>
        </row>
        <row r="574">
          <cell r="E574">
            <v>0</v>
          </cell>
          <cell r="I574">
            <v>0</v>
          </cell>
        </row>
        <row r="575">
          <cell r="E575">
            <v>0</v>
          </cell>
          <cell r="I575">
            <v>0</v>
          </cell>
        </row>
        <row r="576">
          <cell r="E576">
            <v>0</v>
          </cell>
          <cell r="I576">
            <v>0</v>
          </cell>
        </row>
        <row r="577">
          <cell r="E577">
            <v>0</v>
          </cell>
          <cell r="I577">
            <v>0</v>
          </cell>
        </row>
        <row r="578">
          <cell r="E578">
            <v>0</v>
          </cell>
          <cell r="I578">
            <v>0</v>
          </cell>
        </row>
        <row r="579">
          <cell r="E579">
            <v>0</v>
          </cell>
          <cell r="I579">
            <v>0</v>
          </cell>
        </row>
        <row r="580">
          <cell r="E580">
            <v>0</v>
          </cell>
          <cell r="I580">
            <v>0</v>
          </cell>
        </row>
        <row r="581">
          <cell r="E581">
            <v>0</v>
          </cell>
          <cell r="I581">
            <v>0</v>
          </cell>
        </row>
        <row r="582">
          <cell r="E582">
            <v>0</v>
          </cell>
          <cell r="I582">
            <v>0</v>
          </cell>
        </row>
        <row r="583">
          <cell r="E583">
            <v>0</v>
          </cell>
          <cell r="I583">
            <v>0</v>
          </cell>
        </row>
        <row r="584">
          <cell r="E584">
            <v>0</v>
          </cell>
          <cell r="I584">
            <v>0</v>
          </cell>
        </row>
        <row r="585">
          <cell r="E585">
            <v>0</v>
          </cell>
          <cell r="I585">
            <v>0</v>
          </cell>
        </row>
        <row r="586">
          <cell r="E586">
            <v>0</v>
          </cell>
          <cell r="I586">
            <v>0</v>
          </cell>
        </row>
        <row r="587">
          <cell r="E587">
            <v>0</v>
          </cell>
          <cell r="I587">
            <v>0</v>
          </cell>
        </row>
        <row r="588">
          <cell r="E588">
            <v>0</v>
          </cell>
          <cell r="I588">
            <v>0</v>
          </cell>
        </row>
        <row r="589">
          <cell r="E589">
            <v>0</v>
          </cell>
          <cell r="I589">
            <v>0</v>
          </cell>
        </row>
        <row r="590">
          <cell r="E590">
            <v>0</v>
          </cell>
          <cell r="I590">
            <v>0</v>
          </cell>
        </row>
        <row r="591">
          <cell r="E591">
            <v>0</v>
          </cell>
          <cell r="I591">
            <v>0</v>
          </cell>
        </row>
        <row r="592">
          <cell r="E592">
            <v>0</v>
          </cell>
          <cell r="I592">
            <v>0</v>
          </cell>
        </row>
        <row r="593">
          <cell r="E593">
            <v>0</v>
          </cell>
          <cell r="I593">
            <v>0</v>
          </cell>
        </row>
        <row r="594">
          <cell r="E594">
            <v>0</v>
          </cell>
          <cell r="I594">
            <v>0</v>
          </cell>
        </row>
        <row r="595">
          <cell r="E595">
            <v>0</v>
          </cell>
          <cell r="I595">
            <v>0</v>
          </cell>
        </row>
        <row r="596">
          <cell r="E596">
            <v>0</v>
          </cell>
          <cell r="I596">
            <v>0</v>
          </cell>
        </row>
        <row r="597">
          <cell r="E597">
            <v>0</v>
          </cell>
          <cell r="I597">
            <v>0</v>
          </cell>
        </row>
        <row r="598">
          <cell r="E598">
            <v>0</v>
          </cell>
          <cell r="I598">
            <v>0</v>
          </cell>
        </row>
        <row r="599">
          <cell r="E599">
            <v>0</v>
          </cell>
          <cell r="I599">
            <v>0</v>
          </cell>
        </row>
        <row r="600">
          <cell r="E600">
            <v>0</v>
          </cell>
          <cell r="I600">
            <v>0</v>
          </cell>
        </row>
        <row r="601">
          <cell r="E601">
            <v>0</v>
          </cell>
          <cell r="I601">
            <v>0</v>
          </cell>
        </row>
        <row r="602">
          <cell r="E602">
            <v>0</v>
          </cell>
          <cell r="I602">
            <v>0</v>
          </cell>
        </row>
        <row r="603">
          <cell r="E603">
            <v>0</v>
          </cell>
          <cell r="I603">
            <v>0</v>
          </cell>
        </row>
        <row r="604">
          <cell r="E604">
            <v>0</v>
          </cell>
          <cell r="I604">
            <v>0</v>
          </cell>
        </row>
        <row r="605">
          <cell r="E605">
            <v>0</v>
          </cell>
          <cell r="I605">
            <v>0</v>
          </cell>
        </row>
        <row r="606">
          <cell r="E606">
            <v>0</v>
          </cell>
          <cell r="I606">
            <v>0</v>
          </cell>
        </row>
        <row r="607">
          <cell r="E607">
            <v>0</v>
          </cell>
          <cell r="I607">
            <v>0</v>
          </cell>
        </row>
        <row r="608">
          <cell r="E608">
            <v>0</v>
          </cell>
          <cell r="I608">
            <v>0</v>
          </cell>
        </row>
        <row r="609">
          <cell r="E609">
            <v>0</v>
          </cell>
          <cell r="I609">
            <v>0</v>
          </cell>
        </row>
        <row r="610">
          <cell r="E610">
            <v>0</v>
          </cell>
          <cell r="I610">
            <v>0</v>
          </cell>
        </row>
        <row r="611">
          <cell r="E611">
            <v>0</v>
          </cell>
          <cell r="I611">
            <v>0</v>
          </cell>
        </row>
        <row r="612">
          <cell r="E612">
            <v>0</v>
          </cell>
          <cell r="I612">
            <v>0</v>
          </cell>
        </row>
        <row r="613">
          <cell r="E613">
            <v>0</v>
          </cell>
          <cell r="I613">
            <v>0</v>
          </cell>
        </row>
        <row r="614">
          <cell r="E614">
            <v>0</v>
          </cell>
          <cell r="I614">
            <v>0</v>
          </cell>
        </row>
        <row r="615">
          <cell r="E615">
            <v>0</v>
          </cell>
          <cell r="I615">
            <v>0</v>
          </cell>
        </row>
        <row r="616">
          <cell r="E616">
            <v>0</v>
          </cell>
          <cell r="I616">
            <v>0</v>
          </cell>
        </row>
        <row r="617">
          <cell r="E617">
            <v>0</v>
          </cell>
          <cell r="I617">
            <v>0</v>
          </cell>
        </row>
        <row r="618">
          <cell r="E618">
            <v>0</v>
          </cell>
          <cell r="I618">
            <v>0</v>
          </cell>
        </row>
        <row r="619">
          <cell r="E619">
            <v>0</v>
          </cell>
          <cell r="I619">
            <v>0</v>
          </cell>
        </row>
        <row r="620">
          <cell r="E620">
            <v>0</v>
          </cell>
          <cell r="I620">
            <v>0</v>
          </cell>
        </row>
        <row r="621">
          <cell r="E621">
            <v>0</v>
          </cell>
          <cell r="I621">
            <v>0</v>
          </cell>
        </row>
        <row r="622">
          <cell r="E622">
            <v>0</v>
          </cell>
          <cell r="I622">
            <v>0</v>
          </cell>
        </row>
        <row r="623">
          <cell r="E623">
            <v>0</v>
          </cell>
          <cell r="I623">
            <v>0</v>
          </cell>
        </row>
        <row r="624">
          <cell r="E624">
            <v>0</v>
          </cell>
          <cell r="I624">
            <v>0</v>
          </cell>
        </row>
        <row r="625">
          <cell r="E625">
            <v>0</v>
          </cell>
          <cell r="I625">
            <v>0</v>
          </cell>
        </row>
        <row r="626">
          <cell r="E626">
            <v>0</v>
          </cell>
          <cell r="I626">
            <v>0</v>
          </cell>
        </row>
        <row r="627">
          <cell r="E627">
            <v>0</v>
          </cell>
          <cell r="I627">
            <v>0</v>
          </cell>
        </row>
        <row r="628">
          <cell r="E628">
            <v>0</v>
          </cell>
          <cell r="I628">
            <v>0</v>
          </cell>
        </row>
        <row r="629">
          <cell r="E629">
            <v>0</v>
          </cell>
          <cell r="I629">
            <v>0</v>
          </cell>
        </row>
        <row r="630">
          <cell r="E630">
            <v>0</v>
          </cell>
          <cell r="I630">
            <v>0</v>
          </cell>
        </row>
        <row r="631">
          <cell r="E631">
            <v>0</v>
          </cell>
          <cell r="I631">
            <v>0</v>
          </cell>
        </row>
        <row r="632">
          <cell r="E632">
            <v>0</v>
          </cell>
          <cell r="I632">
            <v>0</v>
          </cell>
        </row>
        <row r="633">
          <cell r="E633">
            <v>0</v>
          </cell>
          <cell r="I633">
            <v>0</v>
          </cell>
        </row>
        <row r="634">
          <cell r="E634">
            <v>0</v>
          </cell>
          <cell r="I634">
            <v>0</v>
          </cell>
        </row>
        <row r="635">
          <cell r="E635">
            <v>0</v>
          </cell>
          <cell r="I635">
            <v>0</v>
          </cell>
        </row>
        <row r="636">
          <cell r="E636">
            <v>0</v>
          </cell>
          <cell r="I636">
            <v>0</v>
          </cell>
        </row>
        <row r="637">
          <cell r="E637">
            <v>0</v>
          </cell>
          <cell r="I637">
            <v>0</v>
          </cell>
        </row>
        <row r="638">
          <cell r="E638">
            <v>0</v>
          </cell>
          <cell r="I638">
            <v>0</v>
          </cell>
        </row>
        <row r="639">
          <cell r="E639">
            <v>0</v>
          </cell>
          <cell r="I639">
            <v>0</v>
          </cell>
        </row>
        <row r="640">
          <cell r="E640">
            <v>0</v>
          </cell>
          <cell r="I640">
            <v>0</v>
          </cell>
        </row>
        <row r="641">
          <cell r="E641">
            <v>0</v>
          </cell>
          <cell r="I641">
            <v>0</v>
          </cell>
        </row>
        <row r="642">
          <cell r="E642">
            <v>0</v>
          </cell>
          <cell r="I642">
            <v>0</v>
          </cell>
        </row>
        <row r="643">
          <cell r="E643">
            <v>0</v>
          </cell>
          <cell r="I643">
            <v>0</v>
          </cell>
        </row>
        <row r="644">
          <cell r="E644">
            <v>0</v>
          </cell>
          <cell r="I644">
            <v>0</v>
          </cell>
        </row>
        <row r="645">
          <cell r="E645">
            <v>0</v>
          </cell>
          <cell r="I645">
            <v>0</v>
          </cell>
        </row>
        <row r="646">
          <cell r="E646">
            <v>0</v>
          </cell>
          <cell r="I646">
            <v>0</v>
          </cell>
        </row>
        <row r="647">
          <cell r="E647">
            <v>0</v>
          </cell>
          <cell r="I647">
            <v>0</v>
          </cell>
        </row>
        <row r="648">
          <cell r="E648">
            <v>0</v>
          </cell>
          <cell r="I648">
            <v>0</v>
          </cell>
        </row>
        <row r="649">
          <cell r="E649">
            <v>0</v>
          </cell>
          <cell r="I649">
            <v>0</v>
          </cell>
        </row>
        <row r="650">
          <cell r="E650">
            <v>0</v>
          </cell>
          <cell r="I650">
            <v>0</v>
          </cell>
        </row>
        <row r="651">
          <cell r="E651">
            <v>0</v>
          </cell>
          <cell r="I651">
            <v>0</v>
          </cell>
        </row>
        <row r="652">
          <cell r="E652">
            <v>0</v>
          </cell>
          <cell r="I652">
            <v>0</v>
          </cell>
        </row>
        <row r="653">
          <cell r="E653">
            <v>0</v>
          </cell>
          <cell r="I653">
            <v>0</v>
          </cell>
        </row>
        <row r="654">
          <cell r="E654">
            <v>0</v>
          </cell>
          <cell r="I654">
            <v>0</v>
          </cell>
        </row>
        <row r="655">
          <cell r="E655">
            <v>0</v>
          </cell>
          <cell r="I655">
            <v>0</v>
          </cell>
        </row>
        <row r="656">
          <cell r="E656">
            <v>0</v>
          </cell>
          <cell r="I656">
            <v>0</v>
          </cell>
        </row>
        <row r="657">
          <cell r="E657">
            <v>0</v>
          </cell>
          <cell r="I657">
            <v>0</v>
          </cell>
        </row>
        <row r="658">
          <cell r="E658">
            <v>0</v>
          </cell>
          <cell r="I658">
            <v>0</v>
          </cell>
        </row>
        <row r="659">
          <cell r="E659">
            <v>0</v>
          </cell>
          <cell r="I659">
            <v>0</v>
          </cell>
        </row>
        <row r="660">
          <cell r="E660">
            <v>0</v>
          </cell>
          <cell r="I660">
            <v>0</v>
          </cell>
        </row>
        <row r="661">
          <cell r="E661">
            <v>0</v>
          </cell>
          <cell r="I661">
            <v>0</v>
          </cell>
        </row>
        <row r="662">
          <cell r="E662">
            <v>0</v>
          </cell>
          <cell r="I662">
            <v>0</v>
          </cell>
        </row>
        <row r="663">
          <cell r="E663">
            <v>0</v>
          </cell>
          <cell r="I663">
            <v>0</v>
          </cell>
        </row>
        <row r="664">
          <cell r="E664">
            <v>0</v>
          </cell>
          <cell r="I664">
            <v>0</v>
          </cell>
        </row>
        <row r="665">
          <cell r="E665">
            <v>0</v>
          </cell>
          <cell r="I665">
            <v>0</v>
          </cell>
        </row>
        <row r="666">
          <cell r="E666">
            <v>0</v>
          </cell>
          <cell r="I666">
            <v>0</v>
          </cell>
        </row>
        <row r="667">
          <cell r="E667">
            <v>0</v>
          </cell>
          <cell r="I667">
            <v>0</v>
          </cell>
        </row>
        <row r="668">
          <cell r="E668">
            <v>0</v>
          </cell>
          <cell r="I668">
            <v>0</v>
          </cell>
        </row>
        <row r="669">
          <cell r="E669">
            <v>0</v>
          </cell>
          <cell r="I669">
            <v>0</v>
          </cell>
        </row>
        <row r="670">
          <cell r="E670">
            <v>0</v>
          </cell>
          <cell r="I670">
            <v>0</v>
          </cell>
        </row>
        <row r="671">
          <cell r="E671">
            <v>0</v>
          </cell>
          <cell r="I671">
            <v>0</v>
          </cell>
        </row>
        <row r="672">
          <cell r="E672">
            <v>0</v>
          </cell>
          <cell r="I672">
            <v>0</v>
          </cell>
        </row>
        <row r="673">
          <cell r="E673">
            <v>0</v>
          </cell>
          <cell r="I673">
            <v>0</v>
          </cell>
        </row>
        <row r="674">
          <cell r="E674">
            <v>0</v>
          </cell>
          <cell r="I674">
            <v>0</v>
          </cell>
        </row>
        <row r="675">
          <cell r="E675">
            <v>0</v>
          </cell>
          <cell r="I675">
            <v>0</v>
          </cell>
        </row>
        <row r="676">
          <cell r="E676">
            <v>0</v>
          </cell>
          <cell r="I676">
            <v>0</v>
          </cell>
        </row>
        <row r="677">
          <cell r="E677">
            <v>0</v>
          </cell>
          <cell r="I677">
            <v>0</v>
          </cell>
        </row>
        <row r="678">
          <cell r="E678">
            <v>0</v>
          </cell>
          <cell r="I678">
            <v>0</v>
          </cell>
        </row>
        <row r="679">
          <cell r="E679">
            <v>0</v>
          </cell>
          <cell r="I679">
            <v>0</v>
          </cell>
        </row>
        <row r="680">
          <cell r="E680">
            <v>0</v>
          </cell>
          <cell r="I680">
            <v>0</v>
          </cell>
        </row>
        <row r="681">
          <cell r="E681">
            <v>0</v>
          </cell>
          <cell r="I681">
            <v>0</v>
          </cell>
        </row>
        <row r="682">
          <cell r="E682">
            <v>0</v>
          </cell>
          <cell r="I682">
            <v>0</v>
          </cell>
        </row>
        <row r="683">
          <cell r="E683">
            <v>0</v>
          </cell>
          <cell r="I683">
            <v>0</v>
          </cell>
        </row>
        <row r="684">
          <cell r="E684">
            <v>0</v>
          </cell>
          <cell r="I684">
            <v>0</v>
          </cell>
        </row>
        <row r="685">
          <cell r="E685">
            <v>0</v>
          </cell>
          <cell r="I685">
            <v>0</v>
          </cell>
        </row>
        <row r="686">
          <cell r="E686">
            <v>0</v>
          </cell>
          <cell r="I686">
            <v>0</v>
          </cell>
        </row>
        <row r="687">
          <cell r="E687">
            <v>0</v>
          </cell>
          <cell r="I687">
            <v>0</v>
          </cell>
        </row>
        <row r="688">
          <cell r="E688">
            <v>0</v>
          </cell>
          <cell r="I688">
            <v>0</v>
          </cell>
        </row>
        <row r="689">
          <cell r="E689">
            <v>0</v>
          </cell>
          <cell r="I689">
            <v>0</v>
          </cell>
        </row>
        <row r="690">
          <cell r="E690">
            <v>0</v>
          </cell>
          <cell r="I690">
            <v>0</v>
          </cell>
        </row>
        <row r="691">
          <cell r="E691">
            <v>0</v>
          </cell>
          <cell r="I691">
            <v>0</v>
          </cell>
        </row>
        <row r="692">
          <cell r="E692">
            <v>0</v>
          </cell>
          <cell r="I692">
            <v>0</v>
          </cell>
        </row>
        <row r="693">
          <cell r="E693">
            <v>0</v>
          </cell>
          <cell r="I693">
            <v>0</v>
          </cell>
        </row>
        <row r="694">
          <cell r="E694">
            <v>0</v>
          </cell>
          <cell r="I694">
            <v>0</v>
          </cell>
        </row>
        <row r="695">
          <cell r="E695">
            <v>0</v>
          </cell>
          <cell r="I695">
            <v>0</v>
          </cell>
        </row>
        <row r="696">
          <cell r="E696">
            <v>0</v>
          </cell>
          <cell r="I696">
            <v>0</v>
          </cell>
        </row>
        <row r="697">
          <cell r="E697">
            <v>0</v>
          </cell>
          <cell r="I697">
            <v>0</v>
          </cell>
        </row>
        <row r="698">
          <cell r="E698">
            <v>0</v>
          </cell>
          <cell r="I698">
            <v>0</v>
          </cell>
        </row>
        <row r="699">
          <cell r="E699">
            <v>0</v>
          </cell>
          <cell r="I699">
            <v>0</v>
          </cell>
        </row>
        <row r="700">
          <cell r="E700">
            <v>0</v>
          </cell>
          <cell r="I700">
            <v>0</v>
          </cell>
        </row>
        <row r="701">
          <cell r="E701">
            <v>0</v>
          </cell>
          <cell r="I701">
            <v>0</v>
          </cell>
        </row>
        <row r="702">
          <cell r="E702">
            <v>0</v>
          </cell>
          <cell r="I702">
            <v>0</v>
          </cell>
        </row>
        <row r="703">
          <cell r="E703">
            <v>0</v>
          </cell>
          <cell r="I703">
            <v>0</v>
          </cell>
        </row>
        <row r="704">
          <cell r="E704">
            <v>0</v>
          </cell>
          <cell r="I704">
            <v>0</v>
          </cell>
        </row>
        <row r="705">
          <cell r="E705">
            <v>0</v>
          </cell>
          <cell r="I705">
            <v>0</v>
          </cell>
        </row>
        <row r="706">
          <cell r="E706">
            <v>0</v>
          </cell>
          <cell r="I706">
            <v>0</v>
          </cell>
        </row>
        <row r="707">
          <cell r="E707">
            <v>0</v>
          </cell>
          <cell r="I707">
            <v>0</v>
          </cell>
        </row>
        <row r="708">
          <cell r="E708">
            <v>0</v>
          </cell>
          <cell r="I708">
            <v>0</v>
          </cell>
        </row>
        <row r="709">
          <cell r="E709">
            <v>0</v>
          </cell>
          <cell r="I709">
            <v>0</v>
          </cell>
        </row>
        <row r="710">
          <cell r="E710">
            <v>0</v>
          </cell>
          <cell r="I710">
            <v>0</v>
          </cell>
        </row>
        <row r="711">
          <cell r="E711">
            <v>0</v>
          </cell>
          <cell r="I711">
            <v>0</v>
          </cell>
        </row>
        <row r="712">
          <cell r="E712">
            <v>0</v>
          </cell>
          <cell r="I712">
            <v>0</v>
          </cell>
        </row>
        <row r="713">
          <cell r="E713">
            <v>0</v>
          </cell>
          <cell r="I713">
            <v>0</v>
          </cell>
        </row>
        <row r="714">
          <cell r="E714">
            <v>0</v>
          </cell>
          <cell r="I714">
            <v>0</v>
          </cell>
        </row>
        <row r="715">
          <cell r="E715">
            <v>0</v>
          </cell>
          <cell r="I715">
            <v>0</v>
          </cell>
        </row>
        <row r="716">
          <cell r="E716">
            <v>0</v>
          </cell>
          <cell r="I716">
            <v>0</v>
          </cell>
        </row>
        <row r="717">
          <cell r="E717">
            <v>0</v>
          </cell>
          <cell r="I717">
            <v>0</v>
          </cell>
        </row>
        <row r="718">
          <cell r="E718">
            <v>0</v>
          </cell>
          <cell r="I718">
            <v>0</v>
          </cell>
        </row>
        <row r="719">
          <cell r="E719">
            <v>0</v>
          </cell>
          <cell r="I719">
            <v>0</v>
          </cell>
        </row>
        <row r="720">
          <cell r="E720">
            <v>0</v>
          </cell>
          <cell r="I720">
            <v>0</v>
          </cell>
        </row>
        <row r="721">
          <cell r="E721">
            <v>0</v>
          </cell>
          <cell r="I721">
            <v>0</v>
          </cell>
        </row>
        <row r="722">
          <cell r="E722">
            <v>0</v>
          </cell>
          <cell r="I722">
            <v>0</v>
          </cell>
        </row>
        <row r="723">
          <cell r="E723">
            <v>0</v>
          </cell>
          <cell r="I723">
            <v>0</v>
          </cell>
        </row>
        <row r="724">
          <cell r="E724">
            <v>0</v>
          </cell>
          <cell r="I724">
            <v>0</v>
          </cell>
        </row>
        <row r="725">
          <cell r="E725">
            <v>0</v>
          </cell>
          <cell r="I725">
            <v>0</v>
          </cell>
        </row>
        <row r="726">
          <cell r="E726">
            <v>0</v>
          </cell>
          <cell r="I726">
            <v>0</v>
          </cell>
        </row>
        <row r="727">
          <cell r="E727">
            <v>0</v>
          </cell>
          <cell r="I727">
            <v>0</v>
          </cell>
        </row>
        <row r="728">
          <cell r="E728">
            <v>0</v>
          </cell>
          <cell r="I728">
            <v>0</v>
          </cell>
        </row>
        <row r="729">
          <cell r="E729">
            <v>0</v>
          </cell>
          <cell r="I729">
            <v>0</v>
          </cell>
        </row>
        <row r="730">
          <cell r="E730">
            <v>0</v>
          </cell>
          <cell r="I730">
            <v>0</v>
          </cell>
        </row>
        <row r="731">
          <cell r="E731">
            <v>0</v>
          </cell>
          <cell r="I731">
            <v>0</v>
          </cell>
        </row>
        <row r="732">
          <cell r="E732">
            <v>0</v>
          </cell>
          <cell r="I732">
            <v>0</v>
          </cell>
        </row>
        <row r="733">
          <cell r="E733">
            <v>0</v>
          </cell>
          <cell r="I733">
            <v>0</v>
          </cell>
        </row>
        <row r="734">
          <cell r="E734">
            <v>0</v>
          </cell>
          <cell r="I734">
            <v>0</v>
          </cell>
        </row>
        <row r="735">
          <cell r="E735">
            <v>0</v>
          </cell>
          <cell r="I735">
            <v>0</v>
          </cell>
        </row>
        <row r="736">
          <cell r="E736">
            <v>0</v>
          </cell>
          <cell r="I736">
            <v>0</v>
          </cell>
        </row>
        <row r="737">
          <cell r="E737">
            <v>0</v>
          </cell>
          <cell r="I737">
            <v>0</v>
          </cell>
        </row>
        <row r="738">
          <cell r="E738">
            <v>0</v>
          </cell>
          <cell r="I738">
            <v>0</v>
          </cell>
        </row>
        <row r="739">
          <cell r="E739">
            <v>0</v>
          </cell>
          <cell r="I739">
            <v>0</v>
          </cell>
        </row>
        <row r="740">
          <cell r="E740">
            <v>0</v>
          </cell>
          <cell r="I740">
            <v>0</v>
          </cell>
        </row>
        <row r="741">
          <cell r="E741">
            <v>0</v>
          </cell>
          <cell r="I741">
            <v>0</v>
          </cell>
        </row>
        <row r="742">
          <cell r="E742">
            <v>0</v>
          </cell>
          <cell r="I742">
            <v>0</v>
          </cell>
        </row>
        <row r="743">
          <cell r="E743">
            <v>0</v>
          </cell>
          <cell r="I743">
            <v>0</v>
          </cell>
        </row>
        <row r="744">
          <cell r="E744">
            <v>0</v>
          </cell>
          <cell r="I744">
            <v>0</v>
          </cell>
        </row>
        <row r="745">
          <cell r="E745">
            <v>0</v>
          </cell>
          <cell r="I745">
            <v>0</v>
          </cell>
        </row>
        <row r="746">
          <cell r="E746">
            <v>0</v>
          </cell>
          <cell r="I746">
            <v>0</v>
          </cell>
        </row>
        <row r="747">
          <cell r="E747">
            <v>0</v>
          </cell>
          <cell r="I747">
            <v>0</v>
          </cell>
        </row>
        <row r="748">
          <cell r="E748">
            <v>0</v>
          </cell>
          <cell r="I748">
            <v>0</v>
          </cell>
        </row>
        <row r="749">
          <cell r="E749">
            <v>0</v>
          </cell>
          <cell r="I749">
            <v>0</v>
          </cell>
        </row>
        <row r="750">
          <cell r="E750">
            <v>0</v>
          </cell>
          <cell r="I750">
            <v>0</v>
          </cell>
        </row>
        <row r="751">
          <cell r="E751">
            <v>0</v>
          </cell>
          <cell r="I751">
            <v>0</v>
          </cell>
        </row>
        <row r="752">
          <cell r="E752">
            <v>0</v>
          </cell>
          <cell r="I752">
            <v>0</v>
          </cell>
        </row>
        <row r="753">
          <cell r="E753">
            <v>0</v>
          </cell>
          <cell r="I753">
            <v>0</v>
          </cell>
        </row>
        <row r="754">
          <cell r="E754">
            <v>0</v>
          </cell>
          <cell r="I754">
            <v>0</v>
          </cell>
        </row>
        <row r="755">
          <cell r="E755">
            <v>0</v>
          </cell>
          <cell r="I755">
            <v>0</v>
          </cell>
        </row>
        <row r="756">
          <cell r="E756">
            <v>0</v>
          </cell>
          <cell r="I756">
            <v>0</v>
          </cell>
        </row>
        <row r="757">
          <cell r="E757">
            <v>0</v>
          </cell>
          <cell r="I757">
            <v>0</v>
          </cell>
        </row>
        <row r="758">
          <cell r="E758">
            <v>0</v>
          </cell>
          <cell r="I758">
            <v>0</v>
          </cell>
        </row>
        <row r="759">
          <cell r="E759">
            <v>0</v>
          </cell>
          <cell r="I759">
            <v>0</v>
          </cell>
        </row>
        <row r="760">
          <cell r="E760">
            <v>0</v>
          </cell>
          <cell r="I760">
            <v>0</v>
          </cell>
        </row>
        <row r="761">
          <cell r="E761">
            <v>0</v>
          </cell>
          <cell r="I761">
            <v>0</v>
          </cell>
        </row>
        <row r="762">
          <cell r="E762">
            <v>0</v>
          </cell>
          <cell r="I762">
            <v>0</v>
          </cell>
        </row>
        <row r="763">
          <cell r="E763">
            <v>0</v>
          </cell>
          <cell r="I763">
            <v>0</v>
          </cell>
        </row>
        <row r="764">
          <cell r="E764">
            <v>0</v>
          </cell>
          <cell r="I764">
            <v>0</v>
          </cell>
        </row>
        <row r="765">
          <cell r="E765">
            <v>0</v>
          </cell>
          <cell r="I765">
            <v>0</v>
          </cell>
        </row>
        <row r="766">
          <cell r="E766">
            <v>0</v>
          </cell>
          <cell r="I766">
            <v>0</v>
          </cell>
        </row>
        <row r="767">
          <cell r="E767">
            <v>0</v>
          </cell>
          <cell r="I767">
            <v>0</v>
          </cell>
        </row>
        <row r="768">
          <cell r="E768">
            <v>0</v>
          </cell>
          <cell r="I768">
            <v>0</v>
          </cell>
        </row>
        <row r="769">
          <cell r="E769">
            <v>0</v>
          </cell>
          <cell r="I769">
            <v>0</v>
          </cell>
        </row>
        <row r="770">
          <cell r="E770">
            <v>0</v>
          </cell>
          <cell r="I770">
            <v>0</v>
          </cell>
        </row>
        <row r="771">
          <cell r="E771">
            <v>0</v>
          </cell>
          <cell r="I771">
            <v>0</v>
          </cell>
        </row>
        <row r="772">
          <cell r="E772">
            <v>0</v>
          </cell>
          <cell r="I772">
            <v>0</v>
          </cell>
        </row>
        <row r="773">
          <cell r="E773">
            <v>0</v>
          </cell>
          <cell r="I773">
            <v>0</v>
          </cell>
        </row>
        <row r="774">
          <cell r="E774">
            <v>0</v>
          </cell>
          <cell r="I774">
            <v>0</v>
          </cell>
        </row>
        <row r="775">
          <cell r="E775">
            <v>0</v>
          </cell>
          <cell r="I775">
            <v>0</v>
          </cell>
        </row>
        <row r="776">
          <cell r="E776">
            <v>0</v>
          </cell>
          <cell r="I776">
            <v>0</v>
          </cell>
        </row>
        <row r="777">
          <cell r="E777">
            <v>0</v>
          </cell>
          <cell r="I777">
            <v>0</v>
          </cell>
        </row>
        <row r="778">
          <cell r="E778">
            <v>0</v>
          </cell>
          <cell r="I778">
            <v>0</v>
          </cell>
        </row>
        <row r="779">
          <cell r="E779">
            <v>0</v>
          </cell>
          <cell r="I779">
            <v>0</v>
          </cell>
        </row>
        <row r="780">
          <cell r="E780">
            <v>0</v>
          </cell>
          <cell r="I780">
            <v>0</v>
          </cell>
        </row>
        <row r="781">
          <cell r="E781">
            <v>0</v>
          </cell>
          <cell r="I781">
            <v>0</v>
          </cell>
        </row>
        <row r="782">
          <cell r="E782">
            <v>0</v>
          </cell>
          <cell r="I782">
            <v>0</v>
          </cell>
        </row>
        <row r="783">
          <cell r="E783">
            <v>0</v>
          </cell>
          <cell r="I783">
            <v>0</v>
          </cell>
        </row>
        <row r="784">
          <cell r="E784">
            <v>0</v>
          </cell>
          <cell r="I784">
            <v>0</v>
          </cell>
        </row>
        <row r="785">
          <cell r="E785">
            <v>0</v>
          </cell>
          <cell r="I785">
            <v>0</v>
          </cell>
        </row>
        <row r="786">
          <cell r="E786">
            <v>0</v>
          </cell>
          <cell r="I786">
            <v>0</v>
          </cell>
        </row>
        <row r="787">
          <cell r="E787">
            <v>0</v>
          </cell>
          <cell r="I787">
            <v>0</v>
          </cell>
        </row>
        <row r="788">
          <cell r="E788">
            <v>0</v>
          </cell>
          <cell r="I788">
            <v>0</v>
          </cell>
        </row>
        <row r="789">
          <cell r="E789">
            <v>0</v>
          </cell>
          <cell r="I789">
            <v>0</v>
          </cell>
        </row>
        <row r="790">
          <cell r="E790">
            <v>0</v>
          </cell>
          <cell r="I790">
            <v>0</v>
          </cell>
        </row>
        <row r="791">
          <cell r="E791">
            <v>0</v>
          </cell>
          <cell r="I791">
            <v>0</v>
          </cell>
        </row>
        <row r="792">
          <cell r="E792">
            <v>0</v>
          </cell>
          <cell r="I792">
            <v>0</v>
          </cell>
        </row>
        <row r="793">
          <cell r="E793">
            <v>0</v>
          </cell>
          <cell r="I793">
            <v>0</v>
          </cell>
        </row>
        <row r="794">
          <cell r="E794">
            <v>0</v>
          </cell>
          <cell r="I794">
            <v>0</v>
          </cell>
        </row>
        <row r="795">
          <cell r="E795">
            <v>0</v>
          </cell>
          <cell r="I795">
            <v>0</v>
          </cell>
        </row>
        <row r="796">
          <cell r="E796">
            <v>0</v>
          </cell>
          <cell r="I796">
            <v>0</v>
          </cell>
        </row>
        <row r="797">
          <cell r="E797">
            <v>0</v>
          </cell>
          <cell r="I797">
            <v>0</v>
          </cell>
        </row>
        <row r="798">
          <cell r="E798">
            <v>0</v>
          </cell>
          <cell r="I798">
            <v>0</v>
          </cell>
        </row>
        <row r="799">
          <cell r="E799">
            <v>0</v>
          </cell>
          <cell r="I799">
            <v>0</v>
          </cell>
        </row>
        <row r="800">
          <cell r="E800">
            <v>0</v>
          </cell>
          <cell r="I800">
            <v>0</v>
          </cell>
        </row>
        <row r="801">
          <cell r="E801">
            <v>0</v>
          </cell>
          <cell r="I801">
            <v>0</v>
          </cell>
        </row>
        <row r="802">
          <cell r="E802">
            <v>0</v>
          </cell>
          <cell r="I802">
            <v>0</v>
          </cell>
        </row>
        <row r="803">
          <cell r="E803">
            <v>0</v>
          </cell>
          <cell r="I803">
            <v>0</v>
          </cell>
        </row>
        <row r="804">
          <cell r="E804">
            <v>0</v>
          </cell>
          <cell r="I804">
            <v>0</v>
          </cell>
        </row>
        <row r="805">
          <cell r="E805">
            <v>0</v>
          </cell>
          <cell r="I805">
            <v>0</v>
          </cell>
        </row>
        <row r="806">
          <cell r="E806">
            <v>0</v>
          </cell>
          <cell r="I806">
            <v>0</v>
          </cell>
        </row>
        <row r="807">
          <cell r="E807">
            <v>0</v>
          </cell>
          <cell r="I807">
            <v>0</v>
          </cell>
        </row>
        <row r="808">
          <cell r="E808">
            <v>0</v>
          </cell>
          <cell r="I808">
            <v>0</v>
          </cell>
        </row>
        <row r="809">
          <cell r="E809">
            <v>0</v>
          </cell>
          <cell r="I809">
            <v>0</v>
          </cell>
        </row>
        <row r="810">
          <cell r="E810">
            <v>0</v>
          </cell>
          <cell r="I810">
            <v>0</v>
          </cell>
        </row>
        <row r="811">
          <cell r="E811">
            <v>0</v>
          </cell>
          <cell r="I811">
            <v>0</v>
          </cell>
        </row>
        <row r="812">
          <cell r="E812">
            <v>0</v>
          </cell>
          <cell r="I812">
            <v>0</v>
          </cell>
        </row>
        <row r="813">
          <cell r="E813">
            <v>0</v>
          </cell>
          <cell r="I813">
            <v>0</v>
          </cell>
        </row>
        <row r="814">
          <cell r="E814">
            <v>0</v>
          </cell>
          <cell r="I814">
            <v>0</v>
          </cell>
        </row>
        <row r="815">
          <cell r="E815">
            <v>0</v>
          </cell>
          <cell r="I815">
            <v>0</v>
          </cell>
        </row>
        <row r="816">
          <cell r="E816">
            <v>0</v>
          </cell>
          <cell r="I816">
            <v>0</v>
          </cell>
        </row>
        <row r="817">
          <cell r="E817">
            <v>0</v>
          </cell>
          <cell r="I817">
            <v>0</v>
          </cell>
        </row>
        <row r="818">
          <cell r="E818">
            <v>0</v>
          </cell>
          <cell r="I818">
            <v>0</v>
          </cell>
        </row>
        <row r="819">
          <cell r="E819">
            <v>0</v>
          </cell>
          <cell r="I819">
            <v>0</v>
          </cell>
        </row>
        <row r="820">
          <cell r="E820">
            <v>0</v>
          </cell>
          <cell r="I820">
            <v>0</v>
          </cell>
        </row>
        <row r="821">
          <cell r="E821">
            <v>0</v>
          </cell>
          <cell r="I821">
            <v>0</v>
          </cell>
        </row>
        <row r="822">
          <cell r="E822">
            <v>0</v>
          </cell>
          <cell r="I822">
            <v>0</v>
          </cell>
        </row>
        <row r="823">
          <cell r="E823">
            <v>0</v>
          </cell>
          <cell r="I823">
            <v>0</v>
          </cell>
        </row>
        <row r="824">
          <cell r="E824">
            <v>0</v>
          </cell>
          <cell r="I824">
            <v>0</v>
          </cell>
        </row>
        <row r="825">
          <cell r="E825">
            <v>0</v>
          </cell>
          <cell r="I825">
            <v>0</v>
          </cell>
        </row>
        <row r="826">
          <cell r="E826">
            <v>0</v>
          </cell>
          <cell r="I826">
            <v>0</v>
          </cell>
        </row>
        <row r="827">
          <cell r="E827">
            <v>0</v>
          </cell>
          <cell r="I827">
            <v>0</v>
          </cell>
        </row>
        <row r="828">
          <cell r="E828">
            <v>0</v>
          </cell>
          <cell r="I828">
            <v>0</v>
          </cell>
        </row>
        <row r="829">
          <cell r="E829">
            <v>0</v>
          </cell>
          <cell r="I829">
            <v>0</v>
          </cell>
        </row>
        <row r="830">
          <cell r="E830">
            <v>0</v>
          </cell>
          <cell r="I830">
            <v>0</v>
          </cell>
        </row>
        <row r="831">
          <cell r="E831">
            <v>0</v>
          </cell>
          <cell r="I831">
            <v>0</v>
          </cell>
        </row>
        <row r="832">
          <cell r="E832">
            <v>0</v>
          </cell>
          <cell r="I832">
            <v>0</v>
          </cell>
        </row>
        <row r="833">
          <cell r="E833">
            <v>0</v>
          </cell>
          <cell r="I833">
            <v>0</v>
          </cell>
        </row>
        <row r="834">
          <cell r="E834">
            <v>0</v>
          </cell>
          <cell r="I834">
            <v>0</v>
          </cell>
        </row>
        <row r="835">
          <cell r="E835">
            <v>0</v>
          </cell>
          <cell r="I835">
            <v>0</v>
          </cell>
        </row>
        <row r="836">
          <cell r="E836">
            <v>0</v>
          </cell>
          <cell r="I836">
            <v>0</v>
          </cell>
        </row>
        <row r="837">
          <cell r="E837">
            <v>0</v>
          </cell>
          <cell r="I837">
            <v>0</v>
          </cell>
        </row>
        <row r="838">
          <cell r="E838">
            <v>0</v>
          </cell>
          <cell r="I838">
            <v>0</v>
          </cell>
        </row>
        <row r="839">
          <cell r="E839">
            <v>0</v>
          </cell>
          <cell r="I839">
            <v>0</v>
          </cell>
        </row>
        <row r="840">
          <cell r="E840">
            <v>0</v>
          </cell>
          <cell r="I840">
            <v>0</v>
          </cell>
        </row>
        <row r="841">
          <cell r="E841">
            <v>0</v>
          </cell>
          <cell r="I841">
            <v>0</v>
          </cell>
        </row>
        <row r="842">
          <cell r="E842">
            <v>0</v>
          </cell>
          <cell r="I842">
            <v>0</v>
          </cell>
        </row>
        <row r="843">
          <cell r="E843">
            <v>0</v>
          </cell>
          <cell r="I843">
            <v>0</v>
          </cell>
        </row>
        <row r="844">
          <cell r="E844">
            <v>0</v>
          </cell>
          <cell r="I844">
            <v>0</v>
          </cell>
        </row>
        <row r="845">
          <cell r="E845">
            <v>0</v>
          </cell>
          <cell r="I845">
            <v>0</v>
          </cell>
        </row>
        <row r="846">
          <cell r="E846">
            <v>0</v>
          </cell>
          <cell r="I846">
            <v>0</v>
          </cell>
        </row>
        <row r="847">
          <cell r="E847">
            <v>0</v>
          </cell>
          <cell r="I847">
            <v>0</v>
          </cell>
        </row>
        <row r="848">
          <cell r="E848">
            <v>0</v>
          </cell>
          <cell r="I848">
            <v>0</v>
          </cell>
        </row>
        <row r="849">
          <cell r="E849">
            <v>0</v>
          </cell>
          <cell r="I849">
            <v>0</v>
          </cell>
        </row>
        <row r="850">
          <cell r="E850">
            <v>0</v>
          </cell>
          <cell r="I850">
            <v>0</v>
          </cell>
        </row>
        <row r="851">
          <cell r="E851">
            <v>0</v>
          </cell>
          <cell r="I851">
            <v>0</v>
          </cell>
        </row>
        <row r="852">
          <cell r="E852">
            <v>0</v>
          </cell>
          <cell r="I852">
            <v>0</v>
          </cell>
        </row>
        <row r="853">
          <cell r="E853">
            <v>0</v>
          </cell>
          <cell r="I853">
            <v>0</v>
          </cell>
        </row>
        <row r="854">
          <cell r="E854">
            <v>0</v>
          </cell>
          <cell r="I854">
            <v>0</v>
          </cell>
        </row>
        <row r="855">
          <cell r="E855">
            <v>0</v>
          </cell>
          <cell r="I855">
            <v>0</v>
          </cell>
        </row>
        <row r="856">
          <cell r="E856">
            <v>0</v>
          </cell>
          <cell r="I856">
            <v>0</v>
          </cell>
        </row>
        <row r="857">
          <cell r="E857">
            <v>0</v>
          </cell>
          <cell r="I857">
            <v>0</v>
          </cell>
        </row>
        <row r="858">
          <cell r="E858">
            <v>0</v>
          </cell>
          <cell r="I858">
            <v>0</v>
          </cell>
        </row>
        <row r="859">
          <cell r="E859">
            <v>0</v>
          </cell>
          <cell r="I859">
            <v>0</v>
          </cell>
        </row>
        <row r="860">
          <cell r="E860">
            <v>0</v>
          </cell>
          <cell r="I860">
            <v>0</v>
          </cell>
        </row>
        <row r="861">
          <cell r="E861">
            <v>0</v>
          </cell>
          <cell r="I861">
            <v>0</v>
          </cell>
        </row>
        <row r="862">
          <cell r="E862">
            <v>0</v>
          </cell>
          <cell r="I862">
            <v>0</v>
          </cell>
        </row>
        <row r="863">
          <cell r="E863">
            <v>0</v>
          </cell>
          <cell r="I863">
            <v>0</v>
          </cell>
        </row>
        <row r="864">
          <cell r="E864">
            <v>0</v>
          </cell>
          <cell r="I864">
            <v>0</v>
          </cell>
        </row>
        <row r="865">
          <cell r="E865">
            <v>0</v>
          </cell>
          <cell r="I865">
            <v>0</v>
          </cell>
        </row>
        <row r="866">
          <cell r="E866">
            <v>0</v>
          </cell>
          <cell r="I866">
            <v>0</v>
          </cell>
        </row>
        <row r="867">
          <cell r="E867">
            <v>0</v>
          </cell>
          <cell r="I867">
            <v>0</v>
          </cell>
        </row>
        <row r="868">
          <cell r="E868">
            <v>0</v>
          </cell>
          <cell r="I868">
            <v>0</v>
          </cell>
        </row>
        <row r="869">
          <cell r="E869">
            <v>0</v>
          </cell>
          <cell r="I869">
            <v>0</v>
          </cell>
        </row>
        <row r="870">
          <cell r="E870">
            <v>0</v>
          </cell>
          <cell r="I870">
            <v>0</v>
          </cell>
        </row>
        <row r="871">
          <cell r="E871">
            <v>0</v>
          </cell>
          <cell r="I871">
            <v>0</v>
          </cell>
        </row>
        <row r="872">
          <cell r="E872">
            <v>0</v>
          </cell>
          <cell r="I872">
            <v>0</v>
          </cell>
        </row>
        <row r="873">
          <cell r="E873">
            <v>0</v>
          </cell>
          <cell r="I873">
            <v>0</v>
          </cell>
        </row>
        <row r="874">
          <cell r="E874">
            <v>0</v>
          </cell>
          <cell r="I874">
            <v>0</v>
          </cell>
        </row>
        <row r="875">
          <cell r="E875">
            <v>0</v>
          </cell>
          <cell r="I875">
            <v>0</v>
          </cell>
        </row>
        <row r="876">
          <cell r="E876">
            <v>0</v>
          </cell>
          <cell r="I876">
            <v>0</v>
          </cell>
        </row>
        <row r="877">
          <cell r="E877">
            <v>0</v>
          </cell>
          <cell r="I877">
            <v>0</v>
          </cell>
        </row>
        <row r="878">
          <cell r="E878">
            <v>0</v>
          </cell>
          <cell r="I878">
            <v>0</v>
          </cell>
        </row>
        <row r="879">
          <cell r="E879">
            <v>0</v>
          </cell>
          <cell r="I879">
            <v>0</v>
          </cell>
        </row>
        <row r="880">
          <cell r="E880">
            <v>0</v>
          </cell>
          <cell r="I880">
            <v>0</v>
          </cell>
        </row>
        <row r="881">
          <cell r="E881">
            <v>0</v>
          </cell>
          <cell r="I881">
            <v>0</v>
          </cell>
        </row>
        <row r="882">
          <cell r="E882">
            <v>0</v>
          </cell>
          <cell r="I882">
            <v>0</v>
          </cell>
        </row>
        <row r="883">
          <cell r="E883">
            <v>0</v>
          </cell>
          <cell r="I883">
            <v>0</v>
          </cell>
        </row>
        <row r="884">
          <cell r="E884">
            <v>0</v>
          </cell>
          <cell r="I884">
            <v>0</v>
          </cell>
        </row>
        <row r="885">
          <cell r="E885">
            <v>0</v>
          </cell>
          <cell r="I885">
            <v>0</v>
          </cell>
        </row>
        <row r="886">
          <cell r="E886">
            <v>0</v>
          </cell>
          <cell r="I886">
            <v>0</v>
          </cell>
        </row>
        <row r="887">
          <cell r="E887">
            <v>0</v>
          </cell>
          <cell r="I887">
            <v>0</v>
          </cell>
        </row>
        <row r="888">
          <cell r="E888">
            <v>0</v>
          </cell>
          <cell r="I888">
            <v>0</v>
          </cell>
        </row>
        <row r="889">
          <cell r="E889">
            <v>0</v>
          </cell>
          <cell r="I889">
            <v>0</v>
          </cell>
        </row>
        <row r="890">
          <cell r="E890">
            <v>0</v>
          </cell>
          <cell r="I890">
            <v>0</v>
          </cell>
        </row>
        <row r="891">
          <cell r="E891">
            <v>0</v>
          </cell>
          <cell r="I891">
            <v>0</v>
          </cell>
        </row>
        <row r="892">
          <cell r="E892">
            <v>0</v>
          </cell>
          <cell r="I892">
            <v>0</v>
          </cell>
        </row>
        <row r="893">
          <cell r="E893">
            <v>0</v>
          </cell>
          <cell r="I893">
            <v>0</v>
          </cell>
        </row>
        <row r="894">
          <cell r="E894">
            <v>0</v>
          </cell>
          <cell r="I894">
            <v>0</v>
          </cell>
        </row>
        <row r="895">
          <cell r="E895">
            <v>0</v>
          </cell>
          <cell r="I895">
            <v>0</v>
          </cell>
        </row>
        <row r="896">
          <cell r="E896">
            <v>0</v>
          </cell>
          <cell r="I896">
            <v>0</v>
          </cell>
        </row>
        <row r="897">
          <cell r="E897">
            <v>0</v>
          </cell>
          <cell r="I897">
            <v>0</v>
          </cell>
        </row>
        <row r="898">
          <cell r="E898">
            <v>0</v>
          </cell>
          <cell r="I898">
            <v>0</v>
          </cell>
        </row>
        <row r="899">
          <cell r="E899">
            <v>0</v>
          </cell>
          <cell r="I899">
            <v>0</v>
          </cell>
        </row>
        <row r="900">
          <cell r="E900">
            <v>0</v>
          </cell>
          <cell r="I900">
            <v>0</v>
          </cell>
        </row>
        <row r="901">
          <cell r="E901">
            <v>0</v>
          </cell>
          <cell r="I901">
            <v>0</v>
          </cell>
        </row>
        <row r="902">
          <cell r="E902">
            <v>0</v>
          </cell>
          <cell r="I902">
            <v>0</v>
          </cell>
        </row>
        <row r="903">
          <cell r="E903">
            <v>0</v>
          </cell>
          <cell r="I903">
            <v>0</v>
          </cell>
        </row>
        <row r="904">
          <cell r="E904">
            <v>0</v>
          </cell>
          <cell r="I904">
            <v>0</v>
          </cell>
        </row>
        <row r="905">
          <cell r="E905">
            <v>0</v>
          </cell>
          <cell r="I905">
            <v>0</v>
          </cell>
        </row>
        <row r="906">
          <cell r="E906">
            <v>0</v>
          </cell>
          <cell r="I906">
            <v>0</v>
          </cell>
        </row>
        <row r="907">
          <cell r="E907">
            <v>0</v>
          </cell>
          <cell r="I907">
            <v>0</v>
          </cell>
        </row>
        <row r="908">
          <cell r="E908">
            <v>0</v>
          </cell>
          <cell r="I908">
            <v>0</v>
          </cell>
        </row>
        <row r="909">
          <cell r="E909">
            <v>0</v>
          </cell>
          <cell r="I909">
            <v>0</v>
          </cell>
        </row>
        <row r="910">
          <cell r="E910">
            <v>0</v>
          </cell>
          <cell r="I910">
            <v>0</v>
          </cell>
        </row>
        <row r="911">
          <cell r="E911">
            <v>0</v>
          </cell>
          <cell r="I911">
            <v>0</v>
          </cell>
        </row>
        <row r="912">
          <cell r="E912">
            <v>0</v>
          </cell>
          <cell r="I912">
            <v>0</v>
          </cell>
        </row>
        <row r="913">
          <cell r="E913">
            <v>0</v>
          </cell>
          <cell r="I913">
            <v>0</v>
          </cell>
        </row>
        <row r="914">
          <cell r="E914">
            <v>0</v>
          </cell>
          <cell r="I914">
            <v>0</v>
          </cell>
        </row>
        <row r="915">
          <cell r="E915">
            <v>0</v>
          </cell>
          <cell r="I915">
            <v>0</v>
          </cell>
        </row>
        <row r="916">
          <cell r="E916">
            <v>0</v>
          </cell>
          <cell r="I916">
            <v>0</v>
          </cell>
        </row>
        <row r="917">
          <cell r="E917">
            <v>0</v>
          </cell>
          <cell r="I917">
            <v>0</v>
          </cell>
        </row>
        <row r="918">
          <cell r="E918">
            <v>0</v>
          </cell>
          <cell r="I918">
            <v>0</v>
          </cell>
        </row>
        <row r="919">
          <cell r="E919">
            <v>0</v>
          </cell>
          <cell r="I919">
            <v>0</v>
          </cell>
        </row>
        <row r="920">
          <cell r="E920">
            <v>0</v>
          </cell>
          <cell r="I920">
            <v>0</v>
          </cell>
        </row>
        <row r="921">
          <cell r="E921">
            <v>0</v>
          </cell>
          <cell r="I921">
            <v>0</v>
          </cell>
        </row>
        <row r="922">
          <cell r="E922">
            <v>0</v>
          </cell>
          <cell r="I922">
            <v>0</v>
          </cell>
        </row>
        <row r="923">
          <cell r="E923">
            <v>0</v>
          </cell>
          <cell r="I923">
            <v>0</v>
          </cell>
        </row>
        <row r="924">
          <cell r="E924">
            <v>0</v>
          </cell>
          <cell r="I924">
            <v>0</v>
          </cell>
        </row>
        <row r="925">
          <cell r="E925">
            <v>0</v>
          </cell>
          <cell r="I925">
            <v>0</v>
          </cell>
        </row>
        <row r="926">
          <cell r="E926">
            <v>0</v>
          </cell>
          <cell r="I926">
            <v>0</v>
          </cell>
        </row>
        <row r="927">
          <cell r="E927">
            <v>0</v>
          </cell>
          <cell r="I927">
            <v>0</v>
          </cell>
        </row>
        <row r="928">
          <cell r="E928">
            <v>0</v>
          </cell>
          <cell r="I928">
            <v>0</v>
          </cell>
        </row>
        <row r="929">
          <cell r="E929">
            <v>0</v>
          </cell>
          <cell r="I929">
            <v>0</v>
          </cell>
        </row>
        <row r="930">
          <cell r="E930">
            <v>0</v>
          </cell>
          <cell r="I930">
            <v>0</v>
          </cell>
        </row>
        <row r="931">
          <cell r="E931">
            <v>0</v>
          </cell>
          <cell r="I931">
            <v>0</v>
          </cell>
        </row>
        <row r="932">
          <cell r="E932">
            <v>0</v>
          </cell>
          <cell r="I932">
            <v>0</v>
          </cell>
        </row>
        <row r="933">
          <cell r="E933">
            <v>0</v>
          </cell>
          <cell r="I933">
            <v>0</v>
          </cell>
        </row>
        <row r="934">
          <cell r="E934">
            <v>0</v>
          </cell>
          <cell r="I934">
            <v>0</v>
          </cell>
        </row>
        <row r="935">
          <cell r="E935">
            <v>0</v>
          </cell>
          <cell r="I935">
            <v>0</v>
          </cell>
        </row>
        <row r="936">
          <cell r="E936">
            <v>0</v>
          </cell>
          <cell r="I936">
            <v>0</v>
          </cell>
        </row>
        <row r="937">
          <cell r="E937">
            <v>0</v>
          </cell>
          <cell r="I937">
            <v>0</v>
          </cell>
        </row>
        <row r="938">
          <cell r="E938">
            <v>0</v>
          </cell>
          <cell r="I938">
            <v>0</v>
          </cell>
        </row>
        <row r="939">
          <cell r="E939">
            <v>0</v>
          </cell>
          <cell r="I939">
            <v>0</v>
          </cell>
        </row>
        <row r="940">
          <cell r="E940">
            <v>0</v>
          </cell>
          <cell r="I940">
            <v>0</v>
          </cell>
        </row>
        <row r="941">
          <cell r="E941">
            <v>0</v>
          </cell>
          <cell r="I941">
            <v>0</v>
          </cell>
        </row>
        <row r="942">
          <cell r="E942">
            <v>0</v>
          </cell>
          <cell r="I942">
            <v>0</v>
          </cell>
        </row>
        <row r="943">
          <cell r="E943">
            <v>0</v>
          </cell>
          <cell r="I943">
            <v>0</v>
          </cell>
        </row>
        <row r="944">
          <cell r="E944">
            <v>0</v>
          </cell>
          <cell r="I944">
            <v>0</v>
          </cell>
        </row>
        <row r="945">
          <cell r="E945">
            <v>0</v>
          </cell>
          <cell r="I945">
            <v>0</v>
          </cell>
        </row>
        <row r="946">
          <cell r="E946">
            <v>0</v>
          </cell>
          <cell r="I946">
            <v>0</v>
          </cell>
        </row>
        <row r="947">
          <cell r="E947">
            <v>0</v>
          </cell>
          <cell r="I947">
            <v>0</v>
          </cell>
        </row>
        <row r="948">
          <cell r="E948">
            <v>0</v>
          </cell>
          <cell r="I948">
            <v>0</v>
          </cell>
        </row>
        <row r="949">
          <cell r="E949">
            <v>0</v>
          </cell>
          <cell r="I949">
            <v>0</v>
          </cell>
        </row>
        <row r="950">
          <cell r="E950">
            <v>0</v>
          </cell>
          <cell r="I950">
            <v>0</v>
          </cell>
        </row>
        <row r="951">
          <cell r="E951">
            <v>0</v>
          </cell>
          <cell r="I951">
            <v>0</v>
          </cell>
        </row>
        <row r="952">
          <cell r="E952">
            <v>0</v>
          </cell>
          <cell r="I952">
            <v>0</v>
          </cell>
        </row>
        <row r="953">
          <cell r="E953">
            <v>0</v>
          </cell>
          <cell r="I953">
            <v>0</v>
          </cell>
        </row>
        <row r="954">
          <cell r="E954">
            <v>0</v>
          </cell>
          <cell r="I954">
            <v>0</v>
          </cell>
        </row>
        <row r="955">
          <cell r="E955">
            <v>0</v>
          </cell>
          <cell r="I955">
            <v>0</v>
          </cell>
        </row>
        <row r="956">
          <cell r="E956">
            <v>0</v>
          </cell>
          <cell r="I956">
            <v>0</v>
          </cell>
        </row>
        <row r="957">
          <cell r="E957">
            <v>0</v>
          </cell>
          <cell r="I957">
            <v>0</v>
          </cell>
        </row>
        <row r="958">
          <cell r="E958">
            <v>0</v>
          </cell>
          <cell r="I958">
            <v>0</v>
          </cell>
        </row>
        <row r="959">
          <cell r="E959">
            <v>0</v>
          </cell>
          <cell r="I959">
            <v>0</v>
          </cell>
        </row>
        <row r="960">
          <cell r="E960">
            <v>0</v>
          </cell>
          <cell r="I960">
            <v>0</v>
          </cell>
        </row>
        <row r="961">
          <cell r="E961">
            <v>0</v>
          </cell>
          <cell r="I961">
            <v>0</v>
          </cell>
        </row>
        <row r="962">
          <cell r="E962">
            <v>0</v>
          </cell>
          <cell r="I962">
            <v>0</v>
          </cell>
        </row>
        <row r="963">
          <cell r="E963">
            <v>0</v>
          </cell>
          <cell r="I963">
            <v>0</v>
          </cell>
        </row>
        <row r="964">
          <cell r="E964">
            <v>0</v>
          </cell>
          <cell r="I964">
            <v>0</v>
          </cell>
        </row>
        <row r="965">
          <cell r="E965">
            <v>0</v>
          </cell>
          <cell r="I965">
            <v>0</v>
          </cell>
        </row>
        <row r="966">
          <cell r="E966">
            <v>0</v>
          </cell>
          <cell r="I966">
            <v>0</v>
          </cell>
        </row>
        <row r="967">
          <cell r="E967">
            <v>0</v>
          </cell>
          <cell r="I967">
            <v>0</v>
          </cell>
        </row>
        <row r="968">
          <cell r="E968">
            <v>0</v>
          </cell>
          <cell r="I968">
            <v>0</v>
          </cell>
        </row>
        <row r="969">
          <cell r="E969">
            <v>0</v>
          </cell>
          <cell r="I969">
            <v>0</v>
          </cell>
        </row>
        <row r="970">
          <cell r="E970">
            <v>0</v>
          </cell>
          <cell r="I970">
            <v>0</v>
          </cell>
        </row>
        <row r="971">
          <cell r="E971">
            <v>0</v>
          </cell>
          <cell r="I971">
            <v>0</v>
          </cell>
        </row>
        <row r="972">
          <cell r="E972">
            <v>0</v>
          </cell>
          <cell r="I972">
            <v>0</v>
          </cell>
        </row>
        <row r="973">
          <cell r="E973">
            <v>0</v>
          </cell>
          <cell r="I973">
            <v>0</v>
          </cell>
        </row>
        <row r="974">
          <cell r="E974">
            <v>0</v>
          </cell>
          <cell r="I974">
            <v>0</v>
          </cell>
        </row>
        <row r="975">
          <cell r="E975">
            <v>0</v>
          </cell>
          <cell r="I975">
            <v>0</v>
          </cell>
        </row>
        <row r="976">
          <cell r="E976">
            <v>0</v>
          </cell>
          <cell r="I976">
            <v>0</v>
          </cell>
        </row>
        <row r="977">
          <cell r="E977">
            <v>0</v>
          </cell>
          <cell r="I977">
            <v>0</v>
          </cell>
        </row>
        <row r="978">
          <cell r="E978">
            <v>0</v>
          </cell>
          <cell r="I978">
            <v>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"/>
      <sheetName val="GLOBAL"/>
      <sheetName val="Simulasi"/>
      <sheetName val="TAGPD"/>
      <sheetName val="Sheet2"/>
      <sheetName val="Sheet1"/>
    </sheetNames>
    <sheetDataSet>
      <sheetData sheetId="0">
        <row r="12">
          <cell r="E12" t="str">
            <v>Tani Mulyo Lestari/Puguh</v>
          </cell>
          <cell r="I12">
            <v>9000000</v>
          </cell>
          <cell r="L12">
            <v>0</v>
          </cell>
          <cell r="M12">
            <v>9000000</v>
          </cell>
        </row>
        <row r="13">
          <cell r="E13" t="str">
            <v>Rio Tani/Trio</v>
          </cell>
          <cell r="I13">
            <v>6540000</v>
          </cell>
          <cell r="L13">
            <v>0</v>
          </cell>
          <cell r="M13">
            <v>6540000</v>
          </cell>
        </row>
        <row r="14">
          <cell r="E14" t="str">
            <v>Tulus Ayu</v>
          </cell>
          <cell r="I14">
            <v>7555000</v>
          </cell>
          <cell r="L14">
            <v>0</v>
          </cell>
          <cell r="M14">
            <v>7555000</v>
          </cell>
        </row>
        <row r="15">
          <cell r="E15" t="str">
            <v>Hari Tani, UD/Amin</v>
          </cell>
          <cell r="I15">
            <v>4600000</v>
          </cell>
          <cell r="L15">
            <v>0</v>
          </cell>
          <cell r="M15">
            <v>4600000</v>
          </cell>
        </row>
        <row r="16">
          <cell r="E16" t="str">
            <v>Pertanian Yuliana/Tumiran</v>
          </cell>
          <cell r="I16">
            <v>2442500</v>
          </cell>
          <cell r="L16">
            <v>0</v>
          </cell>
          <cell r="M16">
            <v>2442500</v>
          </cell>
        </row>
        <row r="17">
          <cell r="E17" t="str">
            <v>Tani Mulyo Lestari/Puguh</v>
          </cell>
          <cell r="I17">
            <v>23000000</v>
          </cell>
          <cell r="L17">
            <v>0</v>
          </cell>
          <cell r="M17">
            <v>23000000</v>
          </cell>
        </row>
        <row r="18">
          <cell r="E18" t="str">
            <v>Agro Makmur/Gamiran</v>
          </cell>
          <cell r="I18">
            <v>5000000</v>
          </cell>
          <cell r="L18">
            <v>0</v>
          </cell>
          <cell r="M18">
            <v>5000000</v>
          </cell>
        </row>
        <row r="19">
          <cell r="E19" t="str">
            <v>Budi Karya Tani</v>
          </cell>
          <cell r="I19">
            <v>5445000</v>
          </cell>
          <cell r="L19">
            <v>0</v>
          </cell>
          <cell r="M19">
            <v>5445000</v>
          </cell>
        </row>
        <row r="20">
          <cell r="E20" t="str">
            <v>Berkah Izzam/Adif</v>
          </cell>
          <cell r="I20">
            <v>9800000</v>
          </cell>
          <cell r="L20">
            <v>0</v>
          </cell>
          <cell r="M20">
            <v>9800000</v>
          </cell>
        </row>
        <row r="21">
          <cell r="E21" t="str">
            <v>Kampung Tani/Aguk</v>
          </cell>
          <cell r="I21">
            <v>7305000</v>
          </cell>
          <cell r="L21">
            <v>0</v>
          </cell>
          <cell r="M21">
            <v>7305000</v>
          </cell>
        </row>
        <row r="22">
          <cell r="E22" t="str">
            <v>Lanta Bura</v>
          </cell>
          <cell r="I22">
            <v>180507500</v>
          </cell>
          <cell r="L22">
            <v>0</v>
          </cell>
          <cell r="M22">
            <v>180507500</v>
          </cell>
        </row>
        <row r="23">
          <cell r="E23" t="str">
            <v>Rio Tani/Trio</v>
          </cell>
          <cell r="I23">
            <v>14560000</v>
          </cell>
          <cell r="L23">
            <v>0</v>
          </cell>
          <cell r="M23">
            <v>14560000</v>
          </cell>
        </row>
        <row r="24">
          <cell r="E24" t="str">
            <v>Rika Tani/Gimun</v>
          </cell>
          <cell r="I24">
            <v>10000000</v>
          </cell>
          <cell r="L24">
            <v>0</v>
          </cell>
          <cell r="M24">
            <v>10000000</v>
          </cell>
        </row>
        <row r="25">
          <cell r="E25" t="str">
            <v>Rika Tani/Gimun</v>
          </cell>
          <cell r="I25">
            <v>2200000</v>
          </cell>
          <cell r="L25">
            <v>0</v>
          </cell>
          <cell r="M25">
            <v>2200000</v>
          </cell>
        </row>
        <row r="26">
          <cell r="E26" t="str">
            <v>Balen Rejo</v>
          </cell>
          <cell r="I26">
            <v>29427000</v>
          </cell>
          <cell r="L26">
            <v>0</v>
          </cell>
          <cell r="M26">
            <v>29427000</v>
          </cell>
        </row>
        <row r="27">
          <cell r="E27" t="str">
            <v>Bunga Bertani, UD</v>
          </cell>
          <cell r="I27">
            <v>42995000</v>
          </cell>
          <cell r="L27">
            <v>0</v>
          </cell>
          <cell r="M27">
            <v>42995000</v>
          </cell>
        </row>
        <row r="28">
          <cell r="E28" t="str">
            <v>Tani Jaya/Erna</v>
          </cell>
          <cell r="I28">
            <v>8244000</v>
          </cell>
          <cell r="L28">
            <v>0</v>
          </cell>
          <cell r="M28">
            <v>8244000</v>
          </cell>
        </row>
        <row r="29">
          <cell r="E29" t="str">
            <v>Lanta Bura</v>
          </cell>
          <cell r="I29">
            <v>92475000</v>
          </cell>
          <cell r="L29">
            <v>0</v>
          </cell>
        </row>
        <row r="30">
          <cell r="E30" t="str">
            <v>Rizki Barokah</v>
          </cell>
          <cell r="I30">
            <v>5000000</v>
          </cell>
          <cell r="L30">
            <v>0</v>
          </cell>
          <cell r="M30">
            <v>5000000</v>
          </cell>
        </row>
        <row r="31">
          <cell r="E31" t="str">
            <v>Sumber Tani Makmur, UD/Suyitno, H</v>
          </cell>
          <cell r="I31">
            <v>100000000</v>
          </cell>
          <cell r="L31">
            <v>0</v>
          </cell>
          <cell r="M31">
            <v>100000000</v>
          </cell>
        </row>
        <row r="32">
          <cell r="E32" t="str">
            <v>Balen Rejo</v>
          </cell>
          <cell r="I32">
            <v>26950000</v>
          </cell>
          <cell r="L32">
            <v>0</v>
          </cell>
          <cell r="M32">
            <v>26950000</v>
          </cell>
        </row>
        <row r="33">
          <cell r="E33" t="str">
            <v>Sumber Tani Makmur, UD/Suyitno, H</v>
          </cell>
          <cell r="I33">
            <v>303625000</v>
          </cell>
          <cell r="L33">
            <v>0</v>
          </cell>
          <cell r="M33">
            <v>303625000</v>
          </cell>
        </row>
        <row r="34">
          <cell r="E34" t="str">
            <v>Asia Agro/Yudi</v>
          </cell>
          <cell r="I34">
            <v>41380000</v>
          </cell>
          <cell r="L34">
            <v>0</v>
          </cell>
          <cell r="M34">
            <v>41380000</v>
          </cell>
        </row>
        <row r="35">
          <cell r="E35" t="str">
            <v>Berkah Tani/Joko</v>
          </cell>
          <cell r="I35">
            <v>7710000</v>
          </cell>
          <cell r="L35">
            <v>0</v>
          </cell>
          <cell r="M35">
            <v>7710000</v>
          </cell>
        </row>
        <row r="36">
          <cell r="E36" t="str">
            <v>Sumber Tani/Kudhori</v>
          </cell>
          <cell r="I36">
            <v>3800000</v>
          </cell>
          <cell r="L36">
            <v>0</v>
          </cell>
          <cell r="M36">
            <v>3800000</v>
          </cell>
        </row>
        <row r="37">
          <cell r="E37" t="str">
            <v>Sumber Tani Makmur, UD/Suyitno, H</v>
          </cell>
          <cell r="I37">
            <v>155400000</v>
          </cell>
          <cell r="L37">
            <v>0</v>
          </cell>
          <cell r="M37">
            <v>155400000</v>
          </cell>
        </row>
        <row r="38">
          <cell r="E38" t="str">
            <v>Karya Tani/Ari Miru</v>
          </cell>
          <cell r="I38">
            <v>3836000</v>
          </cell>
          <cell r="L38">
            <v>0</v>
          </cell>
          <cell r="M38">
            <v>3836000</v>
          </cell>
        </row>
        <row r="39">
          <cell r="E39" t="str">
            <v>Lanta Bura</v>
          </cell>
          <cell r="I39">
            <v>66800000</v>
          </cell>
          <cell r="L39">
            <v>0</v>
          </cell>
          <cell r="M39">
            <v>66800000</v>
          </cell>
        </row>
        <row r="40">
          <cell r="E40" t="str">
            <v>Lanta Bura</v>
          </cell>
          <cell r="I40">
            <v>2960000</v>
          </cell>
          <cell r="L40">
            <v>0</v>
          </cell>
          <cell r="M40">
            <v>2960000</v>
          </cell>
        </row>
        <row r="41">
          <cell r="E41" t="str">
            <v>Mitra Tani/Hanto</v>
          </cell>
          <cell r="I41">
            <v>2100000</v>
          </cell>
          <cell r="L41">
            <v>0</v>
          </cell>
          <cell r="M41">
            <v>2100000</v>
          </cell>
        </row>
        <row r="42">
          <cell r="E42" t="str">
            <v>Mitra Tani/Hanto</v>
          </cell>
          <cell r="I42">
            <v>1340000</v>
          </cell>
          <cell r="L42">
            <v>0</v>
          </cell>
          <cell r="M42">
            <v>1340000</v>
          </cell>
        </row>
        <row r="43">
          <cell r="E43" t="str">
            <v>Balen Rejo</v>
          </cell>
          <cell r="I43">
            <v>5680000</v>
          </cell>
          <cell r="L43">
            <v>0</v>
          </cell>
          <cell r="M43">
            <v>5680000</v>
          </cell>
        </row>
        <row r="44">
          <cell r="E44" t="str">
            <v>Hikmah Agung Tuban, CV</v>
          </cell>
          <cell r="I44">
            <v>21375000</v>
          </cell>
          <cell r="L44">
            <v>0</v>
          </cell>
          <cell r="M44">
            <v>21375000</v>
          </cell>
        </row>
        <row r="45">
          <cell r="E45" t="str">
            <v>Sahala/Syaiful</v>
          </cell>
          <cell r="I45">
            <v>12262500</v>
          </cell>
          <cell r="L45">
            <v>0</v>
          </cell>
          <cell r="M45">
            <v>12262500</v>
          </cell>
        </row>
        <row r="46">
          <cell r="E46" t="str">
            <v>Sahala/Syaiful</v>
          </cell>
          <cell r="I46">
            <v>5400000</v>
          </cell>
          <cell r="L46">
            <v>0</v>
          </cell>
          <cell r="M46">
            <v>5400000</v>
          </cell>
        </row>
        <row r="47">
          <cell r="E47" t="str">
            <v>Sahala/Syaiful</v>
          </cell>
          <cell r="I47">
            <v>17415000</v>
          </cell>
          <cell r="L47">
            <v>0</v>
          </cell>
          <cell r="M47">
            <v>17415000</v>
          </cell>
        </row>
        <row r="48">
          <cell r="E48" t="str">
            <v>Sumber Tani/Kudhori</v>
          </cell>
          <cell r="I48">
            <v>2900000</v>
          </cell>
          <cell r="L48">
            <v>0</v>
          </cell>
          <cell r="M48">
            <v>2900000</v>
          </cell>
        </row>
        <row r="49">
          <cell r="E49" t="str">
            <v>Petroka Tani</v>
          </cell>
          <cell r="I49">
            <v>1500000</v>
          </cell>
          <cell r="L49">
            <v>0</v>
          </cell>
          <cell r="M49">
            <v>1500000</v>
          </cell>
        </row>
        <row r="50">
          <cell r="E50" t="str">
            <v>Sumber Tani/Widi, H II</v>
          </cell>
          <cell r="I50">
            <v>354000000</v>
          </cell>
          <cell r="L50">
            <v>0</v>
          </cell>
        </row>
        <row r="51">
          <cell r="E51" t="str">
            <v>Bakoel Tani/Dayen</v>
          </cell>
          <cell r="I51">
            <v>3400000</v>
          </cell>
          <cell r="L51">
            <v>0</v>
          </cell>
        </row>
        <row r="52">
          <cell r="E52" t="str">
            <v>Bunga Bertani, UD</v>
          </cell>
          <cell r="I52">
            <v>14400000</v>
          </cell>
          <cell r="L52">
            <v>0</v>
          </cell>
          <cell r="M52">
            <v>14400000</v>
          </cell>
        </row>
        <row r="53">
          <cell r="E53" t="str">
            <v>Hikmah Agung Tuban, CV</v>
          </cell>
          <cell r="I53">
            <v>16000000</v>
          </cell>
          <cell r="L53">
            <v>0</v>
          </cell>
          <cell r="M53">
            <v>16000000</v>
          </cell>
        </row>
        <row r="54">
          <cell r="E54" t="str">
            <v>Hikmah Agung Tuban, CV</v>
          </cell>
          <cell r="I54">
            <v>110000000</v>
          </cell>
          <cell r="L54">
            <v>0</v>
          </cell>
          <cell r="M54">
            <v>110000000</v>
          </cell>
        </row>
        <row r="55">
          <cell r="E55" t="str">
            <v>Kampung Tani/Aguk</v>
          </cell>
          <cell r="I55">
            <v>4300000</v>
          </cell>
          <cell r="L55">
            <v>0</v>
          </cell>
          <cell r="M55">
            <v>4300000</v>
          </cell>
        </row>
        <row r="56">
          <cell r="E56" t="str">
            <v>Kampung Tani/Aguk</v>
          </cell>
          <cell r="I56">
            <v>4720000</v>
          </cell>
          <cell r="L56">
            <v>0</v>
          </cell>
          <cell r="M56">
            <v>4720000</v>
          </cell>
        </row>
        <row r="57">
          <cell r="E57" t="str">
            <v>Konco Tani/Ali Z</v>
          </cell>
          <cell r="I57">
            <v>4820000</v>
          </cell>
          <cell r="L57">
            <v>0</v>
          </cell>
          <cell r="M57">
            <v>4820000</v>
          </cell>
        </row>
        <row r="58">
          <cell r="E58" t="str">
            <v>Tani Jaya/Erna</v>
          </cell>
          <cell r="I58">
            <v>8980000</v>
          </cell>
          <cell r="L58">
            <v>0</v>
          </cell>
          <cell r="M58">
            <v>8980000</v>
          </cell>
        </row>
        <row r="59">
          <cell r="E59" t="str">
            <v>Agro Mandiri/Nurlaela</v>
          </cell>
          <cell r="I59">
            <v>1380000</v>
          </cell>
          <cell r="L59">
            <v>0</v>
          </cell>
          <cell r="M59">
            <v>1380000</v>
          </cell>
        </row>
        <row r="60">
          <cell r="E60" t="str">
            <v>Berkat Tani/Benny</v>
          </cell>
          <cell r="I60">
            <v>7605000</v>
          </cell>
          <cell r="L60">
            <v>4000000</v>
          </cell>
          <cell r="M60">
            <v>3605000</v>
          </cell>
        </row>
        <row r="61">
          <cell r="E61" t="str">
            <v>Eko Tani/Eko</v>
          </cell>
          <cell r="I61">
            <v>9000000</v>
          </cell>
          <cell r="L61">
            <v>0</v>
          </cell>
          <cell r="M61">
            <v>9000000</v>
          </cell>
        </row>
        <row r="62">
          <cell r="E62" t="str">
            <v>Harian Jaya</v>
          </cell>
          <cell r="I62">
            <v>3400000</v>
          </cell>
          <cell r="L62">
            <v>0</v>
          </cell>
          <cell r="M62">
            <v>3400000</v>
          </cell>
        </row>
        <row r="63">
          <cell r="E63" t="str">
            <v>Nayunda/Edi</v>
          </cell>
          <cell r="I63">
            <v>5400000</v>
          </cell>
          <cell r="L63">
            <v>0</v>
          </cell>
          <cell r="M63">
            <v>5400000</v>
          </cell>
        </row>
        <row r="64">
          <cell r="E64" t="str">
            <v>Hikmah Agung Tuban, CV</v>
          </cell>
          <cell r="I64">
            <v>92000000</v>
          </cell>
          <cell r="L64">
            <v>0</v>
          </cell>
          <cell r="M64">
            <v>92000000</v>
          </cell>
        </row>
        <row r="65">
          <cell r="E65" t="str">
            <v>Hikmah Agung Tuban, CV</v>
          </cell>
          <cell r="I65">
            <v>282494825</v>
          </cell>
          <cell r="L65">
            <v>0</v>
          </cell>
          <cell r="M65">
            <v>282494825</v>
          </cell>
        </row>
        <row r="66">
          <cell r="E66" t="str">
            <v>Hikmah Agung Tuban, CV</v>
          </cell>
          <cell r="I66">
            <v>585000000</v>
          </cell>
          <cell r="L66">
            <v>0</v>
          </cell>
          <cell r="M66">
            <v>585000000</v>
          </cell>
        </row>
        <row r="67">
          <cell r="E67" t="str">
            <v>Sumber Tani/Sugeng</v>
          </cell>
          <cell r="I67">
            <v>14115000</v>
          </cell>
          <cell r="L67">
            <v>0</v>
          </cell>
          <cell r="M67">
            <v>14115000</v>
          </cell>
        </row>
        <row r="68">
          <cell r="E68" t="str">
            <v>Hikmah Agung Tuban, CV</v>
          </cell>
          <cell r="I68">
            <v>396000000</v>
          </cell>
          <cell r="L68">
            <v>0</v>
          </cell>
          <cell r="M68">
            <v>396000000</v>
          </cell>
        </row>
        <row r="69">
          <cell r="E69" t="str">
            <v>Balen Rejo</v>
          </cell>
          <cell r="I69">
            <v>11664000</v>
          </cell>
          <cell r="L69">
            <v>0</v>
          </cell>
          <cell r="M69">
            <v>11664000</v>
          </cell>
        </row>
        <row r="70">
          <cell r="E70" t="str">
            <v>Duta Buah Putra/Furkon</v>
          </cell>
          <cell r="I70">
            <v>888700</v>
          </cell>
          <cell r="L70">
            <v>15000000</v>
          </cell>
          <cell r="M70">
            <v>-14111300</v>
          </cell>
        </row>
        <row r="71">
          <cell r="E71" t="str">
            <v>Hikmah Agung Tuban, CV</v>
          </cell>
          <cell r="I71">
            <v>48000000</v>
          </cell>
          <cell r="L71">
            <v>0</v>
          </cell>
          <cell r="M71">
            <v>48000000</v>
          </cell>
        </row>
        <row r="72">
          <cell r="E72" t="str">
            <v>Putra Jaya/Sholeh</v>
          </cell>
          <cell r="I72">
            <v>4900000</v>
          </cell>
          <cell r="L72">
            <v>0</v>
          </cell>
          <cell r="M72">
            <v>4900000</v>
          </cell>
        </row>
        <row r="73">
          <cell r="E73" t="str">
            <v>Sumber Tani Makmur, UD/Suyitno, H</v>
          </cell>
          <cell r="I73">
            <v>96840000</v>
          </cell>
          <cell r="L73">
            <v>0</v>
          </cell>
          <cell r="M73">
            <v>96840000</v>
          </cell>
        </row>
        <row r="74">
          <cell r="E74" t="str">
            <v>Harian Jaya</v>
          </cell>
          <cell r="I74">
            <v>2680000</v>
          </cell>
          <cell r="L74">
            <v>0</v>
          </cell>
          <cell r="M74">
            <v>2680000</v>
          </cell>
        </row>
        <row r="75">
          <cell r="E75" t="str">
            <v>Sahala/Syaiful</v>
          </cell>
          <cell r="I75">
            <v>23970000</v>
          </cell>
          <cell r="L75">
            <v>0</v>
          </cell>
          <cell r="M75">
            <v>23970000</v>
          </cell>
        </row>
        <row r="76">
          <cell r="E76" t="str">
            <v>Saka Tani/Marsilah</v>
          </cell>
          <cell r="I76">
            <v>9000000</v>
          </cell>
          <cell r="L76">
            <v>0</v>
          </cell>
          <cell r="M76">
            <v>9000000</v>
          </cell>
        </row>
        <row r="77">
          <cell r="E77" t="str">
            <v>Tani Jaya/Irawan</v>
          </cell>
          <cell r="I77">
            <v>1510000</v>
          </cell>
          <cell r="L77">
            <v>0</v>
          </cell>
          <cell r="M77">
            <v>1510000</v>
          </cell>
        </row>
        <row r="78">
          <cell r="E78" t="str">
            <v>Arkha Jaya Makmur/Atma</v>
          </cell>
          <cell r="I78">
            <v>1875000</v>
          </cell>
          <cell r="L78">
            <v>0</v>
          </cell>
          <cell r="M78">
            <v>1875000</v>
          </cell>
        </row>
        <row r="79">
          <cell r="E79" t="str">
            <v>Sahala/Syaiful</v>
          </cell>
          <cell r="I79">
            <v>25520000</v>
          </cell>
          <cell r="L79">
            <v>0</v>
          </cell>
          <cell r="M79">
            <v>25520000</v>
          </cell>
        </row>
        <row r="80">
          <cell r="E80" t="str">
            <v>Sumber Tani/Kudhori</v>
          </cell>
          <cell r="I80">
            <v>19000000</v>
          </cell>
          <cell r="L80">
            <v>0</v>
          </cell>
          <cell r="M80">
            <v>19000000</v>
          </cell>
        </row>
        <row r="81">
          <cell r="E81" t="str">
            <v>Agro Mandiri/Nurlaela</v>
          </cell>
          <cell r="I81">
            <v>1485000</v>
          </cell>
          <cell r="L81">
            <v>0</v>
          </cell>
          <cell r="M81">
            <v>1485000</v>
          </cell>
        </row>
        <row r="82">
          <cell r="E82" t="str">
            <v>Maju Jaya/Azwar</v>
          </cell>
          <cell r="I82">
            <v>4893000</v>
          </cell>
          <cell r="L82">
            <v>0</v>
          </cell>
          <cell r="M82">
            <v>4893000</v>
          </cell>
        </row>
        <row r="83">
          <cell r="E83" t="str">
            <v>Mohan Putra Mandiri</v>
          </cell>
          <cell r="I83">
            <v>80000000</v>
          </cell>
          <cell r="L83">
            <v>0</v>
          </cell>
          <cell r="M83">
            <v>80000000</v>
          </cell>
        </row>
        <row r="84">
          <cell r="E84" t="str">
            <v>Sahala/Syaiful</v>
          </cell>
          <cell r="I84">
            <v>461038500</v>
          </cell>
          <cell r="L84">
            <v>280000000</v>
          </cell>
        </row>
        <row r="85">
          <cell r="E85" t="str">
            <v>Budi Karya Tani</v>
          </cell>
          <cell r="I85">
            <v>10400000</v>
          </cell>
          <cell r="L85">
            <v>0</v>
          </cell>
          <cell r="M85">
            <v>10400000</v>
          </cell>
        </row>
        <row r="86">
          <cell r="E86" t="str">
            <v>Nayunda/Edi</v>
          </cell>
          <cell r="I86">
            <v>4250000</v>
          </cell>
          <cell r="L86">
            <v>0</v>
          </cell>
          <cell r="M86">
            <v>4250000</v>
          </cell>
        </row>
        <row r="87">
          <cell r="E87" t="str">
            <v>Sumber Agung/Sutikno</v>
          </cell>
          <cell r="I87">
            <v>2200000</v>
          </cell>
          <cell r="L87">
            <v>0</v>
          </cell>
          <cell r="M87">
            <v>2200000</v>
          </cell>
        </row>
        <row r="88">
          <cell r="E88" t="str">
            <v>Hikmah Agung Tuban, CV</v>
          </cell>
          <cell r="I88">
            <v>11950000</v>
          </cell>
          <cell r="L88">
            <v>0</v>
          </cell>
          <cell r="M88">
            <v>11950000</v>
          </cell>
        </row>
        <row r="89">
          <cell r="E89" t="str">
            <v>Lanta Bura</v>
          </cell>
          <cell r="I89">
            <v>68463000</v>
          </cell>
          <cell r="L89">
            <v>0</v>
          </cell>
          <cell r="M89">
            <v>68463000</v>
          </cell>
        </row>
        <row r="90">
          <cell r="E90" t="str">
            <v>Lanta Bura</v>
          </cell>
          <cell r="I90">
            <v>12555000</v>
          </cell>
          <cell r="L90">
            <v>0</v>
          </cell>
          <cell r="M90">
            <v>12555000</v>
          </cell>
        </row>
        <row r="91">
          <cell r="E91" t="str">
            <v>Lanta Bura</v>
          </cell>
          <cell r="I91">
            <v>28336000</v>
          </cell>
          <cell r="L91">
            <v>0</v>
          </cell>
          <cell r="M91">
            <v>28336000</v>
          </cell>
        </row>
        <row r="92">
          <cell r="E92" t="str">
            <v>Roda Tani/Srinarsih</v>
          </cell>
          <cell r="I92">
            <v>855000</v>
          </cell>
          <cell r="L92">
            <v>0</v>
          </cell>
          <cell r="M92">
            <v>855000</v>
          </cell>
        </row>
        <row r="93">
          <cell r="E93" t="str">
            <v>Sumber Tani Makmur, UD/Suyitno, H</v>
          </cell>
          <cell r="I93">
            <v>480000000</v>
          </cell>
          <cell r="L93">
            <v>0</v>
          </cell>
          <cell r="M93">
            <v>480000000</v>
          </cell>
        </row>
        <row r="94">
          <cell r="E94" t="str">
            <v>Duta Buah Putra/Furkon</v>
          </cell>
          <cell r="I94">
            <v>1400000</v>
          </cell>
          <cell r="L94">
            <v>0</v>
          </cell>
          <cell r="M94">
            <v>1400000</v>
          </cell>
        </row>
        <row r="95">
          <cell r="E95" t="str">
            <v>Eko Tani/Eko</v>
          </cell>
          <cell r="I95">
            <v>6570000</v>
          </cell>
          <cell r="L95">
            <v>0</v>
          </cell>
          <cell r="M95">
            <v>6570000</v>
          </cell>
        </row>
        <row r="96">
          <cell r="E96" t="str">
            <v>Hikmah Agung Tuban, CV</v>
          </cell>
          <cell r="I96">
            <v>412000000</v>
          </cell>
          <cell r="L96">
            <v>0</v>
          </cell>
          <cell r="M96">
            <v>412000000</v>
          </cell>
        </row>
        <row r="97">
          <cell r="E97" t="str">
            <v>Hikmah Agung Tuban, CV</v>
          </cell>
          <cell r="I97">
            <v>103000000</v>
          </cell>
          <cell r="L97">
            <v>0</v>
          </cell>
          <cell r="M97">
            <v>103000000</v>
          </cell>
        </row>
        <row r="98">
          <cell r="E98" t="str">
            <v>Lanta Bura</v>
          </cell>
          <cell r="I98">
            <v>46927000</v>
          </cell>
          <cell r="L98">
            <v>0</v>
          </cell>
          <cell r="M98">
            <v>46927000</v>
          </cell>
        </row>
        <row r="99">
          <cell r="E99" t="str">
            <v>Sahala/Syaiful</v>
          </cell>
          <cell r="I99">
            <v>144000000</v>
          </cell>
          <cell r="L99">
            <v>0</v>
          </cell>
          <cell r="M99">
            <v>144000000</v>
          </cell>
        </row>
        <row r="100">
          <cell r="E100" t="str">
            <v>Sahala/Syaiful</v>
          </cell>
          <cell r="I100">
            <v>756000000</v>
          </cell>
          <cell r="L100">
            <v>0</v>
          </cell>
          <cell r="M100">
            <v>756000000</v>
          </cell>
        </row>
        <row r="101">
          <cell r="E101" t="str">
            <v>Hikmah Agung Tuban, CV</v>
          </cell>
          <cell r="I101">
            <v>29750000</v>
          </cell>
          <cell r="L101">
            <v>0</v>
          </cell>
          <cell r="M101">
            <v>29750000</v>
          </cell>
        </row>
        <row r="102">
          <cell r="E102" t="str">
            <v>Kampung Tani/Aguk</v>
          </cell>
          <cell r="I102">
            <v>4165000</v>
          </cell>
          <cell r="L102">
            <v>0</v>
          </cell>
          <cell r="M102">
            <v>4165000</v>
          </cell>
        </row>
        <row r="103">
          <cell r="E103" t="str">
            <v>Sahala/Syaiful</v>
          </cell>
          <cell r="I103">
            <v>104275000</v>
          </cell>
          <cell r="L103">
            <v>0</v>
          </cell>
          <cell r="M103">
            <v>104275000</v>
          </cell>
        </row>
        <row r="104">
          <cell r="E104" t="str">
            <v>Sahala/Syaiful</v>
          </cell>
          <cell r="I104">
            <v>44745000</v>
          </cell>
          <cell r="L104">
            <v>0</v>
          </cell>
          <cell r="M104">
            <v>44745000</v>
          </cell>
        </row>
        <row r="105">
          <cell r="E105" t="str">
            <v>Sumber Tani Makmur, UD/Suyitno, H</v>
          </cell>
          <cell r="I105">
            <v>71250000</v>
          </cell>
          <cell r="L105">
            <v>0</v>
          </cell>
          <cell r="M105">
            <v>71250000</v>
          </cell>
        </row>
        <row r="106">
          <cell r="E106" t="str">
            <v>Sumber Tani, UD/Basuni</v>
          </cell>
          <cell r="I106">
            <v>30375000</v>
          </cell>
          <cell r="L106">
            <v>0</v>
          </cell>
          <cell r="M106">
            <v>30375000</v>
          </cell>
        </row>
        <row r="107">
          <cell r="E107" t="str">
            <v>Sumber Tani/Kudhori</v>
          </cell>
          <cell r="I107">
            <v>21090000</v>
          </cell>
          <cell r="L107">
            <v>0</v>
          </cell>
          <cell r="M107">
            <v>21090000</v>
          </cell>
        </row>
        <row r="108">
          <cell r="E108" t="str">
            <v>Sumber Tani/Kudhori</v>
          </cell>
          <cell r="I108">
            <v>12240000</v>
          </cell>
          <cell r="L108">
            <v>0</v>
          </cell>
          <cell r="M108">
            <v>12240000</v>
          </cell>
        </row>
        <row r="109">
          <cell r="E109" t="str">
            <v>Sumber Tani/Widi, H II</v>
          </cell>
          <cell r="I109">
            <v>156000000</v>
          </cell>
          <cell r="L109">
            <v>0</v>
          </cell>
          <cell r="M109">
            <v>156000000</v>
          </cell>
        </row>
        <row r="110">
          <cell r="E110" t="str">
            <v>Asia Agro/Yudi</v>
          </cell>
          <cell r="I110">
            <v>10250000</v>
          </cell>
          <cell r="L110">
            <v>0</v>
          </cell>
          <cell r="M110">
            <v>10250000</v>
          </cell>
        </row>
        <row r="111">
          <cell r="E111" t="str">
            <v>Bunga Bertani, UD</v>
          </cell>
          <cell r="I111">
            <v>28000000</v>
          </cell>
          <cell r="L111">
            <v>0</v>
          </cell>
          <cell r="M111">
            <v>28000000</v>
          </cell>
        </row>
        <row r="112">
          <cell r="E112" t="str">
            <v>Kampung Tani/Aguk</v>
          </cell>
          <cell r="I112">
            <v>1960000</v>
          </cell>
          <cell r="L112">
            <v>0</v>
          </cell>
          <cell r="M112">
            <v>1960000</v>
          </cell>
        </row>
        <row r="113">
          <cell r="E113" t="str">
            <v>Rizki Barokah</v>
          </cell>
          <cell r="I113">
            <v>14640000</v>
          </cell>
          <cell r="L113">
            <v>0</v>
          </cell>
          <cell r="M113">
            <v>14640000</v>
          </cell>
        </row>
        <row r="114">
          <cell r="E114" t="str">
            <v>Sumber Tani Makmur, UD/Suyitno, H</v>
          </cell>
          <cell r="I114">
            <v>37660000</v>
          </cell>
          <cell r="L114">
            <v>0</v>
          </cell>
          <cell r="M114">
            <v>37660000</v>
          </cell>
        </row>
        <row r="115">
          <cell r="E115" t="str">
            <v>Lanta Bura</v>
          </cell>
          <cell r="I115">
            <v>126370000</v>
          </cell>
          <cell r="L115">
            <v>0</v>
          </cell>
          <cell r="M115">
            <v>126370000</v>
          </cell>
        </row>
        <row r="116">
          <cell r="E116" t="str">
            <v>Lanta Bura</v>
          </cell>
          <cell r="I116">
            <v>13950000</v>
          </cell>
          <cell r="L116">
            <v>0</v>
          </cell>
          <cell r="M116">
            <v>13950000</v>
          </cell>
        </row>
        <row r="117">
          <cell r="E117" t="str">
            <v>Mohan Putra Mandiri</v>
          </cell>
          <cell r="I117">
            <v>458000000</v>
          </cell>
          <cell r="L117">
            <v>0</v>
          </cell>
          <cell r="M117">
            <v>458000000</v>
          </cell>
        </row>
        <row r="118">
          <cell r="E118" t="str">
            <v>Sahala/Syaiful</v>
          </cell>
          <cell r="I118">
            <v>12150000</v>
          </cell>
          <cell r="L118">
            <v>0</v>
          </cell>
          <cell r="M118">
            <v>12150000</v>
          </cell>
        </row>
        <row r="119">
          <cell r="E119" t="str">
            <v>Sahala/Syaiful</v>
          </cell>
          <cell r="I119">
            <v>68850000</v>
          </cell>
          <cell r="L119">
            <v>0</v>
          </cell>
          <cell r="M119">
            <v>68850000</v>
          </cell>
        </row>
        <row r="120">
          <cell r="E120" t="str">
            <v>Balen Rejo</v>
          </cell>
          <cell r="I120">
            <v>7280000</v>
          </cell>
          <cell r="L120">
            <v>0</v>
          </cell>
          <cell r="M120">
            <v>7280000</v>
          </cell>
        </row>
        <row r="121">
          <cell r="E121" t="str">
            <v>Duta Buah Putra/Furkon</v>
          </cell>
          <cell r="I121">
            <v>3200000</v>
          </cell>
          <cell r="L121">
            <v>0</v>
          </cell>
          <cell r="M121">
            <v>3200000</v>
          </cell>
        </row>
        <row r="122">
          <cell r="E122" t="str">
            <v>Eko Tani/Eko</v>
          </cell>
          <cell r="I122">
            <v>2280000</v>
          </cell>
          <cell r="L122">
            <v>0</v>
          </cell>
          <cell r="M122">
            <v>2280000</v>
          </cell>
        </row>
        <row r="123">
          <cell r="E123" t="str">
            <v>Maju Jaya/Azwar</v>
          </cell>
          <cell r="I123">
            <v>11250000</v>
          </cell>
          <cell r="L123">
            <v>0</v>
          </cell>
          <cell r="M123">
            <v>11250000</v>
          </cell>
        </row>
        <row r="124">
          <cell r="E124" t="str">
            <v>Sumber Tani Makmur, UD/Suyitno, H</v>
          </cell>
          <cell r="I124">
            <v>50400000</v>
          </cell>
          <cell r="L124">
            <v>0</v>
          </cell>
          <cell r="M124">
            <v>50400000</v>
          </cell>
        </row>
        <row r="125">
          <cell r="E125" t="str">
            <v>Tani Makmur/Priyono</v>
          </cell>
          <cell r="I125">
            <v>4500000</v>
          </cell>
          <cell r="L125">
            <v>0</v>
          </cell>
          <cell r="M125">
            <v>4500000</v>
          </cell>
        </row>
        <row r="126">
          <cell r="E126" t="str">
            <v>Barokah Raya/Mito</v>
          </cell>
          <cell r="I126">
            <v>1875000</v>
          </cell>
          <cell r="L126">
            <v>0</v>
          </cell>
          <cell r="M126">
            <v>1875000</v>
          </cell>
        </row>
        <row r="127">
          <cell r="E127" t="str">
            <v>Hikmah Agung Tuban, CV</v>
          </cell>
          <cell r="I127">
            <v>515000000</v>
          </cell>
          <cell r="L127">
            <v>0</v>
          </cell>
          <cell r="M127">
            <v>515000000</v>
          </cell>
        </row>
        <row r="128">
          <cell r="E128" t="str">
            <v>Maju Jaya/Azwar</v>
          </cell>
          <cell r="I128">
            <v>33600000</v>
          </cell>
          <cell r="L128">
            <v>0</v>
          </cell>
          <cell r="M128">
            <v>33600000</v>
          </cell>
        </row>
        <row r="129">
          <cell r="E129" t="str">
            <v>Sahala/Syaiful</v>
          </cell>
          <cell r="I129">
            <v>558000000</v>
          </cell>
          <cell r="L129">
            <v>0</v>
          </cell>
          <cell r="M129">
            <v>558000000</v>
          </cell>
        </row>
        <row r="130">
          <cell r="E130" t="str">
            <v>Sri Rejeki/Martoyo</v>
          </cell>
          <cell r="I130">
            <v>5360000</v>
          </cell>
          <cell r="L130">
            <v>0</v>
          </cell>
          <cell r="M130">
            <v>5360000</v>
          </cell>
        </row>
        <row r="131">
          <cell r="E131" t="str">
            <v>Sumber Tani/Kudhori</v>
          </cell>
          <cell r="I131">
            <v>14850000</v>
          </cell>
          <cell r="L131">
            <v>0</v>
          </cell>
          <cell r="M131">
            <v>14850000</v>
          </cell>
        </row>
        <row r="132">
          <cell r="E132" t="str">
            <v>Sumber Waras/Celinda</v>
          </cell>
          <cell r="I132">
            <v>1300000</v>
          </cell>
          <cell r="L132">
            <v>0</v>
          </cell>
          <cell r="M132">
            <v>1300000</v>
          </cell>
        </row>
        <row r="133">
          <cell r="E133" t="str">
            <v>Abdi Tani/Yuswito</v>
          </cell>
          <cell r="I133">
            <v>18400000</v>
          </cell>
          <cell r="L133">
            <v>0</v>
          </cell>
          <cell r="M133">
            <v>18400000</v>
          </cell>
        </row>
        <row r="134">
          <cell r="E134" t="str">
            <v>Mitra Tani/Hanto</v>
          </cell>
          <cell r="I134">
            <v>1462500</v>
          </cell>
          <cell r="L134">
            <v>0</v>
          </cell>
          <cell r="M134">
            <v>1462500</v>
          </cell>
        </row>
        <row r="135">
          <cell r="E135" t="str">
            <v>Sahala/Syaiful</v>
          </cell>
          <cell r="I135">
            <v>21080000</v>
          </cell>
          <cell r="L135">
            <v>0</v>
          </cell>
          <cell r="M135">
            <v>21080000</v>
          </cell>
        </row>
        <row r="136">
          <cell r="E136" t="str">
            <v>Unggul Jaya/Sholekun</v>
          </cell>
          <cell r="I136">
            <v>268000000</v>
          </cell>
          <cell r="L136">
            <v>0</v>
          </cell>
          <cell r="M136">
            <v>268000000</v>
          </cell>
        </row>
        <row r="137">
          <cell r="E137" t="str">
            <v>Barokah Raya/Mito</v>
          </cell>
          <cell r="I137">
            <v>5800000</v>
          </cell>
          <cell r="L137">
            <v>0</v>
          </cell>
          <cell r="M137">
            <v>5800000</v>
          </cell>
        </row>
        <row r="138">
          <cell r="E138" t="str">
            <v>Barokah Raya/Mito</v>
          </cell>
          <cell r="I138">
            <v>3100000</v>
          </cell>
          <cell r="L138">
            <v>0</v>
          </cell>
          <cell r="M138">
            <v>3100000</v>
          </cell>
        </row>
        <row r="139">
          <cell r="E139" t="str">
            <v>Barokah Tani Makmur, Toko/Nurul</v>
          </cell>
          <cell r="I139">
            <v>2600000</v>
          </cell>
          <cell r="L139">
            <v>0</v>
          </cell>
          <cell r="M139">
            <v>2600000</v>
          </cell>
        </row>
        <row r="140">
          <cell r="E140" t="str">
            <v>Biso Tani/Supriadi</v>
          </cell>
          <cell r="I140">
            <v>5850000</v>
          </cell>
          <cell r="L140">
            <v>0</v>
          </cell>
          <cell r="M140">
            <v>5850000</v>
          </cell>
        </row>
        <row r="141">
          <cell r="E141" t="str">
            <v>Rejo Tani/Sulami</v>
          </cell>
          <cell r="I141">
            <v>1780000</v>
          </cell>
          <cell r="L141">
            <v>0</v>
          </cell>
          <cell r="M141">
            <v>1780000</v>
          </cell>
        </row>
        <row r="142">
          <cell r="E142" t="str">
            <v>Sumber Waras/Celinda</v>
          </cell>
          <cell r="I142">
            <v>1040000</v>
          </cell>
          <cell r="L142">
            <v>0</v>
          </cell>
          <cell r="M142">
            <v>1040000</v>
          </cell>
        </row>
        <row r="143">
          <cell r="E143" t="str">
            <v>Tani Makmur/Syain</v>
          </cell>
          <cell r="I143">
            <v>237000000</v>
          </cell>
          <cell r="L143">
            <v>0</v>
          </cell>
          <cell r="M143">
            <v>237000000</v>
          </cell>
        </row>
        <row r="144">
          <cell r="E144" t="str">
            <v>Unggul Jaya/Sholekun</v>
          </cell>
          <cell r="I144">
            <v>10770000</v>
          </cell>
          <cell r="L144">
            <v>0</v>
          </cell>
          <cell r="M144">
            <v>10770000</v>
          </cell>
        </row>
        <row r="145">
          <cell r="E145" t="str">
            <v>Lanta Bura</v>
          </cell>
          <cell r="I145">
            <v>46676000</v>
          </cell>
          <cell r="L145">
            <v>0</v>
          </cell>
          <cell r="M145">
            <v>46676000</v>
          </cell>
        </row>
        <row r="146">
          <cell r="E146" t="str">
            <v>Lanta Bura</v>
          </cell>
          <cell r="I146">
            <v>18156000</v>
          </cell>
          <cell r="L146">
            <v>0</v>
          </cell>
          <cell r="M146">
            <v>18156000</v>
          </cell>
        </row>
        <row r="147">
          <cell r="E147" t="str">
            <v>Sahala/Syaiful</v>
          </cell>
          <cell r="I147">
            <v>615000000</v>
          </cell>
          <cell r="L147">
            <v>0</v>
          </cell>
          <cell r="M147">
            <v>615000000</v>
          </cell>
        </row>
        <row r="148">
          <cell r="E148" t="str">
            <v>Sumber Mulya/Eko</v>
          </cell>
          <cell r="I148">
            <v>6240000</v>
          </cell>
          <cell r="L148">
            <v>0</v>
          </cell>
          <cell r="M148">
            <v>6240000</v>
          </cell>
        </row>
        <row r="149">
          <cell r="E149" t="str">
            <v>Sumber Tani Makmur, UD/Suyitno, H</v>
          </cell>
          <cell r="I149">
            <v>158000000</v>
          </cell>
          <cell r="L149">
            <v>0</v>
          </cell>
          <cell r="M149">
            <v>158000000</v>
          </cell>
        </row>
        <row r="150">
          <cell r="E150" t="str">
            <v>Duta Buah Putra/Furkon</v>
          </cell>
          <cell r="I150">
            <v>4080000</v>
          </cell>
          <cell r="L150">
            <v>0</v>
          </cell>
          <cell r="M150">
            <v>4080000</v>
          </cell>
        </row>
        <row r="151">
          <cell r="E151" t="str">
            <v>Karya Tani Makmur/Irwanto</v>
          </cell>
          <cell r="I151">
            <v>9000000</v>
          </cell>
          <cell r="L151">
            <v>0</v>
          </cell>
          <cell r="M151">
            <v>9000000</v>
          </cell>
        </row>
        <row r="152">
          <cell r="L152">
            <v>0</v>
          </cell>
          <cell r="M152">
            <v>0</v>
          </cell>
        </row>
        <row r="153">
          <cell r="L153">
            <v>0</v>
          </cell>
          <cell r="M153">
            <v>0</v>
          </cell>
        </row>
        <row r="154">
          <cell r="L154">
            <v>0</v>
          </cell>
          <cell r="M154">
            <v>0</v>
          </cell>
        </row>
        <row r="155">
          <cell r="L155">
            <v>0</v>
          </cell>
          <cell r="M155">
            <v>0</v>
          </cell>
        </row>
        <row r="156">
          <cell r="L156">
            <v>0</v>
          </cell>
          <cell r="M156">
            <v>0</v>
          </cell>
        </row>
        <row r="157">
          <cell r="L157">
            <v>0</v>
          </cell>
          <cell r="M157">
            <v>0</v>
          </cell>
        </row>
        <row r="158">
          <cell r="L158">
            <v>0</v>
          </cell>
          <cell r="M158">
            <v>0</v>
          </cell>
        </row>
        <row r="159">
          <cell r="L159">
            <v>0</v>
          </cell>
          <cell r="M159">
            <v>0</v>
          </cell>
        </row>
        <row r="160">
          <cell r="L160">
            <v>0</v>
          </cell>
          <cell r="M160">
            <v>0</v>
          </cell>
        </row>
        <row r="161">
          <cell r="L161">
            <v>0</v>
          </cell>
          <cell r="M161">
            <v>0</v>
          </cell>
        </row>
        <row r="162">
          <cell r="L162">
            <v>0</v>
          </cell>
          <cell r="M162">
            <v>0</v>
          </cell>
        </row>
        <row r="163">
          <cell r="L163">
            <v>0</v>
          </cell>
          <cell r="M163">
            <v>0</v>
          </cell>
        </row>
        <row r="164">
          <cell r="L164">
            <v>0</v>
          </cell>
          <cell r="M164">
            <v>0</v>
          </cell>
        </row>
        <row r="165">
          <cell r="L165">
            <v>0</v>
          </cell>
          <cell r="M165">
            <v>0</v>
          </cell>
        </row>
        <row r="166">
          <cell r="L166">
            <v>0</v>
          </cell>
          <cell r="M166">
            <v>0</v>
          </cell>
        </row>
        <row r="167">
          <cell r="L167">
            <v>0</v>
          </cell>
          <cell r="M167">
            <v>0</v>
          </cell>
        </row>
        <row r="168">
          <cell r="L168">
            <v>0</v>
          </cell>
          <cell r="M168">
            <v>0</v>
          </cell>
        </row>
        <row r="169">
          <cell r="L169">
            <v>0</v>
          </cell>
          <cell r="M169">
            <v>0</v>
          </cell>
        </row>
        <row r="170">
          <cell r="L170">
            <v>0</v>
          </cell>
          <cell r="M170">
            <v>0</v>
          </cell>
        </row>
        <row r="171">
          <cell r="L171">
            <v>0</v>
          </cell>
          <cell r="M171">
            <v>0</v>
          </cell>
        </row>
        <row r="172">
          <cell r="L172">
            <v>0</v>
          </cell>
          <cell r="M172">
            <v>0</v>
          </cell>
        </row>
        <row r="173">
          <cell r="L173">
            <v>0</v>
          </cell>
          <cell r="M173">
            <v>0</v>
          </cell>
        </row>
        <row r="174">
          <cell r="L174">
            <v>0</v>
          </cell>
          <cell r="M174">
            <v>0</v>
          </cell>
        </row>
        <row r="175">
          <cell r="L175">
            <v>0</v>
          </cell>
          <cell r="M175">
            <v>0</v>
          </cell>
        </row>
        <row r="176">
          <cell r="L176">
            <v>0</v>
          </cell>
          <cell r="M176">
            <v>0</v>
          </cell>
        </row>
        <row r="177">
          <cell r="L177">
            <v>0</v>
          </cell>
          <cell r="M177">
            <v>0</v>
          </cell>
        </row>
        <row r="178">
          <cell r="L178">
            <v>0</v>
          </cell>
          <cell r="M178">
            <v>0</v>
          </cell>
        </row>
        <row r="179">
          <cell r="L179">
            <v>0</v>
          </cell>
          <cell r="M179">
            <v>0</v>
          </cell>
        </row>
        <row r="180">
          <cell r="L180">
            <v>0</v>
          </cell>
          <cell r="M180">
            <v>0</v>
          </cell>
        </row>
        <row r="181">
          <cell r="L181">
            <v>0</v>
          </cell>
          <cell r="M181">
            <v>0</v>
          </cell>
        </row>
        <row r="182">
          <cell r="L182">
            <v>0</v>
          </cell>
          <cell r="M182">
            <v>0</v>
          </cell>
        </row>
        <row r="183">
          <cell r="L183">
            <v>0</v>
          </cell>
          <cell r="M183">
            <v>0</v>
          </cell>
        </row>
        <row r="184">
          <cell r="L184">
            <v>0</v>
          </cell>
          <cell r="M184">
            <v>0</v>
          </cell>
        </row>
        <row r="185">
          <cell r="L185">
            <v>0</v>
          </cell>
          <cell r="M185">
            <v>0</v>
          </cell>
        </row>
        <row r="186">
          <cell r="L186">
            <v>0</v>
          </cell>
          <cell r="M186">
            <v>0</v>
          </cell>
        </row>
        <row r="187">
          <cell r="L187">
            <v>0</v>
          </cell>
          <cell r="M187">
            <v>0</v>
          </cell>
        </row>
        <row r="188">
          <cell r="L188">
            <v>0</v>
          </cell>
          <cell r="M188">
            <v>0</v>
          </cell>
        </row>
        <row r="189">
          <cell r="L189">
            <v>0</v>
          </cell>
          <cell r="M189">
            <v>0</v>
          </cell>
        </row>
        <row r="190">
          <cell r="L190">
            <v>0</v>
          </cell>
          <cell r="M190">
            <v>0</v>
          </cell>
        </row>
        <row r="191">
          <cell r="L191">
            <v>0</v>
          </cell>
          <cell r="M191">
            <v>0</v>
          </cell>
        </row>
        <row r="192">
          <cell r="L192">
            <v>0</v>
          </cell>
          <cell r="M192">
            <v>0</v>
          </cell>
        </row>
        <row r="193">
          <cell r="L193">
            <v>0</v>
          </cell>
          <cell r="M193">
            <v>0</v>
          </cell>
        </row>
        <row r="194">
          <cell r="L194">
            <v>0</v>
          </cell>
          <cell r="M194">
            <v>0</v>
          </cell>
        </row>
        <row r="195">
          <cell r="L195">
            <v>0</v>
          </cell>
          <cell r="M195">
            <v>0</v>
          </cell>
        </row>
        <row r="196">
          <cell r="L196">
            <v>0</v>
          </cell>
          <cell r="M196">
            <v>0</v>
          </cell>
        </row>
        <row r="197">
          <cell r="L197">
            <v>0</v>
          </cell>
          <cell r="M197">
            <v>0</v>
          </cell>
        </row>
        <row r="198">
          <cell r="L198">
            <v>0</v>
          </cell>
          <cell r="M198">
            <v>0</v>
          </cell>
        </row>
        <row r="199">
          <cell r="L199">
            <v>0</v>
          </cell>
          <cell r="M199">
            <v>0</v>
          </cell>
        </row>
        <row r="200">
          <cell r="L200">
            <v>0</v>
          </cell>
          <cell r="M200">
            <v>0</v>
          </cell>
        </row>
        <row r="201">
          <cell r="L201">
            <v>0</v>
          </cell>
          <cell r="M201">
            <v>0</v>
          </cell>
        </row>
        <row r="202">
          <cell r="L202">
            <v>0</v>
          </cell>
          <cell r="M202">
            <v>0</v>
          </cell>
        </row>
        <row r="203">
          <cell r="L203">
            <v>0</v>
          </cell>
          <cell r="M203">
            <v>0</v>
          </cell>
        </row>
        <row r="204">
          <cell r="L204">
            <v>0</v>
          </cell>
          <cell r="M204">
            <v>0</v>
          </cell>
        </row>
        <row r="205">
          <cell r="L205">
            <v>0</v>
          </cell>
          <cell r="M205">
            <v>0</v>
          </cell>
        </row>
        <row r="206">
          <cell r="L206">
            <v>0</v>
          </cell>
          <cell r="M206">
            <v>0</v>
          </cell>
        </row>
        <row r="207">
          <cell r="L207">
            <v>0</v>
          </cell>
          <cell r="M207">
            <v>0</v>
          </cell>
        </row>
        <row r="208">
          <cell r="L208">
            <v>0</v>
          </cell>
          <cell r="M208">
            <v>0</v>
          </cell>
        </row>
        <row r="209">
          <cell r="L209">
            <v>0</v>
          </cell>
          <cell r="M209">
            <v>0</v>
          </cell>
        </row>
        <row r="210">
          <cell r="L210">
            <v>0</v>
          </cell>
          <cell r="M210">
            <v>0</v>
          </cell>
        </row>
        <row r="211">
          <cell r="L211">
            <v>0</v>
          </cell>
          <cell r="M211">
            <v>0</v>
          </cell>
        </row>
        <row r="212">
          <cell r="L212">
            <v>0</v>
          </cell>
          <cell r="M212">
            <v>0</v>
          </cell>
        </row>
        <row r="213">
          <cell r="L213">
            <v>0</v>
          </cell>
          <cell r="M213">
            <v>0</v>
          </cell>
        </row>
        <row r="214">
          <cell r="L214">
            <v>0</v>
          </cell>
          <cell r="M214">
            <v>0</v>
          </cell>
        </row>
        <row r="215">
          <cell r="L215">
            <v>0</v>
          </cell>
          <cell r="M215">
            <v>0</v>
          </cell>
        </row>
        <row r="216">
          <cell r="L216">
            <v>0</v>
          </cell>
          <cell r="M216">
            <v>0</v>
          </cell>
        </row>
        <row r="217">
          <cell r="L217">
            <v>0</v>
          </cell>
          <cell r="M217">
            <v>0</v>
          </cell>
        </row>
        <row r="218">
          <cell r="L218">
            <v>0</v>
          </cell>
          <cell r="M218">
            <v>0</v>
          </cell>
        </row>
        <row r="219">
          <cell r="L219">
            <v>0</v>
          </cell>
          <cell r="M219">
            <v>0</v>
          </cell>
        </row>
        <row r="220">
          <cell r="L220">
            <v>0</v>
          </cell>
          <cell r="M220">
            <v>0</v>
          </cell>
        </row>
        <row r="221">
          <cell r="L221">
            <v>0</v>
          </cell>
          <cell r="M221">
            <v>0</v>
          </cell>
        </row>
        <row r="222">
          <cell r="L222">
            <v>0</v>
          </cell>
          <cell r="M222">
            <v>0</v>
          </cell>
        </row>
        <row r="223">
          <cell r="L223">
            <v>0</v>
          </cell>
          <cell r="M223">
            <v>0</v>
          </cell>
        </row>
        <row r="224">
          <cell r="L224">
            <v>0</v>
          </cell>
          <cell r="M224">
            <v>0</v>
          </cell>
        </row>
        <row r="225">
          <cell r="L225">
            <v>0</v>
          </cell>
          <cell r="M225">
            <v>0</v>
          </cell>
        </row>
        <row r="226">
          <cell r="L226">
            <v>0</v>
          </cell>
          <cell r="M226">
            <v>0</v>
          </cell>
        </row>
        <row r="227">
          <cell r="L227">
            <v>0</v>
          </cell>
          <cell r="M227">
            <v>0</v>
          </cell>
        </row>
        <row r="228">
          <cell r="L228">
            <v>0</v>
          </cell>
          <cell r="M228">
            <v>0</v>
          </cell>
        </row>
        <row r="229">
          <cell r="L229">
            <v>0</v>
          </cell>
          <cell r="M229">
            <v>0</v>
          </cell>
        </row>
        <row r="230">
          <cell r="L230">
            <v>0</v>
          </cell>
          <cell r="M230">
            <v>0</v>
          </cell>
        </row>
        <row r="231">
          <cell r="L231">
            <v>0</v>
          </cell>
          <cell r="M231">
            <v>0</v>
          </cell>
        </row>
        <row r="232">
          <cell r="L232">
            <v>0</v>
          </cell>
          <cell r="M232">
            <v>0</v>
          </cell>
        </row>
        <row r="233">
          <cell r="L233">
            <v>0</v>
          </cell>
          <cell r="M233">
            <v>0</v>
          </cell>
        </row>
        <row r="234">
          <cell r="L234">
            <v>0</v>
          </cell>
          <cell r="M234">
            <v>0</v>
          </cell>
        </row>
        <row r="235">
          <cell r="L235">
            <v>0</v>
          </cell>
          <cell r="M235">
            <v>0</v>
          </cell>
        </row>
        <row r="236">
          <cell r="L236">
            <v>0</v>
          </cell>
          <cell r="M236">
            <v>0</v>
          </cell>
        </row>
        <row r="237">
          <cell r="L237">
            <v>0</v>
          </cell>
          <cell r="M237">
            <v>0</v>
          </cell>
        </row>
        <row r="238">
          <cell r="L238">
            <v>0</v>
          </cell>
          <cell r="M238">
            <v>0</v>
          </cell>
        </row>
        <row r="239">
          <cell r="L239">
            <v>0</v>
          </cell>
          <cell r="M239">
            <v>0</v>
          </cell>
        </row>
        <row r="240">
          <cell r="L240">
            <v>0</v>
          </cell>
          <cell r="M240">
            <v>0</v>
          </cell>
        </row>
        <row r="241">
          <cell r="L241">
            <v>0</v>
          </cell>
          <cell r="M241">
            <v>0</v>
          </cell>
        </row>
        <row r="242">
          <cell r="L242">
            <v>0</v>
          </cell>
          <cell r="M242">
            <v>0</v>
          </cell>
        </row>
        <row r="243">
          <cell r="L243">
            <v>0</v>
          </cell>
          <cell r="M243">
            <v>0</v>
          </cell>
        </row>
        <row r="244">
          <cell r="L244">
            <v>0</v>
          </cell>
          <cell r="M244">
            <v>0</v>
          </cell>
        </row>
        <row r="245">
          <cell r="L245">
            <v>0</v>
          </cell>
          <cell r="M245">
            <v>0</v>
          </cell>
        </row>
        <row r="246">
          <cell r="L246">
            <v>0</v>
          </cell>
          <cell r="M246">
            <v>0</v>
          </cell>
        </row>
        <row r="247">
          <cell r="L247">
            <v>0</v>
          </cell>
          <cell r="M247">
            <v>0</v>
          </cell>
        </row>
        <row r="248">
          <cell r="L248">
            <v>0</v>
          </cell>
          <cell r="M248">
            <v>0</v>
          </cell>
        </row>
        <row r="249">
          <cell r="L249">
            <v>0</v>
          </cell>
          <cell r="M249">
            <v>0</v>
          </cell>
        </row>
        <row r="250">
          <cell r="L250">
            <v>0</v>
          </cell>
          <cell r="M250">
            <v>0</v>
          </cell>
        </row>
        <row r="251">
          <cell r="L251">
            <v>0</v>
          </cell>
          <cell r="M251">
            <v>0</v>
          </cell>
        </row>
        <row r="252">
          <cell r="L252">
            <v>0</v>
          </cell>
          <cell r="M252">
            <v>0</v>
          </cell>
        </row>
        <row r="253">
          <cell r="L253">
            <v>0</v>
          </cell>
          <cell r="M253">
            <v>0</v>
          </cell>
        </row>
        <row r="254">
          <cell r="L254">
            <v>0</v>
          </cell>
          <cell r="M254">
            <v>0</v>
          </cell>
        </row>
        <row r="255">
          <cell r="L255">
            <v>0</v>
          </cell>
          <cell r="M255">
            <v>0</v>
          </cell>
        </row>
        <row r="256">
          <cell r="L256">
            <v>0</v>
          </cell>
          <cell r="M256">
            <v>0</v>
          </cell>
        </row>
        <row r="257">
          <cell r="L257">
            <v>0</v>
          </cell>
          <cell r="M257">
            <v>0</v>
          </cell>
        </row>
        <row r="258">
          <cell r="L258">
            <v>0</v>
          </cell>
          <cell r="M258">
            <v>0</v>
          </cell>
        </row>
        <row r="259">
          <cell r="L259">
            <v>0</v>
          </cell>
          <cell r="M259">
            <v>0</v>
          </cell>
        </row>
        <row r="260">
          <cell r="L260">
            <v>0</v>
          </cell>
          <cell r="M260">
            <v>0</v>
          </cell>
        </row>
        <row r="261">
          <cell r="L261">
            <v>0</v>
          </cell>
          <cell r="M261">
            <v>0</v>
          </cell>
        </row>
        <row r="262">
          <cell r="L262">
            <v>0</v>
          </cell>
          <cell r="M262">
            <v>0</v>
          </cell>
        </row>
        <row r="263">
          <cell r="L263">
            <v>0</v>
          </cell>
          <cell r="M263">
            <v>0</v>
          </cell>
        </row>
        <row r="264">
          <cell r="L264">
            <v>0</v>
          </cell>
          <cell r="M264">
            <v>0</v>
          </cell>
        </row>
        <row r="265">
          <cell r="L265">
            <v>0</v>
          </cell>
          <cell r="M265">
            <v>0</v>
          </cell>
        </row>
        <row r="266">
          <cell r="L266">
            <v>0</v>
          </cell>
          <cell r="M266">
            <v>0</v>
          </cell>
        </row>
        <row r="267">
          <cell r="L267">
            <v>0</v>
          </cell>
          <cell r="M267">
            <v>0</v>
          </cell>
        </row>
        <row r="268">
          <cell r="L268">
            <v>0</v>
          </cell>
          <cell r="M268">
            <v>0</v>
          </cell>
        </row>
        <row r="269">
          <cell r="L269">
            <v>0</v>
          </cell>
          <cell r="M269">
            <v>0</v>
          </cell>
        </row>
        <row r="270">
          <cell r="L270">
            <v>0</v>
          </cell>
          <cell r="M270">
            <v>0</v>
          </cell>
        </row>
        <row r="271">
          <cell r="L271">
            <v>0</v>
          </cell>
          <cell r="M271">
            <v>0</v>
          </cell>
        </row>
        <row r="272">
          <cell r="L272">
            <v>0</v>
          </cell>
          <cell r="M272">
            <v>0</v>
          </cell>
        </row>
        <row r="273">
          <cell r="L273">
            <v>0</v>
          </cell>
          <cell r="M273">
            <v>0</v>
          </cell>
        </row>
        <row r="274">
          <cell r="L274">
            <v>0</v>
          </cell>
          <cell r="M274">
            <v>0</v>
          </cell>
        </row>
        <row r="275">
          <cell r="L275">
            <v>0</v>
          </cell>
          <cell r="M275">
            <v>0</v>
          </cell>
        </row>
        <row r="276">
          <cell r="L276">
            <v>0</v>
          </cell>
          <cell r="M276">
            <v>0</v>
          </cell>
        </row>
        <row r="277">
          <cell r="L277">
            <v>0</v>
          </cell>
          <cell r="M277">
            <v>0</v>
          </cell>
        </row>
        <row r="278">
          <cell r="L278">
            <v>0</v>
          </cell>
          <cell r="M278">
            <v>0</v>
          </cell>
        </row>
        <row r="279">
          <cell r="L279">
            <v>0</v>
          </cell>
          <cell r="M279">
            <v>0</v>
          </cell>
        </row>
        <row r="280">
          <cell r="L280">
            <v>0</v>
          </cell>
          <cell r="M280">
            <v>0</v>
          </cell>
        </row>
        <row r="281">
          <cell r="L281">
            <v>0</v>
          </cell>
          <cell r="M281">
            <v>0</v>
          </cell>
        </row>
        <row r="282">
          <cell r="L282">
            <v>0</v>
          </cell>
          <cell r="M282">
            <v>0</v>
          </cell>
        </row>
        <row r="283">
          <cell r="L283">
            <v>0</v>
          </cell>
          <cell r="M283">
            <v>0</v>
          </cell>
        </row>
        <row r="284">
          <cell r="L284">
            <v>0</v>
          </cell>
          <cell r="M284">
            <v>0</v>
          </cell>
        </row>
        <row r="285">
          <cell r="L285">
            <v>0</v>
          </cell>
          <cell r="M285">
            <v>0</v>
          </cell>
        </row>
        <row r="286">
          <cell r="L286">
            <v>0</v>
          </cell>
          <cell r="M286">
            <v>0</v>
          </cell>
        </row>
        <row r="287">
          <cell r="L287">
            <v>0</v>
          </cell>
          <cell r="M287">
            <v>0</v>
          </cell>
        </row>
        <row r="288">
          <cell r="L288">
            <v>0</v>
          </cell>
          <cell r="M288">
            <v>0</v>
          </cell>
        </row>
        <row r="289">
          <cell r="L289">
            <v>0</v>
          </cell>
          <cell r="M289">
            <v>0</v>
          </cell>
        </row>
        <row r="290">
          <cell r="L290">
            <v>0</v>
          </cell>
          <cell r="M290">
            <v>0</v>
          </cell>
        </row>
        <row r="291">
          <cell r="L291">
            <v>0</v>
          </cell>
          <cell r="M291">
            <v>0</v>
          </cell>
        </row>
        <row r="292">
          <cell r="L292">
            <v>0</v>
          </cell>
          <cell r="M292">
            <v>0</v>
          </cell>
        </row>
        <row r="293">
          <cell r="L293">
            <v>0</v>
          </cell>
          <cell r="M293">
            <v>0</v>
          </cell>
        </row>
        <row r="294">
          <cell r="L294">
            <v>0</v>
          </cell>
          <cell r="M294">
            <v>0</v>
          </cell>
        </row>
        <row r="295">
          <cell r="L295">
            <v>0</v>
          </cell>
          <cell r="M295">
            <v>0</v>
          </cell>
        </row>
        <row r="296">
          <cell r="L296">
            <v>0</v>
          </cell>
          <cell r="M296">
            <v>0</v>
          </cell>
        </row>
        <row r="297">
          <cell r="L297">
            <v>0</v>
          </cell>
          <cell r="M297">
            <v>0</v>
          </cell>
        </row>
        <row r="298">
          <cell r="L298">
            <v>0</v>
          </cell>
          <cell r="M298">
            <v>0</v>
          </cell>
        </row>
        <row r="299">
          <cell r="L299">
            <v>0</v>
          </cell>
          <cell r="M299">
            <v>0</v>
          </cell>
        </row>
        <row r="300">
          <cell r="L300">
            <v>0</v>
          </cell>
          <cell r="M300">
            <v>0</v>
          </cell>
        </row>
        <row r="301">
          <cell r="L301">
            <v>0</v>
          </cell>
          <cell r="M301">
            <v>0</v>
          </cell>
        </row>
        <row r="302">
          <cell r="L302">
            <v>0</v>
          </cell>
          <cell r="M302">
            <v>0</v>
          </cell>
        </row>
        <row r="303">
          <cell r="L303">
            <v>0</v>
          </cell>
          <cell r="M303">
            <v>0</v>
          </cell>
        </row>
        <row r="304">
          <cell r="L304">
            <v>0</v>
          </cell>
          <cell r="M304">
            <v>0</v>
          </cell>
        </row>
        <row r="305">
          <cell r="L305">
            <v>0</v>
          </cell>
          <cell r="M305">
            <v>0</v>
          </cell>
        </row>
        <row r="306">
          <cell r="L306">
            <v>0</v>
          </cell>
          <cell r="M306">
            <v>0</v>
          </cell>
        </row>
        <row r="307">
          <cell r="L307">
            <v>0</v>
          </cell>
          <cell r="M307">
            <v>0</v>
          </cell>
        </row>
        <row r="308">
          <cell r="L308">
            <v>0</v>
          </cell>
          <cell r="M308">
            <v>0</v>
          </cell>
        </row>
        <row r="309">
          <cell r="L309">
            <v>0</v>
          </cell>
          <cell r="M309">
            <v>0</v>
          </cell>
        </row>
        <row r="310">
          <cell r="L310">
            <v>0</v>
          </cell>
          <cell r="M310">
            <v>0</v>
          </cell>
        </row>
        <row r="311">
          <cell r="L311">
            <v>0</v>
          </cell>
          <cell r="M311">
            <v>0</v>
          </cell>
        </row>
        <row r="312">
          <cell r="L312">
            <v>0</v>
          </cell>
          <cell r="M312">
            <v>0</v>
          </cell>
        </row>
        <row r="313">
          <cell r="L313">
            <v>0</v>
          </cell>
          <cell r="M313">
            <v>0</v>
          </cell>
        </row>
        <row r="314">
          <cell r="L314">
            <v>0</v>
          </cell>
          <cell r="M314">
            <v>0</v>
          </cell>
        </row>
        <row r="315">
          <cell r="L315">
            <v>0</v>
          </cell>
          <cell r="M315">
            <v>0</v>
          </cell>
        </row>
        <row r="316">
          <cell r="L316">
            <v>0</v>
          </cell>
          <cell r="M316">
            <v>0</v>
          </cell>
        </row>
        <row r="317">
          <cell r="L317">
            <v>0</v>
          </cell>
          <cell r="M317">
            <v>0</v>
          </cell>
        </row>
        <row r="318">
          <cell r="L318">
            <v>0</v>
          </cell>
          <cell r="M318">
            <v>0</v>
          </cell>
        </row>
        <row r="319">
          <cell r="L319">
            <v>0</v>
          </cell>
          <cell r="M319">
            <v>0</v>
          </cell>
        </row>
        <row r="320">
          <cell r="L320">
            <v>0</v>
          </cell>
          <cell r="M320">
            <v>0</v>
          </cell>
        </row>
        <row r="321">
          <cell r="L321">
            <v>0</v>
          </cell>
          <cell r="M321">
            <v>0</v>
          </cell>
        </row>
        <row r="322">
          <cell r="L322">
            <v>0</v>
          </cell>
          <cell r="M322">
            <v>0</v>
          </cell>
        </row>
        <row r="323">
          <cell r="L323">
            <v>0</v>
          </cell>
          <cell r="M323">
            <v>0</v>
          </cell>
        </row>
        <row r="324">
          <cell r="L324">
            <v>0</v>
          </cell>
          <cell r="M324">
            <v>0</v>
          </cell>
        </row>
        <row r="325">
          <cell r="L325">
            <v>0</v>
          </cell>
          <cell r="M325">
            <v>0</v>
          </cell>
        </row>
        <row r="326">
          <cell r="L326">
            <v>0</v>
          </cell>
          <cell r="M326">
            <v>0</v>
          </cell>
        </row>
        <row r="327">
          <cell r="L327">
            <v>0</v>
          </cell>
          <cell r="M327">
            <v>0</v>
          </cell>
        </row>
        <row r="328">
          <cell r="L328">
            <v>0</v>
          </cell>
          <cell r="M328">
            <v>0</v>
          </cell>
        </row>
        <row r="329">
          <cell r="L329">
            <v>0</v>
          </cell>
          <cell r="M329">
            <v>0</v>
          </cell>
        </row>
        <row r="330">
          <cell r="L330">
            <v>0</v>
          </cell>
          <cell r="M330">
            <v>0</v>
          </cell>
        </row>
        <row r="331">
          <cell r="L331">
            <v>0</v>
          </cell>
          <cell r="M331">
            <v>0</v>
          </cell>
        </row>
        <row r="332">
          <cell r="L332">
            <v>0</v>
          </cell>
          <cell r="M332">
            <v>0</v>
          </cell>
        </row>
        <row r="333">
          <cell r="L333">
            <v>0</v>
          </cell>
          <cell r="M333">
            <v>0</v>
          </cell>
        </row>
        <row r="334">
          <cell r="L334">
            <v>0</v>
          </cell>
          <cell r="M334">
            <v>0</v>
          </cell>
        </row>
        <row r="335">
          <cell r="L335">
            <v>0</v>
          </cell>
          <cell r="M335">
            <v>0</v>
          </cell>
        </row>
        <row r="336">
          <cell r="L336">
            <v>0</v>
          </cell>
          <cell r="M336">
            <v>0</v>
          </cell>
        </row>
        <row r="337">
          <cell r="L337">
            <v>0</v>
          </cell>
          <cell r="M337">
            <v>0</v>
          </cell>
        </row>
        <row r="338">
          <cell r="L338">
            <v>0</v>
          </cell>
          <cell r="M338">
            <v>0</v>
          </cell>
        </row>
        <row r="339">
          <cell r="L339">
            <v>0</v>
          </cell>
          <cell r="M339">
            <v>0</v>
          </cell>
        </row>
        <row r="340">
          <cell r="L340">
            <v>0</v>
          </cell>
          <cell r="M340">
            <v>0</v>
          </cell>
        </row>
        <row r="341">
          <cell r="L341">
            <v>0</v>
          </cell>
          <cell r="M341">
            <v>0</v>
          </cell>
        </row>
        <row r="342">
          <cell r="L342">
            <v>0</v>
          </cell>
          <cell r="M342">
            <v>0</v>
          </cell>
        </row>
        <row r="343">
          <cell r="L343">
            <v>0</v>
          </cell>
          <cell r="M343">
            <v>0</v>
          </cell>
        </row>
        <row r="344">
          <cell r="L344">
            <v>0</v>
          </cell>
          <cell r="M344">
            <v>0</v>
          </cell>
        </row>
        <row r="345">
          <cell r="L345">
            <v>0</v>
          </cell>
          <cell r="M345">
            <v>0</v>
          </cell>
        </row>
        <row r="346">
          <cell r="L346">
            <v>0</v>
          </cell>
          <cell r="M346">
            <v>0</v>
          </cell>
        </row>
        <row r="347">
          <cell r="L347">
            <v>0</v>
          </cell>
          <cell r="M347">
            <v>0</v>
          </cell>
        </row>
        <row r="348">
          <cell r="L348">
            <v>0</v>
          </cell>
          <cell r="M348">
            <v>0</v>
          </cell>
        </row>
        <row r="349">
          <cell r="L349">
            <v>0</v>
          </cell>
          <cell r="M349">
            <v>0</v>
          </cell>
        </row>
        <row r="350">
          <cell r="L350">
            <v>0</v>
          </cell>
          <cell r="M350">
            <v>0</v>
          </cell>
        </row>
        <row r="351">
          <cell r="L351">
            <v>0</v>
          </cell>
          <cell r="M351">
            <v>0</v>
          </cell>
        </row>
        <row r="352">
          <cell r="L352">
            <v>0</v>
          </cell>
          <cell r="M352">
            <v>0</v>
          </cell>
        </row>
        <row r="353">
          <cell r="L353">
            <v>0</v>
          </cell>
          <cell r="M353">
            <v>0</v>
          </cell>
        </row>
        <row r="354">
          <cell r="L354">
            <v>0</v>
          </cell>
          <cell r="M354">
            <v>0</v>
          </cell>
        </row>
        <row r="355">
          <cell r="L355">
            <v>0</v>
          </cell>
          <cell r="M355">
            <v>0</v>
          </cell>
        </row>
        <row r="356">
          <cell r="L356">
            <v>0</v>
          </cell>
          <cell r="M356">
            <v>0</v>
          </cell>
        </row>
        <row r="357">
          <cell r="L357">
            <v>0</v>
          </cell>
          <cell r="M357">
            <v>0</v>
          </cell>
        </row>
        <row r="358">
          <cell r="L358">
            <v>0</v>
          </cell>
          <cell r="M358">
            <v>0</v>
          </cell>
        </row>
        <row r="359">
          <cell r="L359">
            <v>0</v>
          </cell>
          <cell r="M359">
            <v>0</v>
          </cell>
        </row>
        <row r="360">
          <cell r="L360">
            <v>0</v>
          </cell>
          <cell r="M360">
            <v>0</v>
          </cell>
        </row>
        <row r="361">
          <cell r="L361">
            <v>0</v>
          </cell>
          <cell r="M361">
            <v>0</v>
          </cell>
        </row>
        <row r="362">
          <cell r="L362">
            <v>0</v>
          </cell>
          <cell r="M362">
            <v>0</v>
          </cell>
        </row>
        <row r="363">
          <cell r="L363">
            <v>0</v>
          </cell>
          <cell r="M363">
            <v>0</v>
          </cell>
        </row>
        <row r="364">
          <cell r="L364">
            <v>0</v>
          </cell>
          <cell r="M364">
            <v>0</v>
          </cell>
        </row>
        <row r="365">
          <cell r="L365">
            <v>0</v>
          </cell>
          <cell r="M365">
            <v>0</v>
          </cell>
        </row>
        <row r="366">
          <cell r="L366">
            <v>0</v>
          </cell>
          <cell r="M366">
            <v>0</v>
          </cell>
        </row>
        <row r="367">
          <cell r="L367">
            <v>0</v>
          </cell>
          <cell r="M367">
            <v>0</v>
          </cell>
        </row>
        <row r="368">
          <cell r="L368">
            <v>0</v>
          </cell>
          <cell r="M368">
            <v>0</v>
          </cell>
        </row>
        <row r="369">
          <cell r="L369">
            <v>0</v>
          </cell>
          <cell r="M369">
            <v>0</v>
          </cell>
        </row>
        <row r="370">
          <cell r="L370">
            <v>0</v>
          </cell>
          <cell r="M370">
            <v>0</v>
          </cell>
        </row>
        <row r="371">
          <cell r="L371">
            <v>0</v>
          </cell>
          <cell r="M371">
            <v>0</v>
          </cell>
        </row>
        <row r="372">
          <cell r="L372">
            <v>0</v>
          </cell>
          <cell r="M372">
            <v>0</v>
          </cell>
        </row>
        <row r="373">
          <cell r="L373">
            <v>0</v>
          </cell>
          <cell r="M373">
            <v>0</v>
          </cell>
        </row>
        <row r="374">
          <cell r="L374">
            <v>0</v>
          </cell>
          <cell r="M374">
            <v>0</v>
          </cell>
        </row>
        <row r="375">
          <cell r="L375">
            <v>0</v>
          </cell>
          <cell r="M375">
            <v>0</v>
          </cell>
        </row>
        <row r="376">
          <cell r="L376">
            <v>0</v>
          </cell>
          <cell r="M376">
            <v>0</v>
          </cell>
        </row>
        <row r="377">
          <cell r="L377">
            <v>0</v>
          </cell>
          <cell r="M377">
            <v>0</v>
          </cell>
        </row>
        <row r="378">
          <cell r="L378">
            <v>0</v>
          </cell>
          <cell r="M378">
            <v>0</v>
          </cell>
        </row>
        <row r="379">
          <cell r="L379">
            <v>0</v>
          </cell>
          <cell r="M379">
            <v>0</v>
          </cell>
        </row>
        <row r="380">
          <cell r="L380">
            <v>0</v>
          </cell>
          <cell r="M380">
            <v>0</v>
          </cell>
        </row>
        <row r="381">
          <cell r="L381">
            <v>0</v>
          </cell>
          <cell r="M381">
            <v>0</v>
          </cell>
        </row>
        <row r="382">
          <cell r="L382">
            <v>0</v>
          </cell>
          <cell r="M382">
            <v>0</v>
          </cell>
        </row>
        <row r="383">
          <cell r="L383">
            <v>0</v>
          </cell>
          <cell r="M383">
            <v>0</v>
          </cell>
        </row>
        <row r="384">
          <cell r="L384">
            <v>0</v>
          </cell>
          <cell r="M384">
            <v>0</v>
          </cell>
        </row>
        <row r="385">
          <cell r="L385">
            <v>0</v>
          </cell>
          <cell r="M385">
            <v>0</v>
          </cell>
        </row>
        <row r="386">
          <cell r="L386">
            <v>0</v>
          </cell>
          <cell r="M386">
            <v>0</v>
          </cell>
        </row>
        <row r="387">
          <cell r="L387">
            <v>0</v>
          </cell>
          <cell r="M387">
            <v>0</v>
          </cell>
        </row>
        <row r="388">
          <cell r="L388">
            <v>0</v>
          </cell>
          <cell r="M388">
            <v>0</v>
          </cell>
        </row>
        <row r="389">
          <cell r="L389">
            <v>0</v>
          </cell>
          <cell r="M389">
            <v>0</v>
          </cell>
        </row>
        <row r="390">
          <cell r="L390">
            <v>0</v>
          </cell>
          <cell r="M390">
            <v>0</v>
          </cell>
        </row>
        <row r="391">
          <cell r="L391">
            <v>0</v>
          </cell>
          <cell r="M391">
            <v>0</v>
          </cell>
        </row>
        <row r="392">
          <cell r="L392">
            <v>0</v>
          </cell>
          <cell r="M392">
            <v>0</v>
          </cell>
        </row>
        <row r="393">
          <cell r="L393">
            <v>0</v>
          </cell>
          <cell r="M393">
            <v>0</v>
          </cell>
        </row>
        <row r="394">
          <cell r="L394">
            <v>0</v>
          </cell>
          <cell r="M394">
            <v>0</v>
          </cell>
        </row>
        <row r="395">
          <cell r="L395">
            <v>0</v>
          </cell>
          <cell r="M395">
            <v>0</v>
          </cell>
        </row>
        <row r="396">
          <cell r="L396">
            <v>0</v>
          </cell>
          <cell r="M396">
            <v>0</v>
          </cell>
        </row>
        <row r="397">
          <cell r="L397">
            <v>0</v>
          </cell>
          <cell r="M397">
            <v>0</v>
          </cell>
        </row>
        <row r="398">
          <cell r="L398">
            <v>0</v>
          </cell>
          <cell r="M398">
            <v>0</v>
          </cell>
        </row>
        <row r="399">
          <cell r="L399">
            <v>0</v>
          </cell>
          <cell r="M399">
            <v>0</v>
          </cell>
        </row>
        <row r="400">
          <cell r="L400">
            <v>0</v>
          </cell>
          <cell r="M400">
            <v>0</v>
          </cell>
        </row>
        <row r="401">
          <cell r="L401">
            <v>0</v>
          </cell>
          <cell r="M401">
            <v>0</v>
          </cell>
        </row>
        <row r="402">
          <cell r="L402">
            <v>0</v>
          </cell>
          <cell r="M402">
            <v>0</v>
          </cell>
        </row>
        <row r="403">
          <cell r="L403">
            <v>0</v>
          </cell>
          <cell r="M403">
            <v>0</v>
          </cell>
        </row>
        <row r="404">
          <cell r="L404">
            <v>0</v>
          </cell>
          <cell r="M404">
            <v>0</v>
          </cell>
        </row>
        <row r="405">
          <cell r="L405">
            <v>0</v>
          </cell>
          <cell r="M405">
            <v>0</v>
          </cell>
        </row>
        <row r="406">
          <cell r="L406">
            <v>0</v>
          </cell>
          <cell r="M406">
            <v>0</v>
          </cell>
        </row>
        <row r="407">
          <cell r="L407">
            <v>0</v>
          </cell>
          <cell r="M407">
            <v>0</v>
          </cell>
        </row>
        <row r="408">
          <cell r="L408">
            <v>0</v>
          </cell>
          <cell r="M408">
            <v>0</v>
          </cell>
        </row>
        <row r="409">
          <cell r="L409">
            <v>0</v>
          </cell>
          <cell r="M409">
            <v>0</v>
          </cell>
        </row>
        <row r="410">
          <cell r="L410">
            <v>0</v>
          </cell>
          <cell r="M410">
            <v>0</v>
          </cell>
        </row>
        <row r="411">
          <cell r="L411">
            <v>0</v>
          </cell>
          <cell r="M411">
            <v>0</v>
          </cell>
        </row>
        <row r="412">
          <cell r="L412">
            <v>0</v>
          </cell>
          <cell r="M412">
            <v>0</v>
          </cell>
        </row>
        <row r="413">
          <cell r="L413">
            <v>0</v>
          </cell>
          <cell r="M413">
            <v>0</v>
          </cell>
        </row>
        <row r="414">
          <cell r="L414">
            <v>0</v>
          </cell>
          <cell r="M414">
            <v>0</v>
          </cell>
        </row>
        <row r="415">
          <cell r="L415">
            <v>0</v>
          </cell>
          <cell r="M415">
            <v>0</v>
          </cell>
        </row>
        <row r="416">
          <cell r="L416">
            <v>0</v>
          </cell>
          <cell r="M416">
            <v>0</v>
          </cell>
        </row>
        <row r="417">
          <cell r="L417">
            <v>0</v>
          </cell>
          <cell r="M417">
            <v>0</v>
          </cell>
        </row>
        <row r="418">
          <cell r="L418">
            <v>0</v>
          </cell>
          <cell r="M418">
            <v>0</v>
          </cell>
        </row>
        <row r="419">
          <cell r="L419">
            <v>0</v>
          </cell>
          <cell r="M419">
            <v>0</v>
          </cell>
        </row>
        <row r="420">
          <cell r="L420">
            <v>0</v>
          </cell>
          <cell r="M420">
            <v>0</v>
          </cell>
        </row>
        <row r="421">
          <cell r="L421">
            <v>0</v>
          </cell>
          <cell r="M421">
            <v>0</v>
          </cell>
        </row>
        <row r="422">
          <cell r="L422">
            <v>0</v>
          </cell>
          <cell r="M422">
            <v>0</v>
          </cell>
        </row>
        <row r="423">
          <cell r="L423">
            <v>0</v>
          </cell>
          <cell r="M423">
            <v>0</v>
          </cell>
        </row>
        <row r="424">
          <cell r="L424">
            <v>0</v>
          </cell>
          <cell r="M424">
            <v>0</v>
          </cell>
        </row>
        <row r="425">
          <cell r="L425">
            <v>0</v>
          </cell>
          <cell r="M425">
            <v>0</v>
          </cell>
        </row>
        <row r="426">
          <cell r="L426">
            <v>0</v>
          </cell>
          <cell r="M426">
            <v>0</v>
          </cell>
        </row>
        <row r="427">
          <cell r="L427">
            <v>0</v>
          </cell>
          <cell r="M427">
            <v>0</v>
          </cell>
        </row>
        <row r="428">
          <cell r="L428">
            <v>0</v>
          </cell>
          <cell r="M428">
            <v>0</v>
          </cell>
        </row>
        <row r="429">
          <cell r="L429">
            <v>0</v>
          </cell>
          <cell r="M429">
            <v>0</v>
          </cell>
        </row>
        <row r="430">
          <cell r="L430">
            <v>0</v>
          </cell>
          <cell r="M430">
            <v>0</v>
          </cell>
        </row>
        <row r="431">
          <cell r="L431">
            <v>0</v>
          </cell>
          <cell r="M431">
            <v>0</v>
          </cell>
        </row>
        <row r="432">
          <cell r="L432">
            <v>0</v>
          </cell>
          <cell r="M432">
            <v>0</v>
          </cell>
        </row>
        <row r="433">
          <cell r="L433">
            <v>0</v>
          </cell>
          <cell r="M433">
            <v>0</v>
          </cell>
        </row>
        <row r="434">
          <cell r="L434">
            <v>0</v>
          </cell>
          <cell r="M434">
            <v>0</v>
          </cell>
        </row>
        <row r="435">
          <cell r="L435">
            <v>0</v>
          </cell>
          <cell r="M435">
            <v>0</v>
          </cell>
        </row>
        <row r="436">
          <cell r="L436">
            <v>0</v>
          </cell>
          <cell r="M436">
            <v>0</v>
          </cell>
        </row>
        <row r="437">
          <cell r="L437">
            <v>0</v>
          </cell>
          <cell r="M437">
            <v>0</v>
          </cell>
        </row>
        <row r="438">
          <cell r="L438">
            <v>0</v>
          </cell>
          <cell r="M438">
            <v>0</v>
          </cell>
        </row>
        <row r="439">
          <cell r="L439">
            <v>0</v>
          </cell>
          <cell r="M439">
            <v>0</v>
          </cell>
        </row>
        <row r="440">
          <cell r="L440">
            <v>0</v>
          </cell>
          <cell r="M440">
            <v>0</v>
          </cell>
        </row>
        <row r="441">
          <cell r="L441">
            <v>0</v>
          </cell>
          <cell r="M441">
            <v>0</v>
          </cell>
        </row>
        <row r="442">
          <cell r="L442">
            <v>0</v>
          </cell>
          <cell r="M442">
            <v>0</v>
          </cell>
        </row>
        <row r="443">
          <cell r="L443">
            <v>0</v>
          </cell>
          <cell r="M443">
            <v>0</v>
          </cell>
        </row>
        <row r="444">
          <cell r="L444">
            <v>0</v>
          </cell>
          <cell r="M444">
            <v>0</v>
          </cell>
        </row>
        <row r="445">
          <cell r="L445">
            <v>0</v>
          </cell>
          <cell r="M445">
            <v>0</v>
          </cell>
        </row>
        <row r="446">
          <cell r="L446">
            <v>0</v>
          </cell>
          <cell r="M446">
            <v>0</v>
          </cell>
        </row>
        <row r="447">
          <cell r="L447">
            <v>0</v>
          </cell>
          <cell r="M447">
            <v>0</v>
          </cell>
        </row>
        <row r="448">
          <cell r="L448">
            <v>0</v>
          </cell>
          <cell r="M448">
            <v>0</v>
          </cell>
        </row>
        <row r="449">
          <cell r="L449">
            <v>0</v>
          </cell>
          <cell r="M449">
            <v>0</v>
          </cell>
        </row>
        <row r="450">
          <cell r="L450">
            <v>0</v>
          </cell>
          <cell r="M450">
            <v>0</v>
          </cell>
        </row>
        <row r="451">
          <cell r="L451">
            <v>0</v>
          </cell>
          <cell r="M451">
            <v>0</v>
          </cell>
        </row>
        <row r="452">
          <cell r="L452">
            <v>0</v>
          </cell>
          <cell r="M452">
            <v>0</v>
          </cell>
        </row>
        <row r="453">
          <cell r="L453">
            <v>0</v>
          </cell>
          <cell r="M453">
            <v>0</v>
          </cell>
        </row>
        <row r="454">
          <cell r="L454">
            <v>0</v>
          </cell>
          <cell r="M454">
            <v>0</v>
          </cell>
        </row>
        <row r="455">
          <cell r="L455">
            <v>0</v>
          </cell>
          <cell r="M455">
            <v>0</v>
          </cell>
        </row>
        <row r="456">
          <cell r="L456">
            <v>0</v>
          </cell>
          <cell r="M456">
            <v>0</v>
          </cell>
        </row>
        <row r="457">
          <cell r="L457">
            <v>0</v>
          </cell>
          <cell r="M457">
            <v>0</v>
          </cell>
        </row>
        <row r="458">
          <cell r="L458">
            <v>0</v>
          </cell>
          <cell r="M458">
            <v>0</v>
          </cell>
        </row>
        <row r="459">
          <cell r="L459">
            <v>0</v>
          </cell>
          <cell r="M459">
            <v>0</v>
          </cell>
        </row>
        <row r="460">
          <cell r="L460">
            <v>0</v>
          </cell>
          <cell r="M460">
            <v>0</v>
          </cell>
        </row>
        <row r="461">
          <cell r="L461">
            <v>0</v>
          </cell>
          <cell r="M461">
            <v>0</v>
          </cell>
        </row>
        <row r="462">
          <cell r="L462">
            <v>0</v>
          </cell>
          <cell r="M462">
            <v>0</v>
          </cell>
        </row>
        <row r="463">
          <cell r="L463">
            <v>0</v>
          </cell>
          <cell r="M463">
            <v>0</v>
          </cell>
        </row>
        <row r="464">
          <cell r="L464">
            <v>0</v>
          </cell>
          <cell r="M464">
            <v>0</v>
          </cell>
        </row>
        <row r="465">
          <cell r="L465">
            <v>0</v>
          </cell>
          <cell r="M465">
            <v>0</v>
          </cell>
        </row>
        <row r="466">
          <cell r="L466">
            <v>0</v>
          </cell>
          <cell r="M466">
            <v>0</v>
          </cell>
        </row>
        <row r="467">
          <cell r="L467">
            <v>0</v>
          </cell>
          <cell r="M467">
            <v>0</v>
          </cell>
        </row>
        <row r="468">
          <cell r="L468">
            <v>0</v>
          </cell>
          <cell r="M468">
            <v>0</v>
          </cell>
        </row>
        <row r="469">
          <cell r="L469">
            <v>0</v>
          </cell>
          <cell r="M469">
            <v>0</v>
          </cell>
        </row>
        <row r="470">
          <cell r="L470">
            <v>0</v>
          </cell>
          <cell r="M470">
            <v>0</v>
          </cell>
        </row>
        <row r="471">
          <cell r="L471">
            <v>0</v>
          </cell>
          <cell r="M471">
            <v>0</v>
          </cell>
        </row>
        <row r="472">
          <cell r="L472">
            <v>0</v>
          </cell>
          <cell r="M472">
            <v>0</v>
          </cell>
        </row>
        <row r="473">
          <cell r="L473">
            <v>0</v>
          </cell>
          <cell r="M473">
            <v>0</v>
          </cell>
        </row>
        <row r="474">
          <cell r="L474">
            <v>0</v>
          </cell>
          <cell r="M474">
            <v>0</v>
          </cell>
        </row>
        <row r="475">
          <cell r="L475">
            <v>0</v>
          </cell>
          <cell r="M475">
            <v>0</v>
          </cell>
        </row>
        <row r="476">
          <cell r="L476">
            <v>0</v>
          </cell>
          <cell r="M476">
            <v>0</v>
          </cell>
        </row>
        <row r="477">
          <cell r="L477">
            <v>0</v>
          </cell>
          <cell r="M477">
            <v>0</v>
          </cell>
        </row>
        <row r="478">
          <cell r="L478">
            <v>0</v>
          </cell>
          <cell r="M478">
            <v>0</v>
          </cell>
        </row>
        <row r="479">
          <cell r="L479">
            <v>0</v>
          </cell>
          <cell r="M479">
            <v>0</v>
          </cell>
        </row>
        <row r="480">
          <cell r="L480">
            <v>0</v>
          </cell>
          <cell r="M480">
            <v>0</v>
          </cell>
        </row>
        <row r="481">
          <cell r="L481">
            <v>0</v>
          </cell>
          <cell r="M481">
            <v>0</v>
          </cell>
        </row>
        <row r="482">
          <cell r="L482">
            <v>0</v>
          </cell>
          <cell r="M482">
            <v>0</v>
          </cell>
        </row>
        <row r="483">
          <cell r="L483">
            <v>0</v>
          </cell>
          <cell r="M483">
            <v>0</v>
          </cell>
        </row>
        <row r="484">
          <cell r="L484">
            <v>0</v>
          </cell>
          <cell r="M484">
            <v>0</v>
          </cell>
        </row>
        <row r="485">
          <cell r="L485">
            <v>0</v>
          </cell>
          <cell r="M485">
            <v>0</v>
          </cell>
        </row>
        <row r="486">
          <cell r="L486">
            <v>0</v>
          </cell>
          <cell r="M486">
            <v>0</v>
          </cell>
        </row>
        <row r="487">
          <cell r="L487">
            <v>0</v>
          </cell>
          <cell r="M487">
            <v>0</v>
          </cell>
        </row>
        <row r="488">
          <cell r="L488">
            <v>0</v>
          </cell>
          <cell r="M488">
            <v>0</v>
          </cell>
        </row>
        <row r="489">
          <cell r="L489">
            <v>0</v>
          </cell>
          <cell r="M489">
            <v>0</v>
          </cell>
        </row>
        <row r="490">
          <cell r="L490">
            <v>0</v>
          </cell>
          <cell r="M490">
            <v>0</v>
          </cell>
        </row>
        <row r="491">
          <cell r="L491">
            <v>0</v>
          </cell>
          <cell r="M491">
            <v>0</v>
          </cell>
        </row>
        <row r="492">
          <cell r="L492">
            <v>0</v>
          </cell>
          <cell r="M492">
            <v>0</v>
          </cell>
        </row>
        <row r="493">
          <cell r="L493">
            <v>0</v>
          </cell>
          <cell r="M493">
            <v>0</v>
          </cell>
        </row>
        <row r="494">
          <cell r="L494">
            <v>0</v>
          </cell>
          <cell r="M494">
            <v>0</v>
          </cell>
        </row>
        <row r="495">
          <cell r="L495">
            <v>0</v>
          </cell>
          <cell r="M495">
            <v>0</v>
          </cell>
        </row>
        <row r="496">
          <cell r="L496">
            <v>0</v>
          </cell>
          <cell r="M496">
            <v>0</v>
          </cell>
        </row>
        <row r="497">
          <cell r="L497">
            <v>0</v>
          </cell>
          <cell r="M497">
            <v>0</v>
          </cell>
        </row>
        <row r="498">
          <cell r="L498">
            <v>0</v>
          </cell>
          <cell r="M498">
            <v>0</v>
          </cell>
        </row>
        <row r="499">
          <cell r="L499">
            <v>0</v>
          </cell>
          <cell r="M499">
            <v>0</v>
          </cell>
        </row>
        <row r="500">
          <cell r="L500">
            <v>0</v>
          </cell>
          <cell r="M500">
            <v>0</v>
          </cell>
        </row>
        <row r="501">
          <cell r="L501">
            <v>0</v>
          </cell>
          <cell r="M501">
            <v>0</v>
          </cell>
        </row>
        <row r="502">
          <cell r="L502">
            <v>0</v>
          </cell>
          <cell r="M502">
            <v>0</v>
          </cell>
        </row>
        <row r="503">
          <cell r="L503">
            <v>0</v>
          </cell>
          <cell r="M503">
            <v>0</v>
          </cell>
        </row>
        <row r="504">
          <cell r="L504">
            <v>0</v>
          </cell>
          <cell r="M504">
            <v>0</v>
          </cell>
        </row>
        <row r="505">
          <cell r="L505">
            <v>0</v>
          </cell>
          <cell r="M505">
            <v>0</v>
          </cell>
        </row>
        <row r="506">
          <cell r="L506">
            <v>0</v>
          </cell>
          <cell r="M506">
            <v>0</v>
          </cell>
        </row>
        <row r="507">
          <cell r="L507">
            <v>0</v>
          </cell>
          <cell r="M507">
            <v>0</v>
          </cell>
        </row>
        <row r="508">
          <cell r="L508">
            <v>0</v>
          </cell>
          <cell r="M508">
            <v>0</v>
          </cell>
        </row>
        <row r="509">
          <cell r="L509">
            <v>0</v>
          </cell>
          <cell r="M509">
            <v>0</v>
          </cell>
        </row>
        <row r="510">
          <cell r="L510">
            <v>0</v>
          </cell>
          <cell r="M510">
            <v>0</v>
          </cell>
        </row>
        <row r="511">
          <cell r="L511">
            <v>0</v>
          </cell>
          <cell r="M511">
            <v>0</v>
          </cell>
        </row>
        <row r="512">
          <cell r="L512">
            <v>0</v>
          </cell>
          <cell r="M512">
            <v>0</v>
          </cell>
        </row>
        <row r="513">
          <cell r="L513">
            <v>0</v>
          </cell>
          <cell r="M513">
            <v>0</v>
          </cell>
        </row>
        <row r="514">
          <cell r="L514">
            <v>0</v>
          </cell>
          <cell r="M514">
            <v>0</v>
          </cell>
        </row>
        <row r="515">
          <cell r="L515">
            <v>0</v>
          </cell>
          <cell r="M515">
            <v>0</v>
          </cell>
        </row>
        <row r="516">
          <cell r="L516">
            <v>0</v>
          </cell>
          <cell r="M516">
            <v>0</v>
          </cell>
        </row>
        <row r="517">
          <cell r="L517">
            <v>0</v>
          </cell>
          <cell r="M517">
            <v>0</v>
          </cell>
        </row>
        <row r="518">
          <cell r="L518">
            <v>0</v>
          </cell>
          <cell r="M518">
            <v>0</v>
          </cell>
        </row>
        <row r="519">
          <cell r="L519">
            <v>0</v>
          </cell>
          <cell r="M519">
            <v>0</v>
          </cell>
        </row>
        <row r="520">
          <cell r="L520">
            <v>0</v>
          </cell>
          <cell r="M520">
            <v>0</v>
          </cell>
        </row>
        <row r="521">
          <cell r="L521">
            <v>0</v>
          </cell>
          <cell r="M521">
            <v>0</v>
          </cell>
        </row>
        <row r="522">
          <cell r="L522">
            <v>0</v>
          </cell>
          <cell r="M522">
            <v>0</v>
          </cell>
        </row>
        <row r="523">
          <cell r="L523">
            <v>0</v>
          </cell>
          <cell r="M523">
            <v>0</v>
          </cell>
        </row>
        <row r="524">
          <cell r="L524">
            <v>0</v>
          </cell>
          <cell r="M524">
            <v>0</v>
          </cell>
        </row>
        <row r="525">
          <cell r="L525">
            <v>0</v>
          </cell>
          <cell r="M525">
            <v>0</v>
          </cell>
        </row>
        <row r="526">
          <cell r="L526">
            <v>0</v>
          </cell>
          <cell r="M526">
            <v>0</v>
          </cell>
        </row>
        <row r="527">
          <cell r="L527">
            <v>0</v>
          </cell>
          <cell r="M527">
            <v>0</v>
          </cell>
        </row>
        <row r="528">
          <cell r="L528">
            <v>0</v>
          </cell>
          <cell r="M528">
            <v>0</v>
          </cell>
        </row>
        <row r="529">
          <cell r="L529">
            <v>0</v>
          </cell>
          <cell r="M529">
            <v>0</v>
          </cell>
        </row>
        <row r="530">
          <cell r="L530">
            <v>0</v>
          </cell>
          <cell r="M530">
            <v>0</v>
          </cell>
        </row>
        <row r="531">
          <cell r="L531">
            <v>0</v>
          </cell>
          <cell r="M531">
            <v>0</v>
          </cell>
        </row>
        <row r="532">
          <cell r="L532">
            <v>0</v>
          </cell>
          <cell r="M532">
            <v>0</v>
          </cell>
        </row>
        <row r="533">
          <cell r="L533">
            <v>0</v>
          </cell>
          <cell r="M533">
            <v>0</v>
          </cell>
        </row>
        <row r="534">
          <cell r="L534">
            <v>0</v>
          </cell>
          <cell r="M534">
            <v>0</v>
          </cell>
        </row>
        <row r="535">
          <cell r="L535">
            <v>0</v>
          </cell>
          <cell r="M535">
            <v>0</v>
          </cell>
        </row>
        <row r="536">
          <cell r="L536">
            <v>0</v>
          </cell>
          <cell r="M536">
            <v>0</v>
          </cell>
        </row>
        <row r="537">
          <cell r="L537">
            <v>0</v>
          </cell>
          <cell r="M537">
            <v>0</v>
          </cell>
        </row>
        <row r="538">
          <cell r="L538">
            <v>0</v>
          </cell>
          <cell r="M538">
            <v>0</v>
          </cell>
        </row>
        <row r="539">
          <cell r="L539">
            <v>0</v>
          </cell>
          <cell r="M539">
            <v>0</v>
          </cell>
        </row>
        <row r="540">
          <cell r="L540">
            <v>0</v>
          </cell>
          <cell r="M540">
            <v>0</v>
          </cell>
        </row>
        <row r="541">
          <cell r="L541">
            <v>0</v>
          </cell>
          <cell r="M541">
            <v>0</v>
          </cell>
        </row>
        <row r="542">
          <cell r="L542">
            <v>0</v>
          </cell>
          <cell r="M542">
            <v>0</v>
          </cell>
        </row>
        <row r="543">
          <cell r="L543">
            <v>0</v>
          </cell>
          <cell r="M543">
            <v>0</v>
          </cell>
        </row>
        <row r="544">
          <cell r="L544">
            <v>0</v>
          </cell>
          <cell r="M544">
            <v>0</v>
          </cell>
        </row>
        <row r="545">
          <cell r="L545">
            <v>0</v>
          </cell>
          <cell r="M545">
            <v>0</v>
          </cell>
        </row>
        <row r="546">
          <cell r="L546">
            <v>0</v>
          </cell>
          <cell r="M546">
            <v>0</v>
          </cell>
        </row>
        <row r="547">
          <cell r="L547">
            <v>0</v>
          </cell>
          <cell r="M547">
            <v>0</v>
          </cell>
        </row>
        <row r="548">
          <cell r="L548">
            <v>0</v>
          </cell>
          <cell r="M548">
            <v>0</v>
          </cell>
        </row>
        <row r="549">
          <cell r="L549">
            <v>0</v>
          </cell>
          <cell r="M549">
            <v>0</v>
          </cell>
        </row>
        <row r="550">
          <cell r="L550">
            <v>0</v>
          </cell>
          <cell r="M550">
            <v>0</v>
          </cell>
        </row>
        <row r="551">
          <cell r="L551">
            <v>0</v>
          </cell>
          <cell r="M551">
            <v>0</v>
          </cell>
        </row>
        <row r="552">
          <cell r="L552">
            <v>0</v>
          </cell>
          <cell r="M552">
            <v>0</v>
          </cell>
        </row>
        <row r="553">
          <cell r="L553">
            <v>0</v>
          </cell>
          <cell r="M553">
            <v>0</v>
          </cell>
        </row>
        <row r="554">
          <cell r="L554">
            <v>0</v>
          </cell>
          <cell r="M554">
            <v>0</v>
          </cell>
        </row>
        <row r="555">
          <cell r="L555">
            <v>0</v>
          </cell>
          <cell r="M555">
            <v>0</v>
          </cell>
        </row>
        <row r="556">
          <cell r="L556">
            <v>0</v>
          </cell>
          <cell r="M556">
            <v>0</v>
          </cell>
        </row>
        <row r="557">
          <cell r="L557">
            <v>0</v>
          </cell>
          <cell r="M557">
            <v>0</v>
          </cell>
        </row>
        <row r="558">
          <cell r="L558">
            <v>0</v>
          </cell>
          <cell r="M558">
            <v>0</v>
          </cell>
        </row>
        <row r="559">
          <cell r="L559">
            <v>0</v>
          </cell>
          <cell r="M559">
            <v>0</v>
          </cell>
        </row>
        <row r="560">
          <cell r="L560">
            <v>0</v>
          </cell>
          <cell r="M560">
            <v>0</v>
          </cell>
        </row>
        <row r="561">
          <cell r="L561">
            <v>0</v>
          </cell>
          <cell r="M561">
            <v>0</v>
          </cell>
        </row>
        <row r="562">
          <cell r="L562">
            <v>0</v>
          </cell>
          <cell r="M562">
            <v>0</v>
          </cell>
        </row>
        <row r="563">
          <cell r="L563">
            <v>0</v>
          </cell>
          <cell r="M563">
            <v>0</v>
          </cell>
        </row>
        <row r="564">
          <cell r="L564">
            <v>0</v>
          </cell>
          <cell r="M564">
            <v>0</v>
          </cell>
        </row>
        <row r="565">
          <cell r="L565">
            <v>0</v>
          </cell>
          <cell r="M565">
            <v>0</v>
          </cell>
        </row>
        <row r="566">
          <cell r="L566">
            <v>0</v>
          </cell>
          <cell r="M566">
            <v>0</v>
          </cell>
        </row>
        <row r="567">
          <cell r="L567">
            <v>0</v>
          </cell>
          <cell r="M567">
            <v>0</v>
          </cell>
        </row>
        <row r="568">
          <cell r="L568">
            <v>0</v>
          </cell>
          <cell r="M568">
            <v>0</v>
          </cell>
        </row>
        <row r="569">
          <cell r="L569">
            <v>0</v>
          </cell>
          <cell r="M569">
            <v>0</v>
          </cell>
        </row>
        <row r="570">
          <cell r="L570">
            <v>0</v>
          </cell>
          <cell r="M570">
            <v>0</v>
          </cell>
        </row>
        <row r="571">
          <cell r="L571">
            <v>0</v>
          </cell>
          <cell r="M571">
            <v>0</v>
          </cell>
        </row>
        <row r="572">
          <cell r="L572">
            <v>0</v>
          </cell>
          <cell r="M572">
            <v>0</v>
          </cell>
        </row>
        <row r="573">
          <cell r="L573">
            <v>0</v>
          </cell>
          <cell r="M573">
            <v>0</v>
          </cell>
        </row>
        <row r="574">
          <cell r="L574">
            <v>0</v>
          </cell>
          <cell r="M574">
            <v>0</v>
          </cell>
        </row>
        <row r="575">
          <cell r="L575">
            <v>0</v>
          </cell>
          <cell r="M575">
            <v>0</v>
          </cell>
        </row>
        <row r="576">
          <cell r="L576">
            <v>0</v>
          </cell>
          <cell r="M576">
            <v>0</v>
          </cell>
        </row>
        <row r="577">
          <cell r="L577">
            <v>0</v>
          </cell>
          <cell r="M577">
            <v>0</v>
          </cell>
        </row>
        <row r="578">
          <cell r="L578">
            <v>0</v>
          </cell>
          <cell r="M578">
            <v>0</v>
          </cell>
        </row>
        <row r="579">
          <cell r="L579">
            <v>0</v>
          </cell>
          <cell r="M579">
            <v>0</v>
          </cell>
        </row>
        <row r="580">
          <cell r="L580">
            <v>0</v>
          </cell>
          <cell r="M580">
            <v>0</v>
          </cell>
        </row>
        <row r="581">
          <cell r="L581">
            <v>0</v>
          </cell>
          <cell r="M581">
            <v>0</v>
          </cell>
        </row>
        <row r="582">
          <cell r="L582">
            <v>0</v>
          </cell>
          <cell r="M582">
            <v>0</v>
          </cell>
        </row>
        <row r="583">
          <cell r="L583">
            <v>0</v>
          </cell>
          <cell r="M583">
            <v>0</v>
          </cell>
        </row>
        <row r="584">
          <cell r="L584">
            <v>0</v>
          </cell>
          <cell r="M584">
            <v>0</v>
          </cell>
        </row>
        <row r="585">
          <cell r="L585">
            <v>0</v>
          </cell>
          <cell r="M585">
            <v>0</v>
          </cell>
        </row>
        <row r="586">
          <cell r="L586">
            <v>0</v>
          </cell>
          <cell r="M586">
            <v>0</v>
          </cell>
        </row>
        <row r="587">
          <cell r="L587">
            <v>0</v>
          </cell>
          <cell r="M587">
            <v>0</v>
          </cell>
        </row>
        <row r="588">
          <cell r="L588">
            <v>0</v>
          </cell>
          <cell r="M588">
            <v>0</v>
          </cell>
        </row>
        <row r="589">
          <cell r="L589">
            <v>0</v>
          </cell>
          <cell r="M589">
            <v>0</v>
          </cell>
        </row>
        <row r="590">
          <cell r="L590">
            <v>0</v>
          </cell>
          <cell r="M590">
            <v>0</v>
          </cell>
        </row>
        <row r="591">
          <cell r="L591">
            <v>0</v>
          </cell>
          <cell r="M591">
            <v>0</v>
          </cell>
        </row>
        <row r="592">
          <cell r="L592">
            <v>0</v>
          </cell>
          <cell r="M592">
            <v>0</v>
          </cell>
        </row>
        <row r="593">
          <cell r="L593">
            <v>0</v>
          </cell>
          <cell r="M593">
            <v>0</v>
          </cell>
        </row>
        <row r="594">
          <cell r="L594">
            <v>0</v>
          </cell>
          <cell r="M594">
            <v>0</v>
          </cell>
        </row>
        <row r="595">
          <cell r="L595">
            <v>0</v>
          </cell>
          <cell r="M595">
            <v>0</v>
          </cell>
        </row>
        <row r="596">
          <cell r="L596">
            <v>0</v>
          </cell>
          <cell r="M596">
            <v>0</v>
          </cell>
        </row>
        <row r="597">
          <cell r="L597">
            <v>0</v>
          </cell>
          <cell r="M597">
            <v>0</v>
          </cell>
        </row>
        <row r="598">
          <cell r="L598">
            <v>0</v>
          </cell>
          <cell r="M598">
            <v>0</v>
          </cell>
        </row>
        <row r="599">
          <cell r="L599">
            <v>0</v>
          </cell>
          <cell r="M599">
            <v>0</v>
          </cell>
        </row>
        <row r="600">
          <cell r="L600">
            <v>0</v>
          </cell>
          <cell r="M600">
            <v>0</v>
          </cell>
        </row>
        <row r="601">
          <cell r="L601">
            <v>0</v>
          </cell>
          <cell r="M601">
            <v>0</v>
          </cell>
        </row>
        <row r="602">
          <cell r="L602">
            <v>0</v>
          </cell>
          <cell r="M602">
            <v>0</v>
          </cell>
        </row>
        <row r="603">
          <cell r="L603">
            <v>0</v>
          </cell>
          <cell r="M603">
            <v>0</v>
          </cell>
        </row>
        <row r="604">
          <cell r="L604">
            <v>0</v>
          </cell>
          <cell r="M604">
            <v>0</v>
          </cell>
        </row>
        <row r="605">
          <cell r="L605">
            <v>0</v>
          </cell>
          <cell r="M605">
            <v>0</v>
          </cell>
        </row>
        <row r="606">
          <cell r="L606">
            <v>0</v>
          </cell>
          <cell r="M606">
            <v>0</v>
          </cell>
        </row>
        <row r="607">
          <cell r="L607">
            <v>0</v>
          </cell>
          <cell r="M607">
            <v>0</v>
          </cell>
        </row>
        <row r="608">
          <cell r="L608">
            <v>0</v>
          </cell>
          <cell r="M608">
            <v>0</v>
          </cell>
        </row>
        <row r="609">
          <cell r="L609">
            <v>0</v>
          </cell>
          <cell r="M609">
            <v>0</v>
          </cell>
        </row>
        <row r="610">
          <cell r="L610">
            <v>0</v>
          </cell>
          <cell r="M610">
            <v>0</v>
          </cell>
        </row>
        <row r="611">
          <cell r="L611">
            <v>0</v>
          </cell>
          <cell r="M611">
            <v>0</v>
          </cell>
        </row>
        <row r="612">
          <cell r="L612">
            <v>0</v>
          </cell>
          <cell r="M612">
            <v>0</v>
          </cell>
        </row>
        <row r="613">
          <cell r="L613">
            <v>0</v>
          </cell>
          <cell r="M613">
            <v>0</v>
          </cell>
        </row>
        <row r="614">
          <cell r="L614">
            <v>0</v>
          </cell>
          <cell r="M614">
            <v>0</v>
          </cell>
        </row>
        <row r="615">
          <cell r="L615">
            <v>0</v>
          </cell>
          <cell r="M615">
            <v>0</v>
          </cell>
        </row>
        <row r="616">
          <cell r="L616">
            <v>0</v>
          </cell>
          <cell r="M616">
            <v>0</v>
          </cell>
        </row>
        <row r="617">
          <cell r="L617">
            <v>0</v>
          </cell>
          <cell r="M617">
            <v>0</v>
          </cell>
        </row>
        <row r="618">
          <cell r="L618">
            <v>0</v>
          </cell>
          <cell r="M618">
            <v>0</v>
          </cell>
        </row>
        <row r="619">
          <cell r="L619">
            <v>0</v>
          </cell>
          <cell r="M619">
            <v>0</v>
          </cell>
        </row>
        <row r="620">
          <cell r="L620">
            <v>0</v>
          </cell>
          <cell r="M620">
            <v>0</v>
          </cell>
        </row>
        <row r="621">
          <cell r="L621">
            <v>0</v>
          </cell>
          <cell r="M621">
            <v>0</v>
          </cell>
        </row>
        <row r="622">
          <cell r="L622">
            <v>0</v>
          </cell>
          <cell r="M622">
            <v>0</v>
          </cell>
        </row>
        <row r="623">
          <cell r="L623">
            <v>0</v>
          </cell>
          <cell r="M623">
            <v>0</v>
          </cell>
        </row>
        <row r="624">
          <cell r="L624">
            <v>0</v>
          </cell>
          <cell r="M624">
            <v>0</v>
          </cell>
        </row>
        <row r="625">
          <cell r="L625">
            <v>0</v>
          </cell>
          <cell r="M625">
            <v>0</v>
          </cell>
        </row>
        <row r="626">
          <cell r="L626">
            <v>0</v>
          </cell>
          <cell r="M626">
            <v>0</v>
          </cell>
        </row>
        <row r="627">
          <cell r="L627">
            <v>0</v>
          </cell>
          <cell r="M627">
            <v>0</v>
          </cell>
        </row>
        <row r="628">
          <cell r="L628">
            <v>0</v>
          </cell>
          <cell r="M628">
            <v>0</v>
          </cell>
        </row>
        <row r="629">
          <cell r="L629">
            <v>0</v>
          </cell>
          <cell r="M629">
            <v>0</v>
          </cell>
        </row>
        <row r="630">
          <cell r="L630">
            <v>0</v>
          </cell>
          <cell r="M630">
            <v>0</v>
          </cell>
        </row>
        <row r="631">
          <cell r="L631">
            <v>0</v>
          </cell>
          <cell r="M631">
            <v>0</v>
          </cell>
        </row>
        <row r="632">
          <cell r="L632">
            <v>0</v>
          </cell>
          <cell r="M632">
            <v>0</v>
          </cell>
        </row>
        <row r="633">
          <cell r="L633">
            <v>0</v>
          </cell>
          <cell r="M633">
            <v>0</v>
          </cell>
        </row>
        <row r="634">
          <cell r="L634">
            <v>0</v>
          </cell>
          <cell r="M634">
            <v>0</v>
          </cell>
        </row>
        <row r="635">
          <cell r="L635">
            <v>0</v>
          </cell>
          <cell r="M635">
            <v>0</v>
          </cell>
        </row>
        <row r="636">
          <cell r="L636">
            <v>0</v>
          </cell>
          <cell r="M636">
            <v>0</v>
          </cell>
        </row>
        <row r="637">
          <cell r="L637">
            <v>0</v>
          </cell>
          <cell r="M637">
            <v>0</v>
          </cell>
        </row>
        <row r="638">
          <cell r="L638">
            <v>0</v>
          </cell>
          <cell r="M638">
            <v>0</v>
          </cell>
        </row>
        <row r="639">
          <cell r="L639">
            <v>0</v>
          </cell>
          <cell r="M639">
            <v>0</v>
          </cell>
        </row>
        <row r="640">
          <cell r="L640">
            <v>0</v>
          </cell>
          <cell r="M640">
            <v>0</v>
          </cell>
        </row>
        <row r="641">
          <cell r="L641">
            <v>0</v>
          </cell>
          <cell r="M641">
            <v>0</v>
          </cell>
        </row>
        <row r="642">
          <cell r="L642">
            <v>0</v>
          </cell>
          <cell r="M642">
            <v>0</v>
          </cell>
        </row>
        <row r="643">
          <cell r="L643">
            <v>0</v>
          </cell>
          <cell r="M643">
            <v>0</v>
          </cell>
        </row>
        <row r="644">
          <cell r="L644">
            <v>0</v>
          </cell>
          <cell r="M644">
            <v>0</v>
          </cell>
        </row>
        <row r="645">
          <cell r="L645">
            <v>0</v>
          </cell>
          <cell r="M645">
            <v>0</v>
          </cell>
        </row>
        <row r="646">
          <cell r="L646">
            <v>0</v>
          </cell>
          <cell r="M646">
            <v>0</v>
          </cell>
        </row>
        <row r="647">
          <cell r="L647">
            <v>0</v>
          </cell>
          <cell r="M647">
            <v>0</v>
          </cell>
        </row>
        <row r="648">
          <cell r="L648">
            <v>0</v>
          </cell>
          <cell r="M648">
            <v>0</v>
          </cell>
        </row>
        <row r="649">
          <cell r="L649">
            <v>0</v>
          </cell>
          <cell r="M649">
            <v>0</v>
          </cell>
        </row>
        <row r="650">
          <cell r="L650">
            <v>0</v>
          </cell>
          <cell r="M650">
            <v>0</v>
          </cell>
        </row>
        <row r="651">
          <cell r="L651">
            <v>0</v>
          </cell>
          <cell r="M651">
            <v>0</v>
          </cell>
        </row>
        <row r="652">
          <cell r="L652">
            <v>0</v>
          </cell>
          <cell r="M652">
            <v>0</v>
          </cell>
        </row>
        <row r="653">
          <cell r="L653">
            <v>0</v>
          </cell>
          <cell r="M653">
            <v>0</v>
          </cell>
        </row>
        <row r="654">
          <cell r="L654">
            <v>0</v>
          </cell>
          <cell r="M654">
            <v>0</v>
          </cell>
        </row>
        <row r="655">
          <cell r="L655">
            <v>0</v>
          </cell>
          <cell r="M655">
            <v>0</v>
          </cell>
        </row>
        <row r="656">
          <cell r="L656">
            <v>0</v>
          </cell>
          <cell r="M656">
            <v>0</v>
          </cell>
        </row>
        <row r="657">
          <cell r="L657">
            <v>0</v>
          </cell>
          <cell r="M657">
            <v>0</v>
          </cell>
        </row>
        <row r="658">
          <cell r="L658">
            <v>0</v>
          </cell>
          <cell r="M658">
            <v>0</v>
          </cell>
        </row>
        <row r="659">
          <cell r="L659">
            <v>0</v>
          </cell>
          <cell r="M659">
            <v>0</v>
          </cell>
        </row>
        <row r="660">
          <cell r="L660">
            <v>0</v>
          </cell>
          <cell r="M660">
            <v>0</v>
          </cell>
        </row>
        <row r="661">
          <cell r="L661">
            <v>0</v>
          </cell>
          <cell r="M661">
            <v>0</v>
          </cell>
        </row>
        <row r="662">
          <cell r="L662">
            <v>0</v>
          </cell>
          <cell r="M662">
            <v>0</v>
          </cell>
        </row>
        <row r="663">
          <cell r="L663">
            <v>0</v>
          </cell>
          <cell r="M663">
            <v>0</v>
          </cell>
        </row>
        <row r="664">
          <cell r="L664">
            <v>0</v>
          </cell>
          <cell r="M664">
            <v>0</v>
          </cell>
        </row>
        <row r="665">
          <cell r="L665">
            <v>0</v>
          </cell>
          <cell r="M665">
            <v>0</v>
          </cell>
        </row>
        <row r="666">
          <cell r="L666">
            <v>0</v>
          </cell>
          <cell r="M666">
            <v>0</v>
          </cell>
        </row>
        <row r="667">
          <cell r="L667">
            <v>0</v>
          </cell>
          <cell r="M667">
            <v>0</v>
          </cell>
        </row>
        <row r="668">
          <cell r="L668">
            <v>0</v>
          </cell>
          <cell r="M668">
            <v>0</v>
          </cell>
        </row>
        <row r="669">
          <cell r="L669">
            <v>0</v>
          </cell>
          <cell r="M669">
            <v>0</v>
          </cell>
        </row>
        <row r="670">
          <cell r="L670">
            <v>0</v>
          </cell>
          <cell r="M670">
            <v>0</v>
          </cell>
        </row>
        <row r="671">
          <cell r="L671">
            <v>0</v>
          </cell>
          <cell r="M671">
            <v>0</v>
          </cell>
        </row>
        <row r="672">
          <cell r="L672">
            <v>0</v>
          </cell>
          <cell r="M672">
            <v>0</v>
          </cell>
        </row>
        <row r="673">
          <cell r="L673">
            <v>0</v>
          </cell>
          <cell r="M673">
            <v>0</v>
          </cell>
        </row>
        <row r="674">
          <cell r="L674">
            <v>0</v>
          </cell>
          <cell r="M674">
            <v>0</v>
          </cell>
        </row>
        <row r="675">
          <cell r="L675">
            <v>0</v>
          </cell>
          <cell r="M675">
            <v>0</v>
          </cell>
        </row>
        <row r="676">
          <cell r="L676">
            <v>0</v>
          </cell>
          <cell r="M676">
            <v>0</v>
          </cell>
        </row>
        <row r="677">
          <cell r="L677">
            <v>0</v>
          </cell>
          <cell r="M677">
            <v>0</v>
          </cell>
        </row>
        <row r="678">
          <cell r="L678">
            <v>0</v>
          </cell>
          <cell r="M678">
            <v>0</v>
          </cell>
        </row>
        <row r="679">
          <cell r="L679">
            <v>0</v>
          </cell>
          <cell r="M679">
            <v>0</v>
          </cell>
        </row>
        <row r="680">
          <cell r="L680">
            <v>0</v>
          </cell>
          <cell r="M680">
            <v>0</v>
          </cell>
        </row>
        <row r="681">
          <cell r="L681">
            <v>0</v>
          </cell>
          <cell r="M681">
            <v>0</v>
          </cell>
        </row>
        <row r="682">
          <cell r="L682">
            <v>0</v>
          </cell>
          <cell r="M682">
            <v>0</v>
          </cell>
        </row>
        <row r="683">
          <cell r="L683">
            <v>0</v>
          </cell>
          <cell r="M683">
            <v>0</v>
          </cell>
        </row>
        <row r="684">
          <cell r="L684">
            <v>0</v>
          </cell>
          <cell r="M684">
            <v>0</v>
          </cell>
        </row>
        <row r="685">
          <cell r="L685">
            <v>0</v>
          </cell>
          <cell r="M685">
            <v>0</v>
          </cell>
        </row>
        <row r="686">
          <cell r="L686">
            <v>0</v>
          </cell>
          <cell r="M686">
            <v>0</v>
          </cell>
        </row>
        <row r="687">
          <cell r="L687">
            <v>0</v>
          </cell>
          <cell r="M687">
            <v>0</v>
          </cell>
        </row>
        <row r="688">
          <cell r="L688">
            <v>0</v>
          </cell>
          <cell r="M688">
            <v>0</v>
          </cell>
        </row>
        <row r="689">
          <cell r="L689">
            <v>0</v>
          </cell>
          <cell r="M689">
            <v>0</v>
          </cell>
        </row>
        <row r="690">
          <cell r="L690">
            <v>0</v>
          </cell>
          <cell r="M690">
            <v>0</v>
          </cell>
        </row>
        <row r="691">
          <cell r="L691">
            <v>0</v>
          </cell>
          <cell r="M691">
            <v>0</v>
          </cell>
        </row>
        <row r="692">
          <cell r="L692">
            <v>0</v>
          </cell>
          <cell r="M692">
            <v>0</v>
          </cell>
        </row>
        <row r="693">
          <cell r="L693">
            <v>0</v>
          </cell>
          <cell r="M693">
            <v>0</v>
          </cell>
        </row>
        <row r="694">
          <cell r="L694">
            <v>0</v>
          </cell>
          <cell r="M694">
            <v>0</v>
          </cell>
        </row>
        <row r="695">
          <cell r="L695">
            <v>0</v>
          </cell>
          <cell r="M695">
            <v>0</v>
          </cell>
        </row>
        <row r="696">
          <cell r="L696">
            <v>0</v>
          </cell>
          <cell r="M696">
            <v>0</v>
          </cell>
        </row>
        <row r="697">
          <cell r="L697">
            <v>0</v>
          </cell>
          <cell r="M697">
            <v>0</v>
          </cell>
        </row>
        <row r="698">
          <cell r="L698">
            <v>0</v>
          </cell>
          <cell r="M698">
            <v>0</v>
          </cell>
        </row>
        <row r="699">
          <cell r="L699">
            <v>0</v>
          </cell>
          <cell r="M699">
            <v>0</v>
          </cell>
        </row>
        <row r="700">
          <cell r="L700">
            <v>0</v>
          </cell>
          <cell r="M700">
            <v>0</v>
          </cell>
        </row>
        <row r="701">
          <cell r="L701">
            <v>0</v>
          </cell>
          <cell r="M701">
            <v>0</v>
          </cell>
        </row>
        <row r="702">
          <cell r="L702">
            <v>0</v>
          </cell>
          <cell r="M702">
            <v>0</v>
          </cell>
        </row>
        <row r="703">
          <cell r="L703">
            <v>0</v>
          </cell>
          <cell r="M703">
            <v>0</v>
          </cell>
        </row>
        <row r="704">
          <cell r="L704">
            <v>0</v>
          </cell>
          <cell r="M704">
            <v>0</v>
          </cell>
        </row>
        <row r="705">
          <cell r="L705">
            <v>0</v>
          </cell>
          <cell r="M705">
            <v>0</v>
          </cell>
        </row>
        <row r="706">
          <cell r="L706">
            <v>0</v>
          </cell>
          <cell r="M706">
            <v>0</v>
          </cell>
        </row>
        <row r="707">
          <cell r="L707">
            <v>0</v>
          </cell>
          <cell r="M707">
            <v>0</v>
          </cell>
        </row>
        <row r="708">
          <cell r="L708">
            <v>0</v>
          </cell>
          <cell r="M708">
            <v>0</v>
          </cell>
        </row>
        <row r="709">
          <cell r="L709">
            <v>0</v>
          </cell>
          <cell r="M709">
            <v>0</v>
          </cell>
        </row>
        <row r="710">
          <cell r="L710">
            <v>0</v>
          </cell>
          <cell r="M710">
            <v>0</v>
          </cell>
        </row>
        <row r="711">
          <cell r="L711">
            <v>0</v>
          </cell>
          <cell r="M711">
            <v>0</v>
          </cell>
        </row>
        <row r="712">
          <cell r="L712">
            <v>0</v>
          </cell>
          <cell r="M712">
            <v>0</v>
          </cell>
        </row>
        <row r="713">
          <cell r="L713">
            <v>0</v>
          </cell>
          <cell r="M713">
            <v>0</v>
          </cell>
        </row>
        <row r="714">
          <cell r="L714">
            <v>0</v>
          </cell>
          <cell r="M714">
            <v>0</v>
          </cell>
        </row>
        <row r="715">
          <cell r="L715">
            <v>0</v>
          </cell>
          <cell r="M715">
            <v>0</v>
          </cell>
        </row>
        <row r="716">
          <cell r="L716">
            <v>0</v>
          </cell>
          <cell r="M716">
            <v>0</v>
          </cell>
        </row>
        <row r="717">
          <cell r="L717">
            <v>0</v>
          </cell>
          <cell r="M717">
            <v>0</v>
          </cell>
        </row>
        <row r="718">
          <cell r="L718">
            <v>0</v>
          </cell>
          <cell r="M718">
            <v>0</v>
          </cell>
        </row>
        <row r="719">
          <cell r="L719">
            <v>0</v>
          </cell>
          <cell r="M719">
            <v>0</v>
          </cell>
        </row>
        <row r="720">
          <cell r="L720">
            <v>0</v>
          </cell>
          <cell r="M720">
            <v>0</v>
          </cell>
        </row>
        <row r="721">
          <cell r="L721">
            <v>0</v>
          </cell>
          <cell r="M721">
            <v>0</v>
          </cell>
        </row>
        <row r="722">
          <cell r="L722">
            <v>0</v>
          </cell>
          <cell r="M722">
            <v>0</v>
          </cell>
        </row>
        <row r="723">
          <cell r="L723">
            <v>0</v>
          </cell>
          <cell r="M723">
            <v>0</v>
          </cell>
        </row>
        <row r="724">
          <cell r="L724">
            <v>0</v>
          </cell>
          <cell r="M724">
            <v>0</v>
          </cell>
        </row>
        <row r="725">
          <cell r="L725">
            <v>0</v>
          </cell>
          <cell r="M725">
            <v>0</v>
          </cell>
        </row>
        <row r="726">
          <cell r="L726">
            <v>0</v>
          </cell>
          <cell r="M726">
            <v>0</v>
          </cell>
        </row>
        <row r="727">
          <cell r="L727">
            <v>0</v>
          </cell>
          <cell r="M727">
            <v>0</v>
          </cell>
        </row>
        <row r="728">
          <cell r="L728">
            <v>0</v>
          </cell>
          <cell r="M728">
            <v>0</v>
          </cell>
        </row>
        <row r="729">
          <cell r="L729">
            <v>0</v>
          </cell>
          <cell r="M729">
            <v>0</v>
          </cell>
        </row>
        <row r="730">
          <cell r="L730">
            <v>0</v>
          </cell>
          <cell r="M730">
            <v>0</v>
          </cell>
        </row>
        <row r="731">
          <cell r="L731">
            <v>0</v>
          </cell>
          <cell r="M731">
            <v>0</v>
          </cell>
        </row>
        <row r="732">
          <cell r="L732">
            <v>0</v>
          </cell>
          <cell r="M732">
            <v>0</v>
          </cell>
        </row>
        <row r="733">
          <cell r="L733">
            <v>0</v>
          </cell>
          <cell r="M733">
            <v>0</v>
          </cell>
        </row>
        <row r="734">
          <cell r="L734">
            <v>0</v>
          </cell>
          <cell r="M734">
            <v>0</v>
          </cell>
        </row>
        <row r="735">
          <cell r="L735">
            <v>0</v>
          </cell>
          <cell r="M735">
            <v>0</v>
          </cell>
        </row>
        <row r="736">
          <cell r="L736">
            <v>0</v>
          </cell>
          <cell r="M736">
            <v>0</v>
          </cell>
        </row>
        <row r="737">
          <cell r="L737">
            <v>0</v>
          </cell>
          <cell r="M737">
            <v>0</v>
          </cell>
        </row>
        <row r="738">
          <cell r="L738">
            <v>0</v>
          </cell>
          <cell r="M738">
            <v>0</v>
          </cell>
        </row>
        <row r="739">
          <cell r="L739">
            <v>0</v>
          </cell>
          <cell r="M739">
            <v>0</v>
          </cell>
        </row>
        <row r="740">
          <cell r="L740">
            <v>0</v>
          </cell>
          <cell r="M740">
            <v>0</v>
          </cell>
        </row>
        <row r="741">
          <cell r="L741">
            <v>0</v>
          </cell>
          <cell r="M741">
            <v>0</v>
          </cell>
        </row>
        <row r="742">
          <cell r="L742">
            <v>0</v>
          </cell>
          <cell r="M742">
            <v>0</v>
          </cell>
        </row>
        <row r="743">
          <cell r="L743">
            <v>0</v>
          </cell>
          <cell r="M743">
            <v>0</v>
          </cell>
        </row>
        <row r="744">
          <cell r="L744">
            <v>0</v>
          </cell>
          <cell r="M744">
            <v>0</v>
          </cell>
        </row>
        <row r="745">
          <cell r="L745">
            <v>0</v>
          </cell>
          <cell r="M745">
            <v>0</v>
          </cell>
        </row>
        <row r="746">
          <cell r="L746">
            <v>0</v>
          </cell>
          <cell r="M746">
            <v>0</v>
          </cell>
        </row>
        <row r="747">
          <cell r="L747">
            <v>0</v>
          </cell>
          <cell r="M747">
            <v>0</v>
          </cell>
        </row>
        <row r="748">
          <cell r="L748">
            <v>0</v>
          </cell>
          <cell r="M748">
            <v>0</v>
          </cell>
        </row>
        <row r="749">
          <cell r="L749">
            <v>0</v>
          </cell>
          <cell r="M749">
            <v>0</v>
          </cell>
        </row>
        <row r="750">
          <cell r="L750">
            <v>0</v>
          </cell>
          <cell r="M750">
            <v>0</v>
          </cell>
        </row>
        <row r="751">
          <cell r="L751">
            <v>0</v>
          </cell>
          <cell r="M751">
            <v>0</v>
          </cell>
        </row>
        <row r="752">
          <cell r="L752">
            <v>0</v>
          </cell>
          <cell r="M752">
            <v>0</v>
          </cell>
        </row>
        <row r="753">
          <cell r="L753">
            <v>0</v>
          </cell>
          <cell r="M753">
            <v>0</v>
          </cell>
        </row>
        <row r="754">
          <cell r="L754">
            <v>0</v>
          </cell>
          <cell r="M754">
            <v>0</v>
          </cell>
        </row>
        <row r="755">
          <cell r="L755">
            <v>0</v>
          </cell>
          <cell r="M755">
            <v>0</v>
          </cell>
        </row>
        <row r="756">
          <cell r="L756">
            <v>0</v>
          </cell>
          <cell r="M756">
            <v>0</v>
          </cell>
        </row>
        <row r="757">
          <cell r="L757">
            <v>0</v>
          </cell>
          <cell r="M757">
            <v>0</v>
          </cell>
        </row>
        <row r="758">
          <cell r="L758">
            <v>0</v>
          </cell>
          <cell r="M758">
            <v>0</v>
          </cell>
        </row>
        <row r="759">
          <cell r="L759">
            <v>0</v>
          </cell>
          <cell r="M759">
            <v>0</v>
          </cell>
        </row>
        <row r="760">
          <cell r="L760">
            <v>0</v>
          </cell>
          <cell r="M760">
            <v>0</v>
          </cell>
        </row>
        <row r="761">
          <cell r="L761">
            <v>0</v>
          </cell>
          <cell r="M761">
            <v>0</v>
          </cell>
        </row>
        <row r="762">
          <cell r="L762">
            <v>0</v>
          </cell>
          <cell r="M762">
            <v>0</v>
          </cell>
        </row>
        <row r="763">
          <cell r="L763">
            <v>0</v>
          </cell>
          <cell r="M763">
            <v>0</v>
          </cell>
        </row>
        <row r="764">
          <cell r="L764">
            <v>0</v>
          </cell>
          <cell r="M764">
            <v>0</v>
          </cell>
        </row>
        <row r="765">
          <cell r="L765">
            <v>0</v>
          </cell>
          <cell r="M765">
            <v>0</v>
          </cell>
        </row>
        <row r="766">
          <cell r="L766">
            <v>0</v>
          </cell>
          <cell r="M766">
            <v>0</v>
          </cell>
        </row>
        <row r="767">
          <cell r="L767">
            <v>0</v>
          </cell>
          <cell r="M767">
            <v>0</v>
          </cell>
        </row>
        <row r="768">
          <cell r="L768">
            <v>0</v>
          </cell>
          <cell r="M768">
            <v>0</v>
          </cell>
        </row>
        <row r="769">
          <cell r="L769">
            <v>0</v>
          </cell>
          <cell r="M769">
            <v>0</v>
          </cell>
        </row>
        <row r="770">
          <cell r="L770">
            <v>0</v>
          </cell>
          <cell r="M770">
            <v>0</v>
          </cell>
        </row>
        <row r="771">
          <cell r="L771">
            <v>0</v>
          </cell>
          <cell r="M771">
            <v>0</v>
          </cell>
        </row>
        <row r="772">
          <cell r="L772">
            <v>0</v>
          </cell>
          <cell r="M772">
            <v>0</v>
          </cell>
        </row>
        <row r="773">
          <cell r="L773">
            <v>0</v>
          </cell>
          <cell r="M773">
            <v>0</v>
          </cell>
        </row>
        <row r="774">
          <cell r="L774">
            <v>0</v>
          </cell>
          <cell r="M774">
            <v>0</v>
          </cell>
        </row>
        <row r="775">
          <cell r="L775">
            <v>0</v>
          </cell>
          <cell r="M775">
            <v>0</v>
          </cell>
        </row>
        <row r="776">
          <cell r="L776">
            <v>0</v>
          </cell>
          <cell r="M776">
            <v>0</v>
          </cell>
        </row>
        <row r="777">
          <cell r="L777">
            <v>0</v>
          </cell>
          <cell r="M777">
            <v>0</v>
          </cell>
        </row>
        <row r="778">
          <cell r="L778">
            <v>0</v>
          </cell>
          <cell r="M778">
            <v>0</v>
          </cell>
        </row>
        <row r="779">
          <cell r="L779">
            <v>0</v>
          </cell>
          <cell r="M779">
            <v>0</v>
          </cell>
        </row>
        <row r="780">
          <cell r="L780">
            <v>0</v>
          </cell>
          <cell r="M780">
            <v>0</v>
          </cell>
        </row>
        <row r="781">
          <cell r="L781">
            <v>0</v>
          </cell>
          <cell r="M781">
            <v>0</v>
          </cell>
        </row>
        <row r="782">
          <cell r="L782">
            <v>0</v>
          </cell>
          <cell r="M782">
            <v>0</v>
          </cell>
        </row>
        <row r="783">
          <cell r="L783">
            <v>0</v>
          </cell>
          <cell r="M783">
            <v>0</v>
          </cell>
        </row>
        <row r="784">
          <cell r="L784">
            <v>0</v>
          </cell>
          <cell r="M784">
            <v>0</v>
          </cell>
        </row>
        <row r="785">
          <cell r="L785">
            <v>0</v>
          </cell>
          <cell r="M785">
            <v>0</v>
          </cell>
        </row>
        <row r="786">
          <cell r="L786">
            <v>0</v>
          </cell>
          <cell r="M786">
            <v>0</v>
          </cell>
        </row>
        <row r="787">
          <cell r="L787">
            <v>0</v>
          </cell>
          <cell r="M787">
            <v>0</v>
          </cell>
        </row>
        <row r="788">
          <cell r="L788">
            <v>0</v>
          </cell>
          <cell r="M788">
            <v>0</v>
          </cell>
        </row>
        <row r="789">
          <cell r="L789">
            <v>0</v>
          </cell>
          <cell r="M789">
            <v>0</v>
          </cell>
        </row>
        <row r="790">
          <cell r="L790">
            <v>0</v>
          </cell>
          <cell r="M790">
            <v>0</v>
          </cell>
        </row>
        <row r="791">
          <cell r="L791">
            <v>0</v>
          </cell>
          <cell r="M791">
            <v>0</v>
          </cell>
        </row>
        <row r="792">
          <cell r="L792">
            <v>0</v>
          </cell>
          <cell r="M792">
            <v>0</v>
          </cell>
        </row>
        <row r="793">
          <cell r="L793">
            <v>0</v>
          </cell>
          <cell r="M793">
            <v>0</v>
          </cell>
        </row>
        <row r="794">
          <cell r="L794">
            <v>0</v>
          </cell>
          <cell r="M794">
            <v>0</v>
          </cell>
        </row>
        <row r="795">
          <cell r="L795">
            <v>0</v>
          </cell>
          <cell r="M795">
            <v>0</v>
          </cell>
        </row>
        <row r="796">
          <cell r="L796">
            <v>0</v>
          </cell>
          <cell r="M796">
            <v>0</v>
          </cell>
        </row>
        <row r="797">
          <cell r="L797">
            <v>0</v>
          </cell>
          <cell r="M797">
            <v>0</v>
          </cell>
        </row>
        <row r="798">
          <cell r="L798">
            <v>0</v>
          </cell>
          <cell r="M798">
            <v>0</v>
          </cell>
        </row>
        <row r="799">
          <cell r="L799">
            <v>0</v>
          </cell>
          <cell r="M799">
            <v>0</v>
          </cell>
        </row>
        <row r="800">
          <cell r="L800">
            <v>0</v>
          </cell>
          <cell r="M800">
            <v>0</v>
          </cell>
        </row>
        <row r="801">
          <cell r="L801">
            <v>0</v>
          </cell>
          <cell r="M801">
            <v>0</v>
          </cell>
        </row>
        <row r="802">
          <cell r="L802">
            <v>0</v>
          </cell>
          <cell r="M802">
            <v>0</v>
          </cell>
        </row>
        <row r="803">
          <cell r="L803">
            <v>0</v>
          </cell>
          <cell r="M803">
            <v>0</v>
          </cell>
        </row>
        <row r="804">
          <cell r="L804">
            <v>0</v>
          </cell>
          <cell r="M804">
            <v>0</v>
          </cell>
        </row>
        <row r="805">
          <cell r="L805">
            <v>0</v>
          </cell>
          <cell r="M805">
            <v>0</v>
          </cell>
        </row>
        <row r="806">
          <cell r="L806">
            <v>0</v>
          </cell>
          <cell r="M806">
            <v>0</v>
          </cell>
        </row>
        <row r="807">
          <cell r="L807">
            <v>0</v>
          </cell>
          <cell r="M807">
            <v>0</v>
          </cell>
        </row>
        <row r="808">
          <cell r="L808">
            <v>0</v>
          </cell>
          <cell r="M808">
            <v>0</v>
          </cell>
        </row>
        <row r="809">
          <cell r="L809">
            <v>0</v>
          </cell>
          <cell r="M809">
            <v>0</v>
          </cell>
        </row>
        <row r="810">
          <cell r="L810">
            <v>0</v>
          </cell>
          <cell r="M810">
            <v>0</v>
          </cell>
        </row>
        <row r="811">
          <cell r="L811">
            <v>0</v>
          </cell>
          <cell r="M811">
            <v>0</v>
          </cell>
        </row>
        <row r="812">
          <cell r="L812">
            <v>0</v>
          </cell>
          <cell r="M812">
            <v>0</v>
          </cell>
        </row>
        <row r="813">
          <cell r="L813">
            <v>0</v>
          </cell>
          <cell r="M813">
            <v>0</v>
          </cell>
        </row>
        <row r="814">
          <cell r="L814">
            <v>0</v>
          </cell>
          <cell r="M814">
            <v>0</v>
          </cell>
        </row>
        <row r="815">
          <cell r="L815">
            <v>0</v>
          </cell>
          <cell r="M815">
            <v>0</v>
          </cell>
        </row>
        <row r="816">
          <cell r="L816">
            <v>0</v>
          </cell>
          <cell r="M816">
            <v>0</v>
          </cell>
        </row>
        <row r="817">
          <cell r="L817">
            <v>0</v>
          </cell>
          <cell r="M817">
            <v>0</v>
          </cell>
        </row>
        <row r="818">
          <cell r="L818">
            <v>0</v>
          </cell>
          <cell r="M818">
            <v>0</v>
          </cell>
        </row>
        <row r="819">
          <cell r="L819">
            <v>0</v>
          </cell>
          <cell r="M819">
            <v>0</v>
          </cell>
        </row>
        <row r="820">
          <cell r="L820">
            <v>0</v>
          </cell>
          <cell r="M820">
            <v>0</v>
          </cell>
        </row>
        <row r="821">
          <cell r="L821">
            <v>0</v>
          </cell>
          <cell r="M821">
            <v>0</v>
          </cell>
        </row>
        <row r="822">
          <cell r="L822">
            <v>0</v>
          </cell>
          <cell r="M822">
            <v>0</v>
          </cell>
        </row>
        <row r="823">
          <cell r="L823">
            <v>0</v>
          </cell>
          <cell r="M823">
            <v>0</v>
          </cell>
        </row>
        <row r="824">
          <cell r="L824">
            <v>0</v>
          </cell>
          <cell r="M824">
            <v>0</v>
          </cell>
        </row>
        <row r="825">
          <cell r="L825">
            <v>0</v>
          </cell>
          <cell r="M825">
            <v>0</v>
          </cell>
        </row>
        <row r="826">
          <cell r="L826">
            <v>0</v>
          </cell>
          <cell r="M826">
            <v>0</v>
          </cell>
        </row>
        <row r="827">
          <cell r="L827">
            <v>0</v>
          </cell>
          <cell r="M827">
            <v>0</v>
          </cell>
        </row>
        <row r="828">
          <cell r="L828">
            <v>0</v>
          </cell>
          <cell r="M828">
            <v>0</v>
          </cell>
        </row>
        <row r="829">
          <cell r="L829">
            <v>0</v>
          </cell>
          <cell r="M829">
            <v>0</v>
          </cell>
        </row>
        <row r="830">
          <cell r="L830">
            <v>0</v>
          </cell>
          <cell r="M830">
            <v>0</v>
          </cell>
        </row>
        <row r="831">
          <cell r="L831">
            <v>0</v>
          </cell>
          <cell r="M831">
            <v>0</v>
          </cell>
        </row>
        <row r="832">
          <cell r="L832">
            <v>0</v>
          </cell>
          <cell r="M832">
            <v>0</v>
          </cell>
        </row>
        <row r="833">
          <cell r="L833">
            <v>0</v>
          </cell>
          <cell r="M833">
            <v>0</v>
          </cell>
        </row>
        <row r="834">
          <cell r="L834">
            <v>0</v>
          </cell>
          <cell r="M834">
            <v>0</v>
          </cell>
        </row>
        <row r="835">
          <cell r="L835">
            <v>0</v>
          </cell>
          <cell r="M835">
            <v>0</v>
          </cell>
        </row>
        <row r="836">
          <cell r="L836">
            <v>0</v>
          </cell>
          <cell r="M836">
            <v>0</v>
          </cell>
        </row>
        <row r="837">
          <cell r="L837">
            <v>0</v>
          </cell>
          <cell r="M837">
            <v>0</v>
          </cell>
        </row>
        <row r="838">
          <cell r="L838">
            <v>0</v>
          </cell>
          <cell r="M838">
            <v>0</v>
          </cell>
        </row>
        <row r="839">
          <cell r="L839">
            <v>0</v>
          </cell>
          <cell r="M839">
            <v>0</v>
          </cell>
        </row>
        <row r="840">
          <cell r="L840">
            <v>0</v>
          </cell>
          <cell r="M840">
            <v>0</v>
          </cell>
        </row>
        <row r="841">
          <cell r="L841">
            <v>0</v>
          </cell>
          <cell r="M841">
            <v>0</v>
          </cell>
        </row>
        <row r="842">
          <cell r="L842">
            <v>0</v>
          </cell>
          <cell r="M842">
            <v>0</v>
          </cell>
        </row>
        <row r="843">
          <cell r="L843">
            <v>0</v>
          </cell>
          <cell r="M843">
            <v>0</v>
          </cell>
        </row>
        <row r="844">
          <cell r="L844">
            <v>0</v>
          </cell>
          <cell r="M844">
            <v>0</v>
          </cell>
        </row>
        <row r="845">
          <cell r="L845">
            <v>0</v>
          </cell>
          <cell r="M845">
            <v>0</v>
          </cell>
        </row>
        <row r="846">
          <cell r="L846">
            <v>0</v>
          </cell>
          <cell r="M846">
            <v>0</v>
          </cell>
        </row>
        <row r="847">
          <cell r="L847">
            <v>0</v>
          </cell>
          <cell r="M847">
            <v>0</v>
          </cell>
        </row>
        <row r="848">
          <cell r="L848">
            <v>0</v>
          </cell>
          <cell r="M848">
            <v>0</v>
          </cell>
        </row>
        <row r="849">
          <cell r="L849">
            <v>0</v>
          </cell>
          <cell r="M849">
            <v>0</v>
          </cell>
        </row>
        <row r="850">
          <cell r="L850">
            <v>0</v>
          </cell>
          <cell r="M850">
            <v>0</v>
          </cell>
        </row>
        <row r="851">
          <cell r="L851">
            <v>0</v>
          </cell>
          <cell r="M851">
            <v>0</v>
          </cell>
        </row>
        <row r="852">
          <cell r="L852">
            <v>0</v>
          </cell>
          <cell r="M852">
            <v>0</v>
          </cell>
        </row>
        <row r="853">
          <cell r="L853">
            <v>0</v>
          </cell>
          <cell r="M853">
            <v>0</v>
          </cell>
        </row>
        <row r="854">
          <cell r="L854">
            <v>0</v>
          </cell>
          <cell r="M854">
            <v>0</v>
          </cell>
        </row>
        <row r="855">
          <cell r="L855">
            <v>0</v>
          </cell>
          <cell r="M855">
            <v>0</v>
          </cell>
        </row>
        <row r="856">
          <cell r="L856">
            <v>0</v>
          </cell>
          <cell r="M856">
            <v>0</v>
          </cell>
        </row>
        <row r="857">
          <cell r="L857">
            <v>0</v>
          </cell>
          <cell r="M857">
            <v>0</v>
          </cell>
        </row>
        <row r="858">
          <cell r="L858">
            <v>0</v>
          </cell>
          <cell r="M858">
            <v>0</v>
          </cell>
        </row>
        <row r="859">
          <cell r="L859">
            <v>0</v>
          </cell>
          <cell r="M859">
            <v>0</v>
          </cell>
        </row>
        <row r="860">
          <cell r="L860">
            <v>0</v>
          </cell>
          <cell r="M860">
            <v>0</v>
          </cell>
        </row>
        <row r="861">
          <cell r="L861">
            <v>0</v>
          </cell>
          <cell r="M861">
            <v>0</v>
          </cell>
        </row>
        <row r="862">
          <cell r="L862">
            <v>0</v>
          </cell>
          <cell r="M862">
            <v>0</v>
          </cell>
        </row>
        <row r="863">
          <cell r="L863">
            <v>0</v>
          </cell>
          <cell r="M863">
            <v>0</v>
          </cell>
        </row>
        <row r="864">
          <cell r="L864">
            <v>0</v>
          </cell>
          <cell r="M864">
            <v>0</v>
          </cell>
        </row>
        <row r="865">
          <cell r="L865">
            <v>0</v>
          </cell>
          <cell r="M865">
            <v>0</v>
          </cell>
        </row>
        <row r="866">
          <cell r="L866">
            <v>0</v>
          </cell>
          <cell r="M866">
            <v>0</v>
          </cell>
        </row>
        <row r="867">
          <cell r="L867">
            <v>0</v>
          </cell>
          <cell r="M867">
            <v>0</v>
          </cell>
        </row>
        <row r="868">
          <cell r="L868">
            <v>0</v>
          </cell>
          <cell r="M868">
            <v>0</v>
          </cell>
        </row>
        <row r="869">
          <cell r="L869">
            <v>0</v>
          </cell>
          <cell r="M869">
            <v>0</v>
          </cell>
        </row>
        <row r="870">
          <cell r="L870">
            <v>0</v>
          </cell>
          <cell r="M870">
            <v>0</v>
          </cell>
        </row>
        <row r="871">
          <cell r="L871">
            <v>0</v>
          </cell>
          <cell r="M871">
            <v>0</v>
          </cell>
        </row>
        <row r="872">
          <cell r="L872">
            <v>0</v>
          </cell>
          <cell r="M872">
            <v>0</v>
          </cell>
        </row>
        <row r="873">
          <cell r="L873">
            <v>0</v>
          </cell>
          <cell r="M873">
            <v>0</v>
          </cell>
        </row>
        <row r="874">
          <cell r="L874">
            <v>0</v>
          </cell>
          <cell r="M874">
            <v>0</v>
          </cell>
        </row>
        <row r="875">
          <cell r="L875">
            <v>0</v>
          </cell>
          <cell r="M875">
            <v>0</v>
          </cell>
        </row>
        <row r="876">
          <cell r="L876">
            <v>0</v>
          </cell>
          <cell r="M876">
            <v>0</v>
          </cell>
        </row>
        <row r="877">
          <cell r="L877">
            <v>0</v>
          </cell>
          <cell r="M877">
            <v>0</v>
          </cell>
        </row>
        <row r="878">
          <cell r="L878">
            <v>0</v>
          </cell>
          <cell r="M878">
            <v>0</v>
          </cell>
        </row>
        <row r="879">
          <cell r="L879">
            <v>0</v>
          </cell>
          <cell r="M879">
            <v>0</v>
          </cell>
        </row>
        <row r="880">
          <cell r="L880">
            <v>0</v>
          </cell>
          <cell r="M880">
            <v>0</v>
          </cell>
        </row>
        <row r="881">
          <cell r="L881">
            <v>0</v>
          </cell>
          <cell r="M881">
            <v>0</v>
          </cell>
        </row>
        <row r="882">
          <cell r="L882">
            <v>0</v>
          </cell>
          <cell r="M882">
            <v>0</v>
          </cell>
        </row>
        <row r="883">
          <cell r="L883">
            <v>0</v>
          </cell>
          <cell r="M883">
            <v>0</v>
          </cell>
        </row>
        <row r="884">
          <cell r="L884">
            <v>0</v>
          </cell>
          <cell r="M884">
            <v>0</v>
          </cell>
        </row>
        <row r="885">
          <cell r="L885">
            <v>0</v>
          </cell>
          <cell r="M885">
            <v>0</v>
          </cell>
        </row>
        <row r="886">
          <cell r="L886">
            <v>0</v>
          </cell>
          <cell r="M886">
            <v>0</v>
          </cell>
        </row>
        <row r="887">
          <cell r="L887">
            <v>0</v>
          </cell>
          <cell r="M887">
            <v>0</v>
          </cell>
        </row>
        <row r="888">
          <cell r="L888">
            <v>0</v>
          </cell>
          <cell r="M888">
            <v>0</v>
          </cell>
        </row>
        <row r="889">
          <cell r="L889">
            <v>0</v>
          </cell>
          <cell r="M889">
            <v>0</v>
          </cell>
        </row>
        <row r="890">
          <cell r="L890">
            <v>0</v>
          </cell>
          <cell r="M890">
            <v>0</v>
          </cell>
        </row>
        <row r="891">
          <cell r="L891">
            <v>0</v>
          </cell>
          <cell r="M891">
            <v>0</v>
          </cell>
        </row>
        <row r="892">
          <cell r="L892">
            <v>0</v>
          </cell>
          <cell r="M892">
            <v>0</v>
          </cell>
        </row>
        <row r="893">
          <cell r="L893">
            <v>0</v>
          </cell>
          <cell r="M893">
            <v>0</v>
          </cell>
        </row>
        <row r="894">
          <cell r="L894">
            <v>0</v>
          </cell>
          <cell r="M894">
            <v>0</v>
          </cell>
        </row>
        <row r="895">
          <cell r="L895">
            <v>0</v>
          </cell>
          <cell r="M895">
            <v>0</v>
          </cell>
        </row>
        <row r="896">
          <cell r="L896">
            <v>0</v>
          </cell>
          <cell r="M896">
            <v>0</v>
          </cell>
        </row>
        <row r="897">
          <cell r="L897">
            <v>0</v>
          </cell>
          <cell r="M897">
            <v>0</v>
          </cell>
        </row>
        <row r="898">
          <cell r="L898">
            <v>0</v>
          </cell>
          <cell r="M898">
            <v>0</v>
          </cell>
        </row>
        <row r="899">
          <cell r="L899">
            <v>0</v>
          </cell>
          <cell r="M899">
            <v>0</v>
          </cell>
        </row>
        <row r="900">
          <cell r="L900">
            <v>0</v>
          </cell>
          <cell r="M900">
            <v>0</v>
          </cell>
        </row>
        <row r="901">
          <cell r="L901">
            <v>0</v>
          </cell>
          <cell r="M901">
            <v>0</v>
          </cell>
        </row>
        <row r="902">
          <cell r="L902">
            <v>0</v>
          </cell>
          <cell r="M902">
            <v>0</v>
          </cell>
        </row>
        <row r="903">
          <cell r="L903">
            <v>0</v>
          </cell>
          <cell r="M903">
            <v>0</v>
          </cell>
        </row>
        <row r="904">
          <cell r="L904">
            <v>0</v>
          </cell>
          <cell r="M904">
            <v>0</v>
          </cell>
        </row>
        <row r="905">
          <cell r="L905">
            <v>0</v>
          </cell>
          <cell r="M905">
            <v>0</v>
          </cell>
        </row>
        <row r="906">
          <cell r="L906">
            <v>0</v>
          </cell>
          <cell r="M906">
            <v>0</v>
          </cell>
        </row>
        <row r="907">
          <cell r="L907">
            <v>0</v>
          </cell>
          <cell r="M907">
            <v>0</v>
          </cell>
        </row>
        <row r="908">
          <cell r="L908">
            <v>0</v>
          </cell>
          <cell r="M908">
            <v>0</v>
          </cell>
        </row>
        <row r="909">
          <cell r="L909">
            <v>0</v>
          </cell>
          <cell r="M909">
            <v>0</v>
          </cell>
        </row>
        <row r="910">
          <cell r="L910">
            <v>0</v>
          </cell>
          <cell r="M910">
            <v>0</v>
          </cell>
        </row>
        <row r="911">
          <cell r="L911">
            <v>0</v>
          </cell>
          <cell r="M911">
            <v>0</v>
          </cell>
        </row>
        <row r="912">
          <cell r="L912">
            <v>0</v>
          </cell>
          <cell r="M912">
            <v>0</v>
          </cell>
        </row>
        <row r="913">
          <cell r="L913">
            <v>0</v>
          </cell>
          <cell r="M913">
            <v>0</v>
          </cell>
        </row>
        <row r="914">
          <cell r="L914">
            <v>0</v>
          </cell>
          <cell r="M914">
            <v>0</v>
          </cell>
        </row>
        <row r="915">
          <cell r="L915">
            <v>0</v>
          </cell>
          <cell r="M915">
            <v>0</v>
          </cell>
        </row>
        <row r="916">
          <cell r="L916">
            <v>0</v>
          </cell>
          <cell r="M916">
            <v>0</v>
          </cell>
        </row>
        <row r="917">
          <cell r="L917">
            <v>0</v>
          </cell>
          <cell r="M917">
            <v>0</v>
          </cell>
        </row>
        <row r="918">
          <cell r="L918">
            <v>0</v>
          </cell>
          <cell r="M918">
            <v>0</v>
          </cell>
        </row>
        <row r="919">
          <cell r="L919">
            <v>0</v>
          </cell>
          <cell r="M919">
            <v>0</v>
          </cell>
        </row>
        <row r="920">
          <cell r="L920">
            <v>0</v>
          </cell>
          <cell r="M920">
            <v>0</v>
          </cell>
        </row>
        <row r="921">
          <cell r="L921">
            <v>0</v>
          </cell>
          <cell r="M921">
            <v>0</v>
          </cell>
        </row>
        <row r="922">
          <cell r="L922">
            <v>0</v>
          </cell>
          <cell r="M922">
            <v>0</v>
          </cell>
        </row>
        <row r="923">
          <cell r="L923">
            <v>0</v>
          </cell>
          <cell r="M923">
            <v>0</v>
          </cell>
        </row>
        <row r="924">
          <cell r="L924">
            <v>0</v>
          </cell>
          <cell r="M924">
            <v>0</v>
          </cell>
        </row>
        <row r="925">
          <cell r="L925">
            <v>0</v>
          </cell>
          <cell r="M925">
            <v>0</v>
          </cell>
        </row>
        <row r="926">
          <cell r="L926">
            <v>0</v>
          </cell>
          <cell r="M926">
            <v>0</v>
          </cell>
        </row>
        <row r="927">
          <cell r="L927">
            <v>0</v>
          </cell>
          <cell r="M927">
            <v>0</v>
          </cell>
        </row>
        <row r="928">
          <cell r="L928">
            <v>0</v>
          </cell>
          <cell r="M928">
            <v>0</v>
          </cell>
        </row>
        <row r="929">
          <cell r="L929">
            <v>0</v>
          </cell>
          <cell r="M929">
            <v>0</v>
          </cell>
        </row>
        <row r="930">
          <cell r="L930">
            <v>0</v>
          </cell>
          <cell r="M930">
            <v>0</v>
          </cell>
        </row>
        <row r="931">
          <cell r="L931">
            <v>0</v>
          </cell>
          <cell r="M931">
            <v>0</v>
          </cell>
        </row>
        <row r="932">
          <cell r="L932">
            <v>0</v>
          </cell>
          <cell r="M932">
            <v>0</v>
          </cell>
        </row>
        <row r="933">
          <cell r="L933">
            <v>0</v>
          </cell>
          <cell r="M933">
            <v>0</v>
          </cell>
        </row>
        <row r="934">
          <cell r="L934">
            <v>0</v>
          </cell>
          <cell r="M934">
            <v>0</v>
          </cell>
        </row>
        <row r="935">
          <cell r="L935">
            <v>0</v>
          </cell>
          <cell r="M935">
            <v>0</v>
          </cell>
        </row>
        <row r="936">
          <cell r="L936">
            <v>0</v>
          </cell>
          <cell r="M936">
            <v>0</v>
          </cell>
        </row>
        <row r="937">
          <cell r="L937">
            <v>0</v>
          </cell>
          <cell r="M937">
            <v>0</v>
          </cell>
        </row>
        <row r="938">
          <cell r="L938">
            <v>0</v>
          </cell>
          <cell r="M938">
            <v>0</v>
          </cell>
        </row>
        <row r="939">
          <cell r="L939">
            <v>0</v>
          </cell>
          <cell r="M939">
            <v>0</v>
          </cell>
        </row>
        <row r="940">
          <cell r="L940">
            <v>0</v>
          </cell>
          <cell r="M940">
            <v>0</v>
          </cell>
        </row>
        <row r="941">
          <cell r="L941">
            <v>0</v>
          </cell>
          <cell r="M941">
            <v>0</v>
          </cell>
        </row>
        <row r="942">
          <cell r="L942">
            <v>0</v>
          </cell>
          <cell r="M942">
            <v>0</v>
          </cell>
        </row>
        <row r="943">
          <cell r="L943">
            <v>0</v>
          </cell>
          <cell r="M943">
            <v>0</v>
          </cell>
        </row>
        <row r="944">
          <cell r="L944">
            <v>0</v>
          </cell>
          <cell r="M944">
            <v>0</v>
          </cell>
        </row>
        <row r="945">
          <cell r="L945">
            <v>0</v>
          </cell>
          <cell r="M945">
            <v>0</v>
          </cell>
        </row>
        <row r="946">
          <cell r="L946">
            <v>0</v>
          </cell>
          <cell r="M946">
            <v>0</v>
          </cell>
        </row>
        <row r="947">
          <cell r="L947">
            <v>0</v>
          </cell>
          <cell r="M947">
            <v>0</v>
          </cell>
        </row>
        <row r="948">
          <cell r="L948">
            <v>0</v>
          </cell>
          <cell r="M948">
            <v>0</v>
          </cell>
        </row>
        <row r="949">
          <cell r="L949">
            <v>0</v>
          </cell>
          <cell r="M949">
            <v>0</v>
          </cell>
        </row>
        <row r="950">
          <cell r="L950">
            <v>0</v>
          </cell>
          <cell r="M950">
            <v>0</v>
          </cell>
        </row>
        <row r="951">
          <cell r="L951">
            <v>0</v>
          </cell>
          <cell r="M951">
            <v>0</v>
          </cell>
        </row>
        <row r="952">
          <cell r="L952">
            <v>0</v>
          </cell>
          <cell r="M952">
            <v>0</v>
          </cell>
        </row>
        <row r="953">
          <cell r="L953">
            <v>0</v>
          </cell>
          <cell r="M953">
            <v>0</v>
          </cell>
        </row>
        <row r="954">
          <cell r="L954">
            <v>0</v>
          </cell>
          <cell r="M954">
            <v>0</v>
          </cell>
        </row>
        <row r="955">
          <cell r="L955">
            <v>0</v>
          </cell>
          <cell r="M955">
            <v>0</v>
          </cell>
        </row>
        <row r="956">
          <cell r="L956">
            <v>0</v>
          </cell>
          <cell r="M956">
            <v>0</v>
          </cell>
        </row>
        <row r="957">
          <cell r="L957">
            <v>0</v>
          </cell>
          <cell r="M957">
            <v>0</v>
          </cell>
        </row>
        <row r="958">
          <cell r="L958">
            <v>0</v>
          </cell>
          <cell r="M958">
            <v>0</v>
          </cell>
        </row>
        <row r="959">
          <cell r="L959">
            <v>0</v>
          </cell>
          <cell r="M959">
            <v>0</v>
          </cell>
        </row>
        <row r="960">
          <cell r="L960">
            <v>0</v>
          </cell>
          <cell r="M960">
            <v>0</v>
          </cell>
        </row>
        <row r="961">
          <cell r="L961">
            <v>0</v>
          </cell>
          <cell r="M961">
            <v>0</v>
          </cell>
        </row>
        <row r="962">
          <cell r="L962">
            <v>0</v>
          </cell>
          <cell r="M962">
            <v>0</v>
          </cell>
        </row>
        <row r="963">
          <cell r="L963">
            <v>0</v>
          </cell>
          <cell r="M963">
            <v>0</v>
          </cell>
        </row>
        <row r="964">
          <cell r="L964">
            <v>0</v>
          </cell>
          <cell r="M964">
            <v>0</v>
          </cell>
        </row>
        <row r="965">
          <cell r="L965">
            <v>0</v>
          </cell>
          <cell r="M965">
            <v>0</v>
          </cell>
        </row>
        <row r="966">
          <cell r="L966">
            <v>0</v>
          </cell>
          <cell r="M966">
            <v>0</v>
          </cell>
        </row>
        <row r="967">
          <cell r="L967">
            <v>0</v>
          </cell>
          <cell r="M967">
            <v>0</v>
          </cell>
        </row>
        <row r="968">
          <cell r="L968">
            <v>0</v>
          </cell>
          <cell r="M968">
            <v>0</v>
          </cell>
        </row>
        <row r="969">
          <cell r="L969">
            <v>0</v>
          </cell>
          <cell r="M969">
            <v>0</v>
          </cell>
        </row>
        <row r="970">
          <cell r="L970">
            <v>0</v>
          </cell>
          <cell r="M970">
            <v>0</v>
          </cell>
        </row>
        <row r="971">
          <cell r="L971">
            <v>0</v>
          </cell>
          <cell r="M971">
            <v>0</v>
          </cell>
        </row>
        <row r="972">
          <cell r="L972">
            <v>0</v>
          </cell>
          <cell r="M972">
            <v>0</v>
          </cell>
        </row>
        <row r="973">
          <cell r="L973">
            <v>0</v>
          </cell>
          <cell r="M973">
            <v>0</v>
          </cell>
        </row>
        <row r="974">
          <cell r="L974">
            <v>0</v>
          </cell>
          <cell r="M974">
            <v>0</v>
          </cell>
        </row>
        <row r="975">
          <cell r="L975">
            <v>0</v>
          </cell>
          <cell r="M975">
            <v>0</v>
          </cell>
        </row>
        <row r="976">
          <cell r="L976">
            <v>0</v>
          </cell>
          <cell r="M976">
            <v>0</v>
          </cell>
        </row>
        <row r="977">
          <cell r="L977">
            <v>0</v>
          </cell>
          <cell r="M977">
            <v>0</v>
          </cell>
        </row>
        <row r="978">
          <cell r="L978">
            <v>0</v>
          </cell>
          <cell r="M978">
            <v>0</v>
          </cell>
        </row>
      </sheetData>
      <sheetData sheetId="1" refreshError="1"/>
      <sheetData sheetId="2"/>
      <sheetData sheetId="3">
        <row r="8">
          <cell r="E8" t="str">
            <v>T26000050</v>
          </cell>
          <cell r="AP8">
            <v>0</v>
          </cell>
          <cell r="AQ8">
            <v>0</v>
          </cell>
          <cell r="AV8">
            <v>0</v>
          </cell>
        </row>
        <row r="9">
          <cell r="E9" t="str">
            <v>B26001728</v>
          </cell>
          <cell r="AP9">
            <v>0</v>
          </cell>
          <cell r="AQ9">
            <v>0</v>
          </cell>
          <cell r="AV9">
            <v>0</v>
          </cell>
        </row>
        <row r="10">
          <cell r="E10" t="str">
            <v>B26001402</v>
          </cell>
          <cell r="AP10">
            <v>0</v>
          </cell>
          <cell r="AQ10">
            <v>0</v>
          </cell>
          <cell r="AV10">
            <v>0</v>
          </cell>
        </row>
        <row r="11">
          <cell r="E11" t="str">
            <v>D26000735</v>
          </cell>
          <cell r="AP11">
            <v>0</v>
          </cell>
          <cell r="AQ11">
            <v>0</v>
          </cell>
          <cell r="AV11">
            <v>0</v>
          </cell>
        </row>
        <row r="12">
          <cell r="E12" t="str">
            <v>D26001257</v>
          </cell>
          <cell r="AP12">
            <v>0</v>
          </cell>
          <cell r="AQ12">
            <v>0</v>
          </cell>
          <cell r="AV12">
            <v>0</v>
          </cell>
        </row>
        <row r="13">
          <cell r="E13" t="str">
            <v>D26001258</v>
          </cell>
          <cell r="AP13">
            <v>0</v>
          </cell>
          <cell r="AQ13">
            <v>0</v>
          </cell>
          <cell r="AV13">
            <v>0</v>
          </cell>
        </row>
        <row r="14">
          <cell r="E14" t="str">
            <v>B26001582</v>
          </cell>
          <cell r="AP14">
            <v>0</v>
          </cell>
          <cell r="AQ14">
            <v>0</v>
          </cell>
          <cell r="AV14">
            <v>0</v>
          </cell>
        </row>
        <row r="15">
          <cell r="E15" t="str">
            <v>B26001651</v>
          </cell>
          <cell r="AP15">
            <v>0</v>
          </cell>
          <cell r="AQ15">
            <v>0</v>
          </cell>
          <cell r="AV15">
            <v>0</v>
          </cell>
        </row>
        <row r="16">
          <cell r="E16" t="str">
            <v>B26002060</v>
          </cell>
          <cell r="AP16">
            <v>0</v>
          </cell>
          <cell r="AQ16">
            <v>0</v>
          </cell>
          <cell r="AV16">
            <v>0</v>
          </cell>
        </row>
        <row r="17">
          <cell r="E17" t="str">
            <v>D26002172</v>
          </cell>
          <cell r="AP17">
            <v>0</v>
          </cell>
          <cell r="AQ17">
            <v>0</v>
          </cell>
          <cell r="AV17">
            <v>0</v>
          </cell>
        </row>
        <row r="18">
          <cell r="E18" t="str">
            <v>B26002962</v>
          </cell>
          <cell r="AP18">
            <v>0</v>
          </cell>
          <cell r="AQ18">
            <v>0</v>
          </cell>
          <cell r="AV18">
            <v>0</v>
          </cell>
        </row>
        <row r="19">
          <cell r="E19" t="str">
            <v>D25013604</v>
          </cell>
          <cell r="AP19">
            <v>0</v>
          </cell>
          <cell r="AQ19">
            <v>0</v>
          </cell>
          <cell r="AV19">
            <v>0</v>
          </cell>
        </row>
        <row r="20">
          <cell r="E20" t="str">
            <v>B26000149</v>
          </cell>
          <cell r="AP20">
            <v>0</v>
          </cell>
          <cell r="AQ20">
            <v>0</v>
          </cell>
          <cell r="AV20">
            <v>0</v>
          </cell>
        </row>
        <row r="21">
          <cell r="E21" t="str">
            <v>D26001878</v>
          </cell>
          <cell r="AP21">
            <v>0</v>
          </cell>
          <cell r="AQ21">
            <v>0</v>
          </cell>
          <cell r="AV21">
            <v>0</v>
          </cell>
        </row>
        <row r="22">
          <cell r="E22" t="str">
            <v>B26001775</v>
          </cell>
          <cell r="AP22">
            <v>0</v>
          </cell>
          <cell r="AQ22">
            <v>0</v>
          </cell>
          <cell r="AV22">
            <v>0</v>
          </cell>
        </row>
        <row r="23">
          <cell r="E23" t="str">
            <v>B26002516</v>
          </cell>
          <cell r="AP23">
            <v>0</v>
          </cell>
          <cell r="AQ23">
            <v>0</v>
          </cell>
          <cell r="AV23">
            <v>0</v>
          </cell>
        </row>
        <row r="24">
          <cell r="E24" t="str">
            <v>B26002892</v>
          </cell>
          <cell r="AP24">
            <v>0</v>
          </cell>
          <cell r="AQ24">
            <v>0</v>
          </cell>
          <cell r="AV24">
            <v>0</v>
          </cell>
        </row>
        <row r="25">
          <cell r="E25" t="str">
            <v>D26003118</v>
          </cell>
          <cell r="AP25">
            <v>0</v>
          </cell>
          <cell r="AQ25">
            <v>0</v>
          </cell>
          <cell r="AV25">
            <v>0</v>
          </cell>
        </row>
        <row r="26">
          <cell r="E26" t="str">
            <v>D26003305</v>
          </cell>
          <cell r="AP26">
            <v>0</v>
          </cell>
          <cell r="AQ26">
            <v>0</v>
          </cell>
          <cell r="AV26">
            <v>0</v>
          </cell>
        </row>
        <row r="27">
          <cell r="E27" t="str">
            <v>B26000698</v>
          </cell>
          <cell r="AP27">
            <v>0</v>
          </cell>
          <cell r="AQ27">
            <v>0</v>
          </cell>
          <cell r="AV27">
            <v>0</v>
          </cell>
        </row>
        <row r="28">
          <cell r="E28" t="str">
            <v>T26000040</v>
          </cell>
          <cell r="AP28">
            <v>0</v>
          </cell>
          <cell r="AQ28">
            <v>0</v>
          </cell>
          <cell r="AV28">
            <v>0</v>
          </cell>
        </row>
        <row r="29">
          <cell r="E29" t="str">
            <v>D26003121</v>
          </cell>
          <cell r="AP29">
            <v>0</v>
          </cell>
          <cell r="AQ29">
            <v>0</v>
          </cell>
          <cell r="AV29">
            <v>0</v>
          </cell>
        </row>
        <row r="30">
          <cell r="E30" t="str">
            <v>T25000266</v>
          </cell>
          <cell r="AP30">
            <v>0</v>
          </cell>
          <cell r="AQ30">
            <v>0</v>
          </cell>
          <cell r="AV30">
            <v>0</v>
          </cell>
        </row>
        <row r="31">
          <cell r="E31" t="str">
            <v>B25013635</v>
          </cell>
          <cell r="AP31">
            <v>0</v>
          </cell>
          <cell r="AQ31">
            <v>0</v>
          </cell>
          <cell r="AV31">
            <v>0</v>
          </cell>
        </row>
        <row r="32">
          <cell r="E32" t="str">
            <v>B25013636</v>
          </cell>
          <cell r="AP32">
            <v>0</v>
          </cell>
          <cell r="AQ32">
            <v>0</v>
          </cell>
          <cell r="AV32">
            <v>0</v>
          </cell>
        </row>
        <row r="33">
          <cell r="E33" t="str">
            <v>D25016962</v>
          </cell>
          <cell r="AP33">
            <v>0</v>
          </cell>
          <cell r="AQ33">
            <v>0</v>
          </cell>
          <cell r="AV33">
            <v>0</v>
          </cell>
        </row>
        <row r="34">
          <cell r="E34" t="str">
            <v>B25016685</v>
          </cell>
          <cell r="AP34">
            <v>0</v>
          </cell>
          <cell r="AQ34">
            <v>0</v>
          </cell>
          <cell r="AV34">
            <v>0</v>
          </cell>
        </row>
        <row r="35">
          <cell r="E35" t="str">
            <v>B26002238</v>
          </cell>
          <cell r="AP35">
            <v>0</v>
          </cell>
          <cell r="AQ35">
            <v>0</v>
          </cell>
          <cell r="AV35">
            <v>0</v>
          </cell>
        </row>
        <row r="36">
          <cell r="E36" t="str">
            <v>B26002239</v>
          </cell>
          <cell r="AP36">
            <v>0</v>
          </cell>
          <cell r="AQ36">
            <v>0</v>
          </cell>
          <cell r="AV36">
            <v>0</v>
          </cell>
        </row>
        <row r="37">
          <cell r="E37" t="str">
            <v>B26002807</v>
          </cell>
          <cell r="AP37">
            <v>0</v>
          </cell>
          <cell r="AQ37">
            <v>0</v>
          </cell>
          <cell r="AV37">
            <v>0</v>
          </cell>
        </row>
        <row r="38">
          <cell r="E38" t="str">
            <v>D26002949</v>
          </cell>
          <cell r="AP38">
            <v>0</v>
          </cell>
          <cell r="AQ38">
            <v>0</v>
          </cell>
          <cell r="AV38">
            <v>0</v>
          </cell>
        </row>
        <row r="39">
          <cell r="E39" t="str">
            <v>T26000221</v>
          </cell>
          <cell r="AP39">
            <v>0</v>
          </cell>
          <cell r="AQ39">
            <v>0</v>
          </cell>
          <cell r="AV39">
            <v>0</v>
          </cell>
        </row>
        <row r="40">
          <cell r="E40" t="str">
            <v>T26000255</v>
          </cell>
          <cell r="AP40">
            <v>0</v>
          </cell>
          <cell r="AQ40">
            <v>0</v>
          </cell>
          <cell r="AV40">
            <v>0</v>
          </cell>
        </row>
        <row r="41">
          <cell r="E41" t="str">
            <v>R25000092</v>
          </cell>
          <cell r="AP41">
            <v>0</v>
          </cell>
          <cell r="AQ41">
            <v>0</v>
          </cell>
          <cell r="AV41">
            <v>0</v>
          </cell>
        </row>
        <row r="42">
          <cell r="E42" t="str">
            <v>D26001073</v>
          </cell>
          <cell r="AP42">
            <v>0</v>
          </cell>
          <cell r="AQ42">
            <v>0</v>
          </cell>
          <cell r="AV42">
            <v>0</v>
          </cell>
        </row>
        <row r="43">
          <cell r="E43" t="str">
            <v>D26001074</v>
          </cell>
          <cell r="AP43">
            <v>0</v>
          </cell>
          <cell r="AQ43">
            <v>0</v>
          </cell>
          <cell r="AV43">
            <v>0</v>
          </cell>
        </row>
        <row r="44">
          <cell r="E44" t="str">
            <v>B25016283</v>
          </cell>
          <cell r="AP44">
            <v>0</v>
          </cell>
          <cell r="AQ44">
            <v>0</v>
          </cell>
          <cell r="AV44">
            <v>0</v>
          </cell>
        </row>
        <row r="45">
          <cell r="E45" t="str">
            <v>B25016284</v>
          </cell>
          <cell r="AP45">
            <v>0</v>
          </cell>
          <cell r="AQ45">
            <v>0</v>
          </cell>
          <cell r="AV45">
            <v>0</v>
          </cell>
        </row>
        <row r="46">
          <cell r="E46" t="str">
            <v>D26001142</v>
          </cell>
          <cell r="AP46">
            <v>0</v>
          </cell>
          <cell r="AQ46">
            <v>0</v>
          </cell>
          <cell r="AV46">
            <v>0</v>
          </cell>
        </row>
        <row r="47">
          <cell r="E47" t="str">
            <v>D26002954</v>
          </cell>
          <cell r="AP47">
            <v>0</v>
          </cell>
          <cell r="AQ47">
            <v>0</v>
          </cell>
          <cell r="AV47">
            <v>0</v>
          </cell>
        </row>
        <row r="48">
          <cell r="E48" t="str">
            <v>D26002955</v>
          </cell>
          <cell r="AP48">
            <v>0</v>
          </cell>
          <cell r="AQ48">
            <v>0</v>
          </cell>
          <cell r="AV48">
            <v>0</v>
          </cell>
        </row>
        <row r="49">
          <cell r="E49" t="str">
            <v>D26002020</v>
          </cell>
          <cell r="AP49">
            <v>0</v>
          </cell>
          <cell r="AQ49">
            <v>0</v>
          </cell>
          <cell r="AV49">
            <v>0</v>
          </cell>
        </row>
        <row r="50">
          <cell r="E50" t="str">
            <v>D26002074</v>
          </cell>
          <cell r="AP50">
            <v>0</v>
          </cell>
          <cell r="AQ50">
            <v>0</v>
          </cell>
          <cell r="AV50">
            <v>0</v>
          </cell>
        </row>
        <row r="51">
          <cell r="E51" t="str">
            <v>D26003212</v>
          </cell>
          <cell r="AP51">
            <v>0</v>
          </cell>
          <cell r="AQ51">
            <v>0</v>
          </cell>
          <cell r="AV51">
            <v>0</v>
          </cell>
        </row>
        <row r="52">
          <cell r="E52" t="str">
            <v>D26002421</v>
          </cell>
          <cell r="AP52">
            <v>0</v>
          </cell>
          <cell r="AQ52">
            <v>0</v>
          </cell>
          <cell r="AV52">
            <v>0</v>
          </cell>
        </row>
        <row r="53">
          <cell r="E53" t="str">
            <v>T26000164</v>
          </cell>
          <cell r="AP53">
            <v>0</v>
          </cell>
          <cell r="AQ53">
            <v>0</v>
          </cell>
          <cell r="AV53">
            <v>0</v>
          </cell>
        </row>
        <row r="54">
          <cell r="E54" t="str">
            <v>D26002777</v>
          </cell>
          <cell r="AP54">
            <v>0</v>
          </cell>
          <cell r="AQ54">
            <v>0</v>
          </cell>
          <cell r="AV54">
            <v>0</v>
          </cell>
        </row>
        <row r="55">
          <cell r="E55" t="str">
            <v>D26002801</v>
          </cell>
          <cell r="AP55">
            <v>0</v>
          </cell>
          <cell r="AQ55">
            <v>0</v>
          </cell>
          <cell r="AV55">
            <v>0</v>
          </cell>
        </row>
        <row r="56">
          <cell r="E56" t="str">
            <v>D26003081</v>
          </cell>
          <cell r="AP56">
            <v>0</v>
          </cell>
          <cell r="AQ56">
            <v>0</v>
          </cell>
          <cell r="AV56">
            <v>0</v>
          </cell>
        </row>
        <row r="57">
          <cell r="E57" t="str">
            <v>D26003101</v>
          </cell>
          <cell r="AP57">
            <v>0</v>
          </cell>
          <cell r="AQ57">
            <v>0</v>
          </cell>
          <cell r="AV57">
            <v>0</v>
          </cell>
        </row>
        <row r="58">
          <cell r="E58" t="str">
            <v>D26003266</v>
          </cell>
          <cell r="AP58">
            <v>0</v>
          </cell>
          <cell r="AQ58">
            <v>0</v>
          </cell>
          <cell r="AV58">
            <v>0</v>
          </cell>
        </row>
        <row r="59">
          <cell r="E59" t="str">
            <v>D26003293</v>
          </cell>
          <cell r="AP59">
            <v>0</v>
          </cell>
          <cell r="AQ59">
            <v>0</v>
          </cell>
          <cell r="AV59">
            <v>0</v>
          </cell>
        </row>
        <row r="60">
          <cell r="E60" t="str">
            <v>D26003294</v>
          </cell>
          <cell r="AP60">
            <v>0</v>
          </cell>
          <cell r="AQ60">
            <v>0</v>
          </cell>
          <cell r="AV60">
            <v>0</v>
          </cell>
        </row>
        <row r="61">
          <cell r="E61" t="str">
            <v>D26000375</v>
          </cell>
          <cell r="AP61">
            <v>0</v>
          </cell>
          <cell r="AQ61">
            <v>0</v>
          </cell>
          <cell r="AV61">
            <v>0</v>
          </cell>
        </row>
        <row r="62">
          <cell r="E62" t="str">
            <v>B26001258</v>
          </cell>
          <cell r="AP62">
            <v>0</v>
          </cell>
          <cell r="AQ62">
            <v>0</v>
          </cell>
          <cell r="AV62">
            <v>0</v>
          </cell>
        </row>
        <row r="63">
          <cell r="E63" t="str">
            <v>B26001658</v>
          </cell>
          <cell r="AP63">
            <v>0</v>
          </cell>
          <cell r="AQ63">
            <v>0</v>
          </cell>
          <cell r="AV63">
            <v>0</v>
          </cell>
        </row>
        <row r="64">
          <cell r="E64" t="str">
            <v>D26001772</v>
          </cell>
          <cell r="AP64">
            <v>0</v>
          </cell>
          <cell r="AQ64">
            <v>0</v>
          </cell>
          <cell r="AV64">
            <v>0</v>
          </cell>
        </row>
        <row r="65">
          <cell r="E65" t="str">
            <v>B26001815</v>
          </cell>
          <cell r="AP65">
            <v>0</v>
          </cell>
          <cell r="AQ65">
            <v>0</v>
          </cell>
          <cell r="AV65">
            <v>0</v>
          </cell>
        </row>
        <row r="66">
          <cell r="E66" t="str">
            <v>B26002217</v>
          </cell>
          <cell r="AP66">
            <v>0</v>
          </cell>
          <cell r="AQ66">
            <v>0</v>
          </cell>
          <cell r="AV66">
            <v>0</v>
          </cell>
        </row>
        <row r="67">
          <cell r="E67" t="str">
            <v>B26003086</v>
          </cell>
          <cell r="AP67">
            <v>0</v>
          </cell>
          <cell r="AQ67">
            <v>0</v>
          </cell>
          <cell r="AV67">
            <v>0</v>
          </cell>
        </row>
        <row r="68">
          <cell r="E68" t="str">
            <v>B26002420</v>
          </cell>
          <cell r="AP68">
            <v>0</v>
          </cell>
          <cell r="AQ68">
            <v>0</v>
          </cell>
          <cell r="AV68">
            <v>0</v>
          </cell>
        </row>
        <row r="69">
          <cell r="E69" t="str">
            <v>D26002694</v>
          </cell>
          <cell r="AP69">
            <v>0</v>
          </cell>
          <cell r="AQ69">
            <v>0</v>
          </cell>
          <cell r="AV69">
            <v>0</v>
          </cell>
        </row>
        <row r="70">
          <cell r="E70" t="str">
            <v>B26002540</v>
          </cell>
          <cell r="AP70">
            <v>0</v>
          </cell>
          <cell r="AQ70">
            <v>0</v>
          </cell>
          <cell r="AV70">
            <v>0</v>
          </cell>
        </row>
        <row r="71">
          <cell r="E71" t="str">
            <v>D25016973</v>
          </cell>
          <cell r="AP71">
            <v>0</v>
          </cell>
          <cell r="AQ71">
            <v>0</v>
          </cell>
          <cell r="AV71">
            <v>0</v>
          </cell>
        </row>
        <row r="72">
          <cell r="E72" t="str">
            <v>D25018878</v>
          </cell>
          <cell r="AP72">
            <v>0</v>
          </cell>
          <cell r="AQ72">
            <v>0</v>
          </cell>
          <cell r="AV72">
            <v>0</v>
          </cell>
        </row>
        <row r="73">
          <cell r="E73" t="str">
            <v>T25001869</v>
          </cell>
          <cell r="AP73">
            <v>0</v>
          </cell>
          <cell r="AQ73">
            <v>0</v>
          </cell>
          <cell r="AV73">
            <v>0</v>
          </cell>
        </row>
        <row r="74">
          <cell r="E74" t="str">
            <v>D26000099</v>
          </cell>
          <cell r="AP74">
            <v>0</v>
          </cell>
          <cell r="AQ74">
            <v>0</v>
          </cell>
          <cell r="AV74">
            <v>0</v>
          </cell>
        </row>
        <row r="75">
          <cell r="E75" t="str">
            <v>D26001690</v>
          </cell>
          <cell r="AP75">
            <v>0</v>
          </cell>
          <cell r="AQ75">
            <v>0</v>
          </cell>
          <cell r="AV75">
            <v>0</v>
          </cell>
        </row>
        <row r="76">
          <cell r="E76" t="str">
            <v>B26001707</v>
          </cell>
          <cell r="AP76">
            <v>0</v>
          </cell>
          <cell r="AQ76">
            <v>0</v>
          </cell>
          <cell r="AV76">
            <v>0</v>
          </cell>
        </row>
        <row r="77">
          <cell r="E77" t="str">
            <v>B26001722</v>
          </cell>
          <cell r="AP77">
            <v>0</v>
          </cell>
          <cell r="AQ77">
            <v>0</v>
          </cell>
          <cell r="AV77">
            <v>0</v>
          </cell>
        </row>
        <row r="78">
          <cell r="E78" t="str">
            <v>B26001797</v>
          </cell>
          <cell r="AP78">
            <v>0</v>
          </cell>
          <cell r="AQ78">
            <v>0</v>
          </cell>
          <cell r="AV78">
            <v>0</v>
          </cell>
        </row>
        <row r="79">
          <cell r="E79" t="str">
            <v>B26001992</v>
          </cell>
          <cell r="AP79">
            <v>0</v>
          </cell>
          <cell r="AQ79">
            <v>0</v>
          </cell>
          <cell r="AV79">
            <v>0</v>
          </cell>
        </row>
        <row r="80">
          <cell r="E80" t="str">
            <v>B26002223</v>
          </cell>
          <cell r="AP80">
            <v>0</v>
          </cell>
          <cell r="AQ80">
            <v>0</v>
          </cell>
          <cell r="AV80">
            <v>0</v>
          </cell>
        </row>
        <row r="81">
          <cell r="E81" t="str">
            <v>B26002370</v>
          </cell>
          <cell r="AP81">
            <v>0</v>
          </cell>
          <cell r="AQ81">
            <v>0</v>
          </cell>
          <cell r="AV81">
            <v>0</v>
          </cell>
        </row>
        <row r="82">
          <cell r="E82" t="str">
            <v>B26002522</v>
          </cell>
          <cell r="AP82">
            <v>0</v>
          </cell>
          <cell r="AQ82">
            <v>0</v>
          </cell>
          <cell r="AV82">
            <v>0</v>
          </cell>
        </row>
        <row r="83">
          <cell r="E83" t="str">
            <v>N26000025</v>
          </cell>
          <cell r="AP83">
            <v>0</v>
          </cell>
          <cell r="AQ83">
            <v>0</v>
          </cell>
          <cell r="AV83">
            <v>0</v>
          </cell>
        </row>
        <row r="84">
          <cell r="E84" t="str">
            <v>B26003078</v>
          </cell>
          <cell r="AP84">
            <v>0</v>
          </cell>
          <cell r="AQ84">
            <v>0</v>
          </cell>
          <cell r="AV84">
            <v>0</v>
          </cell>
        </row>
        <row r="85">
          <cell r="E85" t="str">
            <v>D26003243</v>
          </cell>
          <cell r="AP85">
            <v>0</v>
          </cell>
          <cell r="AQ85">
            <v>0</v>
          </cell>
          <cell r="AV85">
            <v>0</v>
          </cell>
        </row>
        <row r="86">
          <cell r="E86" t="str">
            <v>D26000209</v>
          </cell>
          <cell r="AP86">
            <v>0</v>
          </cell>
          <cell r="AQ86">
            <v>0</v>
          </cell>
          <cell r="AV86">
            <v>0</v>
          </cell>
        </row>
        <row r="87">
          <cell r="E87" t="str">
            <v>B26001115</v>
          </cell>
          <cell r="AP87">
            <v>0</v>
          </cell>
          <cell r="AQ87">
            <v>0</v>
          </cell>
          <cell r="AV87">
            <v>0</v>
          </cell>
        </row>
        <row r="88">
          <cell r="E88" t="str">
            <v>B26001116</v>
          </cell>
          <cell r="AP88">
            <v>0</v>
          </cell>
          <cell r="AQ88">
            <v>0</v>
          </cell>
          <cell r="AV88">
            <v>0</v>
          </cell>
        </row>
        <row r="89">
          <cell r="E89" t="str">
            <v>T26000098</v>
          </cell>
          <cell r="AP89">
            <v>0</v>
          </cell>
          <cell r="AQ89">
            <v>0</v>
          </cell>
          <cell r="AV89">
            <v>0</v>
          </cell>
        </row>
        <row r="90">
          <cell r="E90" t="str">
            <v>D26001469</v>
          </cell>
          <cell r="AP90">
            <v>0</v>
          </cell>
          <cell r="AQ90">
            <v>0</v>
          </cell>
          <cell r="AV90">
            <v>0</v>
          </cell>
        </row>
        <row r="91">
          <cell r="E91" t="str">
            <v>D26001603</v>
          </cell>
          <cell r="AP91">
            <v>0</v>
          </cell>
          <cell r="AQ91">
            <v>0</v>
          </cell>
          <cell r="AV91">
            <v>0</v>
          </cell>
        </row>
        <row r="92">
          <cell r="E92" t="str">
            <v>B26002030</v>
          </cell>
          <cell r="AP92">
            <v>0</v>
          </cell>
          <cell r="AQ92">
            <v>0</v>
          </cell>
          <cell r="AV92">
            <v>0</v>
          </cell>
        </row>
        <row r="93">
          <cell r="E93" t="str">
            <v>B26002428</v>
          </cell>
          <cell r="AP93">
            <v>0</v>
          </cell>
          <cell r="AQ93">
            <v>0</v>
          </cell>
          <cell r="AV93">
            <v>0</v>
          </cell>
        </row>
        <row r="94">
          <cell r="E94" t="str">
            <v>D26002628</v>
          </cell>
          <cell r="AP94">
            <v>0</v>
          </cell>
          <cell r="AQ94">
            <v>0</v>
          </cell>
          <cell r="AV94">
            <v>0</v>
          </cell>
        </row>
        <row r="95">
          <cell r="E95" t="str">
            <v>B26002916</v>
          </cell>
          <cell r="AP95">
            <v>0</v>
          </cell>
          <cell r="AQ95">
            <v>0</v>
          </cell>
          <cell r="AV95">
            <v>0</v>
          </cell>
        </row>
        <row r="96">
          <cell r="E96" t="str">
            <v>D26001110</v>
          </cell>
          <cell r="AP96">
            <v>0</v>
          </cell>
          <cell r="AQ96">
            <v>0</v>
          </cell>
          <cell r="AV96">
            <v>0</v>
          </cell>
        </row>
        <row r="97">
          <cell r="E97" t="str">
            <v>D26001939</v>
          </cell>
          <cell r="AP97">
            <v>0</v>
          </cell>
          <cell r="AQ97">
            <v>0</v>
          </cell>
          <cell r="AV97">
            <v>0</v>
          </cell>
        </row>
        <row r="98">
          <cell r="E98" t="str">
            <v>D26001940</v>
          </cell>
          <cell r="AP98">
            <v>0</v>
          </cell>
          <cell r="AQ98">
            <v>0</v>
          </cell>
          <cell r="AV98">
            <v>0</v>
          </cell>
        </row>
        <row r="99">
          <cell r="E99" t="str">
            <v>B26001843</v>
          </cell>
          <cell r="AP99">
            <v>0</v>
          </cell>
          <cell r="AQ99">
            <v>0</v>
          </cell>
          <cell r="AV99">
            <v>0</v>
          </cell>
        </row>
        <row r="100">
          <cell r="E100" t="str">
            <v>D26002381</v>
          </cell>
          <cell r="AP100">
            <v>0</v>
          </cell>
          <cell r="AQ100">
            <v>0</v>
          </cell>
          <cell r="AV100">
            <v>0</v>
          </cell>
        </row>
        <row r="101">
          <cell r="E101" t="str">
            <v>D26002382</v>
          </cell>
          <cell r="AP101">
            <v>0</v>
          </cell>
          <cell r="AQ101">
            <v>0</v>
          </cell>
          <cell r="AV101">
            <v>0</v>
          </cell>
        </row>
        <row r="102">
          <cell r="E102" t="str">
            <v>D26002720</v>
          </cell>
          <cell r="AP102">
            <v>0</v>
          </cell>
          <cell r="AQ102">
            <v>0</v>
          </cell>
          <cell r="AV102">
            <v>0</v>
          </cell>
        </row>
        <row r="103">
          <cell r="E103" t="str">
            <v>N26000024</v>
          </cell>
          <cell r="AP103">
            <v>0</v>
          </cell>
          <cell r="AQ103">
            <v>0</v>
          </cell>
          <cell r="AV103">
            <v>0</v>
          </cell>
        </row>
        <row r="104">
          <cell r="E104" t="str">
            <v>B26003016</v>
          </cell>
          <cell r="AP104">
            <v>0</v>
          </cell>
          <cell r="AQ104">
            <v>0</v>
          </cell>
          <cell r="AV104">
            <v>0</v>
          </cell>
        </row>
        <row r="105">
          <cell r="E105" t="str">
            <v>B26003017</v>
          </cell>
          <cell r="AP105">
            <v>0</v>
          </cell>
          <cell r="AQ105">
            <v>0</v>
          </cell>
          <cell r="AV105">
            <v>0</v>
          </cell>
        </row>
        <row r="106">
          <cell r="E106" t="str">
            <v>B26003018</v>
          </cell>
          <cell r="AP106">
            <v>0</v>
          </cell>
          <cell r="AQ106">
            <v>0</v>
          </cell>
          <cell r="AV106">
            <v>0</v>
          </cell>
        </row>
        <row r="107">
          <cell r="E107" t="str">
            <v>B25016839</v>
          </cell>
          <cell r="AP107">
            <v>0</v>
          </cell>
          <cell r="AQ107">
            <v>0</v>
          </cell>
          <cell r="AV107">
            <v>0</v>
          </cell>
        </row>
        <row r="108">
          <cell r="E108">
            <v>260008</v>
          </cell>
          <cell r="AP108">
            <v>0</v>
          </cell>
          <cell r="AQ108">
            <v>0</v>
          </cell>
          <cell r="AV108">
            <v>0</v>
          </cell>
        </row>
        <row r="109">
          <cell r="E109" t="str">
            <v>B26001067</v>
          </cell>
          <cell r="AP109">
            <v>0</v>
          </cell>
          <cell r="AQ109">
            <v>0</v>
          </cell>
          <cell r="AV109">
            <v>0</v>
          </cell>
        </row>
        <row r="110">
          <cell r="E110" t="str">
            <v>D26001141</v>
          </cell>
          <cell r="AP110">
            <v>0</v>
          </cell>
          <cell r="AQ110">
            <v>0</v>
          </cell>
          <cell r="AV110">
            <v>0</v>
          </cell>
        </row>
        <row r="111">
          <cell r="E111" t="str">
            <v>B26001925</v>
          </cell>
          <cell r="AP111">
            <v>0</v>
          </cell>
          <cell r="AQ111">
            <v>0</v>
          </cell>
          <cell r="AV111">
            <v>0</v>
          </cell>
        </row>
        <row r="112">
          <cell r="E112" t="str">
            <v>B26001948</v>
          </cell>
          <cell r="AP112">
            <v>0</v>
          </cell>
          <cell r="AQ112">
            <v>0</v>
          </cell>
          <cell r="AV112">
            <v>0</v>
          </cell>
        </row>
        <row r="113">
          <cell r="E113" t="str">
            <v>D26002072</v>
          </cell>
          <cell r="AP113">
            <v>0</v>
          </cell>
          <cell r="AQ113">
            <v>0</v>
          </cell>
          <cell r="AV113">
            <v>0</v>
          </cell>
        </row>
        <row r="114">
          <cell r="E114" t="str">
            <v>D26002399</v>
          </cell>
          <cell r="AP114">
            <v>0</v>
          </cell>
          <cell r="AQ114">
            <v>0</v>
          </cell>
          <cell r="AV114">
            <v>0</v>
          </cell>
        </row>
        <row r="115">
          <cell r="E115" t="str">
            <v>D26003052</v>
          </cell>
          <cell r="AP115">
            <v>0</v>
          </cell>
          <cell r="AQ115">
            <v>0</v>
          </cell>
          <cell r="AV115">
            <v>0</v>
          </cell>
        </row>
        <row r="116">
          <cell r="E116" t="str">
            <v>D26003065</v>
          </cell>
          <cell r="AP116">
            <v>0</v>
          </cell>
          <cell r="AQ116">
            <v>0</v>
          </cell>
          <cell r="AV116">
            <v>0</v>
          </cell>
        </row>
        <row r="117">
          <cell r="E117" t="str">
            <v>T26000224</v>
          </cell>
          <cell r="AP117">
            <v>0</v>
          </cell>
          <cell r="AQ117">
            <v>0</v>
          </cell>
          <cell r="AV117">
            <v>0</v>
          </cell>
        </row>
        <row r="118">
          <cell r="E118" t="str">
            <v>B26000949</v>
          </cell>
          <cell r="AP118">
            <v>0</v>
          </cell>
          <cell r="AQ118">
            <v>0</v>
          </cell>
          <cell r="AV118">
            <v>0</v>
          </cell>
        </row>
        <row r="119">
          <cell r="E119" t="str">
            <v>B26001134</v>
          </cell>
          <cell r="AP119">
            <v>0</v>
          </cell>
          <cell r="AQ119">
            <v>0</v>
          </cell>
          <cell r="AV119">
            <v>0</v>
          </cell>
        </row>
        <row r="120">
          <cell r="E120" t="str">
            <v>D26001706</v>
          </cell>
          <cell r="AP120">
            <v>0</v>
          </cell>
          <cell r="AQ120">
            <v>0</v>
          </cell>
          <cell r="AV120">
            <v>0</v>
          </cell>
        </row>
        <row r="121">
          <cell r="E121" t="str">
            <v>D26002751</v>
          </cell>
          <cell r="AP121">
            <v>0</v>
          </cell>
          <cell r="AQ121">
            <v>0</v>
          </cell>
          <cell r="AV121">
            <v>0</v>
          </cell>
        </row>
        <row r="122">
          <cell r="E122" t="str">
            <v>B26002698</v>
          </cell>
          <cell r="AP122">
            <v>0</v>
          </cell>
          <cell r="AQ122">
            <v>0</v>
          </cell>
          <cell r="AV122">
            <v>0</v>
          </cell>
        </row>
        <row r="123">
          <cell r="E123" t="str">
            <v>D26003051</v>
          </cell>
          <cell r="AP123">
            <v>0</v>
          </cell>
          <cell r="AQ123">
            <v>0</v>
          </cell>
          <cell r="AV123">
            <v>0</v>
          </cell>
        </row>
        <row r="124">
          <cell r="E124" t="str">
            <v>D25019513</v>
          </cell>
          <cell r="AP124">
            <v>0</v>
          </cell>
          <cell r="AQ124">
            <v>0</v>
          </cell>
          <cell r="AV124">
            <v>0</v>
          </cell>
        </row>
        <row r="125">
          <cell r="E125" t="str">
            <v>B26000096</v>
          </cell>
          <cell r="AP125">
            <v>0</v>
          </cell>
          <cell r="AQ125">
            <v>0</v>
          </cell>
          <cell r="AV125">
            <v>0</v>
          </cell>
        </row>
        <row r="126">
          <cell r="E126" t="str">
            <v>B26000131</v>
          </cell>
          <cell r="AP126">
            <v>0</v>
          </cell>
          <cell r="AQ126">
            <v>0</v>
          </cell>
          <cell r="AV126">
            <v>0</v>
          </cell>
        </row>
        <row r="127">
          <cell r="E127" t="str">
            <v>D26000074</v>
          </cell>
          <cell r="AP127">
            <v>0</v>
          </cell>
          <cell r="AQ127">
            <v>0</v>
          </cell>
          <cell r="AV127">
            <v>0</v>
          </cell>
        </row>
        <row r="128">
          <cell r="E128" t="str">
            <v>D26000098</v>
          </cell>
          <cell r="AP128">
            <v>0</v>
          </cell>
          <cell r="AQ128">
            <v>0</v>
          </cell>
          <cell r="AV128">
            <v>0</v>
          </cell>
        </row>
        <row r="129">
          <cell r="E129" t="str">
            <v>D26000109</v>
          </cell>
          <cell r="AP129">
            <v>0</v>
          </cell>
          <cell r="AQ129">
            <v>0</v>
          </cell>
          <cell r="AV129">
            <v>0</v>
          </cell>
        </row>
        <row r="130">
          <cell r="E130" t="str">
            <v>D26000207</v>
          </cell>
          <cell r="AP130">
            <v>0</v>
          </cell>
          <cell r="AQ130">
            <v>0</v>
          </cell>
          <cell r="AV130">
            <v>0</v>
          </cell>
        </row>
        <row r="131">
          <cell r="E131" t="str">
            <v>B26000766</v>
          </cell>
          <cell r="AP131">
            <v>0</v>
          </cell>
          <cell r="AQ131">
            <v>0</v>
          </cell>
          <cell r="AV131">
            <v>0</v>
          </cell>
        </row>
        <row r="132">
          <cell r="E132" t="str">
            <v>D26001183</v>
          </cell>
          <cell r="AP132">
            <v>0</v>
          </cell>
          <cell r="AQ132">
            <v>0</v>
          </cell>
          <cell r="AV132">
            <v>0</v>
          </cell>
        </row>
        <row r="133">
          <cell r="E133" t="str">
            <v>B26001162</v>
          </cell>
          <cell r="AP133">
            <v>0</v>
          </cell>
          <cell r="AQ133">
            <v>0</v>
          </cell>
          <cell r="AV133">
            <v>0</v>
          </cell>
        </row>
        <row r="134">
          <cell r="E134" t="str">
            <v>B26001461</v>
          </cell>
          <cell r="AP134">
            <v>0</v>
          </cell>
          <cell r="AQ134">
            <v>0</v>
          </cell>
          <cell r="AV134">
            <v>0</v>
          </cell>
        </row>
        <row r="135">
          <cell r="E135" t="str">
            <v>B26001838</v>
          </cell>
          <cell r="AP135">
            <v>0</v>
          </cell>
          <cell r="AQ135">
            <v>0</v>
          </cell>
          <cell r="AV135">
            <v>0</v>
          </cell>
        </row>
        <row r="136">
          <cell r="E136" t="str">
            <v>D26000288</v>
          </cell>
          <cell r="AP136">
            <v>0</v>
          </cell>
          <cell r="AQ136">
            <v>0</v>
          </cell>
          <cell r="AV136">
            <v>0</v>
          </cell>
        </row>
        <row r="137">
          <cell r="E137" t="str">
            <v>B26001492</v>
          </cell>
          <cell r="AP137">
            <v>0</v>
          </cell>
          <cell r="AQ137">
            <v>0</v>
          </cell>
          <cell r="AV137">
            <v>0</v>
          </cell>
        </row>
        <row r="138">
          <cell r="E138" t="str">
            <v>D26002746</v>
          </cell>
          <cell r="AP138">
            <v>0</v>
          </cell>
          <cell r="AQ138">
            <v>0</v>
          </cell>
          <cell r="AV138">
            <v>0</v>
          </cell>
        </row>
        <row r="139">
          <cell r="E139" t="str">
            <v>D26001216</v>
          </cell>
          <cell r="AP139">
            <v>0</v>
          </cell>
          <cell r="AQ139">
            <v>0</v>
          </cell>
          <cell r="AV139">
            <v>0</v>
          </cell>
        </row>
        <row r="140">
          <cell r="E140" t="str">
            <v>B26001011</v>
          </cell>
          <cell r="AP140">
            <v>0</v>
          </cell>
          <cell r="AQ140">
            <v>0</v>
          </cell>
          <cell r="AV140">
            <v>3760000</v>
          </cell>
        </row>
        <row r="141">
          <cell r="E141" t="str">
            <v>B26001114</v>
          </cell>
          <cell r="AP141">
            <v>0</v>
          </cell>
          <cell r="AQ141">
            <v>0</v>
          </cell>
          <cell r="AV141">
            <v>1240000</v>
          </cell>
        </row>
        <row r="142">
          <cell r="E142" t="str">
            <v>B26002558</v>
          </cell>
          <cell r="AP142">
            <v>0</v>
          </cell>
          <cell r="AQ142">
            <v>0</v>
          </cell>
          <cell r="AV142">
            <v>0</v>
          </cell>
        </row>
        <row r="143">
          <cell r="E143" t="str">
            <v>B26002799</v>
          </cell>
          <cell r="AP143">
            <v>0</v>
          </cell>
          <cell r="AQ143">
            <v>0</v>
          </cell>
          <cell r="AV143">
            <v>0</v>
          </cell>
        </row>
        <row r="144">
          <cell r="E144" t="str">
            <v>L23000053</v>
          </cell>
          <cell r="AP144">
            <v>0</v>
          </cell>
          <cell r="AQ144">
            <v>0</v>
          </cell>
          <cell r="AV144">
            <v>0</v>
          </cell>
        </row>
        <row r="145">
          <cell r="E145" t="str">
            <v>D24005367</v>
          </cell>
          <cell r="AP145">
            <v>0</v>
          </cell>
          <cell r="AQ145">
            <v>0</v>
          </cell>
          <cell r="AV145">
            <v>1000000</v>
          </cell>
        </row>
        <row r="146">
          <cell r="E146" t="str">
            <v>B26002570</v>
          </cell>
          <cell r="AP146">
            <v>0</v>
          </cell>
          <cell r="AQ146">
            <v>0</v>
          </cell>
          <cell r="AV146">
            <v>0</v>
          </cell>
        </row>
        <row r="147">
          <cell r="E147" t="str">
            <v>B26000136</v>
          </cell>
          <cell r="AP147">
            <v>0</v>
          </cell>
          <cell r="AQ147">
            <v>0</v>
          </cell>
          <cell r="AV147">
            <v>0</v>
          </cell>
        </row>
        <row r="148">
          <cell r="E148" t="str">
            <v>D26000208</v>
          </cell>
          <cell r="AP148">
            <v>0</v>
          </cell>
          <cell r="AQ148">
            <v>0</v>
          </cell>
          <cell r="AV148">
            <v>0</v>
          </cell>
        </row>
        <row r="149">
          <cell r="E149" t="str">
            <v>D26001256</v>
          </cell>
          <cell r="AP149">
            <v>0</v>
          </cell>
          <cell r="AQ149">
            <v>0</v>
          </cell>
          <cell r="AV149">
            <v>0</v>
          </cell>
        </row>
        <row r="150">
          <cell r="E150" t="str">
            <v>B26001705</v>
          </cell>
          <cell r="AP150">
            <v>0</v>
          </cell>
          <cell r="AQ150">
            <v>0</v>
          </cell>
          <cell r="AV150">
            <v>0</v>
          </cell>
        </row>
        <row r="151">
          <cell r="E151" t="str">
            <v>D26001977</v>
          </cell>
          <cell r="AP151">
            <v>0</v>
          </cell>
          <cell r="AQ151">
            <v>0</v>
          </cell>
          <cell r="AV151">
            <v>0</v>
          </cell>
        </row>
        <row r="152">
          <cell r="E152" t="str">
            <v>D26002260</v>
          </cell>
          <cell r="AP152">
            <v>0</v>
          </cell>
          <cell r="AQ152">
            <v>0</v>
          </cell>
          <cell r="AV152">
            <v>0</v>
          </cell>
        </row>
        <row r="153">
          <cell r="E153" t="str">
            <v>B26002429</v>
          </cell>
          <cell r="AP153">
            <v>0</v>
          </cell>
          <cell r="AQ153">
            <v>0</v>
          </cell>
          <cell r="AV153">
            <v>0</v>
          </cell>
        </row>
        <row r="154">
          <cell r="E154" t="str">
            <v>B26002578</v>
          </cell>
          <cell r="AP154">
            <v>0</v>
          </cell>
          <cell r="AQ154">
            <v>0</v>
          </cell>
          <cell r="AV154">
            <v>0</v>
          </cell>
        </row>
        <row r="155">
          <cell r="E155" t="str">
            <v>B26002871</v>
          </cell>
          <cell r="AP155">
            <v>0</v>
          </cell>
          <cell r="AQ155">
            <v>0</v>
          </cell>
          <cell r="AV155">
            <v>0</v>
          </cell>
        </row>
        <row r="156">
          <cell r="E156" t="str">
            <v>B26003005</v>
          </cell>
          <cell r="AP156">
            <v>0</v>
          </cell>
          <cell r="AQ156">
            <v>0</v>
          </cell>
          <cell r="AV156">
            <v>0</v>
          </cell>
        </row>
        <row r="157">
          <cell r="E157" t="str">
            <v>B25016713</v>
          </cell>
          <cell r="AP157">
            <v>0</v>
          </cell>
          <cell r="AQ157">
            <v>0</v>
          </cell>
          <cell r="AV157">
            <v>0</v>
          </cell>
        </row>
        <row r="158">
          <cell r="E158" t="str">
            <v>D25019220</v>
          </cell>
          <cell r="AP158">
            <v>0</v>
          </cell>
          <cell r="AQ158">
            <v>0</v>
          </cell>
          <cell r="AV158">
            <v>0</v>
          </cell>
        </row>
        <row r="159">
          <cell r="E159" t="str">
            <v>D25019249</v>
          </cell>
          <cell r="AP159">
            <v>0</v>
          </cell>
          <cell r="AQ159">
            <v>0</v>
          </cell>
          <cell r="AV159">
            <v>0</v>
          </cell>
        </row>
        <row r="160">
          <cell r="E160" t="str">
            <v>D25019291</v>
          </cell>
          <cell r="AP160">
            <v>0</v>
          </cell>
          <cell r="AQ160">
            <v>0</v>
          </cell>
          <cell r="AV160">
            <v>0</v>
          </cell>
        </row>
        <row r="161">
          <cell r="E161" t="str">
            <v>D25019449</v>
          </cell>
          <cell r="AP161">
            <v>0</v>
          </cell>
          <cell r="AQ161">
            <v>0</v>
          </cell>
          <cell r="AV161">
            <v>0</v>
          </cell>
        </row>
        <row r="162">
          <cell r="E162" t="str">
            <v>B26000018</v>
          </cell>
          <cell r="AP162">
            <v>0</v>
          </cell>
          <cell r="AQ162">
            <v>0</v>
          </cell>
          <cell r="AV162">
            <v>0</v>
          </cell>
        </row>
        <row r="163">
          <cell r="E163" t="str">
            <v>B26000036</v>
          </cell>
          <cell r="AP163">
            <v>0</v>
          </cell>
          <cell r="AQ163">
            <v>0</v>
          </cell>
          <cell r="AV163">
            <v>0</v>
          </cell>
        </row>
        <row r="164">
          <cell r="E164" t="str">
            <v>D26000067</v>
          </cell>
          <cell r="AP164">
            <v>0</v>
          </cell>
          <cell r="AQ164">
            <v>0</v>
          </cell>
          <cell r="AV164">
            <v>0</v>
          </cell>
        </row>
        <row r="165">
          <cell r="E165" t="str">
            <v>B26000277</v>
          </cell>
          <cell r="AP165">
            <v>0</v>
          </cell>
          <cell r="AQ165">
            <v>0</v>
          </cell>
          <cell r="AV165">
            <v>0</v>
          </cell>
        </row>
        <row r="166">
          <cell r="E166" t="str">
            <v>B26000503</v>
          </cell>
          <cell r="AP166">
            <v>0</v>
          </cell>
          <cell r="AQ166">
            <v>0</v>
          </cell>
          <cell r="AV166">
            <v>0</v>
          </cell>
        </row>
        <row r="167">
          <cell r="E167" t="str">
            <v>D26000639</v>
          </cell>
          <cell r="AP167">
            <v>0</v>
          </cell>
          <cell r="AQ167">
            <v>0</v>
          </cell>
          <cell r="AV167">
            <v>0</v>
          </cell>
        </row>
        <row r="168">
          <cell r="E168" t="str">
            <v>D26000680</v>
          </cell>
          <cell r="AP168">
            <v>0</v>
          </cell>
          <cell r="AQ168">
            <v>0</v>
          </cell>
          <cell r="AV168">
            <v>0</v>
          </cell>
        </row>
        <row r="169">
          <cell r="E169" t="str">
            <v>D26000704</v>
          </cell>
          <cell r="AP169">
            <v>0</v>
          </cell>
          <cell r="AQ169">
            <v>0</v>
          </cell>
          <cell r="AV169">
            <v>0</v>
          </cell>
        </row>
        <row r="170">
          <cell r="E170" t="str">
            <v>D26001245</v>
          </cell>
          <cell r="AP170">
            <v>0</v>
          </cell>
          <cell r="AQ170">
            <v>0</v>
          </cell>
          <cell r="AV170">
            <v>0</v>
          </cell>
        </row>
        <row r="171">
          <cell r="E171" t="str">
            <v>D26001249</v>
          </cell>
          <cell r="AP171">
            <v>0</v>
          </cell>
          <cell r="AQ171">
            <v>0</v>
          </cell>
          <cell r="AV171">
            <v>0</v>
          </cell>
        </row>
        <row r="172">
          <cell r="E172" t="str">
            <v>D26001321</v>
          </cell>
          <cell r="AP172">
            <v>0</v>
          </cell>
          <cell r="AQ172">
            <v>0</v>
          </cell>
          <cell r="AV172">
            <v>0</v>
          </cell>
        </row>
        <row r="173">
          <cell r="E173" t="str">
            <v>D26001350</v>
          </cell>
          <cell r="AP173">
            <v>0</v>
          </cell>
          <cell r="AQ173">
            <v>0</v>
          </cell>
          <cell r="AV173">
            <v>0</v>
          </cell>
        </row>
        <row r="174">
          <cell r="E174" t="str">
            <v>D26001617</v>
          </cell>
          <cell r="AP174">
            <v>0</v>
          </cell>
          <cell r="AQ174">
            <v>0</v>
          </cell>
          <cell r="AV174">
            <v>0</v>
          </cell>
        </row>
        <row r="175">
          <cell r="E175" t="str">
            <v>B26002292</v>
          </cell>
          <cell r="AP175">
            <v>0</v>
          </cell>
          <cell r="AQ175">
            <v>0</v>
          </cell>
          <cell r="AV175">
            <v>0</v>
          </cell>
        </row>
        <row r="176">
          <cell r="E176" t="str">
            <v>B26002297</v>
          </cell>
          <cell r="AP176">
            <v>0</v>
          </cell>
          <cell r="AQ176">
            <v>0</v>
          </cell>
          <cell r="AV176">
            <v>0</v>
          </cell>
        </row>
        <row r="177">
          <cell r="E177" t="str">
            <v>B26002900</v>
          </cell>
          <cell r="AP177">
            <v>0</v>
          </cell>
          <cell r="AQ177">
            <v>0</v>
          </cell>
          <cell r="AV177">
            <v>0</v>
          </cell>
        </row>
        <row r="178">
          <cell r="E178" t="str">
            <v>B26002976</v>
          </cell>
          <cell r="AP178">
            <v>0</v>
          </cell>
          <cell r="AQ178">
            <v>0</v>
          </cell>
          <cell r="AV178">
            <v>0</v>
          </cell>
        </row>
        <row r="179">
          <cell r="E179" t="str">
            <v>D26003189</v>
          </cell>
          <cell r="AP179">
            <v>0</v>
          </cell>
          <cell r="AQ179">
            <v>0</v>
          </cell>
          <cell r="AV179">
            <v>0</v>
          </cell>
        </row>
        <row r="180">
          <cell r="E180" t="str">
            <v>B26002606</v>
          </cell>
          <cell r="AP180">
            <v>0</v>
          </cell>
          <cell r="AQ180">
            <v>0</v>
          </cell>
          <cell r="AV180">
            <v>0</v>
          </cell>
        </row>
        <row r="181">
          <cell r="E181" t="str">
            <v>Z26000583</v>
          </cell>
          <cell r="AP181">
            <v>0</v>
          </cell>
          <cell r="AQ181">
            <v>0</v>
          </cell>
          <cell r="AV181">
            <v>9900000</v>
          </cell>
        </row>
        <row r="182">
          <cell r="E182" t="str">
            <v>Z26000600</v>
          </cell>
          <cell r="AP182">
            <v>0</v>
          </cell>
          <cell r="AQ182">
            <v>0</v>
          </cell>
          <cell r="AV182">
            <v>0</v>
          </cell>
        </row>
        <row r="183">
          <cell r="E183" t="str">
            <v>T25000256</v>
          </cell>
          <cell r="AP183">
            <v>0</v>
          </cell>
          <cell r="AQ183">
            <v>0</v>
          </cell>
          <cell r="AV183">
            <v>0</v>
          </cell>
        </row>
        <row r="184">
          <cell r="E184" t="str">
            <v>D25015128</v>
          </cell>
          <cell r="AP184">
            <v>0</v>
          </cell>
          <cell r="AQ184">
            <v>0</v>
          </cell>
          <cell r="AV184">
            <v>0</v>
          </cell>
        </row>
        <row r="185">
          <cell r="E185" t="str">
            <v>D25016443</v>
          </cell>
          <cell r="AP185">
            <v>0</v>
          </cell>
          <cell r="AQ185">
            <v>0</v>
          </cell>
          <cell r="AV185">
            <v>0</v>
          </cell>
        </row>
        <row r="186">
          <cell r="E186" t="str">
            <v>B25014326</v>
          </cell>
          <cell r="AP186">
            <v>0</v>
          </cell>
          <cell r="AQ186">
            <v>0</v>
          </cell>
          <cell r="AV186">
            <v>0</v>
          </cell>
        </row>
        <row r="187">
          <cell r="E187" t="str">
            <v>D25016655</v>
          </cell>
          <cell r="AP187">
            <v>0</v>
          </cell>
          <cell r="AQ187">
            <v>0</v>
          </cell>
          <cell r="AV187">
            <v>0</v>
          </cell>
        </row>
        <row r="188">
          <cell r="E188" t="str">
            <v>D25016794</v>
          </cell>
          <cell r="AP188">
            <v>0</v>
          </cell>
          <cell r="AQ188">
            <v>0</v>
          </cell>
          <cell r="AV188">
            <v>0</v>
          </cell>
        </row>
        <row r="189">
          <cell r="E189" t="str">
            <v>D25016795</v>
          </cell>
          <cell r="AP189">
            <v>0</v>
          </cell>
          <cell r="AQ189">
            <v>0</v>
          </cell>
          <cell r="AV189">
            <v>0</v>
          </cell>
        </row>
        <row r="190">
          <cell r="E190" t="str">
            <v>D25016961</v>
          </cell>
          <cell r="AP190">
            <v>0</v>
          </cell>
          <cell r="AQ190">
            <v>0</v>
          </cell>
          <cell r="AV190">
            <v>0</v>
          </cell>
        </row>
        <row r="191">
          <cell r="E191" t="str">
            <v>D25016961</v>
          </cell>
          <cell r="AP191">
            <v>0</v>
          </cell>
          <cell r="AQ191">
            <v>0</v>
          </cell>
          <cell r="AV191">
            <v>0</v>
          </cell>
        </row>
        <row r="192">
          <cell r="E192" t="str">
            <v>D25016961</v>
          </cell>
          <cell r="AP192">
            <v>0</v>
          </cell>
          <cell r="AQ192">
            <v>0</v>
          </cell>
          <cell r="AV192">
            <v>0</v>
          </cell>
        </row>
        <row r="193">
          <cell r="E193" t="str">
            <v>D25016965</v>
          </cell>
          <cell r="AP193">
            <v>0</v>
          </cell>
          <cell r="AQ193">
            <v>0</v>
          </cell>
          <cell r="AV193">
            <v>0</v>
          </cell>
        </row>
        <row r="194">
          <cell r="E194" t="str">
            <v>D25017238</v>
          </cell>
          <cell r="AP194">
            <v>0</v>
          </cell>
          <cell r="AQ194">
            <v>0</v>
          </cell>
          <cell r="AV194">
            <v>0</v>
          </cell>
        </row>
        <row r="195">
          <cell r="E195" t="str">
            <v>D25017452</v>
          </cell>
          <cell r="AP195">
            <v>0</v>
          </cell>
          <cell r="AQ195">
            <v>0</v>
          </cell>
          <cell r="AV195">
            <v>0</v>
          </cell>
        </row>
        <row r="196">
          <cell r="E196" t="str">
            <v>D25017452</v>
          </cell>
          <cell r="AP196">
            <v>0</v>
          </cell>
          <cell r="AQ196">
            <v>0</v>
          </cell>
          <cell r="AV196">
            <v>0</v>
          </cell>
        </row>
        <row r="197">
          <cell r="E197" t="str">
            <v>D25017453</v>
          </cell>
          <cell r="AP197">
            <v>0</v>
          </cell>
          <cell r="AQ197">
            <v>0</v>
          </cell>
          <cell r="AV197">
            <v>0</v>
          </cell>
        </row>
        <row r="198">
          <cell r="E198" t="str">
            <v>D25017788</v>
          </cell>
          <cell r="AP198">
            <v>0</v>
          </cell>
          <cell r="AQ198">
            <v>0</v>
          </cell>
          <cell r="AV198">
            <v>0</v>
          </cell>
        </row>
        <row r="199">
          <cell r="E199" t="str">
            <v>D25017788</v>
          </cell>
          <cell r="AP199">
            <v>0</v>
          </cell>
          <cell r="AQ199">
            <v>0</v>
          </cell>
          <cell r="AV199">
            <v>0</v>
          </cell>
        </row>
        <row r="200">
          <cell r="E200" t="str">
            <v>D25017788</v>
          </cell>
          <cell r="AP200">
            <v>0</v>
          </cell>
          <cell r="AQ200">
            <v>0</v>
          </cell>
          <cell r="AV200">
            <v>0</v>
          </cell>
        </row>
        <row r="201">
          <cell r="E201" t="str">
            <v>D25017789</v>
          </cell>
          <cell r="AP201">
            <v>0</v>
          </cell>
          <cell r="AQ201">
            <v>0</v>
          </cell>
          <cell r="AV201">
            <v>0</v>
          </cell>
        </row>
        <row r="202">
          <cell r="E202" t="str">
            <v>D25017790</v>
          </cell>
          <cell r="AP202">
            <v>0</v>
          </cell>
          <cell r="AQ202">
            <v>0</v>
          </cell>
          <cell r="AV202">
            <v>0</v>
          </cell>
        </row>
        <row r="203">
          <cell r="E203" t="str">
            <v>D25018075</v>
          </cell>
          <cell r="AP203">
            <v>0</v>
          </cell>
          <cell r="AQ203">
            <v>0</v>
          </cell>
          <cell r="AV203">
            <v>0</v>
          </cell>
        </row>
        <row r="204">
          <cell r="E204" t="str">
            <v>D25018076</v>
          </cell>
          <cell r="AP204">
            <v>0</v>
          </cell>
          <cell r="AQ204">
            <v>0</v>
          </cell>
          <cell r="AV204">
            <v>0</v>
          </cell>
        </row>
        <row r="205">
          <cell r="E205" t="str">
            <v>D25018076</v>
          </cell>
          <cell r="AP205">
            <v>0</v>
          </cell>
          <cell r="AQ205">
            <v>0</v>
          </cell>
          <cell r="AV205">
            <v>0</v>
          </cell>
        </row>
        <row r="206">
          <cell r="E206" t="str">
            <v>D25018077</v>
          </cell>
          <cell r="AP206">
            <v>0</v>
          </cell>
          <cell r="AQ206">
            <v>0</v>
          </cell>
          <cell r="AV206">
            <v>0</v>
          </cell>
        </row>
        <row r="207">
          <cell r="E207" t="str">
            <v>D25018249</v>
          </cell>
          <cell r="AP207">
            <v>0</v>
          </cell>
          <cell r="AQ207">
            <v>0</v>
          </cell>
          <cell r="AV207">
            <v>0</v>
          </cell>
        </row>
        <row r="208">
          <cell r="E208" t="str">
            <v>D25018249</v>
          </cell>
          <cell r="AP208">
            <v>0</v>
          </cell>
          <cell r="AQ208">
            <v>0</v>
          </cell>
          <cell r="AV208">
            <v>0</v>
          </cell>
        </row>
        <row r="209">
          <cell r="E209" t="str">
            <v>D25018250</v>
          </cell>
          <cell r="AP209">
            <v>0</v>
          </cell>
          <cell r="AQ209">
            <v>0</v>
          </cell>
          <cell r="AV209">
            <v>0</v>
          </cell>
        </row>
        <row r="210">
          <cell r="E210" t="str">
            <v>D25018468</v>
          </cell>
          <cell r="AP210">
            <v>0</v>
          </cell>
          <cell r="AQ210">
            <v>0</v>
          </cell>
          <cell r="AV210">
            <v>0</v>
          </cell>
        </row>
        <row r="211">
          <cell r="E211" t="str">
            <v>D25018468</v>
          </cell>
          <cell r="AP211">
            <v>0</v>
          </cell>
          <cell r="AQ211">
            <v>0</v>
          </cell>
          <cell r="AV211">
            <v>0</v>
          </cell>
        </row>
        <row r="212">
          <cell r="E212" t="str">
            <v>D25018526</v>
          </cell>
          <cell r="AP212">
            <v>0</v>
          </cell>
          <cell r="AQ212">
            <v>0</v>
          </cell>
          <cell r="AV212">
            <v>0</v>
          </cell>
        </row>
        <row r="213">
          <cell r="E213" t="str">
            <v>D25018527</v>
          </cell>
          <cell r="AP213">
            <v>0</v>
          </cell>
          <cell r="AQ213">
            <v>0</v>
          </cell>
          <cell r="AV213">
            <v>0</v>
          </cell>
        </row>
        <row r="214">
          <cell r="E214" t="str">
            <v>B25016302</v>
          </cell>
          <cell r="AP214">
            <v>0</v>
          </cell>
          <cell r="AQ214">
            <v>0</v>
          </cell>
          <cell r="AV214">
            <v>0</v>
          </cell>
        </row>
        <row r="215">
          <cell r="E215" t="str">
            <v>B25016302</v>
          </cell>
          <cell r="AP215">
            <v>0</v>
          </cell>
          <cell r="AQ215">
            <v>0</v>
          </cell>
          <cell r="AV215">
            <v>0</v>
          </cell>
        </row>
        <row r="216">
          <cell r="E216" t="str">
            <v>B25016302</v>
          </cell>
          <cell r="AP216">
            <v>0</v>
          </cell>
          <cell r="AQ216">
            <v>0</v>
          </cell>
          <cell r="AV216">
            <v>0</v>
          </cell>
        </row>
        <row r="217">
          <cell r="E217" t="str">
            <v>B25016303</v>
          </cell>
          <cell r="AP217">
            <v>0</v>
          </cell>
          <cell r="AQ217">
            <v>0</v>
          </cell>
          <cell r="AV217">
            <v>0</v>
          </cell>
        </row>
        <row r="218">
          <cell r="E218" t="str">
            <v>D25018894</v>
          </cell>
          <cell r="AP218">
            <v>0</v>
          </cell>
          <cell r="AQ218">
            <v>0</v>
          </cell>
          <cell r="AV218">
            <v>0</v>
          </cell>
        </row>
        <row r="219">
          <cell r="E219" t="str">
            <v>D25018894</v>
          </cell>
          <cell r="AP219">
            <v>0</v>
          </cell>
          <cell r="AQ219">
            <v>0</v>
          </cell>
          <cell r="AV219">
            <v>0</v>
          </cell>
        </row>
        <row r="220">
          <cell r="E220" t="str">
            <v>D25018894</v>
          </cell>
          <cell r="AP220">
            <v>0</v>
          </cell>
          <cell r="AQ220">
            <v>0</v>
          </cell>
          <cell r="AV220">
            <v>0</v>
          </cell>
        </row>
        <row r="221">
          <cell r="E221" t="str">
            <v>D25018895</v>
          </cell>
          <cell r="AP221">
            <v>0</v>
          </cell>
          <cell r="AQ221">
            <v>0</v>
          </cell>
          <cell r="AV221">
            <v>0</v>
          </cell>
        </row>
        <row r="222">
          <cell r="E222" t="str">
            <v>D25018895</v>
          </cell>
          <cell r="AP222">
            <v>0</v>
          </cell>
          <cell r="AQ222">
            <v>0</v>
          </cell>
          <cell r="AV222">
            <v>0</v>
          </cell>
        </row>
        <row r="223">
          <cell r="E223" t="str">
            <v>D25018895</v>
          </cell>
          <cell r="AP223">
            <v>0</v>
          </cell>
          <cell r="AQ223">
            <v>0</v>
          </cell>
          <cell r="AV223">
            <v>0</v>
          </cell>
        </row>
        <row r="224">
          <cell r="E224" t="str">
            <v>D25018895</v>
          </cell>
          <cell r="AP224">
            <v>0</v>
          </cell>
          <cell r="AQ224">
            <v>0</v>
          </cell>
          <cell r="AV224">
            <v>0</v>
          </cell>
        </row>
        <row r="225">
          <cell r="E225" t="str">
            <v>D25019161</v>
          </cell>
          <cell r="AP225">
            <v>0</v>
          </cell>
          <cell r="AQ225">
            <v>0</v>
          </cell>
          <cell r="AV225">
            <v>0</v>
          </cell>
        </row>
        <row r="226">
          <cell r="E226" t="str">
            <v>D25019167</v>
          </cell>
          <cell r="AP226">
            <v>0</v>
          </cell>
          <cell r="AQ226">
            <v>0</v>
          </cell>
          <cell r="AV226">
            <v>0</v>
          </cell>
        </row>
        <row r="227">
          <cell r="E227" t="str">
            <v>D25019167</v>
          </cell>
          <cell r="AP227">
            <v>0</v>
          </cell>
          <cell r="AQ227">
            <v>0</v>
          </cell>
          <cell r="AV227">
            <v>0</v>
          </cell>
        </row>
        <row r="228">
          <cell r="E228" t="str">
            <v>D25019260</v>
          </cell>
          <cell r="AP228">
            <v>0</v>
          </cell>
          <cell r="AQ228">
            <v>0</v>
          </cell>
          <cell r="AV228">
            <v>0</v>
          </cell>
        </row>
        <row r="229">
          <cell r="E229" t="str">
            <v>D25019260</v>
          </cell>
          <cell r="AP229">
            <v>0</v>
          </cell>
          <cell r="AQ229">
            <v>0</v>
          </cell>
          <cell r="AV229">
            <v>0</v>
          </cell>
        </row>
        <row r="230">
          <cell r="E230" t="str">
            <v>D25019260</v>
          </cell>
          <cell r="AP230">
            <v>0</v>
          </cell>
          <cell r="AQ230">
            <v>0</v>
          </cell>
          <cell r="AV230">
            <v>0</v>
          </cell>
        </row>
        <row r="231">
          <cell r="E231" t="str">
            <v>D25019261</v>
          </cell>
          <cell r="AP231">
            <v>0</v>
          </cell>
          <cell r="AQ231">
            <v>0</v>
          </cell>
          <cell r="AV231">
            <v>0</v>
          </cell>
        </row>
        <row r="232">
          <cell r="E232" t="str">
            <v>D25019262</v>
          </cell>
          <cell r="AP232">
            <v>0</v>
          </cell>
          <cell r="AQ232">
            <v>0</v>
          </cell>
          <cell r="AV232">
            <v>0</v>
          </cell>
        </row>
        <row r="233">
          <cell r="E233" t="str">
            <v>D25019262</v>
          </cell>
          <cell r="AP233">
            <v>0</v>
          </cell>
          <cell r="AQ233">
            <v>0</v>
          </cell>
          <cell r="AV233">
            <v>0</v>
          </cell>
        </row>
        <row r="234">
          <cell r="E234" t="str">
            <v>D25019519</v>
          </cell>
          <cell r="AP234">
            <v>0</v>
          </cell>
          <cell r="AQ234">
            <v>0</v>
          </cell>
          <cell r="AV234">
            <v>0</v>
          </cell>
        </row>
        <row r="235">
          <cell r="E235" t="str">
            <v>D25019519</v>
          </cell>
          <cell r="AP235">
            <v>0</v>
          </cell>
          <cell r="AQ235">
            <v>0</v>
          </cell>
          <cell r="AV235">
            <v>0</v>
          </cell>
        </row>
        <row r="236">
          <cell r="E236" t="str">
            <v>D25019519</v>
          </cell>
          <cell r="AP236">
            <v>0</v>
          </cell>
          <cell r="AQ236">
            <v>0</v>
          </cell>
          <cell r="AV236">
            <v>0</v>
          </cell>
        </row>
        <row r="237">
          <cell r="E237" t="str">
            <v>D25019519</v>
          </cell>
          <cell r="AP237">
            <v>0</v>
          </cell>
          <cell r="AQ237">
            <v>0</v>
          </cell>
          <cell r="AV237">
            <v>0</v>
          </cell>
        </row>
        <row r="238">
          <cell r="E238" t="str">
            <v>D25019520</v>
          </cell>
          <cell r="AP238">
            <v>0</v>
          </cell>
          <cell r="AQ238">
            <v>0</v>
          </cell>
          <cell r="AV238">
            <v>0</v>
          </cell>
        </row>
        <row r="239">
          <cell r="E239" t="str">
            <v>D25019715</v>
          </cell>
          <cell r="AP239">
            <v>0</v>
          </cell>
          <cell r="AQ239">
            <v>0</v>
          </cell>
          <cell r="AV239">
            <v>0</v>
          </cell>
        </row>
        <row r="240">
          <cell r="E240" t="str">
            <v>D25019716</v>
          </cell>
          <cell r="AP240">
            <v>0</v>
          </cell>
          <cell r="AQ240">
            <v>0</v>
          </cell>
          <cell r="AV240">
            <v>0</v>
          </cell>
        </row>
        <row r="241">
          <cell r="E241" t="str">
            <v>D25019716</v>
          </cell>
          <cell r="AP241">
            <v>0</v>
          </cell>
          <cell r="AQ241">
            <v>0</v>
          </cell>
          <cell r="AV241">
            <v>0</v>
          </cell>
        </row>
        <row r="242">
          <cell r="E242" t="str">
            <v>D26000239</v>
          </cell>
          <cell r="AP242">
            <v>0</v>
          </cell>
          <cell r="AQ242">
            <v>0</v>
          </cell>
          <cell r="AV242">
            <v>0</v>
          </cell>
        </row>
        <row r="243">
          <cell r="E243" t="str">
            <v>D26000239</v>
          </cell>
          <cell r="AP243">
            <v>0</v>
          </cell>
          <cell r="AQ243">
            <v>0</v>
          </cell>
          <cell r="AV243">
            <v>0</v>
          </cell>
        </row>
        <row r="244">
          <cell r="E244" t="str">
            <v>D26000240</v>
          </cell>
          <cell r="AP244">
            <v>0</v>
          </cell>
          <cell r="AQ244">
            <v>0</v>
          </cell>
          <cell r="AV244">
            <v>0</v>
          </cell>
        </row>
        <row r="245">
          <cell r="E245" t="str">
            <v>D26000240</v>
          </cell>
          <cell r="AP245">
            <v>0</v>
          </cell>
          <cell r="AQ245">
            <v>0</v>
          </cell>
          <cell r="AV245">
            <v>0</v>
          </cell>
        </row>
        <row r="246">
          <cell r="E246" t="str">
            <v>D26000543</v>
          </cell>
          <cell r="AP246">
            <v>0</v>
          </cell>
          <cell r="AQ246">
            <v>0</v>
          </cell>
          <cell r="AV246">
            <v>0</v>
          </cell>
        </row>
        <row r="247">
          <cell r="E247" t="str">
            <v>D26000544</v>
          </cell>
          <cell r="AP247">
            <v>0</v>
          </cell>
          <cell r="AQ247">
            <v>0</v>
          </cell>
          <cell r="AV247">
            <v>0</v>
          </cell>
        </row>
        <row r="248">
          <cell r="E248" t="str">
            <v>D26000544</v>
          </cell>
          <cell r="AP248">
            <v>0</v>
          </cell>
          <cell r="AQ248">
            <v>0</v>
          </cell>
          <cell r="AV248">
            <v>0</v>
          </cell>
        </row>
        <row r="249">
          <cell r="E249" t="str">
            <v>D26000545</v>
          </cell>
          <cell r="AP249">
            <v>0</v>
          </cell>
          <cell r="AQ249">
            <v>0</v>
          </cell>
          <cell r="AV249">
            <v>0</v>
          </cell>
        </row>
        <row r="250">
          <cell r="E250" t="str">
            <v>D26000545</v>
          </cell>
          <cell r="AP250">
            <v>0</v>
          </cell>
          <cell r="AQ250">
            <v>0</v>
          </cell>
          <cell r="AV250">
            <v>0</v>
          </cell>
        </row>
        <row r="251">
          <cell r="E251" t="str">
            <v>D26000990</v>
          </cell>
          <cell r="AP251">
            <v>0</v>
          </cell>
          <cell r="AQ251">
            <v>0</v>
          </cell>
          <cell r="AV251">
            <v>0</v>
          </cell>
        </row>
        <row r="252">
          <cell r="E252" t="str">
            <v>D26000991</v>
          </cell>
          <cell r="AP252">
            <v>0</v>
          </cell>
          <cell r="AQ252">
            <v>0</v>
          </cell>
          <cell r="AV252">
            <v>0</v>
          </cell>
        </row>
        <row r="253">
          <cell r="E253" t="str">
            <v>D26000991</v>
          </cell>
          <cell r="AP253">
            <v>0</v>
          </cell>
          <cell r="AQ253">
            <v>0</v>
          </cell>
          <cell r="AV253">
            <v>0</v>
          </cell>
        </row>
        <row r="254">
          <cell r="E254" t="str">
            <v>D26000991</v>
          </cell>
          <cell r="AP254">
            <v>0</v>
          </cell>
          <cell r="AQ254">
            <v>0</v>
          </cell>
          <cell r="AV254">
            <v>0</v>
          </cell>
        </row>
        <row r="255">
          <cell r="E255" t="str">
            <v>D26000992</v>
          </cell>
          <cell r="AP255">
            <v>0</v>
          </cell>
          <cell r="AQ255">
            <v>0</v>
          </cell>
          <cell r="AV255">
            <v>0</v>
          </cell>
        </row>
        <row r="256">
          <cell r="E256" t="str">
            <v>D26000992</v>
          </cell>
          <cell r="AP256">
            <v>0</v>
          </cell>
          <cell r="AQ256">
            <v>0</v>
          </cell>
          <cell r="AV256">
            <v>0</v>
          </cell>
        </row>
        <row r="257">
          <cell r="E257" t="str">
            <v>D26000992</v>
          </cell>
          <cell r="AP257">
            <v>0</v>
          </cell>
          <cell r="AQ257">
            <v>0</v>
          </cell>
          <cell r="AV257">
            <v>0</v>
          </cell>
        </row>
        <row r="258">
          <cell r="E258" t="str">
            <v>D26001308</v>
          </cell>
          <cell r="AP258">
            <v>0</v>
          </cell>
          <cell r="AQ258">
            <v>0</v>
          </cell>
          <cell r="AV258">
            <v>0</v>
          </cell>
        </row>
        <row r="259">
          <cell r="E259" t="str">
            <v>D26001308</v>
          </cell>
          <cell r="AP259">
            <v>0</v>
          </cell>
          <cell r="AQ259">
            <v>0</v>
          </cell>
          <cell r="AV259">
            <v>0</v>
          </cell>
        </row>
        <row r="260">
          <cell r="E260" t="str">
            <v>D26001309</v>
          </cell>
          <cell r="AP260">
            <v>0</v>
          </cell>
          <cell r="AQ260">
            <v>0</v>
          </cell>
          <cell r="AV260">
            <v>0</v>
          </cell>
        </row>
        <row r="261">
          <cell r="E261" t="str">
            <v>D26001550</v>
          </cell>
          <cell r="AP261">
            <v>0</v>
          </cell>
          <cell r="AQ261">
            <v>0</v>
          </cell>
          <cell r="AV261">
            <v>0</v>
          </cell>
        </row>
        <row r="262">
          <cell r="E262" t="str">
            <v>D26001550</v>
          </cell>
          <cell r="AP262">
            <v>0</v>
          </cell>
          <cell r="AQ262">
            <v>0</v>
          </cell>
          <cell r="AV262">
            <v>0</v>
          </cell>
        </row>
        <row r="263">
          <cell r="E263" t="str">
            <v>D26001550</v>
          </cell>
          <cell r="AP263">
            <v>0</v>
          </cell>
          <cell r="AQ263">
            <v>0</v>
          </cell>
          <cell r="AV263">
            <v>0</v>
          </cell>
        </row>
        <row r="264">
          <cell r="E264" t="str">
            <v>D26001550</v>
          </cell>
          <cell r="AP264">
            <v>0</v>
          </cell>
          <cell r="AQ264">
            <v>0</v>
          </cell>
          <cell r="AV264">
            <v>0</v>
          </cell>
        </row>
        <row r="265">
          <cell r="E265" t="str">
            <v>D26001551</v>
          </cell>
          <cell r="AP265">
            <v>0</v>
          </cell>
          <cell r="AQ265">
            <v>0</v>
          </cell>
          <cell r="AV265">
            <v>0</v>
          </cell>
        </row>
        <row r="266">
          <cell r="E266" t="str">
            <v>D26001552</v>
          </cell>
          <cell r="AP266">
            <v>0</v>
          </cell>
          <cell r="AQ266">
            <v>0</v>
          </cell>
          <cell r="AV266">
            <v>0</v>
          </cell>
        </row>
        <row r="267">
          <cell r="E267" t="str">
            <v>D26001552</v>
          </cell>
          <cell r="AP267">
            <v>0</v>
          </cell>
          <cell r="AQ267">
            <v>0</v>
          </cell>
          <cell r="AV267">
            <v>0</v>
          </cell>
        </row>
        <row r="268">
          <cell r="E268" t="str">
            <v>D26001711</v>
          </cell>
          <cell r="AP268">
            <v>0</v>
          </cell>
          <cell r="AQ268">
            <v>0</v>
          </cell>
          <cell r="AV268">
            <v>0</v>
          </cell>
        </row>
        <row r="269">
          <cell r="E269" t="str">
            <v>D26001711</v>
          </cell>
          <cell r="AP269">
            <v>0</v>
          </cell>
          <cell r="AQ269">
            <v>0</v>
          </cell>
          <cell r="AV269">
            <v>0</v>
          </cell>
        </row>
        <row r="270">
          <cell r="E270" t="str">
            <v>D26001712</v>
          </cell>
          <cell r="AP270">
            <v>0</v>
          </cell>
          <cell r="AQ270">
            <v>0</v>
          </cell>
          <cell r="AV270">
            <v>0</v>
          </cell>
        </row>
        <row r="271">
          <cell r="E271" t="str">
            <v>D26001712</v>
          </cell>
          <cell r="AP271">
            <v>0</v>
          </cell>
          <cell r="AQ271">
            <v>0</v>
          </cell>
          <cell r="AV271">
            <v>0</v>
          </cell>
        </row>
        <row r="272">
          <cell r="E272" t="str">
            <v>D26001712</v>
          </cell>
          <cell r="AP272">
            <v>0</v>
          </cell>
          <cell r="AQ272">
            <v>0</v>
          </cell>
          <cell r="AV272">
            <v>0</v>
          </cell>
        </row>
        <row r="273">
          <cell r="E273" t="str">
            <v>D26001712</v>
          </cell>
          <cell r="AP273">
            <v>0</v>
          </cell>
          <cell r="AQ273">
            <v>0</v>
          </cell>
          <cell r="AV273">
            <v>0</v>
          </cell>
        </row>
        <row r="274">
          <cell r="E274" t="str">
            <v>D26001713</v>
          </cell>
          <cell r="AP274">
            <v>0</v>
          </cell>
          <cell r="AQ274">
            <v>0</v>
          </cell>
          <cell r="AV274">
            <v>0</v>
          </cell>
        </row>
        <row r="275">
          <cell r="E275" t="str">
            <v>D26001952</v>
          </cell>
          <cell r="AP275">
            <v>0</v>
          </cell>
          <cell r="AQ275">
            <v>0</v>
          </cell>
          <cell r="AV275">
            <v>0</v>
          </cell>
        </row>
        <row r="276">
          <cell r="E276" t="str">
            <v>D26001952</v>
          </cell>
          <cell r="AP276">
            <v>0</v>
          </cell>
          <cell r="AQ276">
            <v>0</v>
          </cell>
          <cell r="AV276">
            <v>0</v>
          </cell>
        </row>
        <row r="277">
          <cell r="E277" t="str">
            <v>D26001952</v>
          </cell>
          <cell r="AP277">
            <v>0</v>
          </cell>
          <cell r="AQ277">
            <v>0</v>
          </cell>
          <cell r="AV277">
            <v>0</v>
          </cell>
        </row>
        <row r="278">
          <cell r="E278" t="str">
            <v>D26001952</v>
          </cell>
          <cell r="AP278">
            <v>0</v>
          </cell>
          <cell r="AQ278">
            <v>0</v>
          </cell>
          <cell r="AV278">
            <v>0</v>
          </cell>
        </row>
        <row r="279">
          <cell r="E279" t="str">
            <v>D26001952</v>
          </cell>
          <cell r="AP279">
            <v>0</v>
          </cell>
          <cell r="AQ279">
            <v>0</v>
          </cell>
          <cell r="AV279">
            <v>0</v>
          </cell>
        </row>
        <row r="280">
          <cell r="E280" t="str">
            <v>D26001953</v>
          </cell>
          <cell r="AP280">
            <v>0</v>
          </cell>
          <cell r="AQ280">
            <v>0</v>
          </cell>
          <cell r="AV280">
            <v>0</v>
          </cell>
        </row>
        <row r="281">
          <cell r="E281" t="str">
            <v>D26001953</v>
          </cell>
          <cell r="AP281">
            <v>0</v>
          </cell>
          <cell r="AQ281">
            <v>0</v>
          </cell>
          <cell r="AV281">
            <v>0</v>
          </cell>
        </row>
        <row r="282">
          <cell r="E282" t="str">
            <v>D26002263</v>
          </cell>
          <cell r="AP282">
            <v>0</v>
          </cell>
          <cell r="AQ282">
            <v>0</v>
          </cell>
          <cell r="AV282">
            <v>0</v>
          </cell>
        </row>
        <row r="283">
          <cell r="E283" t="str">
            <v>D26002263</v>
          </cell>
          <cell r="AP283">
            <v>0</v>
          </cell>
          <cell r="AQ283">
            <v>0</v>
          </cell>
          <cell r="AV283">
            <v>0</v>
          </cell>
        </row>
        <row r="284">
          <cell r="E284" t="str">
            <v>D26002263</v>
          </cell>
          <cell r="AP284">
            <v>0</v>
          </cell>
          <cell r="AQ284">
            <v>0</v>
          </cell>
          <cell r="AV284">
            <v>0</v>
          </cell>
        </row>
        <row r="285">
          <cell r="E285" t="str">
            <v>D26002264</v>
          </cell>
          <cell r="AP285">
            <v>0</v>
          </cell>
          <cell r="AQ285">
            <v>0</v>
          </cell>
          <cell r="AV285">
            <v>0</v>
          </cell>
        </row>
        <row r="286">
          <cell r="E286" t="str">
            <v>D26002475</v>
          </cell>
          <cell r="AP286">
            <v>0</v>
          </cell>
          <cell r="AQ286">
            <v>0</v>
          </cell>
          <cell r="AV286">
            <v>0</v>
          </cell>
        </row>
        <row r="287">
          <cell r="E287" t="str">
            <v>D26002475</v>
          </cell>
          <cell r="AP287">
            <v>0</v>
          </cell>
          <cell r="AQ287">
            <v>0</v>
          </cell>
          <cell r="AV287">
            <v>0</v>
          </cell>
        </row>
        <row r="288">
          <cell r="E288" t="str">
            <v>D26002475</v>
          </cell>
          <cell r="AP288">
            <v>0</v>
          </cell>
          <cell r="AQ288">
            <v>0</v>
          </cell>
          <cell r="AV288">
            <v>0</v>
          </cell>
        </row>
        <row r="289">
          <cell r="E289" t="str">
            <v>D26002669</v>
          </cell>
          <cell r="AP289">
            <v>0</v>
          </cell>
          <cell r="AQ289">
            <v>0</v>
          </cell>
          <cell r="AV289">
            <v>0</v>
          </cell>
        </row>
        <row r="290">
          <cell r="E290" t="str">
            <v>D26002669</v>
          </cell>
          <cell r="AP290">
            <v>0</v>
          </cell>
          <cell r="AQ290">
            <v>0</v>
          </cell>
          <cell r="AV290">
            <v>0</v>
          </cell>
        </row>
        <row r="291">
          <cell r="E291" t="str">
            <v>D26002669</v>
          </cell>
          <cell r="AP291">
            <v>0</v>
          </cell>
          <cell r="AQ291">
            <v>0</v>
          </cell>
          <cell r="AV291">
            <v>0</v>
          </cell>
        </row>
        <row r="292">
          <cell r="E292" t="str">
            <v>D26002670</v>
          </cell>
          <cell r="AP292">
            <v>0</v>
          </cell>
          <cell r="AQ292">
            <v>0</v>
          </cell>
          <cell r="AV292">
            <v>0</v>
          </cell>
        </row>
        <row r="293">
          <cell r="E293" t="str">
            <v>D26002670</v>
          </cell>
          <cell r="AP293">
            <v>0</v>
          </cell>
          <cell r="AQ293">
            <v>0</v>
          </cell>
          <cell r="AV293">
            <v>0</v>
          </cell>
        </row>
        <row r="294">
          <cell r="E294" t="str">
            <v>D26002671</v>
          </cell>
          <cell r="AP294">
            <v>0</v>
          </cell>
          <cell r="AQ294">
            <v>0</v>
          </cell>
          <cell r="AV294">
            <v>0</v>
          </cell>
        </row>
        <row r="295">
          <cell r="E295" t="str">
            <v>D26002671</v>
          </cell>
          <cell r="AP295">
            <v>0</v>
          </cell>
          <cell r="AQ295">
            <v>0</v>
          </cell>
          <cell r="AV295">
            <v>0</v>
          </cell>
        </row>
        <row r="296">
          <cell r="E296" t="str">
            <v>D26002742</v>
          </cell>
          <cell r="AP296">
            <v>0</v>
          </cell>
          <cell r="AQ296">
            <v>0</v>
          </cell>
          <cell r="AV296">
            <v>0</v>
          </cell>
        </row>
        <row r="297">
          <cell r="E297" t="str">
            <v>D26002743</v>
          </cell>
          <cell r="AP297">
            <v>0</v>
          </cell>
          <cell r="AQ297">
            <v>0</v>
          </cell>
          <cell r="AV297">
            <v>0</v>
          </cell>
        </row>
        <row r="298">
          <cell r="E298" t="str">
            <v>D26002930</v>
          </cell>
          <cell r="AP298">
            <v>0</v>
          </cell>
          <cell r="AQ298">
            <v>0</v>
          </cell>
          <cell r="AV298">
            <v>0</v>
          </cell>
        </row>
        <row r="299">
          <cell r="E299" t="str">
            <v>D26002930</v>
          </cell>
          <cell r="AP299">
            <v>0</v>
          </cell>
          <cell r="AQ299">
            <v>0</v>
          </cell>
          <cell r="AV299">
            <v>0</v>
          </cell>
        </row>
        <row r="300">
          <cell r="E300" t="str">
            <v>D26002930</v>
          </cell>
          <cell r="AP300">
            <v>0</v>
          </cell>
          <cell r="AQ300">
            <v>0</v>
          </cell>
          <cell r="AV300">
            <v>0</v>
          </cell>
        </row>
        <row r="301">
          <cell r="E301" t="str">
            <v>D26002930</v>
          </cell>
          <cell r="AP301">
            <v>0</v>
          </cell>
          <cell r="AQ301">
            <v>0</v>
          </cell>
          <cell r="AV301">
            <v>0</v>
          </cell>
        </row>
        <row r="302">
          <cell r="E302" t="str">
            <v>D26002930</v>
          </cell>
          <cell r="AP302">
            <v>0</v>
          </cell>
          <cell r="AQ302">
            <v>0</v>
          </cell>
          <cell r="AV302">
            <v>0</v>
          </cell>
        </row>
        <row r="303">
          <cell r="E303" t="str">
            <v>D26002930</v>
          </cell>
          <cell r="AP303">
            <v>0</v>
          </cell>
          <cell r="AQ303">
            <v>0</v>
          </cell>
          <cell r="AV303">
            <v>0</v>
          </cell>
        </row>
        <row r="304">
          <cell r="E304" t="str">
            <v>D26002931</v>
          </cell>
          <cell r="AP304">
            <v>0</v>
          </cell>
          <cell r="AQ304">
            <v>0</v>
          </cell>
          <cell r="AV304">
            <v>0</v>
          </cell>
        </row>
        <row r="305">
          <cell r="E305" t="str">
            <v>D26002931</v>
          </cell>
          <cell r="AP305">
            <v>0</v>
          </cell>
          <cell r="AQ305">
            <v>0</v>
          </cell>
          <cell r="AV305">
            <v>0</v>
          </cell>
        </row>
        <row r="306">
          <cell r="E306" t="str">
            <v>D26002989</v>
          </cell>
          <cell r="AP306">
            <v>0</v>
          </cell>
          <cell r="AQ306">
            <v>0</v>
          </cell>
          <cell r="AV306">
            <v>0</v>
          </cell>
        </row>
        <row r="307">
          <cell r="E307" t="str">
            <v>D26002989</v>
          </cell>
          <cell r="AP307">
            <v>0</v>
          </cell>
          <cell r="AQ307">
            <v>0</v>
          </cell>
          <cell r="AV307">
            <v>0</v>
          </cell>
        </row>
        <row r="308">
          <cell r="E308" t="str">
            <v>D26003172</v>
          </cell>
          <cell r="AP308">
            <v>0</v>
          </cell>
          <cell r="AQ308">
            <v>50000000</v>
          </cell>
          <cell r="AV308">
            <v>0</v>
          </cell>
        </row>
        <row r="309">
          <cell r="E309" t="str">
            <v>D26003172</v>
          </cell>
          <cell r="AP309">
            <v>0</v>
          </cell>
          <cell r="AQ309">
            <v>492250000</v>
          </cell>
          <cell r="AV309">
            <v>0</v>
          </cell>
        </row>
        <row r="310">
          <cell r="E310" t="str">
            <v>D26003172</v>
          </cell>
          <cell r="AP310">
            <v>0</v>
          </cell>
          <cell r="AQ310">
            <v>488000000</v>
          </cell>
          <cell r="AV310">
            <v>0</v>
          </cell>
        </row>
        <row r="311">
          <cell r="E311" t="str">
            <v>D26003172</v>
          </cell>
          <cell r="AP311">
            <v>0</v>
          </cell>
          <cell r="AQ311">
            <v>488000000</v>
          </cell>
          <cell r="AV311">
            <v>0</v>
          </cell>
        </row>
        <row r="312">
          <cell r="E312" t="str">
            <v>D26003172</v>
          </cell>
          <cell r="AP312">
            <v>0</v>
          </cell>
          <cell r="AQ312">
            <v>488000000</v>
          </cell>
          <cell r="AV312">
            <v>0</v>
          </cell>
        </row>
        <row r="313">
          <cell r="E313" t="str">
            <v>D26003172</v>
          </cell>
          <cell r="AP313">
            <v>0</v>
          </cell>
          <cell r="AQ313">
            <v>488000000</v>
          </cell>
          <cell r="AV313">
            <v>0</v>
          </cell>
        </row>
        <row r="314">
          <cell r="E314" t="str">
            <v>D25019182</v>
          </cell>
          <cell r="AP314">
            <v>0</v>
          </cell>
          <cell r="AQ314">
            <v>0</v>
          </cell>
          <cell r="AV314">
            <v>0</v>
          </cell>
        </row>
        <row r="315">
          <cell r="E315" t="str">
            <v>B25016701</v>
          </cell>
          <cell r="AP315">
            <v>0</v>
          </cell>
          <cell r="AQ315">
            <v>0</v>
          </cell>
          <cell r="AV315">
            <v>0</v>
          </cell>
        </row>
        <row r="316">
          <cell r="E316" t="str">
            <v>D26001075</v>
          </cell>
          <cell r="AP316">
            <v>0</v>
          </cell>
          <cell r="AQ316">
            <v>0</v>
          </cell>
          <cell r="AV316">
            <v>0</v>
          </cell>
        </row>
        <row r="317">
          <cell r="E317" t="str">
            <v>D26001150</v>
          </cell>
          <cell r="AP317">
            <v>0</v>
          </cell>
          <cell r="AQ317">
            <v>0</v>
          </cell>
          <cell r="AV317">
            <v>0</v>
          </cell>
        </row>
        <row r="318">
          <cell r="E318" t="str">
            <v>D26001849</v>
          </cell>
          <cell r="AP318">
            <v>0</v>
          </cell>
          <cell r="AQ318">
            <v>0</v>
          </cell>
          <cell r="AV318">
            <v>0</v>
          </cell>
        </row>
        <row r="319">
          <cell r="E319" t="str">
            <v>D26001872</v>
          </cell>
          <cell r="AP319">
            <v>0</v>
          </cell>
          <cell r="AQ319">
            <v>0</v>
          </cell>
          <cell r="AV319">
            <v>0</v>
          </cell>
        </row>
        <row r="320">
          <cell r="E320" t="str">
            <v>D26001904</v>
          </cell>
          <cell r="AP320">
            <v>0</v>
          </cell>
          <cell r="AQ320">
            <v>0</v>
          </cell>
          <cell r="AV320">
            <v>0</v>
          </cell>
        </row>
        <row r="321">
          <cell r="E321" t="str">
            <v>D26002423</v>
          </cell>
          <cell r="AP321">
            <v>0</v>
          </cell>
          <cell r="AQ321">
            <v>0</v>
          </cell>
          <cell r="AV321">
            <v>0</v>
          </cell>
        </row>
        <row r="322">
          <cell r="E322" t="str">
            <v>T26000190</v>
          </cell>
          <cell r="AP322">
            <v>0</v>
          </cell>
          <cell r="AQ322">
            <v>0</v>
          </cell>
          <cell r="AV322">
            <v>0</v>
          </cell>
        </row>
        <row r="323">
          <cell r="E323" t="str">
            <v>B26002813</v>
          </cell>
          <cell r="AP323">
            <v>0</v>
          </cell>
          <cell r="AQ323">
            <v>0</v>
          </cell>
          <cell r="AV323">
            <v>0</v>
          </cell>
        </row>
        <row r="324">
          <cell r="E324" t="str">
            <v>D26003273</v>
          </cell>
          <cell r="AP324">
            <v>0</v>
          </cell>
          <cell r="AQ324">
            <v>0</v>
          </cell>
          <cell r="AV324">
            <v>0</v>
          </cell>
        </row>
        <row r="325">
          <cell r="E325" t="str">
            <v>D26003274</v>
          </cell>
          <cell r="AP325">
            <v>0</v>
          </cell>
          <cell r="AQ325">
            <v>0</v>
          </cell>
          <cell r="AV325">
            <v>0</v>
          </cell>
        </row>
        <row r="326">
          <cell r="E326" t="str">
            <v>D26003299</v>
          </cell>
          <cell r="AP326">
            <v>0</v>
          </cell>
          <cell r="AQ326">
            <v>0</v>
          </cell>
          <cell r="AV326">
            <v>0</v>
          </cell>
        </row>
        <row r="327">
          <cell r="E327" t="str">
            <v>D26003304</v>
          </cell>
          <cell r="AP327">
            <v>0</v>
          </cell>
          <cell r="AQ327">
            <v>0</v>
          </cell>
          <cell r="AV327">
            <v>0</v>
          </cell>
        </row>
        <row r="328">
          <cell r="E328" t="str">
            <v>Z26000624</v>
          </cell>
          <cell r="AP328">
            <v>0</v>
          </cell>
          <cell r="AQ328">
            <v>0</v>
          </cell>
          <cell r="AV328">
            <v>2590000</v>
          </cell>
        </row>
        <row r="329">
          <cell r="E329" t="str">
            <v>D26003288</v>
          </cell>
          <cell r="AP329">
            <v>0</v>
          </cell>
          <cell r="AQ329">
            <v>0</v>
          </cell>
          <cell r="AV329">
            <v>0</v>
          </cell>
        </row>
        <row r="330">
          <cell r="E330" t="str">
            <v>Z26000591</v>
          </cell>
          <cell r="AP330">
            <v>0</v>
          </cell>
          <cell r="AQ330">
            <v>0</v>
          </cell>
          <cell r="AV330">
            <v>0</v>
          </cell>
        </row>
        <row r="331">
          <cell r="E331" t="str">
            <v>Z26000602</v>
          </cell>
          <cell r="AP331">
            <v>0</v>
          </cell>
          <cell r="AQ331">
            <v>0</v>
          </cell>
          <cell r="AV331">
            <v>0</v>
          </cell>
        </row>
        <row r="332">
          <cell r="E332" t="str">
            <v>T26000243</v>
          </cell>
          <cell r="AP332">
            <v>0</v>
          </cell>
          <cell r="AQ332">
            <v>0</v>
          </cell>
          <cell r="AV332">
            <v>0</v>
          </cell>
        </row>
        <row r="333">
          <cell r="E333" t="str">
            <v>T26000244</v>
          </cell>
          <cell r="AP333">
            <v>0</v>
          </cell>
          <cell r="AQ333">
            <v>0</v>
          </cell>
          <cell r="AV333">
            <v>0</v>
          </cell>
        </row>
        <row r="334">
          <cell r="E334" t="str">
            <v>B26000646</v>
          </cell>
          <cell r="AP334">
            <v>0</v>
          </cell>
          <cell r="AQ334">
            <v>0</v>
          </cell>
          <cell r="AV334">
            <v>0</v>
          </cell>
        </row>
        <row r="335">
          <cell r="E335" t="str">
            <v>B26000648</v>
          </cell>
          <cell r="AP335">
            <v>0</v>
          </cell>
          <cell r="AQ335">
            <v>0</v>
          </cell>
          <cell r="AV335">
            <v>0</v>
          </cell>
        </row>
        <row r="336">
          <cell r="E336" t="str">
            <v>B26001037</v>
          </cell>
          <cell r="AP336">
            <v>0</v>
          </cell>
          <cell r="AQ336">
            <v>0</v>
          </cell>
          <cell r="AV336">
            <v>0</v>
          </cell>
        </row>
        <row r="337">
          <cell r="E337" t="str">
            <v>B26001038</v>
          </cell>
          <cell r="AP337">
            <v>0</v>
          </cell>
          <cell r="AQ337">
            <v>0</v>
          </cell>
          <cell r="AV337">
            <v>0</v>
          </cell>
        </row>
        <row r="338">
          <cell r="E338" t="str">
            <v>B26001062</v>
          </cell>
          <cell r="AP338">
            <v>0</v>
          </cell>
          <cell r="AQ338">
            <v>0</v>
          </cell>
          <cell r="AV338">
            <v>0</v>
          </cell>
        </row>
        <row r="339">
          <cell r="E339" t="str">
            <v>D25016698</v>
          </cell>
          <cell r="AP339">
            <v>0</v>
          </cell>
          <cell r="AQ339">
            <v>0</v>
          </cell>
          <cell r="AV339">
            <v>0</v>
          </cell>
        </row>
        <row r="340">
          <cell r="E340" t="str">
            <v>D26000989</v>
          </cell>
          <cell r="AP340">
            <v>0</v>
          </cell>
          <cell r="AQ340">
            <v>0</v>
          </cell>
          <cell r="AV340">
            <v>0</v>
          </cell>
        </row>
        <row r="341">
          <cell r="E341" t="str">
            <v>D26001773</v>
          </cell>
          <cell r="AP341">
            <v>0</v>
          </cell>
          <cell r="AQ341">
            <v>0</v>
          </cell>
          <cell r="AV341">
            <v>0</v>
          </cell>
        </row>
        <row r="342">
          <cell r="E342" t="str">
            <v>B26001794</v>
          </cell>
          <cell r="AP342">
            <v>0</v>
          </cell>
          <cell r="AQ342">
            <v>0</v>
          </cell>
          <cell r="AV342">
            <v>0</v>
          </cell>
        </row>
        <row r="343">
          <cell r="E343" t="str">
            <v>B26002720</v>
          </cell>
          <cell r="AP343">
            <v>0</v>
          </cell>
          <cell r="AQ343">
            <v>0</v>
          </cell>
          <cell r="AV343">
            <v>0</v>
          </cell>
        </row>
        <row r="344">
          <cell r="E344" t="str">
            <v>B26000714</v>
          </cell>
          <cell r="AP344">
            <v>0</v>
          </cell>
          <cell r="AQ344">
            <v>0</v>
          </cell>
          <cell r="AV344">
            <v>0</v>
          </cell>
        </row>
        <row r="345">
          <cell r="E345" t="str">
            <v>D26002456</v>
          </cell>
          <cell r="AP345">
            <v>0</v>
          </cell>
          <cell r="AQ345">
            <v>0</v>
          </cell>
          <cell r="AV345">
            <v>0</v>
          </cell>
        </row>
        <row r="346">
          <cell r="E346" t="str">
            <v>D26002953</v>
          </cell>
          <cell r="AP346">
            <v>0</v>
          </cell>
          <cell r="AQ346">
            <v>0</v>
          </cell>
          <cell r="AV346">
            <v>0</v>
          </cell>
        </row>
        <row r="347">
          <cell r="E347" t="str">
            <v>D25006386</v>
          </cell>
          <cell r="AP347">
            <v>0</v>
          </cell>
          <cell r="AQ347">
            <v>0</v>
          </cell>
          <cell r="AV347">
            <v>0</v>
          </cell>
        </row>
        <row r="348">
          <cell r="E348" t="str">
            <v>D26000905</v>
          </cell>
          <cell r="AP348">
            <v>0</v>
          </cell>
          <cell r="AQ348">
            <v>0</v>
          </cell>
          <cell r="AV348">
            <v>0</v>
          </cell>
        </row>
        <row r="349">
          <cell r="E349" t="str">
            <v>B26001177</v>
          </cell>
          <cell r="AP349">
            <v>0</v>
          </cell>
          <cell r="AQ349">
            <v>0</v>
          </cell>
          <cell r="AV349">
            <v>0</v>
          </cell>
        </row>
        <row r="350">
          <cell r="E350" t="str">
            <v>D26001671</v>
          </cell>
          <cell r="AP350">
            <v>0</v>
          </cell>
          <cell r="AQ350">
            <v>0</v>
          </cell>
          <cell r="AV350">
            <v>0</v>
          </cell>
        </row>
        <row r="351">
          <cell r="E351" t="str">
            <v>B26001724</v>
          </cell>
          <cell r="AP351">
            <v>0</v>
          </cell>
          <cell r="AQ351">
            <v>0</v>
          </cell>
          <cell r="AV351">
            <v>0</v>
          </cell>
        </row>
        <row r="352">
          <cell r="E352" t="str">
            <v>B26002319</v>
          </cell>
          <cell r="AP352">
            <v>0</v>
          </cell>
          <cell r="AQ352">
            <v>0</v>
          </cell>
          <cell r="AV352">
            <v>0</v>
          </cell>
        </row>
        <row r="353">
          <cell r="E353" t="str">
            <v>B26000151</v>
          </cell>
          <cell r="AP353">
            <v>0</v>
          </cell>
          <cell r="AQ353">
            <v>0</v>
          </cell>
          <cell r="AV353">
            <v>2500000</v>
          </cell>
        </row>
        <row r="354">
          <cell r="E354" t="str">
            <v>B26001557</v>
          </cell>
          <cell r="AP354">
            <v>0</v>
          </cell>
          <cell r="AQ354">
            <v>0</v>
          </cell>
          <cell r="AV354">
            <v>0</v>
          </cell>
        </row>
        <row r="355">
          <cell r="E355" t="str">
            <v>D26001708</v>
          </cell>
          <cell r="AP355">
            <v>0</v>
          </cell>
          <cell r="AQ355">
            <v>0</v>
          </cell>
          <cell r="AV355">
            <v>0</v>
          </cell>
        </row>
        <row r="356">
          <cell r="E356" t="str">
            <v>D25019679</v>
          </cell>
          <cell r="AP356">
            <v>0</v>
          </cell>
          <cell r="AQ356">
            <v>0</v>
          </cell>
          <cell r="AV356">
            <v>0</v>
          </cell>
        </row>
        <row r="357">
          <cell r="E357" t="str">
            <v>D25019723</v>
          </cell>
          <cell r="AP357">
            <v>0</v>
          </cell>
          <cell r="AQ357">
            <v>0</v>
          </cell>
          <cell r="AV357">
            <v>0</v>
          </cell>
        </row>
        <row r="358">
          <cell r="E358" t="str">
            <v>B26000334</v>
          </cell>
          <cell r="AP358">
            <v>0</v>
          </cell>
          <cell r="AQ358">
            <v>0</v>
          </cell>
          <cell r="AV358">
            <v>0</v>
          </cell>
        </row>
        <row r="359">
          <cell r="E359" t="str">
            <v>B26000384</v>
          </cell>
          <cell r="AP359">
            <v>0</v>
          </cell>
          <cell r="AQ359">
            <v>0</v>
          </cell>
          <cell r="AV359">
            <v>0</v>
          </cell>
        </row>
        <row r="360">
          <cell r="E360" t="str">
            <v>B26000390</v>
          </cell>
          <cell r="AP360">
            <v>0</v>
          </cell>
          <cell r="AQ360">
            <v>0</v>
          </cell>
          <cell r="AV360">
            <v>0</v>
          </cell>
        </row>
        <row r="361">
          <cell r="E361" t="str">
            <v>B26000860</v>
          </cell>
          <cell r="AP361">
            <v>0</v>
          </cell>
          <cell r="AQ361">
            <v>0</v>
          </cell>
          <cell r="AV361">
            <v>0</v>
          </cell>
        </row>
        <row r="362">
          <cell r="E362" t="str">
            <v>D26002031</v>
          </cell>
          <cell r="AP362">
            <v>0</v>
          </cell>
          <cell r="AQ362">
            <v>0</v>
          </cell>
          <cell r="AV362">
            <v>0</v>
          </cell>
        </row>
        <row r="363">
          <cell r="E363" t="str">
            <v>D26002105</v>
          </cell>
          <cell r="AP363">
            <v>0</v>
          </cell>
          <cell r="AQ363">
            <v>0</v>
          </cell>
          <cell r="AV363">
            <v>0</v>
          </cell>
        </row>
        <row r="364">
          <cell r="E364" t="str">
            <v>D26002145</v>
          </cell>
          <cell r="AP364">
            <v>0</v>
          </cell>
          <cell r="AQ364">
            <v>0</v>
          </cell>
          <cell r="AV364">
            <v>0</v>
          </cell>
        </row>
        <row r="365">
          <cell r="E365" t="str">
            <v>D26002163</v>
          </cell>
          <cell r="AP365">
            <v>0</v>
          </cell>
          <cell r="AQ365">
            <v>0</v>
          </cell>
          <cell r="AV365">
            <v>0</v>
          </cell>
        </row>
        <row r="366">
          <cell r="E366" t="str">
            <v>B26002669</v>
          </cell>
          <cell r="AP366">
            <v>0</v>
          </cell>
          <cell r="AQ366">
            <v>0</v>
          </cell>
          <cell r="AV366">
            <v>0</v>
          </cell>
        </row>
        <row r="367">
          <cell r="E367" t="str">
            <v>D26001756</v>
          </cell>
          <cell r="AP367">
            <v>0</v>
          </cell>
          <cell r="AQ367">
            <v>0</v>
          </cell>
          <cell r="AV367">
            <v>900000</v>
          </cell>
        </row>
        <row r="368">
          <cell r="E368" t="str">
            <v>D26001757</v>
          </cell>
          <cell r="AP368">
            <v>0</v>
          </cell>
          <cell r="AQ368">
            <v>0</v>
          </cell>
          <cell r="AV368">
            <v>0</v>
          </cell>
        </row>
        <row r="369">
          <cell r="E369" t="str">
            <v>D26003278</v>
          </cell>
          <cell r="AP369">
            <v>0</v>
          </cell>
          <cell r="AQ369">
            <v>0</v>
          </cell>
          <cell r="AV369">
            <v>0</v>
          </cell>
        </row>
        <row r="370">
          <cell r="E370" t="str">
            <v>D26003103</v>
          </cell>
          <cell r="AP370">
            <v>0</v>
          </cell>
          <cell r="AQ370">
            <v>0</v>
          </cell>
          <cell r="AV370">
            <v>0</v>
          </cell>
        </row>
        <row r="371">
          <cell r="E371" t="str">
            <v>D26003276</v>
          </cell>
          <cell r="AP371">
            <v>0</v>
          </cell>
          <cell r="AQ371">
            <v>0</v>
          </cell>
          <cell r="AV371">
            <v>0</v>
          </cell>
        </row>
        <row r="372">
          <cell r="E372" t="str">
            <v>Z26000031</v>
          </cell>
          <cell r="AP372">
            <v>0</v>
          </cell>
          <cell r="AQ372">
            <v>0</v>
          </cell>
          <cell r="AV372">
            <v>0</v>
          </cell>
        </row>
        <row r="373">
          <cell r="E373" t="str">
            <v>Z26000511</v>
          </cell>
          <cell r="AP373">
            <v>0</v>
          </cell>
          <cell r="AQ373">
            <v>0</v>
          </cell>
          <cell r="AV373">
            <v>0</v>
          </cell>
        </row>
        <row r="374">
          <cell r="E374" t="str">
            <v>B25012277</v>
          </cell>
          <cell r="AP374">
            <v>0</v>
          </cell>
          <cell r="AQ374">
            <v>0</v>
          </cell>
          <cell r="AV374">
            <v>0</v>
          </cell>
        </row>
        <row r="375">
          <cell r="E375" t="str">
            <v>B25016665</v>
          </cell>
          <cell r="AP375">
            <v>0</v>
          </cell>
          <cell r="AQ375">
            <v>0</v>
          </cell>
          <cell r="AV375">
            <v>0</v>
          </cell>
        </row>
        <row r="376">
          <cell r="E376" t="str">
            <v>D25019575</v>
          </cell>
          <cell r="AP376">
            <v>0</v>
          </cell>
          <cell r="AQ376">
            <v>0</v>
          </cell>
          <cell r="AV376">
            <v>0</v>
          </cell>
        </row>
        <row r="377">
          <cell r="E377" t="str">
            <v>D26000527</v>
          </cell>
          <cell r="AP377">
            <v>0</v>
          </cell>
          <cell r="AQ377">
            <v>0</v>
          </cell>
          <cell r="AV377">
            <v>0</v>
          </cell>
        </row>
        <row r="378">
          <cell r="E378" t="str">
            <v>D26000528</v>
          </cell>
          <cell r="AP378">
            <v>0</v>
          </cell>
          <cell r="AQ378">
            <v>0</v>
          </cell>
          <cell r="AV378">
            <v>0</v>
          </cell>
        </row>
        <row r="379">
          <cell r="E379" t="str">
            <v>D26000537</v>
          </cell>
          <cell r="AP379">
            <v>0</v>
          </cell>
          <cell r="AQ379">
            <v>0</v>
          </cell>
          <cell r="AV379">
            <v>0</v>
          </cell>
        </row>
        <row r="380">
          <cell r="E380" t="str">
            <v>B26000535</v>
          </cell>
          <cell r="AP380">
            <v>0</v>
          </cell>
          <cell r="AQ380">
            <v>0</v>
          </cell>
          <cell r="AV380">
            <v>0</v>
          </cell>
        </row>
        <row r="381">
          <cell r="E381" t="str">
            <v>D26000574</v>
          </cell>
          <cell r="AP381">
            <v>0</v>
          </cell>
          <cell r="AQ381">
            <v>0</v>
          </cell>
          <cell r="AV381">
            <v>0</v>
          </cell>
        </row>
        <row r="382">
          <cell r="E382" t="str">
            <v>B26000909</v>
          </cell>
          <cell r="AP382">
            <v>0</v>
          </cell>
          <cell r="AQ382">
            <v>0</v>
          </cell>
          <cell r="AV382">
            <v>0</v>
          </cell>
        </row>
        <row r="383">
          <cell r="E383" t="str">
            <v>B26000910</v>
          </cell>
          <cell r="AP383">
            <v>0</v>
          </cell>
          <cell r="AQ383">
            <v>0</v>
          </cell>
          <cell r="AV383">
            <v>0</v>
          </cell>
        </row>
        <row r="384">
          <cell r="E384" t="str">
            <v>D26000998</v>
          </cell>
          <cell r="AP384">
            <v>0</v>
          </cell>
          <cell r="AQ384">
            <v>0</v>
          </cell>
          <cell r="AV384">
            <v>0</v>
          </cell>
        </row>
        <row r="385">
          <cell r="E385" t="str">
            <v>D26001168</v>
          </cell>
          <cell r="AP385">
            <v>0</v>
          </cell>
          <cell r="AQ385">
            <v>0</v>
          </cell>
          <cell r="AV385">
            <v>0</v>
          </cell>
        </row>
        <row r="386">
          <cell r="E386" t="str">
            <v>D26001203</v>
          </cell>
          <cell r="AP386">
            <v>0</v>
          </cell>
          <cell r="AQ386">
            <v>0</v>
          </cell>
          <cell r="AV386">
            <v>0</v>
          </cell>
        </row>
        <row r="387">
          <cell r="E387" t="str">
            <v>B26001335</v>
          </cell>
          <cell r="AP387">
            <v>0</v>
          </cell>
          <cell r="AQ387">
            <v>0</v>
          </cell>
          <cell r="AV387">
            <v>0</v>
          </cell>
        </row>
        <row r="388">
          <cell r="E388" t="str">
            <v>B26001404</v>
          </cell>
          <cell r="AP388">
            <v>0</v>
          </cell>
          <cell r="AQ388">
            <v>0</v>
          </cell>
          <cell r="AV388">
            <v>0</v>
          </cell>
        </row>
        <row r="389">
          <cell r="E389" t="str">
            <v>B26001514</v>
          </cell>
          <cell r="AP389">
            <v>0</v>
          </cell>
          <cell r="AQ389">
            <v>0</v>
          </cell>
          <cell r="AV389">
            <v>0</v>
          </cell>
        </row>
        <row r="390">
          <cell r="E390" t="str">
            <v>B26001516</v>
          </cell>
          <cell r="AP390">
            <v>0</v>
          </cell>
          <cell r="AQ390">
            <v>0</v>
          </cell>
          <cell r="AV390">
            <v>0</v>
          </cell>
        </row>
        <row r="391">
          <cell r="E391" t="str">
            <v>B26001549</v>
          </cell>
          <cell r="AP391">
            <v>0</v>
          </cell>
          <cell r="AQ391">
            <v>0</v>
          </cell>
          <cell r="AV391">
            <v>0</v>
          </cell>
        </row>
        <row r="392">
          <cell r="E392" t="str">
            <v>D26001806</v>
          </cell>
          <cell r="AP392">
            <v>0</v>
          </cell>
          <cell r="AQ392">
            <v>0</v>
          </cell>
          <cell r="AV392">
            <v>0</v>
          </cell>
        </row>
        <row r="393">
          <cell r="E393" t="str">
            <v>D26001818</v>
          </cell>
          <cell r="AP393">
            <v>0</v>
          </cell>
          <cell r="AQ393">
            <v>0</v>
          </cell>
          <cell r="AV393">
            <v>0</v>
          </cell>
        </row>
        <row r="394">
          <cell r="E394">
            <v>260011</v>
          </cell>
          <cell r="AP394">
            <v>0</v>
          </cell>
          <cell r="AQ394">
            <v>0</v>
          </cell>
          <cell r="AV394">
            <v>0</v>
          </cell>
        </row>
        <row r="395">
          <cell r="E395" t="str">
            <v>D26002028</v>
          </cell>
          <cell r="AP395">
            <v>0</v>
          </cell>
          <cell r="AQ395">
            <v>0</v>
          </cell>
          <cell r="AV395">
            <v>0</v>
          </cell>
        </row>
        <row r="396">
          <cell r="E396" t="str">
            <v>D26002057</v>
          </cell>
          <cell r="AP396">
            <v>0</v>
          </cell>
          <cell r="AQ396">
            <v>0</v>
          </cell>
          <cell r="AV396">
            <v>0</v>
          </cell>
        </row>
        <row r="397">
          <cell r="E397" t="str">
            <v>D26002189</v>
          </cell>
          <cell r="AP397">
            <v>0</v>
          </cell>
          <cell r="AQ397">
            <v>0</v>
          </cell>
          <cell r="AV397">
            <v>0</v>
          </cell>
        </row>
        <row r="398">
          <cell r="E398" t="str">
            <v>D26002190</v>
          </cell>
          <cell r="AP398">
            <v>0</v>
          </cell>
          <cell r="AQ398">
            <v>0</v>
          </cell>
          <cell r="AV398">
            <v>0</v>
          </cell>
        </row>
        <row r="399">
          <cell r="E399" t="str">
            <v>B26002541</v>
          </cell>
          <cell r="AP399">
            <v>0</v>
          </cell>
          <cell r="AQ399">
            <v>0</v>
          </cell>
          <cell r="AV399">
            <v>0</v>
          </cell>
        </row>
        <row r="400">
          <cell r="E400" t="str">
            <v>B26002542</v>
          </cell>
          <cell r="AP400">
            <v>0</v>
          </cell>
          <cell r="AQ400">
            <v>0</v>
          </cell>
          <cell r="AV400">
            <v>0</v>
          </cell>
        </row>
        <row r="401">
          <cell r="E401" t="str">
            <v>B26002627</v>
          </cell>
          <cell r="AP401">
            <v>0</v>
          </cell>
          <cell r="AQ401">
            <v>0</v>
          </cell>
          <cell r="AV401">
            <v>0</v>
          </cell>
        </row>
        <row r="402">
          <cell r="E402" t="str">
            <v>B26002628</v>
          </cell>
          <cell r="AP402">
            <v>0</v>
          </cell>
          <cell r="AQ402">
            <v>0</v>
          </cell>
          <cell r="AV402">
            <v>0</v>
          </cell>
        </row>
        <row r="403">
          <cell r="E403" t="str">
            <v>B26002630</v>
          </cell>
          <cell r="AP403">
            <v>0</v>
          </cell>
          <cell r="AQ403">
            <v>0</v>
          </cell>
          <cell r="AV403">
            <v>0</v>
          </cell>
        </row>
        <row r="404">
          <cell r="E404" t="str">
            <v>D26002957</v>
          </cell>
          <cell r="AP404">
            <v>0</v>
          </cell>
          <cell r="AQ404">
            <v>0</v>
          </cell>
          <cell r="AV404">
            <v>0</v>
          </cell>
        </row>
        <row r="405">
          <cell r="E405" t="str">
            <v>D26003262</v>
          </cell>
          <cell r="AP405">
            <v>0</v>
          </cell>
          <cell r="AQ405">
            <v>0</v>
          </cell>
          <cell r="AV405">
            <v>0</v>
          </cell>
        </row>
        <row r="406">
          <cell r="E406" t="str">
            <v>D26003268</v>
          </cell>
          <cell r="AP406">
            <v>0</v>
          </cell>
          <cell r="AQ406">
            <v>0</v>
          </cell>
          <cell r="AV406">
            <v>0</v>
          </cell>
        </row>
        <row r="407">
          <cell r="E407" t="str">
            <v>D26003279</v>
          </cell>
          <cell r="AP407">
            <v>0</v>
          </cell>
          <cell r="AQ407">
            <v>0</v>
          </cell>
          <cell r="AV407">
            <v>0</v>
          </cell>
        </row>
        <row r="408">
          <cell r="E408" t="str">
            <v>D26003296</v>
          </cell>
          <cell r="AP408">
            <v>0</v>
          </cell>
          <cell r="AQ408">
            <v>0</v>
          </cell>
          <cell r="AV408">
            <v>0</v>
          </cell>
        </row>
        <row r="409">
          <cell r="E409" t="str">
            <v>D26003297</v>
          </cell>
          <cell r="AP409">
            <v>0</v>
          </cell>
          <cell r="AQ409">
            <v>0</v>
          </cell>
          <cell r="AV409">
            <v>0</v>
          </cell>
        </row>
        <row r="410">
          <cell r="E410" t="str">
            <v>D26003324</v>
          </cell>
          <cell r="AP410">
            <v>0</v>
          </cell>
          <cell r="AQ410">
            <v>0</v>
          </cell>
          <cell r="AV410">
            <v>0</v>
          </cell>
        </row>
        <row r="411">
          <cell r="E411" t="str">
            <v>Z26000359</v>
          </cell>
          <cell r="AP411">
            <v>0</v>
          </cell>
          <cell r="AQ411">
            <v>0</v>
          </cell>
          <cell r="AV411">
            <v>0</v>
          </cell>
        </row>
        <row r="412">
          <cell r="E412" t="str">
            <v>D26001473</v>
          </cell>
          <cell r="AP412">
            <v>0</v>
          </cell>
          <cell r="AQ412">
            <v>0</v>
          </cell>
          <cell r="AV412">
            <v>0</v>
          </cell>
        </row>
        <row r="413">
          <cell r="E413" t="str">
            <v>D26001474</v>
          </cell>
          <cell r="AP413">
            <v>0</v>
          </cell>
          <cell r="AQ413">
            <v>0</v>
          </cell>
          <cell r="AV413">
            <v>0</v>
          </cell>
        </row>
        <row r="414">
          <cell r="E414" t="str">
            <v>B26001423</v>
          </cell>
          <cell r="AP414">
            <v>0</v>
          </cell>
          <cell r="AQ414">
            <v>0</v>
          </cell>
          <cell r="AV414">
            <v>0</v>
          </cell>
        </row>
        <row r="415">
          <cell r="E415" t="str">
            <v>D26002590</v>
          </cell>
          <cell r="AP415">
            <v>0</v>
          </cell>
          <cell r="AQ415">
            <v>0</v>
          </cell>
          <cell r="AV415">
            <v>0</v>
          </cell>
        </row>
        <row r="416">
          <cell r="E416" t="str">
            <v>D26002902</v>
          </cell>
          <cell r="AP416">
            <v>0</v>
          </cell>
          <cell r="AQ416">
            <v>0</v>
          </cell>
          <cell r="AV416">
            <v>0</v>
          </cell>
        </row>
        <row r="417">
          <cell r="E417" t="str">
            <v>T25001848</v>
          </cell>
          <cell r="AP417">
            <v>0</v>
          </cell>
          <cell r="AQ417">
            <v>0</v>
          </cell>
          <cell r="AV417">
            <v>3700000</v>
          </cell>
        </row>
        <row r="418">
          <cell r="E418" t="str">
            <v>D26000419</v>
          </cell>
          <cell r="AP418">
            <v>0</v>
          </cell>
          <cell r="AQ418">
            <v>0</v>
          </cell>
          <cell r="AV418">
            <v>0</v>
          </cell>
        </row>
        <row r="419">
          <cell r="E419" t="str">
            <v>B26000844</v>
          </cell>
          <cell r="AP419">
            <v>0</v>
          </cell>
          <cell r="AQ419">
            <v>0</v>
          </cell>
          <cell r="AV419">
            <v>0</v>
          </cell>
        </row>
        <row r="420">
          <cell r="E420" t="str">
            <v>B26001355</v>
          </cell>
          <cell r="AP420">
            <v>0</v>
          </cell>
          <cell r="AQ420">
            <v>0</v>
          </cell>
          <cell r="AV420">
            <v>0</v>
          </cell>
        </row>
        <row r="421">
          <cell r="E421" t="str">
            <v>D26001483</v>
          </cell>
          <cell r="AP421">
            <v>0</v>
          </cell>
          <cell r="AQ421">
            <v>0</v>
          </cell>
          <cell r="AV421">
            <v>0</v>
          </cell>
        </row>
        <row r="422">
          <cell r="E422" t="str">
            <v>D26001484</v>
          </cell>
          <cell r="AP422">
            <v>0</v>
          </cell>
          <cell r="AQ422">
            <v>0</v>
          </cell>
          <cell r="AV422">
            <v>0</v>
          </cell>
        </row>
        <row r="423">
          <cell r="E423" t="str">
            <v>D26003152</v>
          </cell>
          <cell r="AP423">
            <v>0</v>
          </cell>
          <cell r="AQ423">
            <v>0</v>
          </cell>
          <cell r="AV423">
            <v>0</v>
          </cell>
        </row>
        <row r="424">
          <cell r="E424" t="str">
            <v>D26001647</v>
          </cell>
          <cell r="AP424">
            <v>0</v>
          </cell>
          <cell r="AQ424">
            <v>0</v>
          </cell>
          <cell r="AV424">
            <v>0</v>
          </cell>
        </row>
        <row r="425">
          <cell r="E425" t="str">
            <v>R25000117</v>
          </cell>
          <cell r="AP425">
            <v>0</v>
          </cell>
          <cell r="AQ425">
            <v>0</v>
          </cell>
          <cell r="AV425">
            <v>0</v>
          </cell>
        </row>
        <row r="426">
          <cell r="E426" t="str">
            <v>R25000118</v>
          </cell>
          <cell r="AP426">
            <v>0</v>
          </cell>
          <cell r="AQ426">
            <v>0</v>
          </cell>
          <cell r="AV426">
            <v>0</v>
          </cell>
        </row>
        <row r="427">
          <cell r="E427" t="str">
            <v>R25000119</v>
          </cell>
          <cell r="AP427">
            <v>0</v>
          </cell>
          <cell r="AQ427">
            <v>0</v>
          </cell>
          <cell r="AV427">
            <v>0</v>
          </cell>
        </row>
        <row r="428">
          <cell r="E428" t="str">
            <v>R25000122</v>
          </cell>
          <cell r="AP428">
            <v>0</v>
          </cell>
          <cell r="AQ428">
            <v>0</v>
          </cell>
          <cell r="AV428">
            <v>0</v>
          </cell>
        </row>
        <row r="429">
          <cell r="E429" t="str">
            <v>R25000123</v>
          </cell>
          <cell r="AP429">
            <v>0</v>
          </cell>
          <cell r="AQ429">
            <v>0</v>
          </cell>
          <cell r="AV429">
            <v>0</v>
          </cell>
        </row>
        <row r="430">
          <cell r="E430" t="str">
            <v>R25000124</v>
          </cell>
          <cell r="AP430">
            <v>0</v>
          </cell>
          <cell r="AQ430">
            <v>0</v>
          </cell>
          <cell r="AV430">
            <v>0</v>
          </cell>
        </row>
        <row r="431">
          <cell r="E431" t="str">
            <v>R25000128</v>
          </cell>
          <cell r="AP431">
            <v>0</v>
          </cell>
          <cell r="AQ431">
            <v>0</v>
          </cell>
          <cell r="AV431">
            <v>0</v>
          </cell>
        </row>
        <row r="432">
          <cell r="E432" t="str">
            <v>R25000135</v>
          </cell>
          <cell r="AP432">
            <v>0</v>
          </cell>
          <cell r="AQ432">
            <v>0</v>
          </cell>
          <cell r="AV432">
            <v>0</v>
          </cell>
        </row>
        <row r="433">
          <cell r="E433" t="str">
            <v>R25000136</v>
          </cell>
          <cell r="AP433">
            <v>0</v>
          </cell>
          <cell r="AQ433">
            <v>0</v>
          </cell>
          <cell r="AV433">
            <v>0</v>
          </cell>
        </row>
        <row r="434">
          <cell r="E434" t="str">
            <v>R25000137</v>
          </cell>
          <cell r="AP434">
            <v>0</v>
          </cell>
          <cell r="AQ434">
            <v>0</v>
          </cell>
          <cell r="AV434">
            <v>0</v>
          </cell>
        </row>
        <row r="435">
          <cell r="E435" t="str">
            <v>R25000138</v>
          </cell>
          <cell r="AP435">
            <v>0</v>
          </cell>
          <cell r="AQ435">
            <v>0</v>
          </cell>
          <cell r="AV435">
            <v>0</v>
          </cell>
        </row>
        <row r="436">
          <cell r="E436" t="str">
            <v>R25000139</v>
          </cell>
          <cell r="AP436">
            <v>0</v>
          </cell>
          <cell r="AQ436">
            <v>0</v>
          </cell>
          <cell r="AV436">
            <v>0</v>
          </cell>
        </row>
        <row r="437">
          <cell r="E437" t="str">
            <v>R25000140</v>
          </cell>
          <cell r="AP437">
            <v>0</v>
          </cell>
          <cell r="AQ437">
            <v>0</v>
          </cell>
          <cell r="AV437">
            <v>0</v>
          </cell>
        </row>
        <row r="438">
          <cell r="E438" t="str">
            <v>R26000007</v>
          </cell>
          <cell r="AP438">
            <v>0</v>
          </cell>
          <cell r="AQ438">
            <v>0</v>
          </cell>
          <cell r="AV438">
            <v>0</v>
          </cell>
        </row>
        <row r="439">
          <cell r="E439" t="str">
            <v>R26000009</v>
          </cell>
          <cell r="AP439">
            <v>0</v>
          </cell>
          <cell r="AQ439">
            <v>0</v>
          </cell>
          <cell r="AV439">
            <v>0</v>
          </cell>
        </row>
        <row r="440">
          <cell r="E440" t="str">
            <v>R26000010</v>
          </cell>
          <cell r="AP440">
            <v>0</v>
          </cell>
          <cell r="AQ440">
            <v>0</v>
          </cell>
          <cell r="AV440">
            <v>0</v>
          </cell>
        </row>
        <row r="441">
          <cell r="E441" t="str">
            <v>R26000011</v>
          </cell>
          <cell r="AP441">
            <v>0</v>
          </cell>
          <cell r="AQ441">
            <v>0</v>
          </cell>
          <cell r="AV441">
            <v>0</v>
          </cell>
        </row>
        <row r="442">
          <cell r="E442" t="str">
            <v>R26000012</v>
          </cell>
          <cell r="AP442">
            <v>0</v>
          </cell>
          <cell r="AQ442">
            <v>0</v>
          </cell>
          <cell r="AV442">
            <v>0</v>
          </cell>
        </row>
        <row r="443">
          <cell r="E443" t="str">
            <v>R26000013</v>
          </cell>
          <cell r="AP443">
            <v>0</v>
          </cell>
          <cell r="AQ443">
            <v>0</v>
          </cell>
          <cell r="AV443">
            <v>0</v>
          </cell>
        </row>
        <row r="444">
          <cell r="E444" t="str">
            <v>D25017747</v>
          </cell>
          <cell r="AP444">
            <v>0</v>
          </cell>
          <cell r="AQ444">
            <v>0</v>
          </cell>
          <cell r="AV444">
            <v>0</v>
          </cell>
        </row>
        <row r="445">
          <cell r="E445" t="str">
            <v>D25019190</v>
          </cell>
          <cell r="AP445">
            <v>0</v>
          </cell>
          <cell r="AQ445">
            <v>0</v>
          </cell>
          <cell r="AV445">
            <v>0</v>
          </cell>
        </row>
        <row r="446">
          <cell r="E446" t="str">
            <v>B26003036</v>
          </cell>
          <cell r="AP446">
            <v>0</v>
          </cell>
          <cell r="AQ446">
            <v>0</v>
          </cell>
          <cell r="AV446">
            <v>0</v>
          </cell>
        </row>
        <row r="447">
          <cell r="E447" t="str">
            <v>D25017981</v>
          </cell>
          <cell r="AP447">
            <v>0</v>
          </cell>
          <cell r="AQ447">
            <v>0</v>
          </cell>
          <cell r="AV447">
            <v>0</v>
          </cell>
        </row>
        <row r="448">
          <cell r="E448" t="str">
            <v>D25019585</v>
          </cell>
          <cell r="AP448">
            <v>0</v>
          </cell>
          <cell r="AQ448">
            <v>0</v>
          </cell>
          <cell r="AV448">
            <v>0</v>
          </cell>
        </row>
        <row r="449">
          <cell r="E449" t="str">
            <v>T26000022</v>
          </cell>
          <cell r="AP449">
            <v>0</v>
          </cell>
          <cell r="AQ449">
            <v>0</v>
          </cell>
          <cell r="AV449">
            <v>0</v>
          </cell>
        </row>
        <row r="450">
          <cell r="E450" t="str">
            <v>D26002532</v>
          </cell>
          <cell r="AP450">
            <v>0</v>
          </cell>
          <cell r="AQ450">
            <v>0</v>
          </cell>
          <cell r="AV450">
            <v>0</v>
          </cell>
        </row>
        <row r="451">
          <cell r="E451" t="str">
            <v>B26002957</v>
          </cell>
          <cell r="AP451">
            <v>0</v>
          </cell>
          <cell r="AQ451">
            <v>0</v>
          </cell>
          <cell r="AV451">
            <v>5560000</v>
          </cell>
        </row>
        <row r="452">
          <cell r="E452" t="str">
            <v>D26001737</v>
          </cell>
          <cell r="AP452">
            <v>0</v>
          </cell>
          <cell r="AQ452">
            <v>0</v>
          </cell>
          <cell r="AV452">
            <v>0</v>
          </cell>
        </row>
        <row r="453">
          <cell r="E453" t="str">
            <v>D26002458</v>
          </cell>
          <cell r="AP453">
            <v>0</v>
          </cell>
          <cell r="AQ453">
            <v>0</v>
          </cell>
          <cell r="AV453">
            <v>0</v>
          </cell>
        </row>
        <row r="454">
          <cell r="E454" t="str">
            <v>D26003120</v>
          </cell>
          <cell r="AP454">
            <v>0</v>
          </cell>
          <cell r="AQ454">
            <v>0</v>
          </cell>
          <cell r="AV454">
            <v>0</v>
          </cell>
        </row>
        <row r="455">
          <cell r="E455" t="str">
            <v>D26003270</v>
          </cell>
          <cell r="AP455">
            <v>0</v>
          </cell>
          <cell r="AQ455">
            <v>0</v>
          </cell>
          <cell r="AV455">
            <v>0</v>
          </cell>
        </row>
        <row r="456">
          <cell r="E456" t="str">
            <v>B26000883</v>
          </cell>
          <cell r="AP456">
            <v>0</v>
          </cell>
          <cell r="AQ456">
            <v>0</v>
          </cell>
          <cell r="AV456">
            <v>0</v>
          </cell>
        </row>
        <row r="457">
          <cell r="E457" t="str">
            <v>B26002556</v>
          </cell>
          <cell r="AP457">
            <v>0</v>
          </cell>
          <cell r="AQ457">
            <v>0</v>
          </cell>
          <cell r="AV457">
            <v>0</v>
          </cell>
        </row>
        <row r="458">
          <cell r="E458" t="str">
            <v>T25001847</v>
          </cell>
          <cell r="AP458">
            <v>0</v>
          </cell>
          <cell r="AQ458">
            <v>0</v>
          </cell>
          <cell r="AV458">
            <v>0</v>
          </cell>
        </row>
        <row r="459">
          <cell r="E459" t="str">
            <v>D25017632</v>
          </cell>
          <cell r="AP459">
            <v>0</v>
          </cell>
          <cell r="AQ459">
            <v>0</v>
          </cell>
          <cell r="AV459">
            <v>0</v>
          </cell>
        </row>
        <row r="460">
          <cell r="E460" t="str">
            <v>B25015486</v>
          </cell>
          <cell r="AP460">
            <v>0</v>
          </cell>
          <cell r="AQ460">
            <v>0</v>
          </cell>
          <cell r="AV460">
            <v>0</v>
          </cell>
        </row>
        <row r="461">
          <cell r="E461" t="str">
            <v>B25016160</v>
          </cell>
          <cell r="AP461">
            <v>0</v>
          </cell>
          <cell r="AQ461">
            <v>0</v>
          </cell>
          <cell r="AV461">
            <v>0</v>
          </cell>
        </row>
        <row r="462">
          <cell r="E462" t="str">
            <v>B25016541</v>
          </cell>
          <cell r="AP462">
            <v>0</v>
          </cell>
          <cell r="AQ462">
            <v>0</v>
          </cell>
          <cell r="AV462">
            <v>0</v>
          </cell>
        </row>
        <row r="463">
          <cell r="E463" t="str">
            <v>D25019609</v>
          </cell>
          <cell r="AP463">
            <v>0</v>
          </cell>
          <cell r="AQ463">
            <v>0</v>
          </cell>
          <cell r="AV463">
            <v>0</v>
          </cell>
        </row>
        <row r="464">
          <cell r="E464" t="str">
            <v>B26000809</v>
          </cell>
          <cell r="AP464">
            <v>0</v>
          </cell>
          <cell r="AQ464">
            <v>0</v>
          </cell>
          <cell r="AV464">
            <v>0</v>
          </cell>
        </row>
        <row r="465">
          <cell r="E465" t="str">
            <v>B26001272</v>
          </cell>
          <cell r="AP465">
            <v>0</v>
          </cell>
          <cell r="AQ465">
            <v>0</v>
          </cell>
          <cell r="AV465">
            <v>0</v>
          </cell>
        </row>
        <row r="466">
          <cell r="E466" t="str">
            <v>D26002126</v>
          </cell>
          <cell r="AP466">
            <v>0</v>
          </cell>
          <cell r="AQ466">
            <v>0</v>
          </cell>
          <cell r="AV466">
            <v>0</v>
          </cell>
        </row>
        <row r="467">
          <cell r="E467" t="str">
            <v>D26002127</v>
          </cell>
          <cell r="AP467">
            <v>0</v>
          </cell>
          <cell r="AQ467">
            <v>0</v>
          </cell>
          <cell r="AV467">
            <v>0</v>
          </cell>
        </row>
        <row r="468">
          <cell r="E468" t="str">
            <v>D26002853</v>
          </cell>
          <cell r="AP468">
            <v>0</v>
          </cell>
          <cell r="AQ468">
            <v>0</v>
          </cell>
          <cell r="AV468">
            <v>0</v>
          </cell>
        </row>
        <row r="469">
          <cell r="E469" t="str">
            <v>B26003031</v>
          </cell>
          <cell r="AP469">
            <v>0</v>
          </cell>
          <cell r="AQ469">
            <v>0</v>
          </cell>
          <cell r="AV469">
            <v>0</v>
          </cell>
        </row>
        <row r="470">
          <cell r="E470" t="str">
            <v>T26000250</v>
          </cell>
          <cell r="AP470">
            <v>0</v>
          </cell>
          <cell r="AQ470">
            <v>0</v>
          </cell>
          <cell r="AV470">
            <v>0</v>
          </cell>
        </row>
        <row r="471">
          <cell r="E471" t="str">
            <v>B25016801</v>
          </cell>
          <cell r="AP471">
            <v>0</v>
          </cell>
          <cell r="AQ471">
            <v>0</v>
          </cell>
          <cell r="AV471">
            <v>0</v>
          </cell>
        </row>
        <row r="472">
          <cell r="E472" t="str">
            <v>D26000133</v>
          </cell>
          <cell r="AP472">
            <v>0</v>
          </cell>
          <cell r="AQ472">
            <v>0</v>
          </cell>
          <cell r="AV472">
            <v>0</v>
          </cell>
        </row>
        <row r="473">
          <cell r="E473" t="str">
            <v>B26001156</v>
          </cell>
          <cell r="AP473">
            <v>0</v>
          </cell>
          <cell r="AQ473">
            <v>0</v>
          </cell>
          <cell r="AV473">
            <v>0</v>
          </cell>
        </row>
        <row r="474">
          <cell r="E474" t="str">
            <v>D26002611</v>
          </cell>
          <cell r="AP474">
            <v>0</v>
          </cell>
          <cell r="AQ474">
            <v>0</v>
          </cell>
          <cell r="AV474">
            <v>0</v>
          </cell>
        </row>
        <row r="475">
          <cell r="E475" t="str">
            <v>D25019374</v>
          </cell>
          <cell r="AP475">
            <v>0</v>
          </cell>
          <cell r="AQ475">
            <v>0</v>
          </cell>
          <cell r="AV475">
            <v>8100000</v>
          </cell>
        </row>
        <row r="476">
          <cell r="E476" t="str">
            <v>B26001356</v>
          </cell>
          <cell r="AP476">
            <v>0</v>
          </cell>
          <cell r="AQ476">
            <v>0</v>
          </cell>
          <cell r="AV476">
            <v>0</v>
          </cell>
        </row>
        <row r="477">
          <cell r="E477" t="str">
            <v>B26001361</v>
          </cell>
          <cell r="AP477">
            <v>0</v>
          </cell>
          <cell r="AQ477">
            <v>0</v>
          </cell>
          <cell r="AV477">
            <v>0</v>
          </cell>
        </row>
        <row r="478">
          <cell r="E478" t="str">
            <v>B26002311</v>
          </cell>
          <cell r="AP478">
            <v>0</v>
          </cell>
          <cell r="AQ478">
            <v>0</v>
          </cell>
          <cell r="AV478">
            <v>0</v>
          </cell>
        </row>
        <row r="479">
          <cell r="E479" t="str">
            <v>D26002519</v>
          </cell>
          <cell r="AP479">
            <v>0</v>
          </cell>
          <cell r="AQ479">
            <v>0</v>
          </cell>
          <cell r="AV479">
            <v>0</v>
          </cell>
        </row>
        <row r="480">
          <cell r="E480" t="str">
            <v>D26003149</v>
          </cell>
          <cell r="AP480">
            <v>0</v>
          </cell>
          <cell r="AQ480">
            <v>0</v>
          </cell>
          <cell r="AV480">
            <v>0</v>
          </cell>
        </row>
        <row r="481">
          <cell r="E481" t="str">
            <v>D26003150</v>
          </cell>
          <cell r="AP481">
            <v>0</v>
          </cell>
          <cell r="AQ481">
            <v>0</v>
          </cell>
          <cell r="AV481">
            <v>0</v>
          </cell>
        </row>
        <row r="482">
          <cell r="E482" t="str">
            <v>D26003179</v>
          </cell>
          <cell r="AP482">
            <v>0</v>
          </cell>
          <cell r="AQ482">
            <v>0</v>
          </cell>
          <cell r="AV482">
            <v>0</v>
          </cell>
        </row>
        <row r="483">
          <cell r="E483" t="str">
            <v>T26000129</v>
          </cell>
          <cell r="AP483">
            <v>0</v>
          </cell>
          <cell r="AQ483">
            <v>0</v>
          </cell>
          <cell r="AV483">
            <v>0</v>
          </cell>
        </row>
        <row r="484">
          <cell r="E484" t="str">
            <v>B26001892</v>
          </cell>
          <cell r="AP484">
            <v>0</v>
          </cell>
          <cell r="AQ484">
            <v>0</v>
          </cell>
          <cell r="AV484">
            <v>0</v>
          </cell>
        </row>
        <row r="485">
          <cell r="E485" t="str">
            <v>D26002425</v>
          </cell>
          <cell r="AP485">
            <v>0</v>
          </cell>
          <cell r="AQ485">
            <v>0</v>
          </cell>
          <cell r="AV485">
            <v>0</v>
          </cell>
        </row>
        <row r="486">
          <cell r="E486" t="str">
            <v>B26002796</v>
          </cell>
          <cell r="AP486">
            <v>0</v>
          </cell>
          <cell r="AQ486">
            <v>0</v>
          </cell>
          <cell r="AV486">
            <v>0</v>
          </cell>
        </row>
        <row r="487">
          <cell r="E487" t="str">
            <v>D26003070</v>
          </cell>
          <cell r="AP487">
            <v>0</v>
          </cell>
          <cell r="AQ487">
            <v>0</v>
          </cell>
          <cell r="AV487">
            <v>0</v>
          </cell>
        </row>
        <row r="488">
          <cell r="E488" t="str">
            <v>B26002964</v>
          </cell>
          <cell r="AP488">
            <v>0</v>
          </cell>
          <cell r="AQ488">
            <v>0</v>
          </cell>
          <cell r="AV488">
            <v>0</v>
          </cell>
        </row>
        <row r="489">
          <cell r="E489" t="str">
            <v>B26002982</v>
          </cell>
          <cell r="AP489">
            <v>0</v>
          </cell>
          <cell r="AQ489">
            <v>0</v>
          </cell>
          <cell r="AV489">
            <v>0</v>
          </cell>
        </row>
        <row r="490">
          <cell r="E490" t="str">
            <v>B26002924</v>
          </cell>
          <cell r="AP490">
            <v>0</v>
          </cell>
          <cell r="AQ490">
            <v>0</v>
          </cell>
          <cell r="AV490">
            <v>0</v>
          </cell>
        </row>
        <row r="491">
          <cell r="E491" t="str">
            <v>B26000551</v>
          </cell>
          <cell r="AP491">
            <v>0</v>
          </cell>
          <cell r="AQ491">
            <v>0</v>
          </cell>
          <cell r="AV491">
            <v>0</v>
          </cell>
        </row>
        <row r="492">
          <cell r="E492" t="str">
            <v>B26002604</v>
          </cell>
          <cell r="AP492">
            <v>0</v>
          </cell>
          <cell r="AQ492">
            <v>0</v>
          </cell>
          <cell r="AV492">
            <v>0</v>
          </cell>
        </row>
        <row r="493">
          <cell r="E493" t="str">
            <v>B25014931</v>
          </cell>
          <cell r="AP493">
            <v>0</v>
          </cell>
          <cell r="AQ493">
            <v>0</v>
          </cell>
          <cell r="AV493">
            <v>0</v>
          </cell>
        </row>
        <row r="494">
          <cell r="E494" t="str">
            <v>B25015950</v>
          </cell>
          <cell r="AP494">
            <v>0</v>
          </cell>
          <cell r="AQ494">
            <v>0</v>
          </cell>
          <cell r="AV494">
            <v>0</v>
          </cell>
        </row>
        <row r="495">
          <cell r="E495" t="str">
            <v>D25018926</v>
          </cell>
          <cell r="AP495">
            <v>0</v>
          </cell>
          <cell r="AQ495">
            <v>0</v>
          </cell>
          <cell r="AV495">
            <v>0</v>
          </cell>
        </row>
        <row r="496">
          <cell r="E496" t="str">
            <v>D25019593</v>
          </cell>
          <cell r="AP496">
            <v>0</v>
          </cell>
          <cell r="AQ496">
            <v>0</v>
          </cell>
          <cell r="AV496">
            <v>0</v>
          </cell>
        </row>
        <row r="497">
          <cell r="E497" t="str">
            <v>D25019706</v>
          </cell>
          <cell r="AP497">
            <v>0</v>
          </cell>
          <cell r="AQ497">
            <v>0</v>
          </cell>
          <cell r="AV497">
            <v>0</v>
          </cell>
        </row>
        <row r="498">
          <cell r="E498" t="str">
            <v>D25019710</v>
          </cell>
          <cell r="AP498">
            <v>0</v>
          </cell>
          <cell r="AQ498">
            <v>0</v>
          </cell>
          <cell r="AV498">
            <v>0</v>
          </cell>
        </row>
        <row r="499">
          <cell r="E499" t="str">
            <v>B26000138</v>
          </cell>
          <cell r="AP499">
            <v>0</v>
          </cell>
          <cell r="AQ499">
            <v>0</v>
          </cell>
          <cell r="AV499">
            <v>0</v>
          </cell>
        </row>
        <row r="500">
          <cell r="E500" t="str">
            <v>D26000224</v>
          </cell>
          <cell r="AP500">
            <v>0</v>
          </cell>
          <cell r="AQ500">
            <v>0</v>
          </cell>
          <cell r="AV500">
            <v>0</v>
          </cell>
        </row>
        <row r="501">
          <cell r="E501" t="str">
            <v>D26000755</v>
          </cell>
          <cell r="AP501">
            <v>0</v>
          </cell>
          <cell r="AQ501">
            <v>0</v>
          </cell>
          <cell r="AV501">
            <v>0</v>
          </cell>
        </row>
        <row r="502">
          <cell r="E502" t="str">
            <v>D26000858</v>
          </cell>
          <cell r="AP502">
            <v>0</v>
          </cell>
          <cell r="AQ502">
            <v>0</v>
          </cell>
          <cell r="AV502">
            <v>0</v>
          </cell>
        </row>
        <row r="503">
          <cell r="E503" t="str">
            <v>D26001091</v>
          </cell>
          <cell r="AP503">
            <v>0</v>
          </cell>
          <cell r="AQ503">
            <v>0</v>
          </cell>
          <cell r="AV503">
            <v>0</v>
          </cell>
        </row>
        <row r="504">
          <cell r="E504" t="str">
            <v>B26001141</v>
          </cell>
          <cell r="AP504">
            <v>0</v>
          </cell>
          <cell r="AQ504">
            <v>0</v>
          </cell>
          <cell r="AV504">
            <v>0</v>
          </cell>
        </row>
        <row r="505">
          <cell r="E505" t="str">
            <v>B26001288</v>
          </cell>
          <cell r="AP505">
            <v>0</v>
          </cell>
          <cell r="AQ505">
            <v>0</v>
          </cell>
          <cell r="AV505">
            <v>0</v>
          </cell>
        </row>
        <row r="506">
          <cell r="E506" t="str">
            <v>D26001535</v>
          </cell>
          <cell r="AP506">
            <v>0</v>
          </cell>
          <cell r="AQ506">
            <v>0</v>
          </cell>
          <cell r="AV506">
            <v>0</v>
          </cell>
        </row>
        <row r="507">
          <cell r="E507" t="str">
            <v>D26001594</v>
          </cell>
          <cell r="AP507">
            <v>0</v>
          </cell>
          <cell r="AQ507">
            <v>0</v>
          </cell>
          <cell r="AV507">
            <v>0</v>
          </cell>
        </row>
        <row r="508">
          <cell r="E508" t="str">
            <v>D26001609</v>
          </cell>
          <cell r="AP508">
            <v>0</v>
          </cell>
          <cell r="AQ508">
            <v>0</v>
          </cell>
          <cell r="AV508">
            <v>0</v>
          </cell>
        </row>
        <row r="509">
          <cell r="E509" t="str">
            <v>D26001683</v>
          </cell>
          <cell r="AP509">
            <v>0</v>
          </cell>
          <cell r="AQ509">
            <v>0</v>
          </cell>
          <cell r="AV509">
            <v>0</v>
          </cell>
        </row>
        <row r="510">
          <cell r="E510" t="str">
            <v>D26001715</v>
          </cell>
          <cell r="AP510">
            <v>0</v>
          </cell>
          <cell r="AQ510">
            <v>0</v>
          </cell>
          <cell r="AV510">
            <v>0</v>
          </cell>
        </row>
        <row r="511">
          <cell r="E511" t="str">
            <v>D26001857</v>
          </cell>
          <cell r="AP511">
            <v>0</v>
          </cell>
          <cell r="AQ511">
            <v>0</v>
          </cell>
          <cell r="AV511">
            <v>0</v>
          </cell>
        </row>
        <row r="512">
          <cell r="E512" t="str">
            <v>B26001812</v>
          </cell>
          <cell r="AP512">
            <v>0</v>
          </cell>
          <cell r="AQ512">
            <v>0</v>
          </cell>
          <cell r="AV512">
            <v>0</v>
          </cell>
        </row>
        <row r="513">
          <cell r="E513" t="str">
            <v>B26001813</v>
          </cell>
          <cell r="AP513">
            <v>0</v>
          </cell>
          <cell r="AQ513">
            <v>0</v>
          </cell>
          <cell r="AV513">
            <v>0</v>
          </cell>
        </row>
        <row r="514">
          <cell r="E514" t="str">
            <v>B26001918</v>
          </cell>
          <cell r="AP514">
            <v>0</v>
          </cell>
          <cell r="AQ514">
            <v>0</v>
          </cell>
          <cell r="AV514">
            <v>0</v>
          </cell>
        </row>
        <row r="515">
          <cell r="E515" t="str">
            <v>B26001964</v>
          </cell>
          <cell r="AP515">
            <v>0</v>
          </cell>
          <cell r="AQ515">
            <v>0</v>
          </cell>
          <cell r="AV515">
            <v>0</v>
          </cell>
        </row>
        <row r="516">
          <cell r="E516" t="str">
            <v>D26002205</v>
          </cell>
          <cell r="AP516">
            <v>0</v>
          </cell>
          <cell r="AQ516">
            <v>0</v>
          </cell>
          <cell r="AV516">
            <v>0</v>
          </cell>
        </row>
        <row r="517">
          <cell r="E517" t="str">
            <v>D26002400</v>
          </cell>
          <cell r="AP517">
            <v>0</v>
          </cell>
          <cell r="AQ517">
            <v>0</v>
          </cell>
          <cell r="AV517">
            <v>0</v>
          </cell>
        </row>
        <row r="518">
          <cell r="E518" t="str">
            <v>D26002838</v>
          </cell>
          <cell r="AP518">
            <v>0</v>
          </cell>
          <cell r="AQ518">
            <v>0</v>
          </cell>
          <cell r="AV518">
            <v>0</v>
          </cell>
        </row>
        <row r="519">
          <cell r="E519" t="str">
            <v>D26002872</v>
          </cell>
          <cell r="AP519">
            <v>0</v>
          </cell>
          <cell r="AQ519">
            <v>0</v>
          </cell>
          <cell r="AV519">
            <v>0</v>
          </cell>
        </row>
        <row r="520">
          <cell r="E520" t="str">
            <v>D26002948</v>
          </cell>
          <cell r="AP520">
            <v>0</v>
          </cell>
          <cell r="AQ520">
            <v>0</v>
          </cell>
          <cell r="AV520">
            <v>0</v>
          </cell>
        </row>
        <row r="521">
          <cell r="E521" t="str">
            <v>B26002886</v>
          </cell>
          <cell r="AP521">
            <v>0</v>
          </cell>
          <cell r="AQ521">
            <v>0</v>
          </cell>
          <cell r="AV521">
            <v>0</v>
          </cell>
        </row>
        <row r="522">
          <cell r="E522" t="str">
            <v>D26003223</v>
          </cell>
          <cell r="AP522">
            <v>0</v>
          </cell>
          <cell r="AQ522">
            <v>0</v>
          </cell>
          <cell r="AV522">
            <v>0</v>
          </cell>
        </row>
        <row r="523">
          <cell r="E523" t="str">
            <v>D26003271</v>
          </cell>
          <cell r="AP523">
            <v>0</v>
          </cell>
          <cell r="AQ523">
            <v>0</v>
          </cell>
          <cell r="AV523">
            <v>0</v>
          </cell>
        </row>
        <row r="524">
          <cell r="E524" t="str">
            <v>D26003272</v>
          </cell>
          <cell r="AP524">
            <v>0</v>
          </cell>
          <cell r="AQ524">
            <v>0</v>
          </cell>
          <cell r="AV524">
            <v>0</v>
          </cell>
        </row>
        <row r="525">
          <cell r="E525" t="str">
            <v>D26003311</v>
          </cell>
          <cell r="AP525">
            <v>0</v>
          </cell>
          <cell r="AQ525">
            <v>0</v>
          </cell>
          <cell r="AV525">
            <v>0</v>
          </cell>
        </row>
        <row r="526">
          <cell r="E526" t="str">
            <v>D26003298</v>
          </cell>
          <cell r="AP526">
            <v>0</v>
          </cell>
          <cell r="AQ526">
            <v>0</v>
          </cell>
          <cell r="AV526">
            <v>0</v>
          </cell>
        </row>
        <row r="527">
          <cell r="E527" t="str">
            <v>B26001086</v>
          </cell>
          <cell r="AP527">
            <v>0</v>
          </cell>
          <cell r="AQ527">
            <v>0</v>
          </cell>
          <cell r="AV527">
            <v>0</v>
          </cell>
        </row>
        <row r="528">
          <cell r="E528" t="str">
            <v>D26003280</v>
          </cell>
          <cell r="AP528">
            <v>0</v>
          </cell>
          <cell r="AQ528">
            <v>0</v>
          </cell>
          <cell r="AV528">
            <v>0</v>
          </cell>
        </row>
        <row r="529">
          <cell r="E529" t="str">
            <v>D26003281</v>
          </cell>
          <cell r="AP529">
            <v>0</v>
          </cell>
          <cell r="AQ529">
            <v>0</v>
          </cell>
          <cell r="AV529">
            <v>0</v>
          </cell>
        </row>
        <row r="530">
          <cell r="E530" t="str">
            <v>D26000034</v>
          </cell>
          <cell r="AP530">
            <v>0</v>
          </cell>
          <cell r="AQ530">
            <v>0</v>
          </cell>
          <cell r="AV530">
            <v>0</v>
          </cell>
        </row>
        <row r="531">
          <cell r="E531" t="str">
            <v>D26000124</v>
          </cell>
          <cell r="AP531">
            <v>0</v>
          </cell>
          <cell r="AQ531">
            <v>0</v>
          </cell>
          <cell r="AV531">
            <v>0</v>
          </cell>
        </row>
        <row r="532">
          <cell r="E532" t="str">
            <v>D26000127</v>
          </cell>
          <cell r="AP532">
            <v>0</v>
          </cell>
          <cell r="AQ532">
            <v>0</v>
          </cell>
          <cell r="AV532">
            <v>0</v>
          </cell>
        </row>
        <row r="533">
          <cell r="E533" t="str">
            <v>T26000002</v>
          </cell>
          <cell r="AP533">
            <v>0</v>
          </cell>
          <cell r="AQ533">
            <v>0</v>
          </cell>
          <cell r="AV533">
            <v>0</v>
          </cell>
        </row>
        <row r="534">
          <cell r="E534" t="str">
            <v>B26000213</v>
          </cell>
          <cell r="AP534">
            <v>0</v>
          </cell>
          <cell r="AQ534">
            <v>0</v>
          </cell>
          <cell r="AV534">
            <v>0</v>
          </cell>
        </row>
        <row r="535">
          <cell r="E535" t="str">
            <v>B26000406</v>
          </cell>
          <cell r="AP535">
            <v>0</v>
          </cell>
          <cell r="AQ535">
            <v>0</v>
          </cell>
          <cell r="AV535">
            <v>0</v>
          </cell>
        </row>
        <row r="536">
          <cell r="E536" t="str">
            <v>B26000808</v>
          </cell>
          <cell r="AP536">
            <v>0</v>
          </cell>
          <cell r="AQ536">
            <v>0</v>
          </cell>
          <cell r="AV536">
            <v>0</v>
          </cell>
        </row>
        <row r="537">
          <cell r="E537" t="str">
            <v>B26001003</v>
          </cell>
          <cell r="AP537">
            <v>0</v>
          </cell>
          <cell r="AQ537">
            <v>0</v>
          </cell>
          <cell r="AV537">
            <v>0</v>
          </cell>
        </row>
        <row r="538">
          <cell r="E538" t="str">
            <v>B26001291</v>
          </cell>
          <cell r="AP538">
            <v>0</v>
          </cell>
          <cell r="AQ538">
            <v>0</v>
          </cell>
          <cell r="AV538">
            <v>0</v>
          </cell>
        </row>
        <row r="539">
          <cell r="E539" t="str">
            <v>B26001301</v>
          </cell>
          <cell r="AP539">
            <v>0</v>
          </cell>
          <cell r="AQ539">
            <v>0</v>
          </cell>
          <cell r="AV539">
            <v>0</v>
          </cell>
        </row>
        <row r="540">
          <cell r="E540" t="str">
            <v>B26001546</v>
          </cell>
          <cell r="AP540">
            <v>0</v>
          </cell>
          <cell r="AQ540">
            <v>0</v>
          </cell>
          <cell r="AV540">
            <v>0</v>
          </cell>
        </row>
        <row r="541">
          <cell r="E541" t="str">
            <v>B26001584</v>
          </cell>
          <cell r="AP541">
            <v>0</v>
          </cell>
          <cell r="AQ541">
            <v>0</v>
          </cell>
          <cell r="AV541">
            <v>46705000</v>
          </cell>
        </row>
        <row r="542">
          <cell r="E542" t="str">
            <v>B26001611</v>
          </cell>
          <cell r="AP542">
            <v>0</v>
          </cell>
          <cell r="AQ542">
            <v>0</v>
          </cell>
          <cell r="AV542">
            <v>0</v>
          </cell>
        </row>
        <row r="543">
          <cell r="E543" t="str">
            <v>B26001624</v>
          </cell>
          <cell r="AP543">
            <v>0</v>
          </cell>
          <cell r="AQ543">
            <v>0</v>
          </cell>
          <cell r="AV543">
            <v>36500000</v>
          </cell>
        </row>
        <row r="544">
          <cell r="E544" t="str">
            <v>B26001630</v>
          </cell>
          <cell r="AP544">
            <v>0</v>
          </cell>
          <cell r="AQ544">
            <v>0</v>
          </cell>
          <cell r="AV544">
            <v>0</v>
          </cell>
        </row>
        <row r="545">
          <cell r="E545" t="str">
            <v>B26001699</v>
          </cell>
          <cell r="AP545">
            <v>0</v>
          </cell>
          <cell r="AQ545">
            <v>0</v>
          </cell>
          <cell r="AV545">
            <v>0</v>
          </cell>
        </row>
        <row r="546">
          <cell r="E546" t="str">
            <v>B26001759</v>
          </cell>
          <cell r="AP546">
            <v>0</v>
          </cell>
          <cell r="AQ546">
            <v>0</v>
          </cell>
          <cell r="AV546">
            <v>0</v>
          </cell>
        </row>
        <row r="547">
          <cell r="E547" t="str">
            <v>D26001896</v>
          </cell>
          <cell r="AP547">
            <v>0</v>
          </cell>
          <cell r="AQ547">
            <v>0</v>
          </cell>
          <cell r="AV547">
            <v>0</v>
          </cell>
        </row>
        <row r="548">
          <cell r="E548" t="str">
            <v>D26001943</v>
          </cell>
          <cell r="AP548">
            <v>0</v>
          </cell>
          <cell r="AQ548">
            <v>0</v>
          </cell>
          <cell r="AV548">
            <v>0</v>
          </cell>
        </row>
        <row r="549">
          <cell r="E549" t="str">
            <v>B26002010</v>
          </cell>
          <cell r="AP549">
            <v>0</v>
          </cell>
          <cell r="AQ549">
            <v>0</v>
          </cell>
          <cell r="AV549">
            <v>0</v>
          </cell>
        </row>
        <row r="550">
          <cell r="E550" t="str">
            <v>B26002013</v>
          </cell>
          <cell r="AP550">
            <v>0</v>
          </cell>
          <cell r="AQ550">
            <v>0</v>
          </cell>
          <cell r="AV550">
            <v>0</v>
          </cell>
        </row>
        <row r="551">
          <cell r="E551" t="str">
            <v>D26002323</v>
          </cell>
          <cell r="AP551">
            <v>0</v>
          </cell>
          <cell r="AQ551">
            <v>0</v>
          </cell>
          <cell r="AV551">
            <v>0</v>
          </cell>
        </row>
        <row r="552">
          <cell r="E552" t="str">
            <v>D26002370</v>
          </cell>
          <cell r="AP552">
            <v>0</v>
          </cell>
          <cell r="AQ552">
            <v>0</v>
          </cell>
          <cell r="AV552">
            <v>0</v>
          </cell>
        </row>
        <row r="553">
          <cell r="E553" t="str">
            <v>B26002282</v>
          </cell>
          <cell r="AP553">
            <v>0</v>
          </cell>
          <cell r="AQ553">
            <v>0</v>
          </cell>
          <cell r="AV553">
            <v>0</v>
          </cell>
        </row>
        <row r="554">
          <cell r="E554" t="str">
            <v>D26002478</v>
          </cell>
          <cell r="AP554">
            <v>0</v>
          </cell>
          <cell r="AQ554">
            <v>0</v>
          </cell>
          <cell r="AV554">
            <v>0</v>
          </cell>
        </row>
        <row r="555">
          <cell r="E555" t="str">
            <v>B26002406</v>
          </cell>
          <cell r="AP555">
            <v>0</v>
          </cell>
          <cell r="AQ555">
            <v>0</v>
          </cell>
          <cell r="AV555">
            <v>0</v>
          </cell>
        </row>
        <row r="556">
          <cell r="E556" t="str">
            <v>D26002719</v>
          </cell>
          <cell r="AP556">
            <v>0</v>
          </cell>
          <cell r="AQ556">
            <v>0</v>
          </cell>
          <cell r="AV556">
            <v>0</v>
          </cell>
        </row>
        <row r="557">
          <cell r="E557" t="str">
            <v>D26002792</v>
          </cell>
          <cell r="AP557">
            <v>0</v>
          </cell>
          <cell r="AQ557">
            <v>0</v>
          </cell>
          <cell r="AV557">
            <v>0</v>
          </cell>
        </row>
        <row r="558">
          <cell r="E558" t="str">
            <v>B26002694</v>
          </cell>
          <cell r="AP558">
            <v>0</v>
          </cell>
          <cell r="AQ558">
            <v>0</v>
          </cell>
          <cell r="AV558">
            <v>0</v>
          </cell>
        </row>
        <row r="559">
          <cell r="E559" t="str">
            <v>T26000198</v>
          </cell>
          <cell r="AP559">
            <v>0</v>
          </cell>
          <cell r="AQ559">
            <v>0</v>
          </cell>
          <cell r="AV559">
            <v>0</v>
          </cell>
        </row>
        <row r="560">
          <cell r="E560" t="str">
            <v>D26003006</v>
          </cell>
          <cell r="AP560">
            <v>0</v>
          </cell>
          <cell r="AQ560">
            <v>0</v>
          </cell>
          <cell r="AV560">
            <v>0</v>
          </cell>
        </row>
        <row r="561">
          <cell r="E561" t="str">
            <v>B26002872</v>
          </cell>
          <cell r="AP561">
            <v>0</v>
          </cell>
          <cell r="AQ561">
            <v>0</v>
          </cell>
          <cell r="AV561">
            <v>0</v>
          </cell>
        </row>
        <row r="562">
          <cell r="E562" t="str">
            <v>B26002877</v>
          </cell>
          <cell r="AP562">
            <v>0</v>
          </cell>
          <cell r="AQ562">
            <v>0</v>
          </cell>
          <cell r="AV562">
            <v>0</v>
          </cell>
        </row>
        <row r="563">
          <cell r="E563" t="str">
            <v>B26002950</v>
          </cell>
          <cell r="AP563">
            <v>0</v>
          </cell>
          <cell r="AQ563">
            <v>0</v>
          </cell>
          <cell r="AV563">
            <v>0</v>
          </cell>
        </row>
        <row r="564">
          <cell r="E564" t="str">
            <v>D26003171</v>
          </cell>
          <cell r="AP564">
            <v>0</v>
          </cell>
          <cell r="AQ564">
            <v>0</v>
          </cell>
          <cell r="AV564">
            <v>0</v>
          </cell>
        </row>
        <row r="565">
          <cell r="E565" t="str">
            <v>B26003077</v>
          </cell>
          <cell r="AP565">
            <v>0</v>
          </cell>
          <cell r="AQ565">
            <v>0</v>
          </cell>
          <cell r="AV565">
            <v>0</v>
          </cell>
        </row>
        <row r="566">
          <cell r="E566" t="str">
            <v>D26003238</v>
          </cell>
          <cell r="AP566">
            <v>0</v>
          </cell>
          <cell r="AQ566">
            <v>0</v>
          </cell>
          <cell r="AV566">
            <v>0</v>
          </cell>
        </row>
        <row r="567">
          <cell r="E567" t="str">
            <v>T26000044</v>
          </cell>
          <cell r="AP567">
            <v>0</v>
          </cell>
          <cell r="AQ567">
            <v>0</v>
          </cell>
          <cell r="AV567">
            <v>0</v>
          </cell>
        </row>
        <row r="568">
          <cell r="E568" t="str">
            <v>B26002567</v>
          </cell>
          <cell r="AP568">
            <v>0</v>
          </cell>
          <cell r="AQ568">
            <v>0</v>
          </cell>
          <cell r="AV568">
            <v>0</v>
          </cell>
        </row>
        <row r="569">
          <cell r="E569" t="str">
            <v>T26000186</v>
          </cell>
          <cell r="AP569">
            <v>0</v>
          </cell>
          <cell r="AQ569">
            <v>0</v>
          </cell>
          <cell r="AV569">
            <v>0</v>
          </cell>
        </row>
        <row r="570">
          <cell r="E570" t="str">
            <v>B26002532</v>
          </cell>
          <cell r="AP570">
            <v>0</v>
          </cell>
          <cell r="AQ570">
            <v>0</v>
          </cell>
          <cell r="AV570">
            <v>0</v>
          </cell>
        </row>
        <row r="571">
          <cell r="E571" t="str">
            <v>B26001020</v>
          </cell>
          <cell r="AP571">
            <v>0</v>
          </cell>
          <cell r="AQ571">
            <v>0</v>
          </cell>
          <cell r="AV571">
            <v>0</v>
          </cell>
        </row>
        <row r="572">
          <cell r="E572" t="str">
            <v>B26001077</v>
          </cell>
          <cell r="AP572">
            <v>0</v>
          </cell>
          <cell r="AQ572">
            <v>0</v>
          </cell>
          <cell r="AV572">
            <v>0</v>
          </cell>
        </row>
        <row r="573">
          <cell r="E573" t="str">
            <v>D26002819</v>
          </cell>
          <cell r="AP573">
            <v>0</v>
          </cell>
          <cell r="AQ573">
            <v>0</v>
          </cell>
          <cell r="AV573">
            <v>0</v>
          </cell>
        </row>
        <row r="574">
          <cell r="E574" t="str">
            <v>D26003222</v>
          </cell>
          <cell r="AP574">
            <v>0</v>
          </cell>
          <cell r="AQ574">
            <v>0</v>
          </cell>
          <cell r="AV574">
            <v>0</v>
          </cell>
        </row>
        <row r="575">
          <cell r="E575" t="str">
            <v>D25017245</v>
          </cell>
          <cell r="AP575">
            <v>0</v>
          </cell>
          <cell r="AQ575">
            <v>0</v>
          </cell>
          <cell r="AV575">
            <v>0</v>
          </cell>
        </row>
        <row r="576">
          <cell r="E576" t="str">
            <v>T25001852k</v>
          </cell>
          <cell r="AP576">
            <v>0</v>
          </cell>
          <cell r="AQ576">
            <v>0</v>
          </cell>
          <cell r="AV576">
            <v>0</v>
          </cell>
        </row>
        <row r="577">
          <cell r="E577" t="str">
            <v>B26001145</v>
          </cell>
          <cell r="AP577">
            <v>0</v>
          </cell>
          <cell r="AQ577">
            <v>0</v>
          </cell>
          <cell r="AV577">
            <v>0</v>
          </cell>
        </row>
        <row r="578">
          <cell r="E578" t="str">
            <v>D26001379</v>
          </cell>
          <cell r="AP578">
            <v>0</v>
          </cell>
          <cell r="AQ578">
            <v>0</v>
          </cell>
          <cell r="AV578">
            <v>0</v>
          </cell>
        </row>
        <row r="579">
          <cell r="E579" t="str">
            <v>D26001511</v>
          </cell>
          <cell r="AP579">
            <v>0</v>
          </cell>
          <cell r="AQ579">
            <v>0</v>
          </cell>
          <cell r="AV579">
            <v>0</v>
          </cell>
        </row>
        <row r="580">
          <cell r="E580" t="str">
            <v>T26000102</v>
          </cell>
          <cell r="AP580">
            <v>0</v>
          </cell>
          <cell r="AQ580">
            <v>0</v>
          </cell>
          <cell r="AV580">
            <v>0</v>
          </cell>
        </row>
        <row r="581">
          <cell r="E581" t="str">
            <v>B26001729</v>
          </cell>
          <cell r="AP581">
            <v>0</v>
          </cell>
          <cell r="AQ581">
            <v>0</v>
          </cell>
          <cell r="AV581">
            <v>0</v>
          </cell>
        </row>
        <row r="582">
          <cell r="E582" t="str">
            <v>B26002566</v>
          </cell>
          <cell r="AP582">
            <v>0</v>
          </cell>
          <cell r="AQ582">
            <v>0</v>
          </cell>
          <cell r="AV582">
            <v>0</v>
          </cell>
        </row>
        <row r="583">
          <cell r="E583" t="str">
            <v>T26000207</v>
          </cell>
          <cell r="AP583">
            <v>0</v>
          </cell>
          <cell r="AQ583">
            <v>0</v>
          </cell>
          <cell r="AV583">
            <v>0</v>
          </cell>
        </row>
        <row r="584">
          <cell r="E584" t="str">
            <v>D26003077</v>
          </cell>
          <cell r="AP584">
            <v>0</v>
          </cell>
          <cell r="AQ584">
            <v>0</v>
          </cell>
          <cell r="AV584">
            <v>0</v>
          </cell>
        </row>
        <row r="585">
          <cell r="E585" t="str">
            <v>R26000002</v>
          </cell>
          <cell r="AP585">
            <v>0</v>
          </cell>
          <cell r="AQ585">
            <v>0</v>
          </cell>
          <cell r="AV585">
            <v>0</v>
          </cell>
        </row>
        <row r="586">
          <cell r="E586" t="str">
            <v>B26000319</v>
          </cell>
          <cell r="AP586">
            <v>0</v>
          </cell>
          <cell r="AQ586">
            <v>0</v>
          </cell>
          <cell r="AV586">
            <v>1700000</v>
          </cell>
        </row>
        <row r="587">
          <cell r="E587" t="str">
            <v>D26001100</v>
          </cell>
          <cell r="AP587">
            <v>0</v>
          </cell>
          <cell r="AQ587">
            <v>0</v>
          </cell>
          <cell r="AV587">
            <v>0</v>
          </cell>
        </row>
        <row r="588">
          <cell r="E588" t="str">
            <v>B26001632</v>
          </cell>
          <cell r="AP588">
            <v>0</v>
          </cell>
          <cell r="AQ588">
            <v>0</v>
          </cell>
          <cell r="AV588">
            <v>0</v>
          </cell>
        </row>
        <row r="589">
          <cell r="E589" t="str">
            <v>D26002566</v>
          </cell>
          <cell r="AP589">
            <v>0</v>
          </cell>
          <cell r="AQ589">
            <v>0</v>
          </cell>
          <cell r="AV589">
            <v>0</v>
          </cell>
        </row>
        <row r="590">
          <cell r="E590" t="str">
            <v>R25000110</v>
          </cell>
          <cell r="AP590">
            <v>0</v>
          </cell>
          <cell r="AQ590">
            <v>0</v>
          </cell>
          <cell r="AV590">
            <v>0</v>
          </cell>
        </row>
        <row r="591">
          <cell r="E591" t="str">
            <v>R25000112</v>
          </cell>
          <cell r="AP591">
            <v>0</v>
          </cell>
          <cell r="AQ591">
            <v>0</v>
          </cell>
          <cell r="AV591">
            <v>0</v>
          </cell>
        </row>
        <row r="592">
          <cell r="E592" t="str">
            <v>D26002890</v>
          </cell>
          <cell r="AP592">
            <v>0</v>
          </cell>
          <cell r="AQ592">
            <v>0</v>
          </cell>
          <cell r="AV592">
            <v>0</v>
          </cell>
        </row>
        <row r="593">
          <cell r="E593" t="str">
            <v>B26000017</v>
          </cell>
          <cell r="AP593">
            <v>0</v>
          </cell>
          <cell r="AQ593">
            <v>0</v>
          </cell>
          <cell r="AV593">
            <v>0</v>
          </cell>
        </row>
        <row r="594">
          <cell r="E594" t="str">
            <v>D26000130</v>
          </cell>
          <cell r="AP594">
            <v>0</v>
          </cell>
          <cell r="AQ594">
            <v>0</v>
          </cell>
          <cell r="AV594">
            <v>0</v>
          </cell>
        </row>
        <row r="595">
          <cell r="E595" t="str">
            <v>B26001470</v>
          </cell>
          <cell r="AP595">
            <v>0</v>
          </cell>
          <cell r="AQ595">
            <v>0</v>
          </cell>
          <cell r="AV595">
            <v>0</v>
          </cell>
        </row>
        <row r="596">
          <cell r="E596" t="str">
            <v>D26001890</v>
          </cell>
          <cell r="AP596">
            <v>0</v>
          </cell>
          <cell r="AQ596">
            <v>0</v>
          </cell>
          <cell r="AV596">
            <v>0</v>
          </cell>
        </row>
        <row r="597">
          <cell r="E597" t="str">
            <v>B26002614</v>
          </cell>
          <cell r="AP597">
            <v>0</v>
          </cell>
          <cell r="AQ597">
            <v>0</v>
          </cell>
          <cell r="AV597">
            <v>0</v>
          </cell>
        </row>
        <row r="598">
          <cell r="E598" t="str">
            <v>D26003061</v>
          </cell>
          <cell r="AP598">
            <v>0</v>
          </cell>
          <cell r="AQ598">
            <v>0</v>
          </cell>
          <cell r="AV598">
            <v>0</v>
          </cell>
        </row>
        <row r="599">
          <cell r="E599" t="str">
            <v>D26003062</v>
          </cell>
          <cell r="AP599">
            <v>0</v>
          </cell>
          <cell r="AQ599">
            <v>0</v>
          </cell>
          <cell r="AV599">
            <v>0</v>
          </cell>
        </row>
        <row r="600">
          <cell r="E600" t="str">
            <v>D26003213</v>
          </cell>
          <cell r="AP600">
            <v>0</v>
          </cell>
          <cell r="AQ600">
            <v>0</v>
          </cell>
          <cell r="AV600">
            <v>0</v>
          </cell>
        </row>
        <row r="601">
          <cell r="E601" t="str">
            <v>B25015814</v>
          </cell>
          <cell r="AP601">
            <v>0</v>
          </cell>
          <cell r="AQ601">
            <v>0</v>
          </cell>
          <cell r="AV601">
            <v>0</v>
          </cell>
        </row>
        <row r="602">
          <cell r="E602" t="str">
            <v>B25015842</v>
          </cell>
          <cell r="AP602">
            <v>0</v>
          </cell>
          <cell r="AQ602">
            <v>0</v>
          </cell>
          <cell r="AV602">
            <v>0</v>
          </cell>
        </row>
        <row r="603">
          <cell r="E603" t="str">
            <v>B25016842</v>
          </cell>
          <cell r="AP603">
            <v>0</v>
          </cell>
          <cell r="AQ603">
            <v>0</v>
          </cell>
          <cell r="AV603">
            <v>0</v>
          </cell>
        </row>
        <row r="604">
          <cell r="E604" t="str">
            <v>D25019422</v>
          </cell>
          <cell r="AP604">
            <v>0</v>
          </cell>
          <cell r="AQ604">
            <v>0</v>
          </cell>
          <cell r="AV604">
            <v>0</v>
          </cell>
        </row>
        <row r="605">
          <cell r="E605" t="str">
            <v>D25019489</v>
          </cell>
          <cell r="AP605">
            <v>0</v>
          </cell>
          <cell r="AQ605">
            <v>0</v>
          </cell>
          <cell r="AV605">
            <v>0</v>
          </cell>
        </row>
        <row r="606">
          <cell r="E606" t="str">
            <v>D25019666</v>
          </cell>
          <cell r="AP606">
            <v>0</v>
          </cell>
          <cell r="AQ606">
            <v>0</v>
          </cell>
          <cell r="AV606">
            <v>0</v>
          </cell>
        </row>
        <row r="607">
          <cell r="E607" t="str">
            <v>D26000624</v>
          </cell>
          <cell r="AP607">
            <v>0</v>
          </cell>
          <cell r="AQ607">
            <v>0</v>
          </cell>
          <cell r="AV607">
            <v>0</v>
          </cell>
        </row>
        <row r="608">
          <cell r="E608" t="str">
            <v>D26001160</v>
          </cell>
          <cell r="AP608">
            <v>0</v>
          </cell>
          <cell r="AQ608">
            <v>0</v>
          </cell>
          <cell r="AV608">
            <v>0</v>
          </cell>
        </row>
        <row r="609">
          <cell r="E609" t="str">
            <v>D26001161</v>
          </cell>
          <cell r="AP609">
            <v>0</v>
          </cell>
          <cell r="AQ609">
            <v>0</v>
          </cell>
          <cell r="AV609">
            <v>0</v>
          </cell>
        </row>
        <row r="610">
          <cell r="E610" t="str">
            <v>D26001996</v>
          </cell>
          <cell r="AP610">
            <v>0</v>
          </cell>
          <cell r="AQ610">
            <v>0</v>
          </cell>
          <cell r="AV610">
            <v>0</v>
          </cell>
        </row>
        <row r="611">
          <cell r="E611" t="str">
            <v>D26002101</v>
          </cell>
          <cell r="AP611">
            <v>0</v>
          </cell>
          <cell r="AQ611">
            <v>0</v>
          </cell>
          <cell r="AV611">
            <v>0</v>
          </cell>
        </row>
        <row r="612">
          <cell r="E612" t="str">
            <v>D26002102</v>
          </cell>
          <cell r="AP612">
            <v>0</v>
          </cell>
          <cell r="AQ612">
            <v>0</v>
          </cell>
          <cell r="AV612">
            <v>0</v>
          </cell>
        </row>
        <row r="613">
          <cell r="E613" t="str">
            <v>D26002369</v>
          </cell>
          <cell r="AP613">
            <v>0</v>
          </cell>
          <cell r="AQ613">
            <v>0</v>
          </cell>
          <cell r="AV613">
            <v>0</v>
          </cell>
        </row>
        <row r="614">
          <cell r="E614" t="str">
            <v>D26002474</v>
          </cell>
          <cell r="AP614">
            <v>0</v>
          </cell>
          <cell r="AQ614">
            <v>0</v>
          </cell>
          <cell r="AV614">
            <v>0</v>
          </cell>
        </row>
        <row r="615">
          <cell r="E615" t="str">
            <v>B26002896</v>
          </cell>
          <cell r="AP615">
            <v>0</v>
          </cell>
          <cell r="AQ615">
            <v>0</v>
          </cell>
          <cell r="AV615">
            <v>0</v>
          </cell>
        </row>
        <row r="616">
          <cell r="E616" t="str">
            <v>D26003138</v>
          </cell>
          <cell r="AP616">
            <v>0</v>
          </cell>
          <cell r="AQ616">
            <v>0</v>
          </cell>
          <cell r="AV616">
            <v>0</v>
          </cell>
        </row>
        <row r="617">
          <cell r="E617" t="str">
            <v>D26003210</v>
          </cell>
          <cell r="AP617">
            <v>0</v>
          </cell>
          <cell r="AQ617">
            <v>0</v>
          </cell>
          <cell r="AV617">
            <v>300000000</v>
          </cell>
        </row>
        <row r="618">
          <cell r="E618" t="str">
            <v>D26003233</v>
          </cell>
          <cell r="AP618">
            <v>0</v>
          </cell>
          <cell r="AQ618">
            <v>0</v>
          </cell>
          <cell r="AV618">
            <v>0</v>
          </cell>
        </row>
        <row r="619">
          <cell r="E619" t="str">
            <v>D26003301</v>
          </cell>
          <cell r="AP619">
            <v>0</v>
          </cell>
          <cell r="AQ619">
            <v>0</v>
          </cell>
          <cell r="AV619">
            <v>0</v>
          </cell>
        </row>
        <row r="620">
          <cell r="E620" t="str">
            <v>D26001338</v>
          </cell>
          <cell r="AP620">
            <v>0</v>
          </cell>
          <cell r="AQ620">
            <v>0</v>
          </cell>
          <cell r="AV620">
            <v>0</v>
          </cell>
        </row>
        <row r="621">
          <cell r="E621" t="str">
            <v>D26002283</v>
          </cell>
          <cell r="AP621">
            <v>0</v>
          </cell>
          <cell r="AQ621">
            <v>0</v>
          </cell>
          <cell r="AV621">
            <v>0</v>
          </cell>
        </row>
        <row r="622">
          <cell r="E622" t="str">
            <v>D25017231</v>
          </cell>
          <cell r="AP622">
            <v>0</v>
          </cell>
          <cell r="AQ622">
            <v>0</v>
          </cell>
          <cell r="AV622">
            <v>0</v>
          </cell>
        </row>
        <row r="623">
          <cell r="E623" t="str">
            <v>B26000677</v>
          </cell>
          <cell r="AP623">
            <v>0</v>
          </cell>
          <cell r="AQ623">
            <v>0</v>
          </cell>
          <cell r="AV623">
            <v>0</v>
          </cell>
        </row>
        <row r="624">
          <cell r="E624" t="str">
            <v>D26001068</v>
          </cell>
          <cell r="AP624">
            <v>0</v>
          </cell>
          <cell r="AQ624">
            <v>0</v>
          </cell>
          <cell r="AV624">
            <v>0</v>
          </cell>
        </row>
        <row r="625">
          <cell r="E625" t="str">
            <v>D26002813</v>
          </cell>
          <cell r="AP625">
            <v>0</v>
          </cell>
          <cell r="AQ625">
            <v>0</v>
          </cell>
          <cell r="AV625">
            <v>0</v>
          </cell>
        </row>
        <row r="626">
          <cell r="E626" t="str">
            <v>B26002975</v>
          </cell>
          <cell r="AP626">
            <v>0</v>
          </cell>
          <cell r="AQ626">
            <v>0</v>
          </cell>
          <cell r="AV626">
            <v>0</v>
          </cell>
        </row>
        <row r="627">
          <cell r="E627" t="str">
            <v>B26002983</v>
          </cell>
          <cell r="AP627">
            <v>0</v>
          </cell>
          <cell r="AQ627">
            <v>0</v>
          </cell>
          <cell r="AV627">
            <v>0</v>
          </cell>
        </row>
        <row r="628">
          <cell r="E628" t="str">
            <v>D25018439</v>
          </cell>
          <cell r="AP628">
            <v>0</v>
          </cell>
          <cell r="AQ628">
            <v>0</v>
          </cell>
          <cell r="AV628">
            <v>0</v>
          </cell>
        </row>
        <row r="629">
          <cell r="E629" t="str">
            <v>B25016097</v>
          </cell>
          <cell r="AP629">
            <v>0</v>
          </cell>
          <cell r="AQ629">
            <v>0</v>
          </cell>
          <cell r="AV629">
            <v>0</v>
          </cell>
        </row>
        <row r="630">
          <cell r="E630" t="str">
            <v>D25018769</v>
          </cell>
          <cell r="AP630">
            <v>0</v>
          </cell>
          <cell r="AQ630">
            <v>0</v>
          </cell>
          <cell r="AV630">
            <v>0</v>
          </cell>
        </row>
        <row r="631">
          <cell r="E631" t="str">
            <v>D25018770</v>
          </cell>
          <cell r="AP631">
            <v>0</v>
          </cell>
          <cell r="AQ631">
            <v>0</v>
          </cell>
          <cell r="AV631">
            <v>0</v>
          </cell>
        </row>
        <row r="632">
          <cell r="E632" t="str">
            <v>D25018813</v>
          </cell>
          <cell r="AP632">
            <v>0</v>
          </cell>
          <cell r="AQ632">
            <v>0</v>
          </cell>
          <cell r="AV632">
            <v>0</v>
          </cell>
        </row>
        <row r="633">
          <cell r="E633" t="str">
            <v>D25018838</v>
          </cell>
          <cell r="AP633">
            <v>0</v>
          </cell>
          <cell r="AQ633">
            <v>0</v>
          </cell>
          <cell r="AV633">
            <v>0</v>
          </cell>
        </row>
        <row r="634">
          <cell r="E634" t="str">
            <v>D25019180</v>
          </cell>
          <cell r="AP634">
            <v>0</v>
          </cell>
          <cell r="AQ634">
            <v>0</v>
          </cell>
          <cell r="AV634">
            <v>0</v>
          </cell>
        </row>
        <row r="635">
          <cell r="E635" t="str">
            <v>D25019218</v>
          </cell>
          <cell r="AP635">
            <v>0</v>
          </cell>
          <cell r="AQ635">
            <v>0</v>
          </cell>
          <cell r="AV635">
            <v>0</v>
          </cell>
        </row>
        <row r="636">
          <cell r="E636" t="str">
            <v>B25016789</v>
          </cell>
          <cell r="AP636">
            <v>0</v>
          </cell>
          <cell r="AQ636">
            <v>0</v>
          </cell>
          <cell r="AV636">
            <v>0</v>
          </cell>
        </row>
        <row r="637">
          <cell r="E637" t="str">
            <v>B25016790</v>
          </cell>
          <cell r="AP637">
            <v>0</v>
          </cell>
          <cell r="AQ637">
            <v>0</v>
          </cell>
          <cell r="AV637">
            <v>0</v>
          </cell>
        </row>
        <row r="638">
          <cell r="E638" t="str">
            <v>D25019273</v>
          </cell>
          <cell r="AP638">
            <v>0</v>
          </cell>
          <cell r="AQ638">
            <v>0</v>
          </cell>
          <cell r="AV638">
            <v>0</v>
          </cell>
        </row>
        <row r="639">
          <cell r="E639" t="str">
            <v>D25019547</v>
          </cell>
          <cell r="AP639">
            <v>0</v>
          </cell>
          <cell r="AQ639">
            <v>0</v>
          </cell>
          <cell r="AV639">
            <v>0</v>
          </cell>
        </row>
        <row r="640">
          <cell r="E640" t="str">
            <v>D25019548</v>
          </cell>
          <cell r="AP640">
            <v>0</v>
          </cell>
          <cell r="AQ640">
            <v>0</v>
          </cell>
          <cell r="AV640">
            <v>0</v>
          </cell>
        </row>
        <row r="641">
          <cell r="E641" t="str">
            <v>D26000094</v>
          </cell>
          <cell r="AP641">
            <v>0</v>
          </cell>
          <cell r="AQ641">
            <v>0</v>
          </cell>
          <cell r="AV641">
            <v>0</v>
          </cell>
        </row>
        <row r="642">
          <cell r="E642" t="str">
            <v>D26001588</v>
          </cell>
          <cell r="AP642">
            <v>0</v>
          </cell>
          <cell r="AQ642">
            <v>0</v>
          </cell>
          <cell r="AV642">
            <v>0</v>
          </cell>
        </row>
        <row r="643">
          <cell r="E643" t="str">
            <v>D26001629</v>
          </cell>
          <cell r="AP643">
            <v>0</v>
          </cell>
          <cell r="AQ643">
            <v>0</v>
          </cell>
          <cell r="AV643">
            <v>0</v>
          </cell>
        </row>
        <row r="644">
          <cell r="E644" t="str">
            <v>D26001673</v>
          </cell>
          <cell r="AP644">
            <v>0</v>
          </cell>
          <cell r="AQ644">
            <v>0</v>
          </cell>
          <cell r="AV644">
            <v>0</v>
          </cell>
        </row>
        <row r="645">
          <cell r="E645" t="str">
            <v>B26001596</v>
          </cell>
          <cell r="AP645">
            <v>0</v>
          </cell>
          <cell r="AQ645">
            <v>0</v>
          </cell>
          <cell r="AV645">
            <v>0</v>
          </cell>
        </row>
        <row r="646">
          <cell r="E646" t="str">
            <v>B26001912</v>
          </cell>
          <cell r="AP646">
            <v>0</v>
          </cell>
          <cell r="AQ646">
            <v>0</v>
          </cell>
          <cell r="AV646">
            <v>0</v>
          </cell>
        </row>
        <row r="647">
          <cell r="E647" t="str">
            <v>D26002087</v>
          </cell>
          <cell r="AP647">
            <v>0</v>
          </cell>
          <cell r="AQ647">
            <v>0</v>
          </cell>
          <cell r="AV647">
            <v>0</v>
          </cell>
        </row>
        <row r="648">
          <cell r="E648" t="str">
            <v>B26001952</v>
          </cell>
          <cell r="AP648">
            <v>0</v>
          </cell>
          <cell r="AQ648">
            <v>0</v>
          </cell>
          <cell r="AV648">
            <v>0</v>
          </cell>
        </row>
        <row r="649">
          <cell r="E649" t="str">
            <v>D26002121</v>
          </cell>
          <cell r="AP649">
            <v>0</v>
          </cell>
          <cell r="AQ649">
            <v>0</v>
          </cell>
          <cell r="AV649">
            <v>0</v>
          </cell>
        </row>
        <row r="650">
          <cell r="E650" t="str">
            <v>D26002137</v>
          </cell>
          <cell r="AP650">
            <v>0</v>
          </cell>
          <cell r="AQ650">
            <v>0</v>
          </cell>
          <cell r="AV650">
            <v>0</v>
          </cell>
        </row>
        <row r="651">
          <cell r="E651" t="str">
            <v>D26002286</v>
          </cell>
          <cell r="AP651">
            <v>0</v>
          </cell>
          <cell r="AQ651">
            <v>0</v>
          </cell>
          <cell r="AV651">
            <v>0</v>
          </cell>
        </row>
        <row r="652">
          <cell r="E652" t="str">
            <v>D26002383</v>
          </cell>
          <cell r="AP652">
            <v>0</v>
          </cell>
          <cell r="AQ652">
            <v>0</v>
          </cell>
          <cell r="AV652">
            <v>0</v>
          </cell>
        </row>
        <row r="653">
          <cell r="E653" t="str">
            <v>D26002879</v>
          </cell>
          <cell r="AP653">
            <v>0</v>
          </cell>
          <cell r="AQ653">
            <v>0</v>
          </cell>
          <cell r="AV653">
            <v>0</v>
          </cell>
        </row>
        <row r="654">
          <cell r="E654" t="str">
            <v>D26003197</v>
          </cell>
          <cell r="AP654">
            <v>0</v>
          </cell>
          <cell r="AQ654">
            <v>0</v>
          </cell>
          <cell r="AV654">
            <v>0</v>
          </cell>
        </row>
        <row r="655">
          <cell r="E655" t="str">
            <v>D26003198</v>
          </cell>
          <cell r="AP655">
            <v>0</v>
          </cell>
          <cell r="AQ655">
            <v>0</v>
          </cell>
          <cell r="AV655">
            <v>0</v>
          </cell>
        </row>
        <row r="656">
          <cell r="E656" t="str">
            <v>D26003203</v>
          </cell>
          <cell r="AP656">
            <v>0</v>
          </cell>
          <cell r="AQ656">
            <v>0</v>
          </cell>
          <cell r="AV656">
            <v>0</v>
          </cell>
        </row>
        <row r="657">
          <cell r="E657" t="str">
            <v>B26001777</v>
          </cell>
          <cell r="AP657">
            <v>0</v>
          </cell>
          <cell r="AQ657">
            <v>0</v>
          </cell>
          <cell r="AV657">
            <v>0</v>
          </cell>
        </row>
        <row r="658">
          <cell r="E658" t="str">
            <v>D26003230</v>
          </cell>
          <cell r="AP658">
            <v>0</v>
          </cell>
          <cell r="AQ658">
            <v>0</v>
          </cell>
          <cell r="AV658">
            <v>0</v>
          </cell>
        </row>
        <row r="659">
          <cell r="E659" t="str">
            <v>B26000075</v>
          </cell>
          <cell r="AP659">
            <v>0</v>
          </cell>
          <cell r="AQ659">
            <v>0</v>
          </cell>
          <cell r="AV659">
            <v>0</v>
          </cell>
        </row>
        <row r="660">
          <cell r="E660" t="str">
            <v>B26001577</v>
          </cell>
          <cell r="AP660">
            <v>0</v>
          </cell>
          <cell r="AQ660">
            <v>0</v>
          </cell>
          <cell r="AV660">
            <v>0</v>
          </cell>
        </row>
        <row r="661">
          <cell r="E661" t="str">
            <v>D25019326</v>
          </cell>
          <cell r="AP661">
            <v>0</v>
          </cell>
          <cell r="AQ661">
            <v>0</v>
          </cell>
          <cell r="AV661">
            <v>0</v>
          </cell>
        </row>
        <row r="662">
          <cell r="E662" t="str">
            <v>D26000844</v>
          </cell>
          <cell r="AP662">
            <v>0</v>
          </cell>
          <cell r="AQ662">
            <v>0</v>
          </cell>
          <cell r="AV662">
            <v>0</v>
          </cell>
        </row>
        <row r="663">
          <cell r="E663" t="str">
            <v>T25001781</v>
          </cell>
          <cell r="AP663">
            <v>0</v>
          </cell>
          <cell r="AQ663">
            <v>0</v>
          </cell>
          <cell r="AV663">
            <v>0</v>
          </cell>
        </row>
        <row r="664">
          <cell r="E664" t="str">
            <v>B26002590</v>
          </cell>
          <cell r="AP664">
            <v>0</v>
          </cell>
          <cell r="AQ664">
            <v>0</v>
          </cell>
          <cell r="AV664">
            <v>0</v>
          </cell>
        </row>
        <row r="665">
          <cell r="E665" t="str">
            <v>D26003029</v>
          </cell>
          <cell r="AP665">
            <v>0</v>
          </cell>
          <cell r="AQ665">
            <v>0</v>
          </cell>
          <cell r="AV665">
            <v>0</v>
          </cell>
        </row>
        <row r="666">
          <cell r="E666" t="str">
            <v>T26000256</v>
          </cell>
          <cell r="AP666">
            <v>0</v>
          </cell>
          <cell r="AQ666">
            <v>0</v>
          </cell>
          <cell r="AV666">
            <v>0</v>
          </cell>
        </row>
        <row r="667">
          <cell r="E667" t="str">
            <v>B26002202</v>
          </cell>
          <cell r="AP667">
            <v>0</v>
          </cell>
          <cell r="AQ667">
            <v>0</v>
          </cell>
          <cell r="AV667">
            <v>0</v>
          </cell>
        </row>
        <row r="668">
          <cell r="E668" t="str">
            <v>D26000025</v>
          </cell>
          <cell r="AP668">
            <v>0</v>
          </cell>
          <cell r="AQ668">
            <v>0</v>
          </cell>
          <cell r="AV668">
            <v>0</v>
          </cell>
        </row>
        <row r="669">
          <cell r="E669" t="str">
            <v>D26001778</v>
          </cell>
          <cell r="AP669">
            <v>0</v>
          </cell>
          <cell r="AQ669">
            <v>0</v>
          </cell>
          <cell r="AV669">
            <v>0</v>
          </cell>
        </row>
        <row r="670">
          <cell r="E670" t="str">
            <v>B26002000</v>
          </cell>
          <cell r="AP670">
            <v>0</v>
          </cell>
          <cell r="AQ670">
            <v>0</v>
          </cell>
          <cell r="AV670">
            <v>0</v>
          </cell>
        </row>
        <row r="671">
          <cell r="E671" t="str">
            <v>B26002003</v>
          </cell>
          <cell r="AP671">
            <v>0</v>
          </cell>
          <cell r="AQ671">
            <v>0</v>
          </cell>
          <cell r="AV671">
            <v>0</v>
          </cell>
        </row>
        <row r="672">
          <cell r="E672" t="str">
            <v>D26002690</v>
          </cell>
          <cell r="AP672">
            <v>0</v>
          </cell>
          <cell r="AQ672">
            <v>0</v>
          </cell>
          <cell r="AV672">
            <v>0</v>
          </cell>
        </row>
        <row r="673">
          <cell r="E673" t="str">
            <v>D26003290</v>
          </cell>
          <cell r="AP673">
            <v>0</v>
          </cell>
          <cell r="AQ673">
            <v>0</v>
          </cell>
          <cell r="AV673">
            <v>0</v>
          </cell>
        </row>
        <row r="674">
          <cell r="E674" t="str">
            <v>B26000027</v>
          </cell>
          <cell r="AP674">
            <v>0</v>
          </cell>
          <cell r="AQ674">
            <v>0</v>
          </cell>
          <cell r="AV674">
            <v>0</v>
          </cell>
        </row>
        <row r="675">
          <cell r="E675" t="str">
            <v>D26002603</v>
          </cell>
          <cell r="AP675">
            <v>0</v>
          </cell>
          <cell r="AQ675">
            <v>0</v>
          </cell>
          <cell r="AV675">
            <v>0</v>
          </cell>
        </row>
        <row r="676">
          <cell r="E676" t="str">
            <v>D26002164</v>
          </cell>
          <cell r="AP676">
            <v>0</v>
          </cell>
          <cell r="AQ676">
            <v>0</v>
          </cell>
          <cell r="AV676">
            <v>0</v>
          </cell>
        </row>
        <row r="677">
          <cell r="E677" t="str">
            <v>B26002140</v>
          </cell>
          <cell r="AP677">
            <v>0</v>
          </cell>
          <cell r="AQ677">
            <v>0</v>
          </cell>
          <cell r="AV677">
            <v>0</v>
          </cell>
        </row>
        <row r="678">
          <cell r="E678" t="str">
            <v>B25016413</v>
          </cell>
          <cell r="AP678">
            <v>0</v>
          </cell>
          <cell r="AQ678">
            <v>0</v>
          </cell>
          <cell r="AV678">
            <v>4000000</v>
          </cell>
        </row>
        <row r="679">
          <cell r="E679" t="str">
            <v>B25015318</v>
          </cell>
          <cell r="AP679">
            <v>0</v>
          </cell>
          <cell r="AQ679">
            <v>0</v>
          </cell>
          <cell r="AV679">
            <v>0</v>
          </cell>
        </row>
        <row r="680">
          <cell r="E680" t="str">
            <v>B25015319</v>
          </cell>
          <cell r="AP680">
            <v>0</v>
          </cell>
          <cell r="AQ680">
            <v>0</v>
          </cell>
          <cell r="AV680">
            <v>0</v>
          </cell>
        </row>
        <row r="681">
          <cell r="E681" t="str">
            <v>B25015415</v>
          </cell>
          <cell r="AP681">
            <v>0</v>
          </cell>
          <cell r="AQ681">
            <v>0</v>
          </cell>
          <cell r="AV681">
            <v>0</v>
          </cell>
        </row>
        <row r="682">
          <cell r="E682" t="str">
            <v>D25017912</v>
          </cell>
          <cell r="AP682">
            <v>0</v>
          </cell>
          <cell r="AQ682">
            <v>0</v>
          </cell>
          <cell r="AV682">
            <v>0</v>
          </cell>
        </row>
        <row r="683">
          <cell r="E683" t="str">
            <v>B25015523</v>
          </cell>
          <cell r="AP683">
            <v>0</v>
          </cell>
          <cell r="AQ683">
            <v>0</v>
          </cell>
          <cell r="AV683">
            <v>0</v>
          </cell>
        </row>
        <row r="684">
          <cell r="E684" t="str">
            <v>D25018187</v>
          </cell>
          <cell r="AP684">
            <v>0</v>
          </cell>
          <cell r="AQ684">
            <v>0</v>
          </cell>
          <cell r="AV684">
            <v>0</v>
          </cell>
        </row>
        <row r="685">
          <cell r="E685" t="str">
            <v>D25018248</v>
          </cell>
          <cell r="AP685">
            <v>0</v>
          </cell>
          <cell r="AQ685">
            <v>0</v>
          </cell>
          <cell r="AV685">
            <v>0</v>
          </cell>
        </row>
        <row r="686">
          <cell r="E686" t="str">
            <v>D25018273</v>
          </cell>
          <cell r="AP686">
            <v>0</v>
          </cell>
          <cell r="AQ686">
            <v>0</v>
          </cell>
          <cell r="AV686">
            <v>0</v>
          </cell>
        </row>
        <row r="687">
          <cell r="E687" t="str">
            <v>N25000073</v>
          </cell>
          <cell r="AP687">
            <v>0</v>
          </cell>
          <cell r="AQ687">
            <v>0</v>
          </cell>
          <cell r="AV687">
            <v>0</v>
          </cell>
        </row>
        <row r="688">
          <cell r="E688" t="str">
            <v>B25015953</v>
          </cell>
          <cell r="AP688">
            <v>0</v>
          </cell>
          <cell r="AQ688">
            <v>0</v>
          </cell>
          <cell r="AV688">
            <v>0</v>
          </cell>
        </row>
        <row r="689">
          <cell r="E689" t="str">
            <v>D25018350</v>
          </cell>
          <cell r="AP689">
            <v>0</v>
          </cell>
          <cell r="AQ689">
            <v>0</v>
          </cell>
          <cell r="AV689">
            <v>0</v>
          </cell>
        </row>
        <row r="690">
          <cell r="E690" t="str">
            <v>D25018354</v>
          </cell>
          <cell r="AP690">
            <v>0</v>
          </cell>
          <cell r="AQ690">
            <v>0</v>
          </cell>
          <cell r="AV690">
            <v>0</v>
          </cell>
        </row>
        <row r="691">
          <cell r="E691" t="str">
            <v>B25016052</v>
          </cell>
          <cell r="AP691">
            <v>0</v>
          </cell>
          <cell r="AQ691">
            <v>0</v>
          </cell>
          <cell r="AV691">
            <v>0</v>
          </cell>
        </row>
        <row r="692">
          <cell r="E692" t="str">
            <v>D25018680</v>
          </cell>
          <cell r="AP692">
            <v>0</v>
          </cell>
          <cell r="AQ692">
            <v>0</v>
          </cell>
          <cell r="AV692">
            <v>0</v>
          </cell>
        </row>
        <row r="693">
          <cell r="E693" t="str">
            <v>B25016296</v>
          </cell>
          <cell r="AP693">
            <v>0</v>
          </cell>
          <cell r="AQ693">
            <v>0</v>
          </cell>
          <cell r="AV693">
            <v>0</v>
          </cell>
        </row>
        <row r="694">
          <cell r="E694" t="str">
            <v>D25018697</v>
          </cell>
          <cell r="AP694">
            <v>0</v>
          </cell>
          <cell r="AQ694">
            <v>0</v>
          </cell>
          <cell r="AV694">
            <v>0</v>
          </cell>
        </row>
        <row r="695">
          <cell r="E695" t="str">
            <v>D25018734</v>
          </cell>
          <cell r="AP695">
            <v>0</v>
          </cell>
          <cell r="AQ695">
            <v>0</v>
          </cell>
          <cell r="AV695">
            <v>0</v>
          </cell>
        </row>
        <row r="696">
          <cell r="E696" t="str">
            <v>D25018763</v>
          </cell>
          <cell r="AP696">
            <v>0</v>
          </cell>
          <cell r="AQ696">
            <v>0</v>
          </cell>
          <cell r="AV696">
            <v>0</v>
          </cell>
        </row>
        <row r="697">
          <cell r="E697" t="str">
            <v>D25018876</v>
          </cell>
          <cell r="AP697">
            <v>0</v>
          </cell>
          <cell r="AQ697">
            <v>0</v>
          </cell>
          <cell r="AV697">
            <v>0</v>
          </cell>
        </row>
        <row r="698">
          <cell r="E698" t="str">
            <v>B25016497</v>
          </cell>
          <cell r="AP698">
            <v>0</v>
          </cell>
          <cell r="AQ698">
            <v>0</v>
          </cell>
          <cell r="AV698">
            <v>0</v>
          </cell>
        </row>
        <row r="699">
          <cell r="E699" t="str">
            <v>B25016502</v>
          </cell>
          <cell r="AP699">
            <v>0</v>
          </cell>
          <cell r="AQ699">
            <v>0</v>
          </cell>
          <cell r="AV699">
            <v>0</v>
          </cell>
        </row>
        <row r="700">
          <cell r="E700" t="str">
            <v>D25019009</v>
          </cell>
          <cell r="AP700">
            <v>0</v>
          </cell>
          <cell r="AQ700">
            <v>0</v>
          </cell>
          <cell r="AV700">
            <v>0</v>
          </cell>
        </row>
        <row r="701">
          <cell r="E701" t="str">
            <v>B25016772</v>
          </cell>
          <cell r="AP701">
            <v>0</v>
          </cell>
          <cell r="AQ701">
            <v>0</v>
          </cell>
          <cell r="AV701">
            <v>0</v>
          </cell>
        </row>
        <row r="702">
          <cell r="E702" t="str">
            <v>D25019274</v>
          </cell>
          <cell r="AP702">
            <v>0</v>
          </cell>
          <cell r="AQ702">
            <v>0</v>
          </cell>
          <cell r="AV702">
            <v>0</v>
          </cell>
        </row>
        <row r="703">
          <cell r="E703" t="str">
            <v>B25017014</v>
          </cell>
          <cell r="AP703">
            <v>0</v>
          </cell>
          <cell r="AQ703">
            <v>0</v>
          </cell>
          <cell r="AV703">
            <v>0</v>
          </cell>
        </row>
        <row r="704">
          <cell r="E704" t="str">
            <v>D25019561</v>
          </cell>
          <cell r="AP704">
            <v>0</v>
          </cell>
          <cell r="AQ704">
            <v>0</v>
          </cell>
          <cell r="AV704">
            <v>0</v>
          </cell>
        </row>
        <row r="705">
          <cell r="E705" t="str">
            <v>B25017039</v>
          </cell>
          <cell r="AP705">
            <v>0</v>
          </cell>
          <cell r="AQ705">
            <v>0</v>
          </cell>
          <cell r="AV705">
            <v>0</v>
          </cell>
        </row>
        <row r="706">
          <cell r="E706" t="str">
            <v>B25017045</v>
          </cell>
          <cell r="AP706">
            <v>0</v>
          </cell>
          <cell r="AQ706">
            <v>0</v>
          </cell>
          <cell r="AV706">
            <v>0</v>
          </cell>
        </row>
        <row r="707">
          <cell r="E707" t="str">
            <v>B25017053</v>
          </cell>
          <cell r="AP707">
            <v>0</v>
          </cell>
          <cell r="AQ707">
            <v>0</v>
          </cell>
          <cell r="AV707">
            <v>0</v>
          </cell>
        </row>
        <row r="708">
          <cell r="E708" t="str">
            <v>D25019633</v>
          </cell>
          <cell r="AP708">
            <v>0</v>
          </cell>
          <cell r="AQ708">
            <v>0</v>
          </cell>
          <cell r="AV708">
            <v>0</v>
          </cell>
        </row>
        <row r="709">
          <cell r="E709" t="str">
            <v>B25017108</v>
          </cell>
          <cell r="AP709">
            <v>0</v>
          </cell>
          <cell r="AQ709">
            <v>0</v>
          </cell>
          <cell r="AV709">
            <v>0</v>
          </cell>
        </row>
        <row r="710">
          <cell r="E710" t="str">
            <v>D26000134</v>
          </cell>
          <cell r="AP710">
            <v>0</v>
          </cell>
          <cell r="AQ710">
            <v>0</v>
          </cell>
          <cell r="AV710">
            <v>0</v>
          </cell>
        </row>
        <row r="711">
          <cell r="E711" t="str">
            <v>B26000170</v>
          </cell>
          <cell r="AP711">
            <v>0</v>
          </cell>
          <cell r="AQ711">
            <v>0</v>
          </cell>
          <cell r="AV711">
            <v>0</v>
          </cell>
        </row>
        <row r="712">
          <cell r="E712" t="str">
            <v>B26000173</v>
          </cell>
          <cell r="AP712">
            <v>0</v>
          </cell>
          <cell r="AQ712">
            <v>0</v>
          </cell>
          <cell r="AV712">
            <v>0</v>
          </cell>
        </row>
        <row r="713">
          <cell r="E713" t="str">
            <v>B26000241</v>
          </cell>
          <cell r="AP713">
            <v>0</v>
          </cell>
          <cell r="AQ713">
            <v>0</v>
          </cell>
          <cell r="AV713">
            <v>0</v>
          </cell>
        </row>
        <row r="714">
          <cell r="E714" t="str">
            <v>B26000345</v>
          </cell>
          <cell r="AP714">
            <v>0</v>
          </cell>
          <cell r="AQ714">
            <v>0</v>
          </cell>
          <cell r="AV714">
            <v>0</v>
          </cell>
        </row>
        <row r="715">
          <cell r="E715" t="str">
            <v>B26000346</v>
          </cell>
          <cell r="AP715">
            <v>0</v>
          </cell>
          <cell r="AQ715">
            <v>0</v>
          </cell>
          <cell r="AV715">
            <v>0</v>
          </cell>
        </row>
        <row r="716">
          <cell r="E716" t="str">
            <v>B26000382</v>
          </cell>
          <cell r="AP716">
            <v>0</v>
          </cell>
          <cell r="AQ716">
            <v>0</v>
          </cell>
          <cell r="AV716">
            <v>0</v>
          </cell>
        </row>
        <row r="717">
          <cell r="E717" t="str">
            <v>B26000635</v>
          </cell>
          <cell r="AP717">
            <v>0</v>
          </cell>
          <cell r="AQ717">
            <v>0</v>
          </cell>
          <cell r="AV717">
            <v>0</v>
          </cell>
        </row>
        <row r="718">
          <cell r="E718" t="str">
            <v>B26000688</v>
          </cell>
          <cell r="AP718">
            <v>0</v>
          </cell>
          <cell r="AQ718">
            <v>0</v>
          </cell>
          <cell r="AV718">
            <v>0</v>
          </cell>
        </row>
        <row r="719">
          <cell r="E719" t="str">
            <v>D26000805</v>
          </cell>
          <cell r="AP719">
            <v>0</v>
          </cell>
          <cell r="AQ719">
            <v>0</v>
          </cell>
          <cell r="AV719">
            <v>0</v>
          </cell>
        </row>
        <row r="720">
          <cell r="E720" t="str">
            <v>D26000859</v>
          </cell>
          <cell r="AP720">
            <v>0</v>
          </cell>
          <cell r="AQ720">
            <v>0</v>
          </cell>
          <cell r="AV720">
            <v>0</v>
          </cell>
        </row>
        <row r="721">
          <cell r="E721" t="str">
            <v>B26000821</v>
          </cell>
          <cell r="AP721">
            <v>0</v>
          </cell>
          <cell r="AQ721">
            <v>0</v>
          </cell>
          <cell r="AV721">
            <v>0</v>
          </cell>
        </row>
        <row r="722">
          <cell r="E722" t="str">
            <v>B26000846</v>
          </cell>
          <cell r="AP722">
            <v>0</v>
          </cell>
          <cell r="AQ722">
            <v>0</v>
          </cell>
          <cell r="AV722">
            <v>0</v>
          </cell>
        </row>
        <row r="723">
          <cell r="E723" t="str">
            <v>B26000901</v>
          </cell>
          <cell r="AP723">
            <v>0</v>
          </cell>
          <cell r="AQ723">
            <v>0</v>
          </cell>
          <cell r="AV723">
            <v>0</v>
          </cell>
        </row>
        <row r="724">
          <cell r="E724" t="str">
            <v>B26000902</v>
          </cell>
          <cell r="AP724">
            <v>0</v>
          </cell>
          <cell r="AQ724">
            <v>0</v>
          </cell>
          <cell r="AV724">
            <v>0</v>
          </cell>
        </row>
        <row r="725">
          <cell r="E725" t="str">
            <v>B26000944</v>
          </cell>
          <cell r="AP725">
            <v>0</v>
          </cell>
          <cell r="AQ725">
            <v>0</v>
          </cell>
          <cell r="AV725">
            <v>0</v>
          </cell>
        </row>
        <row r="726">
          <cell r="E726" t="str">
            <v>D26001057</v>
          </cell>
          <cell r="AP726">
            <v>0</v>
          </cell>
          <cell r="AQ726">
            <v>0</v>
          </cell>
          <cell r="AV726">
            <v>0</v>
          </cell>
        </row>
        <row r="727">
          <cell r="E727" t="str">
            <v>D26001103</v>
          </cell>
          <cell r="AP727">
            <v>0</v>
          </cell>
          <cell r="AQ727">
            <v>0</v>
          </cell>
          <cell r="AV727">
            <v>0</v>
          </cell>
        </row>
        <row r="728">
          <cell r="E728" t="str">
            <v>B26001169</v>
          </cell>
          <cell r="AP728">
            <v>0</v>
          </cell>
          <cell r="AQ728">
            <v>0</v>
          </cell>
          <cell r="AV728">
            <v>0</v>
          </cell>
        </row>
        <row r="729">
          <cell r="E729" t="str">
            <v>D26001404</v>
          </cell>
          <cell r="AP729">
            <v>0</v>
          </cell>
          <cell r="AQ729">
            <v>0</v>
          </cell>
          <cell r="AV729">
            <v>0</v>
          </cell>
        </row>
        <row r="730">
          <cell r="E730" t="str">
            <v>D26001427</v>
          </cell>
          <cell r="AP730">
            <v>0</v>
          </cell>
          <cell r="AQ730">
            <v>0</v>
          </cell>
          <cell r="AV730">
            <v>0</v>
          </cell>
        </row>
        <row r="731">
          <cell r="E731" t="str">
            <v>B26001452</v>
          </cell>
          <cell r="AP731">
            <v>0</v>
          </cell>
          <cell r="AQ731">
            <v>0</v>
          </cell>
          <cell r="AV731">
            <v>0</v>
          </cell>
        </row>
        <row r="732">
          <cell r="E732" t="str">
            <v>D26001539</v>
          </cell>
          <cell r="AP732">
            <v>0</v>
          </cell>
          <cell r="AQ732">
            <v>0</v>
          </cell>
          <cell r="AV732">
            <v>0</v>
          </cell>
        </row>
        <row r="733">
          <cell r="E733" t="str">
            <v>N26000015</v>
          </cell>
          <cell r="AP733">
            <v>0</v>
          </cell>
          <cell r="AQ733">
            <v>0</v>
          </cell>
          <cell r="AV733">
            <v>0</v>
          </cell>
        </row>
        <row r="734">
          <cell r="E734" t="str">
            <v>D26001613</v>
          </cell>
          <cell r="AP734">
            <v>0</v>
          </cell>
          <cell r="AQ734">
            <v>0</v>
          </cell>
          <cell r="AV734">
            <v>0</v>
          </cell>
        </row>
        <row r="735">
          <cell r="E735" t="str">
            <v>D26001669</v>
          </cell>
          <cell r="AP735">
            <v>0</v>
          </cell>
          <cell r="AQ735">
            <v>0</v>
          </cell>
          <cell r="AV735">
            <v>0</v>
          </cell>
        </row>
        <row r="736">
          <cell r="E736" t="str">
            <v>B26001619</v>
          </cell>
          <cell r="AP736">
            <v>0</v>
          </cell>
          <cell r="AQ736">
            <v>0</v>
          </cell>
          <cell r="AV736">
            <v>0</v>
          </cell>
        </row>
        <row r="737">
          <cell r="E737" t="str">
            <v>B26001634</v>
          </cell>
          <cell r="AP737">
            <v>0</v>
          </cell>
          <cell r="AQ737">
            <v>0</v>
          </cell>
          <cell r="AV737">
            <v>0</v>
          </cell>
        </row>
        <row r="738">
          <cell r="E738" t="str">
            <v>D26001841</v>
          </cell>
          <cell r="AP738">
            <v>0</v>
          </cell>
          <cell r="AQ738">
            <v>0</v>
          </cell>
          <cell r="AV738">
            <v>0</v>
          </cell>
        </row>
        <row r="739">
          <cell r="E739" t="str">
            <v>B26001710</v>
          </cell>
          <cell r="AP739">
            <v>0</v>
          </cell>
          <cell r="AQ739">
            <v>0</v>
          </cell>
          <cell r="AV739">
            <v>0</v>
          </cell>
        </row>
        <row r="740">
          <cell r="E740" t="str">
            <v>D26001856</v>
          </cell>
          <cell r="AP740">
            <v>0</v>
          </cell>
          <cell r="AQ740">
            <v>0</v>
          </cell>
          <cell r="AV740">
            <v>0</v>
          </cell>
        </row>
        <row r="741">
          <cell r="E741" t="str">
            <v>B26001841</v>
          </cell>
          <cell r="AP741">
            <v>0</v>
          </cell>
          <cell r="AQ741">
            <v>0</v>
          </cell>
          <cell r="AV741">
            <v>0</v>
          </cell>
        </row>
        <row r="742">
          <cell r="E742" t="str">
            <v>D26001985</v>
          </cell>
          <cell r="AP742">
            <v>0</v>
          </cell>
          <cell r="AQ742">
            <v>0</v>
          </cell>
          <cell r="AV742">
            <v>0</v>
          </cell>
        </row>
        <row r="743">
          <cell r="E743" t="str">
            <v>D26002012</v>
          </cell>
          <cell r="AP743">
            <v>0</v>
          </cell>
          <cell r="AQ743">
            <v>0</v>
          </cell>
          <cell r="AV743">
            <v>0</v>
          </cell>
        </row>
        <row r="744">
          <cell r="E744" t="str">
            <v>B26001935</v>
          </cell>
          <cell r="AP744">
            <v>0</v>
          </cell>
          <cell r="AQ744">
            <v>0</v>
          </cell>
          <cell r="AV744">
            <v>0</v>
          </cell>
        </row>
        <row r="745">
          <cell r="E745" t="str">
            <v>B26002007</v>
          </cell>
          <cell r="AP745">
            <v>0</v>
          </cell>
          <cell r="AQ745">
            <v>0</v>
          </cell>
          <cell r="AV745">
            <v>0</v>
          </cell>
        </row>
        <row r="746">
          <cell r="E746" t="str">
            <v>B26002089</v>
          </cell>
          <cell r="AP746">
            <v>0</v>
          </cell>
          <cell r="AQ746">
            <v>0</v>
          </cell>
          <cell r="AV746">
            <v>0</v>
          </cell>
        </row>
        <row r="747">
          <cell r="E747" t="str">
            <v>B26002142</v>
          </cell>
          <cell r="AP747">
            <v>0</v>
          </cell>
          <cell r="AQ747">
            <v>0</v>
          </cell>
          <cell r="AV747">
            <v>0</v>
          </cell>
        </row>
        <row r="748">
          <cell r="E748" t="str">
            <v>D26002257</v>
          </cell>
          <cell r="AP748">
            <v>0</v>
          </cell>
          <cell r="AQ748">
            <v>0</v>
          </cell>
          <cell r="AV748">
            <v>0</v>
          </cell>
        </row>
        <row r="749">
          <cell r="E749" t="str">
            <v>B26002316</v>
          </cell>
          <cell r="AP749">
            <v>0</v>
          </cell>
          <cell r="AQ749">
            <v>0</v>
          </cell>
          <cell r="AV749">
            <v>0</v>
          </cell>
        </row>
        <row r="750">
          <cell r="E750" t="str">
            <v>D26002507</v>
          </cell>
          <cell r="AP750">
            <v>0</v>
          </cell>
          <cell r="AQ750">
            <v>0</v>
          </cell>
          <cell r="AV750">
            <v>0</v>
          </cell>
        </row>
        <row r="751">
          <cell r="E751" t="str">
            <v>B26002391</v>
          </cell>
          <cell r="AP751">
            <v>0</v>
          </cell>
          <cell r="AQ751">
            <v>0</v>
          </cell>
          <cell r="AV751">
            <v>0</v>
          </cell>
        </row>
        <row r="752">
          <cell r="E752" t="str">
            <v>B26002392</v>
          </cell>
          <cell r="AP752">
            <v>0</v>
          </cell>
          <cell r="AQ752">
            <v>0</v>
          </cell>
          <cell r="AV752">
            <v>0</v>
          </cell>
        </row>
        <row r="753">
          <cell r="E753" t="str">
            <v>B26002422</v>
          </cell>
          <cell r="AP753">
            <v>0</v>
          </cell>
          <cell r="AQ753">
            <v>0</v>
          </cell>
          <cell r="AV753">
            <v>0</v>
          </cell>
        </row>
        <row r="754">
          <cell r="E754" t="str">
            <v>B26002451</v>
          </cell>
          <cell r="AP754">
            <v>0</v>
          </cell>
          <cell r="AQ754">
            <v>0</v>
          </cell>
          <cell r="AV754">
            <v>0</v>
          </cell>
        </row>
        <row r="755">
          <cell r="E755" t="str">
            <v>D26002666</v>
          </cell>
          <cell r="AP755">
            <v>0</v>
          </cell>
          <cell r="AQ755">
            <v>0</v>
          </cell>
          <cell r="AV755">
            <v>0</v>
          </cell>
        </row>
        <row r="756">
          <cell r="E756" t="str">
            <v>B25015269</v>
          </cell>
          <cell r="AP756">
            <v>0</v>
          </cell>
          <cell r="AQ756">
            <v>0</v>
          </cell>
          <cell r="AV756">
            <v>23580000</v>
          </cell>
        </row>
        <row r="757">
          <cell r="E757" t="str">
            <v>B25015270</v>
          </cell>
          <cell r="AP757">
            <v>0</v>
          </cell>
          <cell r="AQ757">
            <v>0</v>
          </cell>
          <cell r="AV757">
            <v>0</v>
          </cell>
        </row>
        <row r="758">
          <cell r="E758" t="str">
            <v>D25017684</v>
          </cell>
          <cell r="AP758">
            <v>0</v>
          </cell>
          <cell r="AQ758">
            <v>0</v>
          </cell>
          <cell r="AV758">
            <v>16675000</v>
          </cell>
        </row>
        <row r="759">
          <cell r="E759" t="str">
            <v>T25001754</v>
          </cell>
          <cell r="AP759">
            <v>0</v>
          </cell>
          <cell r="AQ759">
            <v>0</v>
          </cell>
          <cell r="AV759">
            <v>0</v>
          </cell>
        </row>
        <row r="760">
          <cell r="E760" t="str">
            <v>D25017920</v>
          </cell>
          <cell r="AP760">
            <v>0</v>
          </cell>
          <cell r="AQ760">
            <v>0</v>
          </cell>
          <cell r="AV760">
            <v>0</v>
          </cell>
        </row>
        <row r="761">
          <cell r="E761" t="str">
            <v>D25018112</v>
          </cell>
          <cell r="AP761">
            <v>0</v>
          </cell>
          <cell r="AQ761">
            <v>0</v>
          </cell>
          <cell r="AV761">
            <v>2100000</v>
          </cell>
        </row>
        <row r="762">
          <cell r="E762" t="str">
            <v>D25018463</v>
          </cell>
          <cell r="AP762">
            <v>0</v>
          </cell>
          <cell r="AQ762">
            <v>0</v>
          </cell>
          <cell r="AV762">
            <v>0</v>
          </cell>
        </row>
        <row r="763">
          <cell r="E763" t="str">
            <v>B25016134</v>
          </cell>
          <cell r="AP763">
            <v>0</v>
          </cell>
          <cell r="AQ763">
            <v>0</v>
          </cell>
          <cell r="AV763">
            <v>6784800</v>
          </cell>
        </row>
        <row r="764">
          <cell r="E764" t="str">
            <v>B25016274</v>
          </cell>
          <cell r="AP764">
            <v>0</v>
          </cell>
          <cell r="AQ764">
            <v>0</v>
          </cell>
          <cell r="AV764">
            <v>37800000</v>
          </cell>
        </row>
        <row r="765">
          <cell r="E765" t="str">
            <v>B25016379</v>
          </cell>
          <cell r="AP765">
            <v>0</v>
          </cell>
          <cell r="AQ765">
            <v>0</v>
          </cell>
          <cell r="AV765">
            <v>0</v>
          </cell>
        </row>
        <row r="766">
          <cell r="E766" t="str">
            <v>D25018868</v>
          </cell>
          <cell r="AP766">
            <v>0</v>
          </cell>
          <cell r="AQ766">
            <v>0</v>
          </cell>
          <cell r="AV766">
            <v>0</v>
          </cell>
        </row>
        <row r="767">
          <cell r="E767" t="str">
            <v>D25019071</v>
          </cell>
          <cell r="AP767">
            <v>0</v>
          </cell>
          <cell r="AQ767">
            <v>0</v>
          </cell>
          <cell r="AV767">
            <v>0</v>
          </cell>
        </row>
        <row r="768">
          <cell r="E768" t="str">
            <v>D25019310</v>
          </cell>
          <cell r="AP768">
            <v>0</v>
          </cell>
          <cell r="AQ768">
            <v>0</v>
          </cell>
          <cell r="AV768">
            <v>0</v>
          </cell>
        </row>
        <row r="769">
          <cell r="E769" t="str">
            <v>T25001890</v>
          </cell>
          <cell r="AP769">
            <v>0</v>
          </cell>
          <cell r="AQ769">
            <v>0</v>
          </cell>
          <cell r="AV769">
            <v>0</v>
          </cell>
        </row>
        <row r="770">
          <cell r="E770" t="str">
            <v>B25016917</v>
          </cell>
          <cell r="AP770">
            <v>0</v>
          </cell>
          <cell r="AQ770">
            <v>0</v>
          </cell>
          <cell r="AV770">
            <v>0</v>
          </cell>
        </row>
        <row r="771">
          <cell r="E771" t="str">
            <v>B25016953</v>
          </cell>
          <cell r="AP771">
            <v>0</v>
          </cell>
          <cell r="AQ771">
            <v>0</v>
          </cell>
          <cell r="AV771">
            <v>0</v>
          </cell>
        </row>
        <row r="772">
          <cell r="E772" t="str">
            <v>B25016954</v>
          </cell>
          <cell r="AP772">
            <v>0</v>
          </cell>
          <cell r="AQ772">
            <v>0</v>
          </cell>
          <cell r="AV772">
            <v>0</v>
          </cell>
        </row>
        <row r="773">
          <cell r="E773" t="str">
            <v>D25019577</v>
          </cell>
          <cell r="AP773">
            <v>0</v>
          </cell>
          <cell r="AQ773">
            <v>0</v>
          </cell>
          <cell r="AV773">
            <v>0</v>
          </cell>
        </row>
        <row r="774">
          <cell r="E774" t="str">
            <v>D25019632</v>
          </cell>
          <cell r="AP774">
            <v>0</v>
          </cell>
          <cell r="AQ774">
            <v>0</v>
          </cell>
          <cell r="AV774">
            <v>0</v>
          </cell>
        </row>
        <row r="775">
          <cell r="E775" t="str">
            <v>D25019655</v>
          </cell>
          <cell r="AP775">
            <v>0</v>
          </cell>
          <cell r="AQ775">
            <v>0</v>
          </cell>
          <cell r="AV775">
            <v>0</v>
          </cell>
        </row>
        <row r="776">
          <cell r="E776" t="str">
            <v>B25017134</v>
          </cell>
          <cell r="AP776">
            <v>0</v>
          </cell>
          <cell r="AQ776">
            <v>0</v>
          </cell>
          <cell r="AV776">
            <v>0</v>
          </cell>
        </row>
        <row r="777">
          <cell r="E777" t="str">
            <v>B26001260</v>
          </cell>
          <cell r="AP777">
            <v>0</v>
          </cell>
          <cell r="AQ777">
            <v>0</v>
          </cell>
          <cell r="AV777">
            <v>0</v>
          </cell>
        </row>
        <row r="778">
          <cell r="E778" t="str">
            <v>B26001261</v>
          </cell>
          <cell r="AP778">
            <v>0</v>
          </cell>
          <cell r="AQ778">
            <v>0</v>
          </cell>
          <cell r="AV778">
            <v>0</v>
          </cell>
        </row>
        <row r="779">
          <cell r="E779" t="str">
            <v>B26001279</v>
          </cell>
          <cell r="AP779">
            <v>0</v>
          </cell>
          <cell r="AQ779">
            <v>0</v>
          </cell>
          <cell r="AV779">
            <v>0</v>
          </cell>
        </row>
        <row r="780">
          <cell r="E780" t="str">
            <v>D26001464</v>
          </cell>
          <cell r="AP780">
            <v>0</v>
          </cell>
          <cell r="AQ780">
            <v>0</v>
          </cell>
          <cell r="AV780">
            <v>0</v>
          </cell>
        </row>
        <row r="781">
          <cell r="E781" t="str">
            <v>B26001473</v>
          </cell>
          <cell r="AP781">
            <v>0</v>
          </cell>
          <cell r="AQ781">
            <v>0</v>
          </cell>
          <cell r="AV781">
            <v>0</v>
          </cell>
        </row>
        <row r="782">
          <cell r="E782" t="str">
            <v>B26001564</v>
          </cell>
          <cell r="AP782">
            <v>0</v>
          </cell>
          <cell r="AQ782">
            <v>0</v>
          </cell>
          <cell r="AV782">
            <v>0</v>
          </cell>
        </row>
        <row r="783">
          <cell r="E783" t="str">
            <v>B26001654</v>
          </cell>
          <cell r="AP783">
            <v>0</v>
          </cell>
          <cell r="AQ783">
            <v>0</v>
          </cell>
          <cell r="AV783">
            <v>0</v>
          </cell>
        </row>
        <row r="784">
          <cell r="E784" t="str">
            <v>D26001836</v>
          </cell>
          <cell r="AP784">
            <v>0</v>
          </cell>
          <cell r="AQ784">
            <v>0</v>
          </cell>
          <cell r="AV784">
            <v>0</v>
          </cell>
        </row>
        <row r="785">
          <cell r="E785" t="str">
            <v>B26001734</v>
          </cell>
          <cell r="AP785">
            <v>0</v>
          </cell>
          <cell r="AQ785">
            <v>0</v>
          </cell>
          <cell r="AV785">
            <v>0</v>
          </cell>
        </row>
        <row r="786">
          <cell r="E786" t="str">
            <v>D26001865</v>
          </cell>
          <cell r="AP786">
            <v>0</v>
          </cell>
          <cell r="AQ786">
            <v>0</v>
          </cell>
          <cell r="AV786">
            <v>0</v>
          </cell>
        </row>
        <row r="787">
          <cell r="E787" t="str">
            <v>B26001874</v>
          </cell>
          <cell r="AP787">
            <v>0</v>
          </cell>
          <cell r="AQ787">
            <v>0</v>
          </cell>
          <cell r="AV787">
            <v>0</v>
          </cell>
        </row>
        <row r="788">
          <cell r="E788" t="str">
            <v>D26002073</v>
          </cell>
          <cell r="AP788">
            <v>0</v>
          </cell>
          <cell r="AQ788">
            <v>0</v>
          </cell>
          <cell r="AV788">
            <v>0</v>
          </cell>
        </row>
        <row r="789">
          <cell r="E789" t="str">
            <v>B26002068</v>
          </cell>
          <cell r="AP789">
            <v>0</v>
          </cell>
          <cell r="AQ789">
            <v>0</v>
          </cell>
          <cell r="AV789">
            <v>0</v>
          </cell>
        </row>
        <row r="790">
          <cell r="E790" t="str">
            <v>B26002121</v>
          </cell>
          <cell r="AP790">
            <v>0</v>
          </cell>
          <cell r="AQ790">
            <v>0</v>
          </cell>
          <cell r="AV790">
            <v>0</v>
          </cell>
        </row>
        <row r="791">
          <cell r="E791" t="str">
            <v>D26002315</v>
          </cell>
          <cell r="AP791">
            <v>0</v>
          </cell>
          <cell r="AQ791">
            <v>0</v>
          </cell>
          <cell r="AV791">
            <v>0</v>
          </cell>
        </row>
        <row r="792">
          <cell r="E792" t="str">
            <v>D26002342</v>
          </cell>
          <cell r="AP792">
            <v>0</v>
          </cell>
          <cell r="AQ792">
            <v>0</v>
          </cell>
          <cell r="AV792">
            <v>0</v>
          </cell>
        </row>
        <row r="793">
          <cell r="E793" t="str">
            <v>D26002426</v>
          </cell>
          <cell r="AP793">
            <v>0</v>
          </cell>
          <cell r="AQ793">
            <v>0</v>
          </cell>
          <cell r="AV793">
            <v>0</v>
          </cell>
        </row>
        <row r="794">
          <cell r="E794" t="str">
            <v>B26002302</v>
          </cell>
          <cell r="AP794">
            <v>0</v>
          </cell>
          <cell r="AQ794">
            <v>0</v>
          </cell>
          <cell r="AV794">
            <v>0</v>
          </cell>
        </row>
        <row r="795">
          <cell r="E795" t="str">
            <v>D26002479</v>
          </cell>
          <cell r="AP795">
            <v>0</v>
          </cell>
          <cell r="AQ795">
            <v>0</v>
          </cell>
          <cell r="AV795">
            <v>0</v>
          </cell>
        </row>
        <row r="796">
          <cell r="E796" t="str">
            <v>B26003085</v>
          </cell>
          <cell r="AP796">
            <v>0</v>
          </cell>
          <cell r="AQ796">
            <v>0</v>
          </cell>
          <cell r="AV796">
            <v>0</v>
          </cell>
        </row>
        <row r="797">
          <cell r="E797" t="str">
            <v>D26003322</v>
          </cell>
          <cell r="AP797">
            <v>0</v>
          </cell>
          <cell r="AQ797">
            <v>0</v>
          </cell>
          <cell r="AV797">
            <v>0</v>
          </cell>
        </row>
        <row r="798">
          <cell r="E798" t="str">
            <v>B25014620</v>
          </cell>
          <cell r="AP798">
            <v>0</v>
          </cell>
          <cell r="AQ798">
            <v>0</v>
          </cell>
          <cell r="AV798">
            <v>0</v>
          </cell>
        </row>
        <row r="799">
          <cell r="E799" t="str">
            <v>D25017216</v>
          </cell>
          <cell r="AP799">
            <v>0</v>
          </cell>
          <cell r="AQ799">
            <v>0</v>
          </cell>
          <cell r="AV799">
            <v>0</v>
          </cell>
        </row>
        <row r="800">
          <cell r="E800" t="str">
            <v>D25018150</v>
          </cell>
          <cell r="AP800">
            <v>0</v>
          </cell>
          <cell r="AQ800">
            <v>0</v>
          </cell>
          <cell r="AV800">
            <v>0</v>
          </cell>
        </row>
        <row r="801">
          <cell r="E801" t="str">
            <v>D25018927</v>
          </cell>
          <cell r="AP801">
            <v>0</v>
          </cell>
          <cell r="AQ801">
            <v>0</v>
          </cell>
          <cell r="AV801">
            <v>0</v>
          </cell>
        </row>
        <row r="802">
          <cell r="E802" t="str">
            <v>B25017021</v>
          </cell>
          <cell r="AP802">
            <v>0</v>
          </cell>
          <cell r="AQ802">
            <v>0</v>
          </cell>
          <cell r="AV802">
            <v>0</v>
          </cell>
        </row>
        <row r="803">
          <cell r="E803" t="str">
            <v>B25017029</v>
          </cell>
          <cell r="AP803">
            <v>0</v>
          </cell>
          <cell r="AQ803">
            <v>0</v>
          </cell>
          <cell r="AV803">
            <v>0</v>
          </cell>
        </row>
        <row r="804">
          <cell r="E804" t="str">
            <v>B26000563</v>
          </cell>
          <cell r="AP804">
            <v>0</v>
          </cell>
          <cell r="AQ804">
            <v>0</v>
          </cell>
          <cell r="AV804">
            <v>0</v>
          </cell>
        </row>
        <row r="805">
          <cell r="E805" t="str">
            <v>B26000564</v>
          </cell>
          <cell r="AP805">
            <v>0</v>
          </cell>
          <cell r="AQ805">
            <v>0</v>
          </cell>
          <cell r="AV805">
            <v>0</v>
          </cell>
        </row>
        <row r="806">
          <cell r="E806" t="str">
            <v>B26000717</v>
          </cell>
          <cell r="AP806">
            <v>0</v>
          </cell>
          <cell r="AQ806">
            <v>0</v>
          </cell>
          <cell r="AV806">
            <v>0</v>
          </cell>
        </row>
        <row r="807">
          <cell r="E807" t="str">
            <v>B26000888</v>
          </cell>
          <cell r="AP807">
            <v>0</v>
          </cell>
          <cell r="AQ807">
            <v>0</v>
          </cell>
          <cell r="AV807">
            <v>0</v>
          </cell>
        </row>
        <row r="808">
          <cell r="E808" t="str">
            <v>D26000960</v>
          </cell>
          <cell r="AP808">
            <v>0</v>
          </cell>
          <cell r="AQ808">
            <v>0</v>
          </cell>
          <cell r="AV808">
            <v>0</v>
          </cell>
        </row>
        <row r="809">
          <cell r="E809" t="str">
            <v>D26001019</v>
          </cell>
          <cell r="AP809">
            <v>0</v>
          </cell>
          <cell r="AQ809">
            <v>0</v>
          </cell>
          <cell r="AV809">
            <v>0</v>
          </cell>
        </row>
        <row r="810">
          <cell r="E810" t="str">
            <v>D26001020</v>
          </cell>
          <cell r="AP810">
            <v>0</v>
          </cell>
          <cell r="AQ810">
            <v>0</v>
          </cell>
          <cell r="AV810">
            <v>0</v>
          </cell>
        </row>
        <row r="811">
          <cell r="E811" t="str">
            <v>B26002503</v>
          </cell>
          <cell r="AP811">
            <v>0</v>
          </cell>
          <cell r="AQ811">
            <v>0</v>
          </cell>
          <cell r="AV811">
            <v>0</v>
          </cell>
        </row>
        <row r="812">
          <cell r="E812" t="str">
            <v>B26002504</v>
          </cell>
          <cell r="AP812">
            <v>0</v>
          </cell>
          <cell r="AQ812">
            <v>0</v>
          </cell>
          <cell r="AV812">
            <v>0</v>
          </cell>
        </row>
        <row r="813">
          <cell r="E813" t="str">
            <v>D26002747</v>
          </cell>
          <cell r="AP813">
            <v>0</v>
          </cell>
          <cell r="AQ813">
            <v>0</v>
          </cell>
          <cell r="AV813">
            <v>16020000</v>
          </cell>
        </row>
        <row r="814">
          <cell r="E814" t="str">
            <v>D26002816</v>
          </cell>
          <cell r="AP814">
            <v>0</v>
          </cell>
          <cell r="AQ814">
            <v>0</v>
          </cell>
          <cell r="AV814">
            <v>0</v>
          </cell>
        </row>
        <row r="815">
          <cell r="E815" t="str">
            <v>B26002739</v>
          </cell>
          <cell r="AP815">
            <v>0</v>
          </cell>
          <cell r="AQ815">
            <v>0</v>
          </cell>
          <cell r="AV815">
            <v>0</v>
          </cell>
        </row>
        <row r="816">
          <cell r="E816" t="str">
            <v>B26002740</v>
          </cell>
          <cell r="AP816">
            <v>0</v>
          </cell>
          <cell r="AQ816">
            <v>0</v>
          </cell>
          <cell r="AV816">
            <v>0</v>
          </cell>
        </row>
        <row r="817">
          <cell r="E817" t="str">
            <v>B26002772</v>
          </cell>
          <cell r="AP817">
            <v>0</v>
          </cell>
          <cell r="AQ817">
            <v>0</v>
          </cell>
          <cell r="AV817">
            <v>0</v>
          </cell>
        </row>
        <row r="818">
          <cell r="E818" t="str">
            <v>B26002808</v>
          </cell>
          <cell r="AP818">
            <v>0</v>
          </cell>
          <cell r="AQ818">
            <v>0</v>
          </cell>
          <cell r="AV818">
            <v>0</v>
          </cell>
        </row>
        <row r="819">
          <cell r="E819" t="str">
            <v>D26003027</v>
          </cell>
          <cell r="AP819">
            <v>0</v>
          </cell>
          <cell r="AQ819">
            <v>0</v>
          </cell>
          <cell r="AV819">
            <v>0</v>
          </cell>
        </row>
        <row r="820">
          <cell r="E820" t="str">
            <v>B26003023</v>
          </cell>
          <cell r="AP820">
            <v>0</v>
          </cell>
          <cell r="AQ820">
            <v>0</v>
          </cell>
          <cell r="AV820">
            <v>0</v>
          </cell>
        </row>
        <row r="821">
          <cell r="E821" t="str">
            <v>B26000743</v>
          </cell>
          <cell r="AP821">
            <v>0</v>
          </cell>
          <cell r="AQ821">
            <v>0</v>
          </cell>
          <cell r="AV821">
            <v>2220000</v>
          </cell>
        </row>
        <row r="822">
          <cell r="E822" t="str">
            <v>D26000981</v>
          </cell>
          <cell r="AP822">
            <v>0</v>
          </cell>
          <cell r="AQ822">
            <v>0</v>
          </cell>
          <cell r="AV822">
            <v>0</v>
          </cell>
        </row>
        <row r="823">
          <cell r="E823" t="str">
            <v>D26001365</v>
          </cell>
          <cell r="AP823">
            <v>0</v>
          </cell>
          <cell r="AQ823">
            <v>0</v>
          </cell>
          <cell r="AV823">
            <v>0</v>
          </cell>
        </row>
        <row r="824">
          <cell r="E824" t="str">
            <v>D26001465</v>
          </cell>
          <cell r="AP824">
            <v>0</v>
          </cell>
          <cell r="AQ824">
            <v>0</v>
          </cell>
          <cell r="AV824">
            <v>0</v>
          </cell>
        </row>
        <row r="825">
          <cell r="E825" t="str">
            <v>B26002691</v>
          </cell>
          <cell r="AP825">
            <v>0</v>
          </cell>
          <cell r="AQ825">
            <v>0</v>
          </cell>
          <cell r="AV825">
            <v>0</v>
          </cell>
        </row>
        <row r="826">
          <cell r="E826" t="str">
            <v>B26002778</v>
          </cell>
          <cell r="AP826">
            <v>0</v>
          </cell>
          <cell r="AQ826">
            <v>0</v>
          </cell>
          <cell r="AV826">
            <v>0</v>
          </cell>
        </row>
        <row r="827">
          <cell r="E827" t="str">
            <v>B26002783</v>
          </cell>
          <cell r="AP827">
            <v>0</v>
          </cell>
          <cell r="AQ827">
            <v>0</v>
          </cell>
          <cell r="AV827">
            <v>0</v>
          </cell>
        </row>
        <row r="828">
          <cell r="E828" t="str">
            <v>D26000427</v>
          </cell>
          <cell r="AP828">
            <v>0</v>
          </cell>
          <cell r="AQ828">
            <v>0</v>
          </cell>
          <cell r="AV828">
            <v>0</v>
          </cell>
        </row>
        <row r="829">
          <cell r="E829" t="str">
            <v>D26002253</v>
          </cell>
          <cell r="AP829">
            <v>0</v>
          </cell>
          <cell r="AQ829">
            <v>0</v>
          </cell>
          <cell r="AV829">
            <v>0</v>
          </cell>
        </row>
        <row r="830">
          <cell r="E830" t="str">
            <v>D26002970</v>
          </cell>
          <cell r="AP830">
            <v>0</v>
          </cell>
          <cell r="AQ830">
            <v>0</v>
          </cell>
          <cell r="AV830">
            <v>0</v>
          </cell>
        </row>
        <row r="831">
          <cell r="E831" t="str">
            <v>B26002836</v>
          </cell>
          <cell r="AP831">
            <v>0</v>
          </cell>
          <cell r="AQ831">
            <v>0</v>
          </cell>
          <cell r="AV831">
            <v>0</v>
          </cell>
        </row>
        <row r="832">
          <cell r="E832" t="str">
            <v>B26002834</v>
          </cell>
          <cell r="AP832">
            <v>0</v>
          </cell>
          <cell r="AQ832">
            <v>0</v>
          </cell>
          <cell r="AV832">
            <v>0</v>
          </cell>
        </row>
        <row r="833">
          <cell r="E833" t="str">
            <v>T26000017</v>
          </cell>
          <cell r="AP833">
            <v>0</v>
          </cell>
          <cell r="AQ833">
            <v>0</v>
          </cell>
          <cell r="AV833">
            <v>0</v>
          </cell>
        </row>
        <row r="834">
          <cell r="E834" t="str">
            <v>B26000383</v>
          </cell>
          <cell r="AP834">
            <v>0</v>
          </cell>
          <cell r="AQ834">
            <v>0</v>
          </cell>
          <cell r="AV834">
            <v>0</v>
          </cell>
        </row>
        <row r="835">
          <cell r="E835" t="str">
            <v>B26000794</v>
          </cell>
          <cell r="AP835">
            <v>0</v>
          </cell>
          <cell r="AQ835">
            <v>0</v>
          </cell>
          <cell r="AV835">
            <v>0</v>
          </cell>
        </row>
        <row r="836">
          <cell r="E836" t="str">
            <v>B26001540</v>
          </cell>
          <cell r="AP836">
            <v>0</v>
          </cell>
          <cell r="AQ836">
            <v>0</v>
          </cell>
          <cell r="AV836">
            <v>0</v>
          </cell>
        </row>
        <row r="837">
          <cell r="E837" t="str">
            <v>B26001542</v>
          </cell>
          <cell r="AP837">
            <v>0</v>
          </cell>
          <cell r="AQ837">
            <v>0</v>
          </cell>
          <cell r="AV837">
            <v>0</v>
          </cell>
        </row>
        <row r="838">
          <cell r="E838" t="str">
            <v>B26001781</v>
          </cell>
          <cell r="AP838">
            <v>0</v>
          </cell>
          <cell r="AQ838">
            <v>0</v>
          </cell>
          <cell r="AV838">
            <v>0</v>
          </cell>
        </row>
        <row r="839">
          <cell r="E839" t="str">
            <v>B26002475</v>
          </cell>
          <cell r="AP839">
            <v>0</v>
          </cell>
          <cell r="AQ839">
            <v>0</v>
          </cell>
          <cell r="AV839">
            <v>0</v>
          </cell>
        </row>
        <row r="840">
          <cell r="E840" t="str">
            <v>B26002535</v>
          </cell>
          <cell r="AP840">
            <v>0</v>
          </cell>
          <cell r="AQ840">
            <v>0</v>
          </cell>
          <cell r="AV840">
            <v>0</v>
          </cell>
        </row>
        <row r="841">
          <cell r="E841" t="str">
            <v>B26002536</v>
          </cell>
          <cell r="AP841">
            <v>0</v>
          </cell>
          <cell r="AQ841">
            <v>0</v>
          </cell>
          <cell r="AV841">
            <v>0</v>
          </cell>
        </row>
        <row r="842">
          <cell r="E842" t="str">
            <v>B26002537</v>
          </cell>
          <cell r="AP842">
            <v>0</v>
          </cell>
          <cell r="AQ842">
            <v>0</v>
          </cell>
          <cell r="AV842">
            <v>0</v>
          </cell>
        </row>
        <row r="843">
          <cell r="E843" t="str">
            <v>B26000165</v>
          </cell>
          <cell r="AP843">
            <v>0</v>
          </cell>
          <cell r="AQ843">
            <v>0</v>
          </cell>
          <cell r="AV843">
            <v>0</v>
          </cell>
        </row>
        <row r="844">
          <cell r="E844" t="str">
            <v>D26000559</v>
          </cell>
          <cell r="AP844">
            <v>0</v>
          </cell>
          <cell r="AQ844">
            <v>0</v>
          </cell>
          <cell r="AV844">
            <v>0</v>
          </cell>
        </row>
        <row r="845">
          <cell r="E845" t="str">
            <v>D26001866</v>
          </cell>
          <cell r="AP845">
            <v>0</v>
          </cell>
          <cell r="AQ845">
            <v>0</v>
          </cell>
          <cell r="AV845">
            <v>0</v>
          </cell>
        </row>
        <row r="846">
          <cell r="E846" t="str">
            <v>D26002115</v>
          </cell>
          <cell r="AP846">
            <v>0</v>
          </cell>
          <cell r="AQ846">
            <v>0</v>
          </cell>
          <cell r="AV846">
            <v>0</v>
          </cell>
        </row>
        <row r="847">
          <cell r="E847" t="str">
            <v>B26002201</v>
          </cell>
          <cell r="AP847">
            <v>0</v>
          </cell>
          <cell r="AQ847">
            <v>0</v>
          </cell>
          <cell r="AV847">
            <v>0</v>
          </cell>
        </row>
        <row r="848">
          <cell r="E848" t="str">
            <v>D26002473</v>
          </cell>
          <cell r="AP848">
            <v>0</v>
          </cell>
          <cell r="AQ848">
            <v>0</v>
          </cell>
          <cell r="AV848">
            <v>0</v>
          </cell>
        </row>
        <row r="849">
          <cell r="E849" t="str">
            <v>B26002315</v>
          </cell>
          <cell r="AP849">
            <v>0</v>
          </cell>
          <cell r="AQ849">
            <v>0</v>
          </cell>
          <cell r="AV849">
            <v>0</v>
          </cell>
        </row>
        <row r="850">
          <cell r="E850" t="str">
            <v>B26002397</v>
          </cell>
          <cell r="AP850">
            <v>0</v>
          </cell>
          <cell r="AQ850">
            <v>0</v>
          </cell>
          <cell r="AV850">
            <v>0</v>
          </cell>
        </row>
        <row r="851">
          <cell r="E851" t="str">
            <v>B26002414</v>
          </cell>
          <cell r="AP851">
            <v>0</v>
          </cell>
          <cell r="AQ851">
            <v>0</v>
          </cell>
          <cell r="AV851">
            <v>0</v>
          </cell>
        </row>
        <row r="852">
          <cell r="E852" t="str">
            <v>B26002425</v>
          </cell>
          <cell r="AP852">
            <v>0</v>
          </cell>
          <cell r="AQ852">
            <v>0</v>
          </cell>
          <cell r="AV852">
            <v>0</v>
          </cell>
        </row>
        <row r="853">
          <cell r="E853" t="str">
            <v>B26002717</v>
          </cell>
          <cell r="AP853">
            <v>0</v>
          </cell>
          <cell r="AQ853">
            <v>0</v>
          </cell>
          <cell r="AV853">
            <v>0</v>
          </cell>
        </row>
        <row r="854">
          <cell r="E854" t="str">
            <v>B26002745</v>
          </cell>
          <cell r="AP854">
            <v>0</v>
          </cell>
          <cell r="AQ854">
            <v>0</v>
          </cell>
          <cell r="AV854">
            <v>0</v>
          </cell>
        </row>
        <row r="855">
          <cell r="E855" t="str">
            <v>D26002903</v>
          </cell>
          <cell r="AP855">
            <v>0</v>
          </cell>
          <cell r="AQ855">
            <v>0</v>
          </cell>
          <cell r="AV855">
            <v>0</v>
          </cell>
        </row>
        <row r="856">
          <cell r="E856" t="str">
            <v>B26003012</v>
          </cell>
          <cell r="AP856">
            <v>0</v>
          </cell>
          <cell r="AQ856">
            <v>0</v>
          </cell>
          <cell r="AV856">
            <v>0</v>
          </cell>
        </row>
        <row r="857">
          <cell r="E857" t="str">
            <v>D26001174</v>
          </cell>
          <cell r="AP857">
            <v>0</v>
          </cell>
          <cell r="AQ857">
            <v>0</v>
          </cell>
          <cell r="AV857">
            <v>0</v>
          </cell>
        </row>
        <row r="858">
          <cell r="E858" t="str">
            <v>B26001346</v>
          </cell>
          <cell r="AP858">
            <v>0</v>
          </cell>
          <cell r="AQ858">
            <v>0</v>
          </cell>
          <cell r="AV858">
            <v>0</v>
          </cell>
        </row>
        <row r="859">
          <cell r="E859" t="str">
            <v>B26001347</v>
          </cell>
          <cell r="AP859">
            <v>0</v>
          </cell>
          <cell r="AQ859">
            <v>0</v>
          </cell>
          <cell r="AV859">
            <v>0</v>
          </cell>
        </row>
        <row r="860">
          <cell r="E860" t="str">
            <v>B26001497</v>
          </cell>
          <cell r="AP860">
            <v>0</v>
          </cell>
          <cell r="AQ860">
            <v>0</v>
          </cell>
          <cell r="AV860">
            <v>0</v>
          </cell>
        </row>
        <row r="861">
          <cell r="E861" t="str">
            <v>B26001498</v>
          </cell>
          <cell r="AP861">
            <v>0</v>
          </cell>
          <cell r="AQ861">
            <v>0</v>
          </cell>
          <cell r="AV861">
            <v>0</v>
          </cell>
        </row>
        <row r="862">
          <cell r="E862" t="str">
            <v>B26001510</v>
          </cell>
          <cell r="AP862">
            <v>0</v>
          </cell>
          <cell r="AQ862">
            <v>0</v>
          </cell>
          <cell r="AV862">
            <v>0</v>
          </cell>
        </row>
        <row r="863">
          <cell r="E863" t="str">
            <v>B26001511</v>
          </cell>
          <cell r="AP863">
            <v>0</v>
          </cell>
          <cell r="AQ863">
            <v>0</v>
          </cell>
          <cell r="AV863">
            <v>0</v>
          </cell>
        </row>
        <row r="864">
          <cell r="E864" t="str">
            <v>D26002348</v>
          </cell>
          <cell r="AP864">
            <v>0</v>
          </cell>
          <cell r="AQ864">
            <v>0</v>
          </cell>
          <cell r="AV864">
            <v>0</v>
          </cell>
        </row>
        <row r="865">
          <cell r="E865" t="str">
            <v>D26002349</v>
          </cell>
          <cell r="AP865">
            <v>0</v>
          </cell>
          <cell r="AQ865">
            <v>0</v>
          </cell>
          <cell r="AV865">
            <v>0</v>
          </cell>
        </row>
        <row r="866">
          <cell r="E866" t="str">
            <v>B26002513</v>
          </cell>
          <cell r="AP866">
            <v>0</v>
          </cell>
          <cell r="AQ866">
            <v>0</v>
          </cell>
          <cell r="AV866">
            <v>0</v>
          </cell>
        </row>
        <row r="867">
          <cell r="E867" t="str">
            <v>B26002514</v>
          </cell>
          <cell r="AP867">
            <v>0</v>
          </cell>
          <cell r="AQ867">
            <v>0</v>
          </cell>
          <cell r="AV867">
            <v>0</v>
          </cell>
        </row>
        <row r="868">
          <cell r="E868" t="str">
            <v>B26002526</v>
          </cell>
          <cell r="AP868">
            <v>0</v>
          </cell>
          <cell r="AQ868">
            <v>0</v>
          </cell>
          <cell r="AV868">
            <v>0</v>
          </cell>
        </row>
        <row r="869">
          <cell r="E869" t="str">
            <v>D26002941</v>
          </cell>
          <cell r="AP869">
            <v>0</v>
          </cell>
          <cell r="AQ869">
            <v>0</v>
          </cell>
          <cell r="AV869">
            <v>0</v>
          </cell>
        </row>
        <row r="870">
          <cell r="E870" t="str">
            <v>T26000203</v>
          </cell>
          <cell r="AP870">
            <v>0</v>
          </cell>
          <cell r="AQ870">
            <v>0</v>
          </cell>
          <cell r="AV870">
            <v>0</v>
          </cell>
        </row>
        <row r="871">
          <cell r="E871" t="str">
            <v>B26003039</v>
          </cell>
          <cell r="AP871">
            <v>0</v>
          </cell>
          <cell r="AQ871">
            <v>0</v>
          </cell>
          <cell r="AV871">
            <v>0</v>
          </cell>
        </row>
        <row r="872">
          <cell r="E872" t="str">
            <v>B26003089</v>
          </cell>
          <cell r="AP872">
            <v>0</v>
          </cell>
          <cell r="AQ872">
            <v>0</v>
          </cell>
          <cell r="AV872">
            <v>0</v>
          </cell>
        </row>
        <row r="873">
          <cell r="E873" t="str">
            <v>D26000760</v>
          </cell>
          <cell r="AP873">
            <v>0</v>
          </cell>
          <cell r="AQ873">
            <v>0</v>
          </cell>
          <cell r="AV873">
            <v>0</v>
          </cell>
        </row>
        <row r="874">
          <cell r="E874" t="str">
            <v>D26000761</v>
          </cell>
          <cell r="AP874">
            <v>0</v>
          </cell>
          <cell r="AQ874">
            <v>0</v>
          </cell>
          <cell r="AV874">
            <v>0</v>
          </cell>
        </row>
        <row r="875">
          <cell r="E875" t="str">
            <v>D26001498</v>
          </cell>
          <cell r="AP875">
            <v>0</v>
          </cell>
          <cell r="AQ875">
            <v>0</v>
          </cell>
          <cell r="AV875">
            <v>0</v>
          </cell>
        </row>
        <row r="876">
          <cell r="E876" t="str">
            <v>D26001843</v>
          </cell>
          <cell r="AP876">
            <v>0</v>
          </cell>
          <cell r="AQ876">
            <v>0</v>
          </cell>
          <cell r="AV876">
            <v>0</v>
          </cell>
        </row>
        <row r="877">
          <cell r="E877" t="str">
            <v>D26002308</v>
          </cell>
          <cell r="AP877">
            <v>0</v>
          </cell>
          <cell r="AQ877">
            <v>0</v>
          </cell>
          <cell r="AV877">
            <v>0</v>
          </cell>
        </row>
        <row r="878">
          <cell r="E878" t="str">
            <v>B26002195</v>
          </cell>
          <cell r="AP878">
            <v>0</v>
          </cell>
          <cell r="AQ878">
            <v>0</v>
          </cell>
          <cell r="AV878">
            <v>0</v>
          </cell>
        </row>
        <row r="879">
          <cell r="E879" t="str">
            <v>B25016419</v>
          </cell>
          <cell r="AP879">
            <v>0</v>
          </cell>
          <cell r="AQ879">
            <v>0</v>
          </cell>
          <cell r="AV879">
            <v>0</v>
          </cell>
        </row>
        <row r="880">
          <cell r="E880" t="str">
            <v>D25018994</v>
          </cell>
          <cell r="AP880">
            <v>0</v>
          </cell>
          <cell r="AQ880">
            <v>0</v>
          </cell>
          <cell r="AV880">
            <v>0</v>
          </cell>
        </row>
        <row r="881">
          <cell r="E881" t="str">
            <v>B26000198</v>
          </cell>
          <cell r="AP881">
            <v>0</v>
          </cell>
          <cell r="AQ881">
            <v>0</v>
          </cell>
          <cell r="AV881">
            <v>0</v>
          </cell>
        </row>
        <row r="882">
          <cell r="E882" t="str">
            <v>B26000496</v>
          </cell>
          <cell r="AP882">
            <v>0</v>
          </cell>
          <cell r="AQ882">
            <v>0</v>
          </cell>
          <cell r="AV882">
            <v>0</v>
          </cell>
        </row>
        <row r="883">
          <cell r="E883" t="str">
            <v>B26000914</v>
          </cell>
          <cell r="AP883">
            <v>0</v>
          </cell>
          <cell r="AQ883">
            <v>0</v>
          </cell>
          <cell r="AV883">
            <v>0</v>
          </cell>
        </row>
        <row r="884">
          <cell r="E884" t="str">
            <v>B26001150</v>
          </cell>
          <cell r="AP884">
            <v>0</v>
          </cell>
          <cell r="AQ884">
            <v>0</v>
          </cell>
          <cell r="AV884">
            <v>0</v>
          </cell>
        </row>
        <row r="885">
          <cell r="E885" t="str">
            <v>D26001233</v>
          </cell>
          <cell r="AP885">
            <v>0</v>
          </cell>
          <cell r="AQ885">
            <v>0</v>
          </cell>
          <cell r="AV885">
            <v>0</v>
          </cell>
        </row>
        <row r="886">
          <cell r="E886">
            <v>260009</v>
          </cell>
          <cell r="AP886">
            <v>0</v>
          </cell>
          <cell r="AQ886">
            <v>0</v>
          </cell>
          <cell r="AV886">
            <v>0</v>
          </cell>
        </row>
        <row r="887">
          <cell r="E887" t="str">
            <v>B26002303</v>
          </cell>
          <cell r="AP887">
            <v>0</v>
          </cell>
          <cell r="AQ887">
            <v>0</v>
          </cell>
          <cell r="AV887">
            <v>0</v>
          </cell>
        </row>
        <row r="888">
          <cell r="E888">
            <v>260015</v>
          </cell>
          <cell r="AP888">
            <v>0</v>
          </cell>
          <cell r="AQ888">
            <v>0</v>
          </cell>
          <cell r="AV888">
            <v>0</v>
          </cell>
        </row>
        <row r="889">
          <cell r="E889" t="str">
            <v>B26002360</v>
          </cell>
          <cell r="AP889">
            <v>0</v>
          </cell>
          <cell r="AQ889">
            <v>0</v>
          </cell>
          <cell r="AV889">
            <v>0</v>
          </cell>
        </row>
        <row r="890">
          <cell r="E890" t="str">
            <v>B26002404</v>
          </cell>
          <cell r="AP890">
            <v>0</v>
          </cell>
          <cell r="AQ890">
            <v>0</v>
          </cell>
          <cell r="AV890">
            <v>0</v>
          </cell>
        </row>
        <row r="891">
          <cell r="E891" t="str">
            <v>D26002577</v>
          </cell>
          <cell r="AP891">
            <v>0</v>
          </cell>
          <cell r="AQ891">
            <v>0</v>
          </cell>
          <cell r="AV891">
            <v>0</v>
          </cell>
        </row>
        <row r="892">
          <cell r="E892" t="str">
            <v>D26002963</v>
          </cell>
          <cell r="AP892">
            <v>0</v>
          </cell>
          <cell r="AQ892">
            <v>0</v>
          </cell>
          <cell r="AV892">
            <v>0</v>
          </cell>
        </row>
        <row r="893">
          <cell r="E893" t="str">
            <v>D26003045</v>
          </cell>
          <cell r="AP893">
            <v>0</v>
          </cell>
          <cell r="AQ893">
            <v>0</v>
          </cell>
          <cell r="AV893">
            <v>0</v>
          </cell>
        </row>
        <row r="894">
          <cell r="E894" t="str">
            <v>B26002933</v>
          </cell>
          <cell r="AP894">
            <v>0</v>
          </cell>
          <cell r="AQ894">
            <v>0</v>
          </cell>
          <cell r="AV894">
            <v>0</v>
          </cell>
        </row>
        <row r="895">
          <cell r="E895" t="str">
            <v>D26003136</v>
          </cell>
          <cell r="AP895">
            <v>0</v>
          </cell>
          <cell r="AQ895">
            <v>0</v>
          </cell>
          <cell r="AV895">
            <v>0</v>
          </cell>
        </row>
        <row r="896">
          <cell r="E896" t="str">
            <v>T26000032</v>
          </cell>
          <cell r="AP896">
            <v>0</v>
          </cell>
          <cell r="AQ896">
            <v>0</v>
          </cell>
          <cell r="AV896">
            <v>0</v>
          </cell>
        </row>
        <row r="897">
          <cell r="E897" t="str">
            <v>B26002978</v>
          </cell>
          <cell r="AP897">
            <v>0</v>
          </cell>
          <cell r="AQ897">
            <v>0</v>
          </cell>
          <cell r="AV897">
            <v>0</v>
          </cell>
        </row>
        <row r="898">
          <cell r="E898" t="str">
            <v>D26001038</v>
          </cell>
          <cell r="AP898">
            <v>0</v>
          </cell>
          <cell r="AQ898">
            <v>0</v>
          </cell>
          <cell r="AV898">
            <v>0</v>
          </cell>
        </row>
        <row r="899">
          <cell r="E899" t="str">
            <v>B26001445</v>
          </cell>
          <cell r="AP899">
            <v>0</v>
          </cell>
          <cell r="AQ899">
            <v>0</v>
          </cell>
          <cell r="AV899">
            <v>0</v>
          </cell>
        </row>
        <row r="900">
          <cell r="E900" t="str">
            <v>B26001808</v>
          </cell>
          <cell r="AP900">
            <v>0</v>
          </cell>
          <cell r="AQ900">
            <v>0</v>
          </cell>
          <cell r="AV900">
            <v>0</v>
          </cell>
        </row>
        <row r="901">
          <cell r="E901" t="str">
            <v>D26001947</v>
          </cell>
          <cell r="AP901">
            <v>0</v>
          </cell>
          <cell r="AQ901">
            <v>0</v>
          </cell>
          <cell r="AV901">
            <v>0</v>
          </cell>
        </row>
        <row r="902">
          <cell r="E902" t="str">
            <v>B26002137</v>
          </cell>
          <cell r="AP902">
            <v>0</v>
          </cell>
          <cell r="AQ902">
            <v>0</v>
          </cell>
          <cell r="AV902">
            <v>0</v>
          </cell>
        </row>
        <row r="903">
          <cell r="E903" t="str">
            <v>B26002138</v>
          </cell>
          <cell r="AP903">
            <v>0</v>
          </cell>
          <cell r="AQ903">
            <v>0</v>
          </cell>
          <cell r="AV903">
            <v>0</v>
          </cell>
        </row>
        <row r="904">
          <cell r="E904" t="str">
            <v>B26003073</v>
          </cell>
          <cell r="AP904">
            <v>0</v>
          </cell>
          <cell r="AQ904">
            <v>0</v>
          </cell>
          <cell r="AV904">
            <v>0</v>
          </cell>
        </row>
        <row r="905">
          <cell r="E905" t="str">
            <v>D26001610</v>
          </cell>
          <cell r="AP905">
            <v>0</v>
          </cell>
          <cell r="AQ905">
            <v>0</v>
          </cell>
          <cell r="AV905">
            <v>0</v>
          </cell>
        </row>
        <row r="906">
          <cell r="E906" t="str">
            <v>B26003100</v>
          </cell>
          <cell r="AP906">
            <v>0</v>
          </cell>
          <cell r="AQ906">
            <v>0</v>
          </cell>
          <cell r="AV906">
            <v>0</v>
          </cell>
        </row>
        <row r="907">
          <cell r="E907" t="str">
            <v>D25017170</v>
          </cell>
          <cell r="AP907">
            <v>0</v>
          </cell>
          <cell r="AQ907">
            <v>0</v>
          </cell>
          <cell r="AV907">
            <v>0</v>
          </cell>
        </row>
        <row r="908">
          <cell r="E908" t="str">
            <v>D25019292</v>
          </cell>
          <cell r="AP908">
            <v>0</v>
          </cell>
          <cell r="AQ908">
            <v>0</v>
          </cell>
          <cell r="AV908">
            <v>0</v>
          </cell>
        </row>
        <row r="909">
          <cell r="E909" t="str">
            <v>B26002913</v>
          </cell>
          <cell r="AP909">
            <v>0</v>
          </cell>
          <cell r="AQ909">
            <v>0</v>
          </cell>
          <cell r="AV909">
            <v>0</v>
          </cell>
        </row>
        <row r="910">
          <cell r="E910" t="str">
            <v>D25019509</v>
          </cell>
          <cell r="AP910">
            <v>0</v>
          </cell>
          <cell r="AQ910">
            <v>0</v>
          </cell>
          <cell r="AV910">
            <v>0</v>
          </cell>
        </row>
        <row r="911">
          <cell r="E911" t="str">
            <v>D25019536</v>
          </cell>
          <cell r="AP911">
            <v>0</v>
          </cell>
          <cell r="AQ911">
            <v>0</v>
          </cell>
          <cell r="AV911">
            <v>0</v>
          </cell>
        </row>
        <row r="912">
          <cell r="E912" t="str">
            <v>B26001031</v>
          </cell>
          <cell r="AP912">
            <v>0</v>
          </cell>
          <cell r="AQ912">
            <v>0</v>
          </cell>
          <cell r="AV912">
            <v>0</v>
          </cell>
        </row>
        <row r="913">
          <cell r="E913" t="str">
            <v>B26001189</v>
          </cell>
          <cell r="AP913">
            <v>0</v>
          </cell>
          <cell r="AQ913">
            <v>0</v>
          </cell>
          <cell r="AV913">
            <v>0</v>
          </cell>
        </row>
        <row r="914">
          <cell r="E914" t="str">
            <v>D26001514</v>
          </cell>
          <cell r="AP914">
            <v>0</v>
          </cell>
          <cell r="AQ914">
            <v>0</v>
          </cell>
          <cell r="AV914">
            <v>0</v>
          </cell>
        </row>
        <row r="915">
          <cell r="E915" t="str">
            <v>D26001807</v>
          </cell>
          <cell r="AP915">
            <v>0</v>
          </cell>
          <cell r="AQ915">
            <v>0</v>
          </cell>
          <cell r="AV915">
            <v>0</v>
          </cell>
        </row>
        <row r="916">
          <cell r="E916" t="str">
            <v>D26001930</v>
          </cell>
          <cell r="AP916">
            <v>0</v>
          </cell>
          <cell r="AQ916">
            <v>0</v>
          </cell>
          <cell r="AV916">
            <v>0</v>
          </cell>
        </row>
        <row r="917">
          <cell r="E917" t="str">
            <v>B26001882</v>
          </cell>
          <cell r="AP917">
            <v>0</v>
          </cell>
          <cell r="AQ917">
            <v>0</v>
          </cell>
          <cell r="AV917">
            <v>0</v>
          </cell>
        </row>
        <row r="918">
          <cell r="E918" t="str">
            <v>D26001999</v>
          </cell>
          <cell r="AP918">
            <v>0</v>
          </cell>
          <cell r="AQ918">
            <v>0</v>
          </cell>
          <cell r="AV918">
            <v>0</v>
          </cell>
        </row>
        <row r="919">
          <cell r="E919" t="str">
            <v>B26002180</v>
          </cell>
          <cell r="AP919">
            <v>0</v>
          </cell>
          <cell r="AQ919">
            <v>0</v>
          </cell>
          <cell r="AV919">
            <v>0</v>
          </cell>
        </row>
        <row r="920">
          <cell r="E920" t="str">
            <v>B26002383</v>
          </cell>
          <cell r="AP920">
            <v>0</v>
          </cell>
          <cell r="AQ920">
            <v>0</v>
          </cell>
          <cell r="AV920">
            <v>0</v>
          </cell>
        </row>
        <row r="921">
          <cell r="E921" t="str">
            <v>B26002663</v>
          </cell>
          <cell r="AP921">
            <v>0</v>
          </cell>
          <cell r="AQ921">
            <v>0</v>
          </cell>
          <cell r="AV921">
            <v>0</v>
          </cell>
        </row>
        <row r="922">
          <cell r="E922" t="str">
            <v>B26002687</v>
          </cell>
          <cell r="AP922">
            <v>0</v>
          </cell>
          <cell r="AQ922">
            <v>0</v>
          </cell>
          <cell r="AV922">
            <v>0</v>
          </cell>
        </row>
        <row r="923">
          <cell r="E923" t="str">
            <v>D26002883</v>
          </cell>
          <cell r="AP923">
            <v>0</v>
          </cell>
          <cell r="AQ923">
            <v>0</v>
          </cell>
          <cell r="AV923">
            <v>0</v>
          </cell>
        </row>
        <row r="924">
          <cell r="E924" t="str">
            <v>B26002837</v>
          </cell>
          <cell r="AP924">
            <v>0</v>
          </cell>
          <cell r="AQ924">
            <v>0</v>
          </cell>
          <cell r="AV924">
            <v>0</v>
          </cell>
        </row>
        <row r="925">
          <cell r="E925" t="str">
            <v>D26003088</v>
          </cell>
          <cell r="AP925">
            <v>0</v>
          </cell>
          <cell r="AQ925">
            <v>0</v>
          </cell>
          <cell r="AV925">
            <v>0</v>
          </cell>
        </row>
        <row r="926">
          <cell r="E926" t="str">
            <v>D26003124</v>
          </cell>
          <cell r="AP926">
            <v>0</v>
          </cell>
          <cell r="AQ926">
            <v>0</v>
          </cell>
          <cell r="AV926">
            <v>0</v>
          </cell>
        </row>
        <row r="927">
          <cell r="E927" t="str">
            <v>B26002958</v>
          </cell>
          <cell r="AP927">
            <v>0</v>
          </cell>
          <cell r="AQ927">
            <v>0</v>
          </cell>
          <cell r="AV927">
            <v>0</v>
          </cell>
        </row>
        <row r="928">
          <cell r="E928" t="str">
            <v>B26001524</v>
          </cell>
          <cell r="AP928">
            <v>0</v>
          </cell>
          <cell r="AQ928">
            <v>0</v>
          </cell>
          <cell r="AV928">
            <v>0</v>
          </cell>
        </row>
        <row r="929">
          <cell r="E929" t="str">
            <v>B26001955</v>
          </cell>
          <cell r="AP929">
            <v>0</v>
          </cell>
          <cell r="AQ929">
            <v>0</v>
          </cell>
          <cell r="AV929">
            <v>0</v>
          </cell>
        </row>
        <row r="930">
          <cell r="E930" t="str">
            <v>D26000969</v>
          </cell>
          <cell r="AP930">
            <v>0</v>
          </cell>
          <cell r="AQ930">
            <v>0</v>
          </cell>
          <cell r="AV930">
            <v>0</v>
          </cell>
        </row>
        <row r="931">
          <cell r="E931" t="str">
            <v>B26001006</v>
          </cell>
          <cell r="AP931">
            <v>0</v>
          </cell>
          <cell r="AQ931">
            <v>0</v>
          </cell>
          <cell r="AV931">
            <v>0</v>
          </cell>
        </row>
        <row r="932">
          <cell r="E932" t="str">
            <v>D26001232</v>
          </cell>
          <cell r="AP932">
            <v>0</v>
          </cell>
          <cell r="AQ932">
            <v>0</v>
          </cell>
          <cell r="AV932">
            <v>0</v>
          </cell>
        </row>
        <row r="933">
          <cell r="E933" t="str">
            <v>B26001216</v>
          </cell>
          <cell r="AP933">
            <v>0</v>
          </cell>
          <cell r="AQ933">
            <v>0</v>
          </cell>
          <cell r="AV933">
            <v>0</v>
          </cell>
        </row>
        <row r="934">
          <cell r="E934" t="str">
            <v>D26001299</v>
          </cell>
          <cell r="AP934">
            <v>0</v>
          </cell>
          <cell r="AQ934">
            <v>0</v>
          </cell>
          <cell r="AV934">
            <v>0</v>
          </cell>
        </row>
        <row r="935">
          <cell r="E935" t="str">
            <v>D26001337</v>
          </cell>
          <cell r="AP935">
            <v>0</v>
          </cell>
          <cell r="AQ935">
            <v>0</v>
          </cell>
          <cell r="AV935">
            <v>0</v>
          </cell>
        </row>
        <row r="936">
          <cell r="E936" t="str">
            <v>B26001267</v>
          </cell>
          <cell r="AP936">
            <v>0</v>
          </cell>
          <cell r="AQ936">
            <v>0</v>
          </cell>
          <cell r="AV936">
            <v>0</v>
          </cell>
        </row>
        <row r="937">
          <cell r="E937" t="str">
            <v>B26001268</v>
          </cell>
          <cell r="AP937">
            <v>0</v>
          </cell>
          <cell r="AQ937">
            <v>0</v>
          </cell>
          <cell r="AV937">
            <v>0</v>
          </cell>
        </row>
        <row r="938">
          <cell r="E938" t="str">
            <v>B26001299</v>
          </cell>
          <cell r="AP938">
            <v>0</v>
          </cell>
          <cell r="AQ938">
            <v>0</v>
          </cell>
          <cell r="AV938">
            <v>0</v>
          </cell>
        </row>
        <row r="939">
          <cell r="E939" t="str">
            <v>D26001358</v>
          </cell>
          <cell r="AP939">
            <v>0</v>
          </cell>
          <cell r="AQ939">
            <v>0</v>
          </cell>
          <cell r="AV939">
            <v>0</v>
          </cell>
        </row>
        <row r="940">
          <cell r="E940" t="str">
            <v>B26001381</v>
          </cell>
          <cell r="AP940">
            <v>0</v>
          </cell>
          <cell r="AQ940">
            <v>0</v>
          </cell>
          <cell r="AV940">
            <v>0</v>
          </cell>
        </row>
        <row r="941">
          <cell r="E941" t="str">
            <v>D26001538</v>
          </cell>
          <cell r="AP941">
            <v>0</v>
          </cell>
          <cell r="AQ941">
            <v>0</v>
          </cell>
          <cell r="AV941">
            <v>0</v>
          </cell>
        </row>
        <row r="942">
          <cell r="E942" t="str">
            <v>B26001761</v>
          </cell>
          <cell r="AP942">
            <v>0</v>
          </cell>
          <cell r="AQ942">
            <v>0</v>
          </cell>
          <cell r="AV942">
            <v>0</v>
          </cell>
        </row>
        <row r="943">
          <cell r="E943" t="str">
            <v>D26001949</v>
          </cell>
          <cell r="AP943">
            <v>0</v>
          </cell>
          <cell r="AQ943">
            <v>0</v>
          </cell>
          <cell r="AV943">
            <v>0</v>
          </cell>
        </row>
        <row r="944">
          <cell r="E944" t="str">
            <v>B26002065</v>
          </cell>
          <cell r="AP944">
            <v>0</v>
          </cell>
          <cell r="AQ944">
            <v>0</v>
          </cell>
          <cell r="AV944">
            <v>0</v>
          </cell>
        </row>
        <row r="945">
          <cell r="E945" t="str">
            <v>D26002331</v>
          </cell>
          <cell r="AP945">
            <v>0</v>
          </cell>
          <cell r="AQ945">
            <v>0</v>
          </cell>
          <cell r="AV945">
            <v>0</v>
          </cell>
        </row>
        <row r="946">
          <cell r="E946" t="str">
            <v>D26002358</v>
          </cell>
          <cell r="AP946">
            <v>0</v>
          </cell>
          <cell r="AQ946">
            <v>0</v>
          </cell>
          <cell r="AV946">
            <v>0</v>
          </cell>
        </row>
        <row r="947">
          <cell r="E947" t="str">
            <v>B26002371</v>
          </cell>
          <cell r="AP947">
            <v>0</v>
          </cell>
          <cell r="AQ947">
            <v>0</v>
          </cell>
          <cell r="AV947">
            <v>0</v>
          </cell>
        </row>
        <row r="948">
          <cell r="E948" t="str">
            <v>B26002449</v>
          </cell>
          <cell r="AP948">
            <v>0</v>
          </cell>
          <cell r="AQ948">
            <v>0</v>
          </cell>
          <cell r="AV948">
            <v>0</v>
          </cell>
        </row>
        <row r="949">
          <cell r="E949" t="str">
            <v>B26002450</v>
          </cell>
          <cell r="AP949">
            <v>0</v>
          </cell>
          <cell r="AQ949">
            <v>0</v>
          </cell>
          <cell r="AV949">
            <v>0</v>
          </cell>
        </row>
        <row r="950">
          <cell r="E950" t="str">
            <v>B26002461</v>
          </cell>
          <cell r="AP950">
            <v>0</v>
          </cell>
          <cell r="AQ950">
            <v>0</v>
          </cell>
          <cell r="AV950">
            <v>0</v>
          </cell>
        </row>
        <row r="951">
          <cell r="E951" t="str">
            <v>D26002646</v>
          </cell>
          <cell r="AP951">
            <v>0</v>
          </cell>
          <cell r="AQ951">
            <v>0</v>
          </cell>
          <cell r="AV951">
            <v>0</v>
          </cell>
        </row>
        <row r="952">
          <cell r="E952" t="str">
            <v>B26002533</v>
          </cell>
          <cell r="AP952">
            <v>0</v>
          </cell>
          <cell r="AQ952">
            <v>0</v>
          </cell>
          <cell r="AV952">
            <v>0</v>
          </cell>
        </row>
        <row r="953">
          <cell r="E953" t="str">
            <v>B26002603</v>
          </cell>
          <cell r="AP953">
            <v>0</v>
          </cell>
          <cell r="AQ953">
            <v>0</v>
          </cell>
          <cell r="AV953">
            <v>0</v>
          </cell>
        </row>
        <row r="954">
          <cell r="E954" t="str">
            <v>B26002987</v>
          </cell>
          <cell r="AP954">
            <v>0</v>
          </cell>
          <cell r="AQ954">
            <v>0</v>
          </cell>
          <cell r="AV954">
            <v>0</v>
          </cell>
        </row>
        <row r="955">
          <cell r="E955" t="str">
            <v>B26003047</v>
          </cell>
          <cell r="AP955">
            <v>0</v>
          </cell>
          <cell r="AQ955">
            <v>0</v>
          </cell>
          <cell r="AV955">
            <v>0</v>
          </cell>
        </row>
        <row r="956">
          <cell r="E956" t="str">
            <v>B26003048</v>
          </cell>
          <cell r="AP956">
            <v>0</v>
          </cell>
          <cell r="AQ956">
            <v>0</v>
          </cell>
          <cell r="AV956">
            <v>0</v>
          </cell>
        </row>
        <row r="957">
          <cell r="E957" t="str">
            <v>D25018318</v>
          </cell>
          <cell r="AP957">
            <v>0</v>
          </cell>
          <cell r="AQ957">
            <v>0</v>
          </cell>
          <cell r="AV957">
            <v>3648000</v>
          </cell>
        </row>
        <row r="958">
          <cell r="E958" t="str">
            <v>B25016149</v>
          </cell>
          <cell r="AP958">
            <v>0</v>
          </cell>
          <cell r="AQ958">
            <v>0</v>
          </cell>
          <cell r="AV958">
            <v>0</v>
          </cell>
        </row>
        <row r="959">
          <cell r="E959" t="str">
            <v>D25018794</v>
          </cell>
          <cell r="AP959">
            <v>0</v>
          </cell>
          <cell r="AQ959">
            <v>0</v>
          </cell>
          <cell r="AV959">
            <v>0</v>
          </cell>
        </row>
        <row r="960">
          <cell r="E960" t="str">
            <v>B25016637</v>
          </cell>
          <cell r="AP960">
            <v>0</v>
          </cell>
          <cell r="AQ960">
            <v>0</v>
          </cell>
          <cell r="AV960">
            <v>0</v>
          </cell>
        </row>
        <row r="961">
          <cell r="E961" t="str">
            <v>D25019217</v>
          </cell>
          <cell r="AP961">
            <v>0</v>
          </cell>
          <cell r="AQ961">
            <v>0</v>
          </cell>
          <cell r="AV961">
            <v>0</v>
          </cell>
        </row>
        <row r="962">
          <cell r="E962" t="str">
            <v>B25017070</v>
          </cell>
          <cell r="AP962">
            <v>0</v>
          </cell>
          <cell r="AQ962">
            <v>0</v>
          </cell>
          <cell r="AV962">
            <v>0</v>
          </cell>
        </row>
        <row r="963">
          <cell r="E963" t="str">
            <v>D26000070</v>
          </cell>
          <cell r="AP963">
            <v>0</v>
          </cell>
          <cell r="AQ963">
            <v>0</v>
          </cell>
          <cell r="AV963">
            <v>0</v>
          </cell>
        </row>
        <row r="964">
          <cell r="E964" t="str">
            <v>D26000171</v>
          </cell>
          <cell r="AP964">
            <v>0</v>
          </cell>
          <cell r="AQ964">
            <v>0</v>
          </cell>
          <cell r="AV964">
            <v>5400000</v>
          </cell>
        </row>
        <row r="965">
          <cell r="E965" t="str">
            <v>B26000275</v>
          </cell>
          <cell r="AP965">
            <v>0</v>
          </cell>
          <cell r="AQ965">
            <v>0</v>
          </cell>
          <cell r="AV965">
            <v>0</v>
          </cell>
        </row>
        <row r="966">
          <cell r="E966" t="str">
            <v>B26000391</v>
          </cell>
          <cell r="AP966">
            <v>0</v>
          </cell>
          <cell r="AQ966">
            <v>0</v>
          </cell>
          <cell r="AV966">
            <v>0</v>
          </cell>
        </row>
        <row r="967">
          <cell r="E967" t="str">
            <v>D26000687</v>
          </cell>
          <cell r="AP967">
            <v>0</v>
          </cell>
          <cell r="AQ967">
            <v>0</v>
          </cell>
          <cell r="AV967">
            <v>0</v>
          </cell>
        </row>
        <row r="968">
          <cell r="E968" t="str">
            <v>B26000720</v>
          </cell>
          <cell r="AP968">
            <v>0</v>
          </cell>
          <cell r="AQ968">
            <v>0</v>
          </cell>
          <cell r="AV968">
            <v>0</v>
          </cell>
        </row>
        <row r="969">
          <cell r="E969" t="str">
            <v>B26000748</v>
          </cell>
          <cell r="AP969">
            <v>0</v>
          </cell>
          <cell r="AQ969">
            <v>0</v>
          </cell>
          <cell r="AV969">
            <v>0</v>
          </cell>
        </row>
        <row r="970">
          <cell r="E970" t="str">
            <v>B26000776</v>
          </cell>
          <cell r="AP970">
            <v>0</v>
          </cell>
          <cell r="AQ970">
            <v>0</v>
          </cell>
          <cell r="AV970">
            <v>0</v>
          </cell>
        </row>
        <row r="971">
          <cell r="E971" t="str">
            <v>B26000866</v>
          </cell>
          <cell r="AP971">
            <v>0</v>
          </cell>
          <cell r="AQ971">
            <v>0</v>
          </cell>
          <cell r="AV971">
            <v>0</v>
          </cell>
        </row>
        <row r="972">
          <cell r="E972" t="str">
            <v>D26000946</v>
          </cell>
          <cell r="AP972">
            <v>0</v>
          </cell>
          <cell r="AQ972">
            <v>0</v>
          </cell>
          <cell r="AV972">
            <v>0</v>
          </cell>
        </row>
        <row r="973">
          <cell r="E973" t="str">
            <v>B26001227</v>
          </cell>
          <cell r="AP973">
            <v>0</v>
          </cell>
          <cell r="AQ973">
            <v>0</v>
          </cell>
          <cell r="AV973">
            <v>0</v>
          </cell>
        </row>
        <row r="974">
          <cell r="E974" t="str">
            <v>B26001240</v>
          </cell>
          <cell r="AP974">
            <v>0</v>
          </cell>
          <cell r="AQ974">
            <v>0</v>
          </cell>
          <cell r="AV974">
            <v>0</v>
          </cell>
        </row>
        <row r="975">
          <cell r="E975" t="str">
            <v>B26001285</v>
          </cell>
          <cell r="AP975">
            <v>0</v>
          </cell>
          <cell r="AQ975">
            <v>0</v>
          </cell>
          <cell r="AV975">
            <v>0</v>
          </cell>
        </row>
        <row r="976">
          <cell r="E976" t="str">
            <v>D26001403</v>
          </cell>
          <cell r="AP976">
            <v>0</v>
          </cell>
          <cell r="AQ976">
            <v>0</v>
          </cell>
          <cell r="AV976">
            <v>0</v>
          </cell>
        </row>
        <row r="977">
          <cell r="E977" t="str">
            <v>B26001463</v>
          </cell>
          <cell r="AP977">
            <v>0</v>
          </cell>
          <cell r="AQ977">
            <v>0</v>
          </cell>
          <cell r="AV977">
            <v>0</v>
          </cell>
        </row>
        <row r="978">
          <cell r="E978" t="str">
            <v>D26001691</v>
          </cell>
          <cell r="AP978">
            <v>0</v>
          </cell>
          <cell r="AQ978">
            <v>0</v>
          </cell>
          <cell r="AV978">
            <v>0</v>
          </cell>
        </row>
        <row r="979">
          <cell r="E979" t="str">
            <v>B26001656</v>
          </cell>
          <cell r="AP979">
            <v>0</v>
          </cell>
          <cell r="AQ979">
            <v>0</v>
          </cell>
          <cell r="AV979">
            <v>0</v>
          </cell>
        </row>
        <row r="980">
          <cell r="E980" t="str">
            <v>D26001780</v>
          </cell>
          <cell r="AP980">
            <v>0</v>
          </cell>
          <cell r="AQ980">
            <v>0</v>
          </cell>
          <cell r="AV980">
            <v>0</v>
          </cell>
        </row>
        <row r="981">
          <cell r="E981" t="str">
            <v>B26001768</v>
          </cell>
          <cell r="AP981">
            <v>0</v>
          </cell>
          <cell r="AQ981">
            <v>0</v>
          </cell>
          <cell r="AV981">
            <v>0</v>
          </cell>
        </row>
        <row r="982">
          <cell r="E982" t="str">
            <v>B26002104</v>
          </cell>
          <cell r="AP982">
            <v>0</v>
          </cell>
          <cell r="AQ982">
            <v>0</v>
          </cell>
          <cell r="AV982">
            <v>0</v>
          </cell>
        </row>
        <row r="983">
          <cell r="E983" t="str">
            <v>B26002132</v>
          </cell>
          <cell r="AP983">
            <v>0</v>
          </cell>
          <cell r="AQ983">
            <v>0</v>
          </cell>
          <cell r="AV983">
            <v>0</v>
          </cell>
        </row>
        <row r="984">
          <cell r="E984" t="str">
            <v>D26002239</v>
          </cell>
          <cell r="AP984">
            <v>0</v>
          </cell>
          <cell r="AQ984">
            <v>0</v>
          </cell>
          <cell r="AV984">
            <v>0</v>
          </cell>
        </row>
        <row r="985">
          <cell r="E985" t="str">
            <v>B26002621</v>
          </cell>
          <cell r="AP985">
            <v>0</v>
          </cell>
          <cell r="AQ985">
            <v>0</v>
          </cell>
          <cell r="AV985">
            <v>0</v>
          </cell>
        </row>
        <row r="986">
          <cell r="E986" t="str">
            <v>B26002622</v>
          </cell>
          <cell r="AP986">
            <v>0</v>
          </cell>
          <cell r="AQ986">
            <v>0</v>
          </cell>
          <cell r="AV986">
            <v>0</v>
          </cell>
        </row>
        <row r="987">
          <cell r="E987" t="str">
            <v>D26002863</v>
          </cell>
          <cell r="AP987">
            <v>0</v>
          </cell>
          <cell r="AQ987">
            <v>0</v>
          </cell>
          <cell r="AV987">
            <v>0</v>
          </cell>
        </row>
        <row r="988">
          <cell r="E988" t="str">
            <v>D26002987</v>
          </cell>
          <cell r="AP988">
            <v>0</v>
          </cell>
          <cell r="AQ988">
            <v>0</v>
          </cell>
          <cell r="AV988">
            <v>0</v>
          </cell>
        </row>
        <row r="989">
          <cell r="E989" t="str">
            <v>D26003020</v>
          </cell>
          <cell r="AP989">
            <v>0</v>
          </cell>
          <cell r="AQ989">
            <v>0</v>
          </cell>
          <cell r="AV989">
            <v>0</v>
          </cell>
        </row>
        <row r="990">
          <cell r="E990" t="str">
            <v>B26002955</v>
          </cell>
          <cell r="AP990">
            <v>0</v>
          </cell>
          <cell r="AQ990">
            <v>0</v>
          </cell>
          <cell r="AV990">
            <v>5000000</v>
          </cell>
        </row>
        <row r="991">
          <cell r="E991" t="str">
            <v>B26001184</v>
          </cell>
          <cell r="AP991">
            <v>0</v>
          </cell>
          <cell r="AQ991">
            <v>0</v>
          </cell>
          <cell r="AV991">
            <v>0</v>
          </cell>
        </row>
        <row r="992">
          <cell r="E992" t="str">
            <v>D26002230</v>
          </cell>
          <cell r="AP992">
            <v>0</v>
          </cell>
          <cell r="AQ992">
            <v>0</v>
          </cell>
          <cell r="AV992">
            <v>0</v>
          </cell>
        </row>
        <row r="993">
          <cell r="E993" t="str">
            <v>D26002558</v>
          </cell>
          <cell r="AP993">
            <v>0</v>
          </cell>
          <cell r="AQ993">
            <v>0</v>
          </cell>
          <cell r="AV993">
            <v>0</v>
          </cell>
        </row>
        <row r="994">
          <cell r="E994" t="str">
            <v>B26001103</v>
          </cell>
          <cell r="AP994">
            <v>0</v>
          </cell>
          <cell r="AQ994">
            <v>0</v>
          </cell>
          <cell r="AV994">
            <v>0</v>
          </cell>
        </row>
        <row r="995">
          <cell r="E995" t="str">
            <v>D25017712</v>
          </cell>
          <cell r="AP995">
            <v>0</v>
          </cell>
          <cell r="AQ995">
            <v>0</v>
          </cell>
          <cell r="AV995">
            <v>0</v>
          </cell>
        </row>
        <row r="996">
          <cell r="E996" t="str">
            <v>B26000012</v>
          </cell>
          <cell r="AP996">
            <v>0</v>
          </cell>
          <cell r="AQ996">
            <v>0</v>
          </cell>
          <cell r="AV996">
            <v>0</v>
          </cell>
        </row>
        <row r="997">
          <cell r="E997" t="str">
            <v>B26000534</v>
          </cell>
          <cell r="AP997">
            <v>0</v>
          </cell>
          <cell r="AQ997">
            <v>0</v>
          </cell>
          <cell r="AV997">
            <v>0</v>
          </cell>
        </row>
        <row r="998">
          <cell r="E998" t="str">
            <v>B26000987</v>
          </cell>
          <cell r="AP998">
            <v>0</v>
          </cell>
          <cell r="AQ998">
            <v>0</v>
          </cell>
          <cell r="AV998">
            <v>0</v>
          </cell>
        </row>
        <row r="999">
          <cell r="E999" t="str">
            <v>B26001168</v>
          </cell>
          <cell r="AP999">
            <v>0</v>
          </cell>
          <cell r="AQ999">
            <v>0</v>
          </cell>
          <cell r="AV999">
            <v>0</v>
          </cell>
        </row>
        <row r="1000">
          <cell r="E1000" t="str">
            <v>B26003049</v>
          </cell>
          <cell r="AP1000">
            <v>0</v>
          </cell>
          <cell r="AQ1000">
            <v>0</v>
          </cell>
          <cell r="AV1000">
            <v>0</v>
          </cell>
        </row>
        <row r="1001">
          <cell r="E1001" t="str">
            <v>B26001993</v>
          </cell>
          <cell r="AP1001">
            <v>0</v>
          </cell>
          <cell r="AQ1001">
            <v>0</v>
          </cell>
          <cell r="AV1001">
            <v>0</v>
          </cell>
        </row>
        <row r="1002">
          <cell r="E1002" t="str">
            <v>B26002322</v>
          </cell>
          <cell r="AP1002">
            <v>0</v>
          </cell>
          <cell r="AQ1002">
            <v>0</v>
          </cell>
          <cell r="AV1002">
            <v>0</v>
          </cell>
        </row>
        <row r="1003">
          <cell r="E1003" t="str">
            <v>B26002500</v>
          </cell>
          <cell r="AP1003">
            <v>0</v>
          </cell>
          <cell r="AQ1003">
            <v>0</v>
          </cell>
          <cell r="AV1003">
            <v>0</v>
          </cell>
        </row>
        <row r="1004">
          <cell r="E1004" t="str">
            <v>D26001126</v>
          </cell>
          <cell r="AP1004">
            <v>0</v>
          </cell>
          <cell r="AQ1004">
            <v>0</v>
          </cell>
          <cell r="AV1004">
            <v>3150000</v>
          </cell>
        </row>
        <row r="1005">
          <cell r="E1005" t="str">
            <v>B26001124</v>
          </cell>
          <cell r="AP1005">
            <v>0</v>
          </cell>
          <cell r="AQ1005">
            <v>0</v>
          </cell>
          <cell r="AV1005">
            <v>8050000</v>
          </cell>
        </row>
        <row r="1006">
          <cell r="E1006" t="str">
            <v>B26001126</v>
          </cell>
          <cell r="AP1006">
            <v>0</v>
          </cell>
          <cell r="AQ1006">
            <v>0</v>
          </cell>
          <cell r="AV1006">
            <v>1532400</v>
          </cell>
        </row>
        <row r="1007">
          <cell r="E1007" t="str">
            <v>B26001128</v>
          </cell>
          <cell r="AP1007">
            <v>0</v>
          </cell>
          <cell r="AQ1007">
            <v>0</v>
          </cell>
          <cell r="AV1007">
            <v>6634500</v>
          </cell>
        </row>
        <row r="1008">
          <cell r="E1008" t="str">
            <v>D26001529</v>
          </cell>
          <cell r="AP1008">
            <v>0</v>
          </cell>
          <cell r="AQ1008">
            <v>0</v>
          </cell>
          <cell r="AV1008">
            <v>4800000</v>
          </cell>
        </row>
        <row r="1009">
          <cell r="E1009" t="str">
            <v>D26002061</v>
          </cell>
          <cell r="AP1009">
            <v>0</v>
          </cell>
          <cell r="AQ1009">
            <v>0</v>
          </cell>
          <cell r="AV1009">
            <v>0</v>
          </cell>
        </row>
        <row r="1010">
          <cell r="E1010" t="str">
            <v>D26002062</v>
          </cell>
          <cell r="AP1010">
            <v>0</v>
          </cell>
          <cell r="AQ1010">
            <v>0</v>
          </cell>
          <cell r="AV1010">
            <v>0</v>
          </cell>
        </row>
        <row r="1011">
          <cell r="E1011" t="str">
            <v>B26001954</v>
          </cell>
          <cell r="AP1011">
            <v>0</v>
          </cell>
          <cell r="AQ1011">
            <v>0</v>
          </cell>
          <cell r="AV1011">
            <v>0</v>
          </cell>
        </row>
        <row r="1012">
          <cell r="E1012" t="str">
            <v>D26002107</v>
          </cell>
          <cell r="AP1012">
            <v>0</v>
          </cell>
          <cell r="AQ1012">
            <v>0</v>
          </cell>
          <cell r="AV1012">
            <v>0</v>
          </cell>
        </row>
        <row r="1013">
          <cell r="E1013" t="str">
            <v>D26002185</v>
          </cell>
          <cell r="AP1013">
            <v>0</v>
          </cell>
          <cell r="AQ1013">
            <v>0</v>
          </cell>
          <cell r="AV1013">
            <v>0</v>
          </cell>
        </row>
        <row r="1014">
          <cell r="E1014" t="str">
            <v>B26002116</v>
          </cell>
          <cell r="AP1014">
            <v>0</v>
          </cell>
          <cell r="AQ1014">
            <v>0</v>
          </cell>
          <cell r="AV1014">
            <v>0</v>
          </cell>
        </row>
        <row r="1015">
          <cell r="E1015" t="str">
            <v>B26002117</v>
          </cell>
          <cell r="AP1015">
            <v>0</v>
          </cell>
          <cell r="AQ1015">
            <v>0</v>
          </cell>
          <cell r="AV1015">
            <v>0</v>
          </cell>
        </row>
        <row r="1016">
          <cell r="E1016" t="str">
            <v>B26002118</v>
          </cell>
          <cell r="AP1016">
            <v>0</v>
          </cell>
          <cell r="AQ1016">
            <v>0</v>
          </cell>
          <cell r="AV1016">
            <v>0</v>
          </cell>
        </row>
        <row r="1017">
          <cell r="E1017" t="str">
            <v>B26002476</v>
          </cell>
          <cell r="AP1017">
            <v>0</v>
          </cell>
          <cell r="AQ1017">
            <v>0</v>
          </cell>
          <cell r="AV1017">
            <v>0</v>
          </cell>
        </row>
        <row r="1018">
          <cell r="E1018" t="str">
            <v>D26002772</v>
          </cell>
          <cell r="AP1018">
            <v>0</v>
          </cell>
          <cell r="AQ1018">
            <v>0</v>
          </cell>
          <cell r="AV1018">
            <v>0</v>
          </cell>
        </row>
        <row r="1019">
          <cell r="E1019" t="str">
            <v>D26002773</v>
          </cell>
          <cell r="AP1019">
            <v>0</v>
          </cell>
          <cell r="AQ1019">
            <v>0</v>
          </cell>
          <cell r="AV1019">
            <v>0</v>
          </cell>
        </row>
        <row r="1020">
          <cell r="E1020" t="str">
            <v>B26002682</v>
          </cell>
          <cell r="AP1020">
            <v>0</v>
          </cell>
          <cell r="AQ1020">
            <v>0</v>
          </cell>
          <cell r="AV1020">
            <v>0</v>
          </cell>
        </row>
        <row r="1021">
          <cell r="E1021" t="str">
            <v>D26002934</v>
          </cell>
          <cell r="AP1021">
            <v>0</v>
          </cell>
          <cell r="AQ1021">
            <v>0</v>
          </cell>
          <cell r="AV1021">
            <v>0</v>
          </cell>
        </row>
        <row r="1022">
          <cell r="E1022" t="str">
            <v>B26002971</v>
          </cell>
          <cell r="AP1022">
            <v>0</v>
          </cell>
          <cell r="AQ1022">
            <v>0</v>
          </cell>
          <cell r="AV1022">
            <v>0</v>
          </cell>
        </row>
        <row r="1023">
          <cell r="E1023" t="str">
            <v>B25009852</v>
          </cell>
          <cell r="AP1023">
            <v>0</v>
          </cell>
          <cell r="AQ1023">
            <v>0</v>
          </cell>
          <cell r="AV1023">
            <v>0</v>
          </cell>
        </row>
        <row r="1024">
          <cell r="E1024" t="str">
            <v>D26000095</v>
          </cell>
          <cell r="AP1024">
            <v>0</v>
          </cell>
          <cell r="AQ1024">
            <v>0</v>
          </cell>
          <cell r="AV1024">
            <v>0</v>
          </cell>
        </row>
        <row r="1025">
          <cell r="E1025" t="str">
            <v>B26000435</v>
          </cell>
          <cell r="AP1025">
            <v>0</v>
          </cell>
          <cell r="AQ1025">
            <v>0</v>
          </cell>
          <cell r="AV1025">
            <v>0</v>
          </cell>
        </row>
        <row r="1026">
          <cell r="E1026" t="str">
            <v>B26000767</v>
          </cell>
          <cell r="AP1026">
            <v>0</v>
          </cell>
          <cell r="AQ1026">
            <v>0</v>
          </cell>
          <cell r="AV1026">
            <v>0</v>
          </cell>
        </row>
        <row r="1027">
          <cell r="E1027" t="str">
            <v>D26001251</v>
          </cell>
          <cell r="AP1027">
            <v>0</v>
          </cell>
          <cell r="AQ1027">
            <v>0</v>
          </cell>
          <cell r="AV1027">
            <v>0</v>
          </cell>
        </row>
        <row r="1028">
          <cell r="E1028" t="str">
            <v>D26001556</v>
          </cell>
          <cell r="AP1028">
            <v>0</v>
          </cell>
          <cell r="AQ1028">
            <v>0</v>
          </cell>
          <cell r="AV1028">
            <v>0</v>
          </cell>
        </row>
        <row r="1029">
          <cell r="E1029" t="str">
            <v>D26001557</v>
          </cell>
          <cell r="AP1029">
            <v>0</v>
          </cell>
          <cell r="AQ1029">
            <v>0</v>
          </cell>
          <cell r="AV1029">
            <v>0</v>
          </cell>
        </row>
        <row r="1030">
          <cell r="E1030" t="str">
            <v>D26002538</v>
          </cell>
          <cell r="AP1030">
            <v>0</v>
          </cell>
          <cell r="AQ1030">
            <v>0</v>
          </cell>
          <cell r="AV1030">
            <v>0</v>
          </cell>
        </row>
        <row r="1031">
          <cell r="E1031" t="str">
            <v>T25001794</v>
          </cell>
          <cell r="AP1031">
            <v>0</v>
          </cell>
          <cell r="AQ1031">
            <v>0</v>
          </cell>
          <cell r="AV1031">
            <v>0</v>
          </cell>
        </row>
        <row r="1032">
          <cell r="E1032" t="str">
            <v>D26003163</v>
          </cell>
          <cell r="AP1032">
            <v>0</v>
          </cell>
          <cell r="AQ1032">
            <v>0</v>
          </cell>
          <cell r="AV1032">
            <v>0</v>
          </cell>
        </row>
        <row r="1033">
          <cell r="E1033" t="str">
            <v>B25016838</v>
          </cell>
          <cell r="AP1033">
            <v>0</v>
          </cell>
          <cell r="AQ1033">
            <v>0</v>
          </cell>
          <cell r="AV1033">
            <v>6187250</v>
          </cell>
        </row>
        <row r="1034">
          <cell r="E1034" t="str">
            <v>D26000090</v>
          </cell>
          <cell r="AP1034">
            <v>0</v>
          </cell>
          <cell r="AQ1034">
            <v>0</v>
          </cell>
          <cell r="AV1034">
            <v>3812750</v>
          </cell>
        </row>
        <row r="1035">
          <cell r="E1035" t="str">
            <v>B26001795</v>
          </cell>
          <cell r="AP1035">
            <v>0</v>
          </cell>
          <cell r="AQ1035">
            <v>0</v>
          </cell>
          <cell r="AV1035">
            <v>0</v>
          </cell>
        </row>
        <row r="1036">
          <cell r="E1036" t="str">
            <v>B26001820</v>
          </cell>
          <cell r="AP1036">
            <v>0</v>
          </cell>
          <cell r="AQ1036">
            <v>0</v>
          </cell>
          <cell r="AV1036">
            <v>0</v>
          </cell>
        </row>
        <row r="1037">
          <cell r="E1037" t="str">
            <v>B26000176</v>
          </cell>
          <cell r="AP1037">
            <v>0</v>
          </cell>
          <cell r="AQ1037">
            <v>0</v>
          </cell>
          <cell r="AV1037">
            <v>0</v>
          </cell>
        </row>
        <row r="1038">
          <cell r="E1038" t="str">
            <v>B26000177</v>
          </cell>
          <cell r="AP1038">
            <v>0</v>
          </cell>
          <cell r="AQ1038">
            <v>0</v>
          </cell>
          <cell r="AV1038">
            <v>0</v>
          </cell>
        </row>
        <row r="1039">
          <cell r="E1039" t="str">
            <v>B26000178</v>
          </cell>
          <cell r="AP1039">
            <v>0</v>
          </cell>
          <cell r="AQ1039">
            <v>0</v>
          </cell>
          <cell r="AV1039">
            <v>0</v>
          </cell>
        </row>
        <row r="1040">
          <cell r="E1040" t="str">
            <v>D26002371</v>
          </cell>
          <cell r="AP1040">
            <v>0</v>
          </cell>
          <cell r="AQ1040">
            <v>0</v>
          </cell>
          <cell r="AV1040">
            <v>0</v>
          </cell>
        </row>
        <row r="1041">
          <cell r="E1041" t="str">
            <v>D26002944</v>
          </cell>
          <cell r="AP1041">
            <v>0</v>
          </cell>
          <cell r="AQ1041">
            <v>0</v>
          </cell>
          <cell r="AV1041">
            <v>0</v>
          </cell>
        </row>
        <row r="1042">
          <cell r="E1042" t="str">
            <v>D26003208</v>
          </cell>
          <cell r="AP1042">
            <v>0</v>
          </cell>
          <cell r="AQ1042">
            <v>0</v>
          </cell>
          <cell r="AV1042">
            <v>0</v>
          </cell>
        </row>
        <row r="1043">
          <cell r="E1043">
            <v>260020</v>
          </cell>
          <cell r="AP1043">
            <v>0</v>
          </cell>
          <cell r="AQ1043">
            <v>0</v>
          </cell>
          <cell r="AV1043">
            <v>0</v>
          </cell>
        </row>
        <row r="1044">
          <cell r="E1044" t="str">
            <v>B26003010</v>
          </cell>
          <cell r="AP1044">
            <v>0</v>
          </cell>
          <cell r="AQ1044">
            <v>0</v>
          </cell>
          <cell r="AV1044">
            <v>0</v>
          </cell>
        </row>
        <row r="1045">
          <cell r="E1045" t="str">
            <v>B26003011</v>
          </cell>
          <cell r="AP1045">
            <v>0</v>
          </cell>
          <cell r="AQ1045">
            <v>0</v>
          </cell>
          <cell r="AV1045">
            <v>0</v>
          </cell>
        </row>
        <row r="1046">
          <cell r="E1046" t="str">
            <v>B26002652</v>
          </cell>
          <cell r="AP1046">
            <v>0</v>
          </cell>
          <cell r="AQ1046">
            <v>0</v>
          </cell>
          <cell r="AV1046">
            <v>0</v>
          </cell>
        </row>
        <row r="1047">
          <cell r="E1047" t="str">
            <v>B26002891</v>
          </cell>
          <cell r="AP1047">
            <v>0</v>
          </cell>
          <cell r="AQ1047">
            <v>0</v>
          </cell>
          <cell r="AV1047">
            <v>0</v>
          </cell>
        </row>
        <row r="1048">
          <cell r="E1048" t="str">
            <v>D25019205</v>
          </cell>
          <cell r="AP1048">
            <v>0</v>
          </cell>
          <cell r="AQ1048">
            <v>0</v>
          </cell>
          <cell r="AV1048">
            <v>0</v>
          </cell>
        </row>
        <row r="1049">
          <cell r="E1049" t="str">
            <v>D26000957</v>
          </cell>
          <cell r="AP1049">
            <v>0</v>
          </cell>
          <cell r="AQ1049">
            <v>0</v>
          </cell>
          <cell r="AV1049">
            <v>0</v>
          </cell>
        </row>
        <row r="1050">
          <cell r="E1050" t="str">
            <v>D26001869</v>
          </cell>
          <cell r="AP1050">
            <v>0</v>
          </cell>
          <cell r="AQ1050">
            <v>0</v>
          </cell>
          <cell r="AV1050">
            <v>0</v>
          </cell>
        </row>
        <row r="1051">
          <cell r="E1051" t="str">
            <v>D26003164</v>
          </cell>
          <cell r="AP1051">
            <v>0</v>
          </cell>
          <cell r="AQ1051">
            <v>0</v>
          </cell>
          <cell r="AV1051">
            <v>0</v>
          </cell>
        </row>
        <row r="1052">
          <cell r="E1052" t="str">
            <v>D26003165</v>
          </cell>
          <cell r="AP1052">
            <v>0</v>
          </cell>
          <cell r="AQ1052">
            <v>0</v>
          </cell>
          <cell r="AV1052">
            <v>0</v>
          </cell>
        </row>
        <row r="1053">
          <cell r="E1053" t="str">
            <v>D26003204</v>
          </cell>
          <cell r="AP1053">
            <v>0</v>
          </cell>
          <cell r="AQ1053">
            <v>0</v>
          </cell>
          <cell r="AV1053">
            <v>0</v>
          </cell>
        </row>
        <row r="1054">
          <cell r="E1054" t="str">
            <v>D26003205</v>
          </cell>
          <cell r="AP1054">
            <v>0</v>
          </cell>
          <cell r="AQ1054">
            <v>0</v>
          </cell>
          <cell r="AV1054">
            <v>0</v>
          </cell>
        </row>
        <row r="1055">
          <cell r="E1055" t="str">
            <v>T26000148</v>
          </cell>
          <cell r="AP1055">
            <v>0</v>
          </cell>
          <cell r="AQ1055">
            <v>0</v>
          </cell>
          <cell r="AV1055">
            <v>0</v>
          </cell>
        </row>
        <row r="1056">
          <cell r="E1056" t="str">
            <v>T26000171</v>
          </cell>
          <cell r="AP1056">
            <v>0</v>
          </cell>
          <cell r="AQ1056">
            <v>0</v>
          </cell>
          <cell r="AV1056">
            <v>0</v>
          </cell>
        </row>
        <row r="1057">
          <cell r="E1057" t="str">
            <v>B26002762</v>
          </cell>
          <cell r="AP1057">
            <v>0</v>
          </cell>
          <cell r="AQ1057">
            <v>0</v>
          </cell>
          <cell r="AV1057">
            <v>0</v>
          </cell>
        </row>
        <row r="1058">
          <cell r="E1058" t="str">
            <v>B26002930</v>
          </cell>
          <cell r="AP1058">
            <v>0</v>
          </cell>
          <cell r="AQ1058">
            <v>0</v>
          </cell>
          <cell r="AV1058">
            <v>0</v>
          </cell>
        </row>
        <row r="1059">
          <cell r="E1059" t="str">
            <v>B26001307</v>
          </cell>
          <cell r="AP1059">
            <v>0</v>
          </cell>
          <cell r="AQ1059">
            <v>0</v>
          </cell>
          <cell r="AV1059">
            <v>0</v>
          </cell>
        </row>
        <row r="1060">
          <cell r="E1060" t="str">
            <v>T26000029</v>
          </cell>
          <cell r="AP1060">
            <v>0</v>
          </cell>
          <cell r="AQ1060">
            <v>0</v>
          </cell>
          <cell r="AV1060">
            <v>0</v>
          </cell>
        </row>
        <row r="1061">
          <cell r="E1061" t="str">
            <v>B26000825</v>
          </cell>
          <cell r="AP1061">
            <v>0</v>
          </cell>
          <cell r="AQ1061">
            <v>0</v>
          </cell>
          <cell r="AV1061">
            <v>0</v>
          </cell>
        </row>
        <row r="1062">
          <cell r="E1062" t="str">
            <v>B26001980</v>
          </cell>
          <cell r="AP1062">
            <v>0</v>
          </cell>
          <cell r="AQ1062">
            <v>0</v>
          </cell>
          <cell r="AV1062">
            <v>0</v>
          </cell>
        </row>
        <row r="1063">
          <cell r="E1063" t="str">
            <v>D26002713</v>
          </cell>
          <cell r="AP1063">
            <v>0</v>
          </cell>
          <cell r="AQ1063">
            <v>0</v>
          </cell>
          <cell r="AV1063">
            <v>0</v>
          </cell>
        </row>
        <row r="1064">
          <cell r="E1064" t="str">
            <v>D26002714</v>
          </cell>
          <cell r="AP1064">
            <v>0</v>
          </cell>
          <cell r="AQ1064">
            <v>0</v>
          </cell>
          <cell r="AV1064">
            <v>0</v>
          </cell>
        </row>
        <row r="1065">
          <cell r="E1065" t="str">
            <v>T24001625</v>
          </cell>
          <cell r="AP1065">
            <v>0</v>
          </cell>
          <cell r="AQ1065">
            <v>0</v>
          </cell>
          <cell r="AV1065">
            <v>0</v>
          </cell>
        </row>
        <row r="1066">
          <cell r="E1066" t="str">
            <v>D24017664</v>
          </cell>
          <cell r="AP1066">
            <v>0</v>
          </cell>
          <cell r="AQ1066">
            <v>0</v>
          </cell>
          <cell r="AV1066">
            <v>0</v>
          </cell>
        </row>
        <row r="1067">
          <cell r="E1067" t="str">
            <v>T25001722</v>
          </cell>
          <cell r="AP1067">
            <v>0</v>
          </cell>
          <cell r="AQ1067">
            <v>0</v>
          </cell>
          <cell r="AV1067">
            <v>0</v>
          </cell>
        </row>
        <row r="1068">
          <cell r="E1068" t="str">
            <v>D25017959</v>
          </cell>
          <cell r="AP1068">
            <v>0</v>
          </cell>
          <cell r="AQ1068">
            <v>0</v>
          </cell>
          <cell r="AV1068">
            <v>124200000</v>
          </cell>
        </row>
        <row r="1069">
          <cell r="E1069" t="str">
            <v>D25018410</v>
          </cell>
          <cell r="AP1069">
            <v>0</v>
          </cell>
          <cell r="AQ1069">
            <v>0</v>
          </cell>
          <cell r="AV1069">
            <v>25800000</v>
          </cell>
        </row>
        <row r="1070">
          <cell r="E1070" t="str">
            <v>B25016093</v>
          </cell>
          <cell r="AP1070">
            <v>0</v>
          </cell>
          <cell r="AQ1070">
            <v>0</v>
          </cell>
          <cell r="AV1070">
            <v>0</v>
          </cell>
        </row>
        <row r="1071">
          <cell r="E1071" t="str">
            <v>D25018716</v>
          </cell>
          <cell r="AP1071">
            <v>0</v>
          </cell>
          <cell r="AQ1071">
            <v>0</v>
          </cell>
          <cell r="AV1071">
            <v>0</v>
          </cell>
        </row>
        <row r="1072">
          <cell r="E1072" t="str">
            <v>D25019055</v>
          </cell>
          <cell r="AP1072">
            <v>0</v>
          </cell>
          <cell r="AQ1072">
            <v>0</v>
          </cell>
          <cell r="AV1072">
            <v>0</v>
          </cell>
        </row>
        <row r="1073">
          <cell r="E1073" t="str">
            <v>B25016834</v>
          </cell>
          <cell r="AP1073">
            <v>0</v>
          </cell>
          <cell r="AQ1073">
            <v>0</v>
          </cell>
          <cell r="AV1073">
            <v>0</v>
          </cell>
        </row>
        <row r="1074">
          <cell r="E1074" t="str">
            <v>D25019534</v>
          </cell>
          <cell r="AP1074">
            <v>0</v>
          </cell>
          <cell r="AQ1074">
            <v>0</v>
          </cell>
          <cell r="AV1074">
            <v>0</v>
          </cell>
        </row>
        <row r="1075">
          <cell r="E1075" t="str">
            <v>D25019598</v>
          </cell>
          <cell r="AP1075">
            <v>0</v>
          </cell>
          <cell r="AQ1075">
            <v>0</v>
          </cell>
          <cell r="AV1075">
            <v>0</v>
          </cell>
        </row>
        <row r="1076">
          <cell r="E1076" t="str">
            <v>D25019599</v>
          </cell>
          <cell r="AP1076">
            <v>0</v>
          </cell>
          <cell r="AQ1076">
            <v>0</v>
          </cell>
          <cell r="AV1076">
            <v>0</v>
          </cell>
        </row>
        <row r="1077">
          <cell r="E1077" t="str">
            <v>D26000145</v>
          </cell>
          <cell r="AP1077">
            <v>0</v>
          </cell>
          <cell r="AQ1077">
            <v>0</v>
          </cell>
          <cell r="AV1077">
            <v>0</v>
          </cell>
        </row>
        <row r="1078">
          <cell r="E1078" t="str">
            <v>D26000152</v>
          </cell>
          <cell r="AP1078">
            <v>0</v>
          </cell>
          <cell r="AQ1078">
            <v>0</v>
          </cell>
          <cell r="AV1078">
            <v>0</v>
          </cell>
        </row>
        <row r="1079">
          <cell r="E1079" t="str">
            <v>D26000153</v>
          </cell>
          <cell r="AP1079">
            <v>0</v>
          </cell>
          <cell r="AQ1079">
            <v>0</v>
          </cell>
          <cell r="AV1079">
            <v>0</v>
          </cell>
        </row>
        <row r="1080">
          <cell r="E1080" t="str">
            <v>D26000154</v>
          </cell>
          <cell r="AP1080">
            <v>0</v>
          </cell>
          <cell r="AQ1080">
            <v>0</v>
          </cell>
          <cell r="AV1080">
            <v>0</v>
          </cell>
        </row>
        <row r="1081">
          <cell r="E1081" t="str">
            <v>D26000257</v>
          </cell>
          <cell r="AP1081">
            <v>0</v>
          </cell>
          <cell r="AQ1081">
            <v>0</v>
          </cell>
          <cell r="AV1081">
            <v>0</v>
          </cell>
        </row>
        <row r="1082">
          <cell r="E1082" t="str">
            <v>D26000590</v>
          </cell>
          <cell r="AP1082">
            <v>0</v>
          </cell>
          <cell r="AQ1082">
            <v>0</v>
          </cell>
          <cell r="AV1082">
            <v>0</v>
          </cell>
        </row>
        <row r="1083">
          <cell r="E1083" t="str">
            <v>B26000573</v>
          </cell>
          <cell r="AP1083">
            <v>0</v>
          </cell>
          <cell r="AQ1083">
            <v>0</v>
          </cell>
          <cell r="AV1083">
            <v>0</v>
          </cell>
        </row>
        <row r="1084">
          <cell r="E1084" t="str">
            <v>D26000830</v>
          </cell>
          <cell r="AP1084">
            <v>0</v>
          </cell>
          <cell r="AQ1084">
            <v>0</v>
          </cell>
          <cell r="AV1084">
            <v>0</v>
          </cell>
        </row>
        <row r="1085">
          <cell r="E1085" t="str">
            <v>B26000819</v>
          </cell>
          <cell r="AP1085">
            <v>0</v>
          </cell>
          <cell r="AQ1085">
            <v>0</v>
          </cell>
          <cell r="AV1085">
            <v>0</v>
          </cell>
        </row>
        <row r="1086">
          <cell r="E1086" t="str">
            <v>B26000881</v>
          </cell>
          <cell r="AP1086">
            <v>0</v>
          </cell>
          <cell r="AQ1086">
            <v>0</v>
          </cell>
          <cell r="AV1086">
            <v>0</v>
          </cell>
        </row>
        <row r="1087">
          <cell r="E1087" t="str">
            <v>D26000937</v>
          </cell>
          <cell r="AP1087">
            <v>0</v>
          </cell>
          <cell r="AQ1087">
            <v>0</v>
          </cell>
          <cell r="AV1087">
            <v>0</v>
          </cell>
        </row>
        <row r="1088">
          <cell r="E1088" t="str">
            <v>T26000065</v>
          </cell>
          <cell r="AP1088">
            <v>0</v>
          </cell>
          <cell r="AQ1088">
            <v>0</v>
          </cell>
          <cell r="AV1088">
            <v>0</v>
          </cell>
        </row>
        <row r="1089">
          <cell r="E1089" t="str">
            <v>D26001210</v>
          </cell>
          <cell r="AP1089">
            <v>0</v>
          </cell>
          <cell r="AQ1089">
            <v>0</v>
          </cell>
          <cell r="AV1089">
            <v>0</v>
          </cell>
        </row>
        <row r="1090">
          <cell r="E1090" t="str">
            <v>B26001129</v>
          </cell>
          <cell r="AP1090">
            <v>0</v>
          </cell>
          <cell r="AQ1090">
            <v>0</v>
          </cell>
          <cell r="AV1090">
            <v>0</v>
          </cell>
        </row>
        <row r="1091">
          <cell r="E1091" t="str">
            <v>D26001333</v>
          </cell>
          <cell r="AP1091">
            <v>0</v>
          </cell>
          <cell r="AQ1091">
            <v>0</v>
          </cell>
          <cell r="AV1091">
            <v>0</v>
          </cell>
        </row>
        <row r="1092">
          <cell r="E1092" t="str">
            <v>D26001437</v>
          </cell>
          <cell r="AP1092">
            <v>0</v>
          </cell>
          <cell r="AQ1092">
            <v>0</v>
          </cell>
          <cell r="AV1092">
            <v>0</v>
          </cell>
        </row>
        <row r="1093">
          <cell r="E1093" t="str">
            <v>D26001533</v>
          </cell>
          <cell r="AP1093">
            <v>0</v>
          </cell>
          <cell r="AQ1093">
            <v>0</v>
          </cell>
          <cell r="AV1093">
            <v>0</v>
          </cell>
        </row>
        <row r="1094">
          <cell r="E1094" t="str">
            <v>D26001636</v>
          </cell>
          <cell r="AP1094">
            <v>0</v>
          </cell>
          <cell r="AQ1094">
            <v>0</v>
          </cell>
          <cell r="AV1094">
            <v>0</v>
          </cell>
        </row>
        <row r="1095">
          <cell r="E1095" t="str">
            <v>T26000104</v>
          </cell>
          <cell r="AP1095">
            <v>0</v>
          </cell>
          <cell r="AQ1095">
            <v>0</v>
          </cell>
          <cell r="AV1095">
            <v>0</v>
          </cell>
        </row>
        <row r="1096">
          <cell r="E1096" t="str">
            <v>B26001741</v>
          </cell>
          <cell r="AP1096">
            <v>0</v>
          </cell>
          <cell r="AQ1096">
            <v>0</v>
          </cell>
          <cell r="AV1096">
            <v>0</v>
          </cell>
        </row>
        <row r="1097">
          <cell r="E1097" t="str">
            <v>D26001845</v>
          </cell>
          <cell r="AP1097">
            <v>0</v>
          </cell>
          <cell r="AQ1097">
            <v>0</v>
          </cell>
          <cell r="AV1097">
            <v>0</v>
          </cell>
        </row>
        <row r="1098">
          <cell r="E1098" t="str">
            <v>D26001988</v>
          </cell>
          <cell r="AP1098">
            <v>0</v>
          </cell>
          <cell r="AQ1098">
            <v>0</v>
          </cell>
          <cell r="AV1098">
            <v>0</v>
          </cell>
        </row>
        <row r="1099">
          <cell r="E1099" t="str">
            <v>D26002036</v>
          </cell>
          <cell r="AP1099">
            <v>0</v>
          </cell>
          <cell r="AQ1099">
            <v>0</v>
          </cell>
          <cell r="AV1099">
            <v>0</v>
          </cell>
        </row>
        <row r="1100">
          <cell r="E1100" t="str">
            <v>D26002142</v>
          </cell>
          <cell r="AP1100">
            <v>0</v>
          </cell>
          <cell r="AQ1100">
            <v>0</v>
          </cell>
          <cell r="AV1100">
            <v>0</v>
          </cell>
        </row>
        <row r="1101">
          <cell r="E1101" t="str">
            <v>D26002144</v>
          </cell>
          <cell r="AP1101">
            <v>0</v>
          </cell>
          <cell r="AQ1101">
            <v>0</v>
          </cell>
          <cell r="AV1101">
            <v>0</v>
          </cell>
        </row>
        <row r="1102">
          <cell r="E1102" t="str">
            <v>D26002274</v>
          </cell>
          <cell r="AP1102">
            <v>0</v>
          </cell>
          <cell r="AQ1102">
            <v>0</v>
          </cell>
          <cell r="AV1102">
            <v>0</v>
          </cell>
        </row>
        <row r="1103">
          <cell r="E1103" t="str">
            <v>D26002292</v>
          </cell>
          <cell r="AP1103">
            <v>0</v>
          </cell>
          <cell r="AQ1103">
            <v>0</v>
          </cell>
          <cell r="AV1103">
            <v>0</v>
          </cell>
        </row>
        <row r="1104">
          <cell r="E1104" t="str">
            <v>B26002204</v>
          </cell>
          <cell r="AP1104">
            <v>0</v>
          </cell>
          <cell r="AQ1104">
            <v>0</v>
          </cell>
          <cell r="AV1104">
            <v>0</v>
          </cell>
        </row>
        <row r="1105">
          <cell r="E1105" t="str">
            <v>D26002432</v>
          </cell>
          <cell r="AP1105">
            <v>0</v>
          </cell>
          <cell r="AQ1105">
            <v>0</v>
          </cell>
          <cell r="AV1105">
            <v>0</v>
          </cell>
        </row>
        <row r="1106">
          <cell r="E1106" t="str">
            <v>D26002662</v>
          </cell>
          <cell r="AP1106">
            <v>0</v>
          </cell>
          <cell r="AQ1106">
            <v>0</v>
          </cell>
          <cell r="AV1106">
            <v>0</v>
          </cell>
        </row>
        <row r="1107">
          <cell r="E1107" t="str">
            <v>D26002924</v>
          </cell>
          <cell r="AP1107">
            <v>0</v>
          </cell>
          <cell r="AQ1107">
            <v>0</v>
          </cell>
          <cell r="AV1107">
            <v>0</v>
          </cell>
        </row>
        <row r="1108">
          <cell r="E1108" t="str">
            <v>D26002959</v>
          </cell>
          <cell r="AP1108">
            <v>0</v>
          </cell>
          <cell r="AQ1108">
            <v>0</v>
          </cell>
          <cell r="AV1108">
            <v>0</v>
          </cell>
        </row>
        <row r="1109">
          <cell r="E1109" t="str">
            <v>D26002978</v>
          </cell>
          <cell r="AP1109">
            <v>0</v>
          </cell>
          <cell r="AQ1109">
            <v>0</v>
          </cell>
          <cell r="AV1109">
            <v>0</v>
          </cell>
        </row>
        <row r="1110">
          <cell r="E1110" t="str">
            <v>D26003055</v>
          </cell>
          <cell r="AP1110">
            <v>0</v>
          </cell>
          <cell r="AQ1110">
            <v>0</v>
          </cell>
          <cell r="AV1110">
            <v>0</v>
          </cell>
        </row>
        <row r="1111">
          <cell r="E1111" t="str">
            <v>B26002931</v>
          </cell>
          <cell r="AP1111">
            <v>0</v>
          </cell>
          <cell r="AQ1111">
            <v>0</v>
          </cell>
          <cell r="AV1111">
            <v>0</v>
          </cell>
        </row>
        <row r="1112">
          <cell r="E1112" t="str">
            <v>D26003308</v>
          </cell>
          <cell r="AP1112">
            <v>0</v>
          </cell>
          <cell r="AQ1112">
            <v>0</v>
          </cell>
          <cell r="AV1112">
            <v>0</v>
          </cell>
        </row>
        <row r="1113">
          <cell r="E1113" t="str">
            <v>D26003313</v>
          </cell>
          <cell r="AP1113">
            <v>0</v>
          </cell>
          <cell r="AQ1113">
            <v>0</v>
          </cell>
          <cell r="AV1113">
            <v>0</v>
          </cell>
        </row>
        <row r="1114">
          <cell r="E1114" t="str">
            <v>B26000800</v>
          </cell>
          <cell r="AP1114">
            <v>0</v>
          </cell>
          <cell r="AQ1114">
            <v>0</v>
          </cell>
          <cell r="AV1114">
            <v>0</v>
          </cell>
        </row>
        <row r="1115">
          <cell r="E1115" t="str">
            <v>T26000215</v>
          </cell>
          <cell r="AP1115">
            <v>0</v>
          </cell>
          <cell r="AQ1115">
            <v>0</v>
          </cell>
          <cell r="AV1115">
            <v>0</v>
          </cell>
        </row>
        <row r="1116">
          <cell r="E1116" t="str">
            <v>B26002647</v>
          </cell>
          <cell r="AP1116">
            <v>0</v>
          </cell>
          <cell r="AQ1116">
            <v>0</v>
          </cell>
          <cell r="AV1116">
            <v>20240000</v>
          </cell>
        </row>
        <row r="1117">
          <cell r="E1117" t="str">
            <v>D26000219</v>
          </cell>
          <cell r="AP1117">
            <v>0</v>
          </cell>
          <cell r="AQ1117">
            <v>0</v>
          </cell>
          <cell r="AV1117">
            <v>0</v>
          </cell>
        </row>
        <row r="1118">
          <cell r="E1118" t="str">
            <v>B26001024</v>
          </cell>
          <cell r="AP1118">
            <v>0</v>
          </cell>
          <cell r="AQ1118">
            <v>0</v>
          </cell>
          <cell r="AV1118">
            <v>0</v>
          </cell>
        </row>
        <row r="1119">
          <cell r="E1119" t="str">
            <v>B26001367</v>
          </cell>
          <cell r="AP1119">
            <v>0</v>
          </cell>
          <cell r="AQ1119">
            <v>0</v>
          </cell>
          <cell r="AV1119">
            <v>0</v>
          </cell>
        </row>
        <row r="1120">
          <cell r="E1120" t="str">
            <v>B26001427</v>
          </cell>
          <cell r="AP1120">
            <v>0</v>
          </cell>
          <cell r="AQ1120">
            <v>0</v>
          </cell>
          <cell r="AV1120">
            <v>0</v>
          </cell>
        </row>
        <row r="1121">
          <cell r="E1121" t="str">
            <v>D26002113</v>
          </cell>
          <cell r="AP1121">
            <v>0</v>
          </cell>
          <cell r="AQ1121">
            <v>0</v>
          </cell>
          <cell r="AV1121">
            <v>0</v>
          </cell>
        </row>
        <row r="1122">
          <cell r="E1122" t="str">
            <v>T26000063</v>
          </cell>
          <cell r="AP1122">
            <v>0</v>
          </cell>
          <cell r="AQ1122">
            <v>0</v>
          </cell>
          <cell r="AV1122">
            <v>0</v>
          </cell>
        </row>
        <row r="1123">
          <cell r="E1123" t="str">
            <v>D25017818</v>
          </cell>
          <cell r="AP1123">
            <v>0</v>
          </cell>
          <cell r="AQ1123">
            <v>0</v>
          </cell>
          <cell r="AV1123">
            <v>0</v>
          </cell>
        </row>
        <row r="1124">
          <cell r="E1124" t="str">
            <v>B25015360</v>
          </cell>
          <cell r="AP1124">
            <v>0</v>
          </cell>
          <cell r="AQ1124">
            <v>0</v>
          </cell>
          <cell r="AV1124">
            <v>0</v>
          </cell>
        </row>
        <row r="1125">
          <cell r="E1125" t="str">
            <v>D25017985</v>
          </cell>
          <cell r="AP1125">
            <v>0</v>
          </cell>
          <cell r="AQ1125">
            <v>0</v>
          </cell>
          <cell r="AV1125">
            <v>0</v>
          </cell>
        </row>
        <row r="1126">
          <cell r="E1126" t="str">
            <v>B25015596</v>
          </cell>
          <cell r="AP1126">
            <v>0</v>
          </cell>
          <cell r="AQ1126">
            <v>0</v>
          </cell>
          <cell r="AV1126">
            <v>0</v>
          </cell>
        </row>
        <row r="1127">
          <cell r="E1127" t="str">
            <v>D25018121</v>
          </cell>
          <cell r="AP1127">
            <v>0</v>
          </cell>
          <cell r="AQ1127">
            <v>0</v>
          </cell>
          <cell r="AV1127">
            <v>0</v>
          </cell>
        </row>
        <row r="1128">
          <cell r="E1128" t="str">
            <v>D25018128</v>
          </cell>
          <cell r="AP1128">
            <v>0</v>
          </cell>
          <cell r="AQ1128">
            <v>0</v>
          </cell>
          <cell r="AV1128">
            <v>0</v>
          </cell>
        </row>
        <row r="1129">
          <cell r="E1129" t="str">
            <v>B25015983</v>
          </cell>
          <cell r="AP1129">
            <v>0</v>
          </cell>
          <cell r="AQ1129">
            <v>0</v>
          </cell>
          <cell r="AV1129">
            <v>0</v>
          </cell>
        </row>
        <row r="1130">
          <cell r="E1130" t="str">
            <v>D25018460</v>
          </cell>
          <cell r="AP1130">
            <v>0</v>
          </cell>
          <cell r="AQ1130">
            <v>0</v>
          </cell>
          <cell r="AV1130">
            <v>0</v>
          </cell>
        </row>
        <row r="1131">
          <cell r="E1131" t="str">
            <v>D25018475</v>
          </cell>
          <cell r="AP1131">
            <v>0</v>
          </cell>
          <cell r="AQ1131">
            <v>0</v>
          </cell>
          <cell r="AV1131">
            <v>0</v>
          </cell>
        </row>
        <row r="1132">
          <cell r="E1132" t="str">
            <v>D25018537</v>
          </cell>
          <cell r="AP1132">
            <v>0</v>
          </cell>
          <cell r="AQ1132">
            <v>0</v>
          </cell>
          <cell r="AV1132">
            <v>0</v>
          </cell>
        </row>
        <row r="1133">
          <cell r="E1133" t="str">
            <v>D25018561</v>
          </cell>
          <cell r="AP1133">
            <v>0</v>
          </cell>
          <cell r="AQ1133">
            <v>0</v>
          </cell>
          <cell r="AV1133">
            <v>0</v>
          </cell>
        </row>
        <row r="1134">
          <cell r="E1134" t="str">
            <v>B25016286</v>
          </cell>
          <cell r="AP1134">
            <v>0</v>
          </cell>
          <cell r="AQ1134">
            <v>0</v>
          </cell>
          <cell r="AV1134">
            <v>0</v>
          </cell>
        </row>
        <row r="1135">
          <cell r="E1135" t="str">
            <v>D25018733</v>
          </cell>
          <cell r="AP1135">
            <v>0</v>
          </cell>
          <cell r="AQ1135">
            <v>0</v>
          </cell>
          <cell r="AV1135">
            <v>0</v>
          </cell>
        </row>
        <row r="1136">
          <cell r="E1136" t="str">
            <v>D25018751</v>
          </cell>
          <cell r="AP1136">
            <v>0</v>
          </cell>
          <cell r="AQ1136">
            <v>0</v>
          </cell>
          <cell r="AV1136">
            <v>0</v>
          </cell>
        </row>
        <row r="1137">
          <cell r="E1137" t="str">
            <v>B25016434</v>
          </cell>
          <cell r="AP1137">
            <v>0</v>
          </cell>
          <cell r="AQ1137">
            <v>0</v>
          </cell>
          <cell r="AV1137">
            <v>0</v>
          </cell>
        </row>
        <row r="1138">
          <cell r="E1138" t="str">
            <v>B25016498</v>
          </cell>
          <cell r="AP1138">
            <v>0</v>
          </cell>
          <cell r="AQ1138">
            <v>0</v>
          </cell>
          <cell r="AV1138">
            <v>0</v>
          </cell>
        </row>
        <row r="1139">
          <cell r="E1139" t="str">
            <v>D25018991</v>
          </cell>
          <cell r="AP1139">
            <v>0</v>
          </cell>
          <cell r="AQ1139">
            <v>0</v>
          </cell>
          <cell r="AV1139">
            <v>0</v>
          </cell>
        </row>
        <row r="1140">
          <cell r="E1140" t="str">
            <v>B25016567</v>
          </cell>
          <cell r="AP1140">
            <v>0</v>
          </cell>
          <cell r="AQ1140">
            <v>0</v>
          </cell>
          <cell r="AV1140">
            <v>0</v>
          </cell>
        </row>
        <row r="1141">
          <cell r="E1141" t="str">
            <v>B25016636</v>
          </cell>
          <cell r="AP1141">
            <v>0</v>
          </cell>
          <cell r="AQ1141">
            <v>0</v>
          </cell>
          <cell r="AV1141">
            <v>0</v>
          </cell>
        </row>
        <row r="1142">
          <cell r="E1142" t="str">
            <v>B25016679</v>
          </cell>
          <cell r="AP1142">
            <v>0</v>
          </cell>
          <cell r="AQ1142">
            <v>0</v>
          </cell>
          <cell r="AV1142">
            <v>0</v>
          </cell>
        </row>
        <row r="1143">
          <cell r="E1143" t="str">
            <v>B25016681</v>
          </cell>
          <cell r="AP1143">
            <v>0</v>
          </cell>
          <cell r="AQ1143">
            <v>0</v>
          </cell>
          <cell r="AV1143">
            <v>0</v>
          </cell>
        </row>
        <row r="1144">
          <cell r="E1144" t="str">
            <v>B25016699</v>
          </cell>
          <cell r="AP1144">
            <v>0</v>
          </cell>
          <cell r="AQ1144">
            <v>0</v>
          </cell>
          <cell r="AV1144">
            <v>0</v>
          </cell>
        </row>
        <row r="1145">
          <cell r="E1145" t="str">
            <v>B25016741</v>
          </cell>
          <cell r="AP1145">
            <v>0</v>
          </cell>
          <cell r="AQ1145">
            <v>0</v>
          </cell>
          <cell r="AV1145">
            <v>0</v>
          </cell>
        </row>
        <row r="1146">
          <cell r="E1146" t="str">
            <v>B25016752</v>
          </cell>
          <cell r="AP1146">
            <v>0</v>
          </cell>
          <cell r="AQ1146">
            <v>0</v>
          </cell>
          <cell r="AV1146">
            <v>0</v>
          </cell>
        </row>
        <row r="1147">
          <cell r="E1147" t="str">
            <v>B25016905</v>
          </cell>
          <cell r="AP1147">
            <v>0</v>
          </cell>
          <cell r="AQ1147">
            <v>0</v>
          </cell>
          <cell r="AV1147">
            <v>0</v>
          </cell>
        </row>
        <row r="1148">
          <cell r="E1148" t="str">
            <v>D25019569</v>
          </cell>
          <cell r="AP1148">
            <v>0</v>
          </cell>
          <cell r="AQ1148">
            <v>0</v>
          </cell>
          <cell r="AV1148">
            <v>0</v>
          </cell>
        </row>
        <row r="1149">
          <cell r="E1149" t="str">
            <v>D25019570</v>
          </cell>
          <cell r="AP1149">
            <v>0</v>
          </cell>
          <cell r="AQ1149">
            <v>0</v>
          </cell>
          <cell r="AV1149">
            <v>0</v>
          </cell>
        </row>
        <row r="1150">
          <cell r="E1150" t="str">
            <v>B25017037</v>
          </cell>
          <cell r="AP1150">
            <v>0</v>
          </cell>
          <cell r="AQ1150">
            <v>0</v>
          </cell>
          <cell r="AV1150">
            <v>0</v>
          </cell>
        </row>
        <row r="1151">
          <cell r="E1151" t="str">
            <v>D25019649</v>
          </cell>
          <cell r="AP1151">
            <v>0</v>
          </cell>
          <cell r="AQ1151">
            <v>0</v>
          </cell>
          <cell r="AV1151">
            <v>0</v>
          </cell>
        </row>
        <row r="1152">
          <cell r="E1152" t="str">
            <v>D25019684</v>
          </cell>
          <cell r="AP1152">
            <v>0</v>
          </cell>
          <cell r="AQ1152">
            <v>0</v>
          </cell>
          <cell r="AV1152">
            <v>0</v>
          </cell>
        </row>
        <row r="1153">
          <cell r="E1153" t="str">
            <v>B26000039</v>
          </cell>
          <cell r="AP1153">
            <v>0</v>
          </cell>
          <cell r="AQ1153">
            <v>0</v>
          </cell>
          <cell r="AV1153">
            <v>0</v>
          </cell>
        </row>
        <row r="1154">
          <cell r="E1154" t="str">
            <v>D26000167</v>
          </cell>
          <cell r="AP1154">
            <v>0</v>
          </cell>
          <cell r="AQ1154">
            <v>0</v>
          </cell>
          <cell r="AV1154">
            <v>0</v>
          </cell>
        </row>
        <row r="1155">
          <cell r="E1155" t="str">
            <v>D26000229</v>
          </cell>
          <cell r="AP1155">
            <v>0</v>
          </cell>
          <cell r="AQ1155">
            <v>0</v>
          </cell>
          <cell r="AV1155">
            <v>0</v>
          </cell>
        </row>
        <row r="1156">
          <cell r="E1156" t="str">
            <v>D26000230</v>
          </cell>
          <cell r="AP1156">
            <v>0</v>
          </cell>
          <cell r="AQ1156">
            <v>0</v>
          </cell>
          <cell r="AV1156">
            <v>0</v>
          </cell>
        </row>
        <row r="1157">
          <cell r="E1157" t="str">
            <v>B26000332</v>
          </cell>
          <cell r="AP1157">
            <v>0</v>
          </cell>
          <cell r="AQ1157">
            <v>0</v>
          </cell>
          <cell r="AV1157">
            <v>0</v>
          </cell>
        </row>
        <row r="1158">
          <cell r="E1158" t="str">
            <v>B26000365</v>
          </cell>
          <cell r="AP1158">
            <v>0</v>
          </cell>
          <cell r="AQ1158">
            <v>0</v>
          </cell>
          <cell r="AV1158">
            <v>0</v>
          </cell>
        </row>
        <row r="1159">
          <cell r="E1159" t="str">
            <v>B26000367</v>
          </cell>
          <cell r="AP1159">
            <v>0</v>
          </cell>
          <cell r="AQ1159">
            <v>0</v>
          </cell>
          <cell r="AV1159">
            <v>0</v>
          </cell>
        </row>
        <row r="1160">
          <cell r="E1160" t="str">
            <v>B26000374</v>
          </cell>
          <cell r="AP1160">
            <v>0</v>
          </cell>
          <cell r="AQ1160">
            <v>0</v>
          </cell>
          <cell r="AV1160">
            <v>0</v>
          </cell>
        </row>
        <row r="1161">
          <cell r="E1161" t="str">
            <v>B26000403</v>
          </cell>
          <cell r="AP1161">
            <v>0</v>
          </cell>
          <cell r="AQ1161">
            <v>0</v>
          </cell>
          <cell r="AV1161">
            <v>0</v>
          </cell>
        </row>
        <row r="1162">
          <cell r="E1162" t="str">
            <v>B26000404</v>
          </cell>
          <cell r="AP1162">
            <v>0</v>
          </cell>
          <cell r="AQ1162">
            <v>0</v>
          </cell>
          <cell r="AV1162">
            <v>0</v>
          </cell>
        </row>
        <row r="1163">
          <cell r="E1163" t="str">
            <v>B26000411</v>
          </cell>
          <cell r="AP1163">
            <v>0</v>
          </cell>
          <cell r="AQ1163">
            <v>0</v>
          </cell>
          <cell r="AV1163">
            <v>0</v>
          </cell>
        </row>
        <row r="1164">
          <cell r="E1164" t="str">
            <v>B26000412</v>
          </cell>
          <cell r="AP1164">
            <v>0</v>
          </cell>
          <cell r="AQ1164">
            <v>0</v>
          </cell>
          <cell r="AV1164">
            <v>0</v>
          </cell>
        </row>
        <row r="1165">
          <cell r="E1165" t="str">
            <v>B26000490</v>
          </cell>
          <cell r="AP1165">
            <v>0</v>
          </cell>
          <cell r="AQ1165">
            <v>0</v>
          </cell>
          <cell r="AV1165">
            <v>0</v>
          </cell>
        </row>
        <row r="1166">
          <cell r="E1166" t="str">
            <v>B26000588</v>
          </cell>
          <cell r="AP1166">
            <v>0</v>
          </cell>
          <cell r="AQ1166">
            <v>0</v>
          </cell>
          <cell r="AV1166">
            <v>0</v>
          </cell>
        </row>
        <row r="1167">
          <cell r="E1167" t="str">
            <v>D26000673</v>
          </cell>
          <cell r="AP1167">
            <v>0</v>
          </cell>
          <cell r="AQ1167">
            <v>0</v>
          </cell>
          <cell r="AV1167">
            <v>0</v>
          </cell>
        </row>
        <row r="1168">
          <cell r="E1168" t="str">
            <v>B26000683</v>
          </cell>
          <cell r="AP1168">
            <v>0</v>
          </cell>
          <cell r="AQ1168">
            <v>0</v>
          </cell>
          <cell r="AV1168">
            <v>0</v>
          </cell>
        </row>
        <row r="1169">
          <cell r="E1169" t="str">
            <v>B26000863</v>
          </cell>
          <cell r="AP1169">
            <v>0</v>
          </cell>
          <cell r="AQ1169">
            <v>0</v>
          </cell>
          <cell r="AV1169">
            <v>0</v>
          </cell>
        </row>
        <row r="1170">
          <cell r="E1170" t="str">
            <v>B26000864</v>
          </cell>
          <cell r="AP1170">
            <v>0</v>
          </cell>
          <cell r="AQ1170">
            <v>0</v>
          </cell>
          <cell r="AV1170">
            <v>0</v>
          </cell>
        </row>
        <row r="1171">
          <cell r="E1171" t="str">
            <v>D26001128</v>
          </cell>
          <cell r="AP1171">
            <v>0</v>
          </cell>
          <cell r="AQ1171">
            <v>0</v>
          </cell>
          <cell r="AV1171">
            <v>0</v>
          </cell>
        </row>
        <row r="1172">
          <cell r="E1172" t="str">
            <v>D26001139</v>
          </cell>
          <cell r="AP1172">
            <v>0</v>
          </cell>
          <cell r="AQ1172">
            <v>0</v>
          </cell>
          <cell r="AV1172">
            <v>0</v>
          </cell>
        </row>
        <row r="1173">
          <cell r="E1173" t="str">
            <v>B26001217</v>
          </cell>
          <cell r="AP1173">
            <v>0</v>
          </cell>
          <cell r="AQ1173">
            <v>0</v>
          </cell>
          <cell r="AV1173">
            <v>0</v>
          </cell>
        </row>
        <row r="1174">
          <cell r="E1174" t="str">
            <v>B26001290</v>
          </cell>
          <cell r="AP1174">
            <v>0</v>
          </cell>
          <cell r="AQ1174">
            <v>0</v>
          </cell>
          <cell r="AV1174">
            <v>0</v>
          </cell>
        </row>
        <row r="1175">
          <cell r="E1175" t="str">
            <v>B26001399</v>
          </cell>
          <cell r="AP1175">
            <v>0</v>
          </cell>
          <cell r="AQ1175">
            <v>0</v>
          </cell>
          <cell r="AV1175">
            <v>0</v>
          </cell>
        </row>
        <row r="1176">
          <cell r="E1176" t="str">
            <v>D26001433</v>
          </cell>
          <cell r="AP1176">
            <v>0</v>
          </cell>
          <cell r="AQ1176">
            <v>0</v>
          </cell>
          <cell r="AV1176">
            <v>0</v>
          </cell>
        </row>
        <row r="1177">
          <cell r="E1177" t="str">
            <v>D26001490</v>
          </cell>
          <cell r="AP1177">
            <v>0</v>
          </cell>
          <cell r="AQ1177">
            <v>0</v>
          </cell>
          <cell r="AV1177">
            <v>0</v>
          </cell>
        </row>
        <row r="1178">
          <cell r="E1178" t="str">
            <v>B26001553</v>
          </cell>
          <cell r="AP1178">
            <v>0</v>
          </cell>
          <cell r="AQ1178">
            <v>0</v>
          </cell>
          <cell r="AV1178">
            <v>0</v>
          </cell>
        </row>
        <row r="1179">
          <cell r="E1179" t="str">
            <v>B26001554</v>
          </cell>
          <cell r="AP1179">
            <v>0</v>
          </cell>
          <cell r="AQ1179">
            <v>0</v>
          </cell>
          <cell r="AV1179">
            <v>0</v>
          </cell>
        </row>
        <row r="1180">
          <cell r="E1180" t="str">
            <v>D26001765</v>
          </cell>
          <cell r="AP1180">
            <v>0</v>
          </cell>
          <cell r="AQ1180">
            <v>0</v>
          </cell>
          <cell r="AV1180">
            <v>0</v>
          </cell>
        </row>
        <row r="1181">
          <cell r="E1181" t="str">
            <v>B26001798</v>
          </cell>
          <cell r="AP1181">
            <v>0</v>
          </cell>
          <cell r="AQ1181">
            <v>0</v>
          </cell>
          <cell r="AV1181">
            <v>0</v>
          </cell>
        </row>
        <row r="1182">
          <cell r="E1182" t="str">
            <v>B26001803</v>
          </cell>
          <cell r="AP1182">
            <v>0</v>
          </cell>
          <cell r="AQ1182">
            <v>0</v>
          </cell>
          <cell r="AV1182">
            <v>0</v>
          </cell>
        </row>
        <row r="1183">
          <cell r="E1183" t="str">
            <v>B26001909</v>
          </cell>
          <cell r="AP1183">
            <v>0</v>
          </cell>
          <cell r="AQ1183">
            <v>0</v>
          </cell>
          <cell r="AV1183">
            <v>0</v>
          </cell>
        </row>
        <row r="1184">
          <cell r="E1184" t="str">
            <v>B26001929</v>
          </cell>
          <cell r="AP1184">
            <v>0</v>
          </cell>
          <cell r="AQ1184">
            <v>0</v>
          </cell>
          <cell r="AV1184">
            <v>0</v>
          </cell>
        </row>
        <row r="1185">
          <cell r="E1185" t="str">
            <v>B26001930</v>
          </cell>
          <cell r="AP1185">
            <v>0</v>
          </cell>
          <cell r="AQ1185">
            <v>0</v>
          </cell>
          <cell r="AV1185">
            <v>0</v>
          </cell>
        </row>
        <row r="1186">
          <cell r="E1186" t="str">
            <v>B26002090</v>
          </cell>
          <cell r="AP1186">
            <v>0</v>
          </cell>
          <cell r="AQ1186">
            <v>0</v>
          </cell>
          <cell r="AV1186">
            <v>0</v>
          </cell>
        </row>
        <row r="1187">
          <cell r="E1187" t="str">
            <v>D26002158</v>
          </cell>
          <cell r="AP1187">
            <v>0</v>
          </cell>
          <cell r="AQ1187">
            <v>0</v>
          </cell>
          <cell r="AV1187">
            <v>0</v>
          </cell>
        </row>
        <row r="1188">
          <cell r="E1188" t="str">
            <v>Z26000404</v>
          </cell>
          <cell r="AP1188">
            <v>0</v>
          </cell>
          <cell r="AQ1188">
            <v>0</v>
          </cell>
          <cell r="AV1188">
            <v>0</v>
          </cell>
        </row>
        <row r="1189">
          <cell r="E1189" t="str">
            <v>Z26000411</v>
          </cell>
          <cell r="AP1189">
            <v>0</v>
          </cell>
          <cell r="AQ1189">
            <v>0</v>
          </cell>
          <cell r="AV1189">
            <v>0</v>
          </cell>
        </row>
        <row r="1190">
          <cell r="E1190" t="str">
            <v>Z26000412</v>
          </cell>
          <cell r="AP1190">
            <v>0</v>
          </cell>
          <cell r="AQ1190">
            <v>0</v>
          </cell>
          <cell r="AV1190">
            <v>0</v>
          </cell>
        </row>
        <row r="1191">
          <cell r="E1191" t="str">
            <v>Z26000413</v>
          </cell>
          <cell r="AP1191">
            <v>0</v>
          </cell>
          <cell r="AQ1191">
            <v>0</v>
          </cell>
          <cell r="AV1191">
            <v>0</v>
          </cell>
        </row>
        <row r="1192">
          <cell r="E1192" t="str">
            <v>Z26000414</v>
          </cell>
          <cell r="AP1192">
            <v>0</v>
          </cell>
          <cell r="AQ1192">
            <v>0</v>
          </cell>
          <cell r="AV1192">
            <v>0</v>
          </cell>
        </row>
        <row r="1193">
          <cell r="E1193" t="str">
            <v>Z26000415</v>
          </cell>
          <cell r="AP1193">
            <v>0</v>
          </cell>
          <cell r="AQ1193">
            <v>0</v>
          </cell>
          <cell r="AV1193">
            <v>0</v>
          </cell>
        </row>
        <row r="1194">
          <cell r="E1194" t="str">
            <v>Z26000418</v>
          </cell>
          <cell r="AP1194">
            <v>0</v>
          </cell>
          <cell r="AQ1194">
            <v>0</v>
          </cell>
          <cell r="AV1194">
            <v>0</v>
          </cell>
        </row>
        <row r="1195">
          <cell r="E1195" t="str">
            <v>Z26000478</v>
          </cell>
          <cell r="AP1195">
            <v>0</v>
          </cell>
          <cell r="AQ1195">
            <v>0</v>
          </cell>
          <cell r="AV1195">
            <v>0</v>
          </cell>
        </row>
        <row r="1196">
          <cell r="E1196" t="str">
            <v>Z26000484</v>
          </cell>
          <cell r="AP1196">
            <v>0</v>
          </cell>
          <cell r="AQ1196">
            <v>0</v>
          </cell>
          <cell r="AV1196">
            <v>0</v>
          </cell>
        </row>
        <row r="1197">
          <cell r="E1197" t="str">
            <v>Z26000492</v>
          </cell>
          <cell r="AP1197">
            <v>0</v>
          </cell>
          <cell r="AQ1197">
            <v>0</v>
          </cell>
          <cell r="AV1197">
            <v>0</v>
          </cell>
        </row>
        <row r="1198">
          <cell r="E1198" t="str">
            <v>Z26000531</v>
          </cell>
          <cell r="AP1198">
            <v>0</v>
          </cell>
          <cell r="AQ1198">
            <v>0</v>
          </cell>
          <cell r="AV1198">
            <v>0</v>
          </cell>
        </row>
        <row r="1199">
          <cell r="E1199" t="str">
            <v>D26001682</v>
          </cell>
          <cell r="AP1199">
            <v>0</v>
          </cell>
          <cell r="AQ1199">
            <v>0</v>
          </cell>
          <cell r="AV1199">
            <v>0</v>
          </cell>
        </row>
        <row r="1200">
          <cell r="E1200" t="str">
            <v>D26003068</v>
          </cell>
          <cell r="AP1200">
            <v>0</v>
          </cell>
          <cell r="AQ1200">
            <v>0</v>
          </cell>
          <cell r="AV1200">
            <v>0</v>
          </cell>
        </row>
        <row r="1201">
          <cell r="E1201" t="str">
            <v>T26000220</v>
          </cell>
          <cell r="AP1201">
            <v>0</v>
          </cell>
          <cell r="AQ1201">
            <v>0</v>
          </cell>
          <cell r="AV1201">
            <v>0</v>
          </cell>
        </row>
        <row r="1202">
          <cell r="E1202" t="str">
            <v>D25019225</v>
          </cell>
          <cell r="AP1202">
            <v>0</v>
          </cell>
          <cell r="AQ1202">
            <v>0</v>
          </cell>
          <cell r="AV1202">
            <v>0</v>
          </cell>
        </row>
        <row r="1203">
          <cell r="E1203" t="str">
            <v>B26000054</v>
          </cell>
          <cell r="AP1203">
            <v>0</v>
          </cell>
          <cell r="AQ1203">
            <v>0</v>
          </cell>
          <cell r="AV1203">
            <v>0</v>
          </cell>
        </row>
        <row r="1204">
          <cell r="E1204" t="str">
            <v>B25014223</v>
          </cell>
          <cell r="AP1204">
            <v>0</v>
          </cell>
          <cell r="AQ1204">
            <v>0</v>
          </cell>
          <cell r="AV1204">
            <v>0</v>
          </cell>
        </row>
        <row r="1205">
          <cell r="E1205" t="str">
            <v>D25017624</v>
          </cell>
          <cell r="AP1205">
            <v>0</v>
          </cell>
          <cell r="AQ1205">
            <v>0</v>
          </cell>
          <cell r="AV1205">
            <v>0</v>
          </cell>
        </row>
        <row r="1206">
          <cell r="E1206" t="str">
            <v>B25015823</v>
          </cell>
          <cell r="AP1206">
            <v>0</v>
          </cell>
          <cell r="AQ1206">
            <v>0</v>
          </cell>
          <cell r="AV1206">
            <v>0</v>
          </cell>
        </row>
        <row r="1207">
          <cell r="E1207" t="str">
            <v>D25018213</v>
          </cell>
          <cell r="AP1207">
            <v>0</v>
          </cell>
          <cell r="AQ1207">
            <v>0</v>
          </cell>
          <cell r="AV1207">
            <v>0</v>
          </cell>
        </row>
        <row r="1208">
          <cell r="E1208" t="str">
            <v>Z25003166</v>
          </cell>
          <cell r="AP1208">
            <v>0</v>
          </cell>
          <cell r="AQ1208">
            <v>0</v>
          </cell>
          <cell r="AV1208">
            <v>0</v>
          </cell>
        </row>
        <row r="1209">
          <cell r="E1209" t="str">
            <v>Z25003169</v>
          </cell>
          <cell r="AP1209">
            <v>0</v>
          </cell>
          <cell r="AQ1209">
            <v>0</v>
          </cell>
          <cell r="AV1209">
            <v>0</v>
          </cell>
        </row>
        <row r="1210">
          <cell r="E1210" t="str">
            <v>B25016175</v>
          </cell>
          <cell r="AP1210">
            <v>0</v>
          </cell>
          <cell r="AQ1210">
            <v>0</v>
          </cell>
          <cell r="AV1210">
            <v>0</v>
          </cell>
        </row>
        <row r="1211">
          <cell r="E1211" t="str">
            <v>B25016271</v>
          </cell>
          <cell r="AP1211">
            <v>0</v>
          </cell>
          <cell r="AQ1211">
            <v>0</v>
          </cell>
          <cell r="AV1211">
            <v>0</v>
          </cell>
        </row>
        <row r="1212">
          <cell r="E1212" t="str">
            <v>D25018881</v>
          </cell>
          <cell r="AP1212">
            <v>0</v>
          </cell>
          <cell r="AQ1212">
            <v>0</v>
          </cell>
          <cell r="AV1212">
            <v>0</v>
          </cell>
        </row>
        <row r="1213">
          <cell r="E1213" t="str">
            <v>D25018971</v>
          </cell>
          <cell r="AP1213">
            <v>0</v>
          </cell>
          <cell r="AQ1213">
            <v>0</v>
          </cell>
          <cell r="AV1213">
            <v>0</v>
          </cell>
        </row>
        <row r="1214">
          <cell r="E1214" t="str">
            <v>Z25003294</v>
          </cell>
          <cell r="AP1214">
            <v>0</v>
          </cell>
          <cell r="AQ1214">
            <v>0</v>
          </cell>
          <cell r="AV1214">
            <v>0</v>
          </cell>
        </row>
        <row r="1215">
          <cell r="E1215" t="str">
            <v>B25016697</v>
          </cell>
          <cell r="AP1215">
            <v>0</v>
          </cell>
          <cell r="AQ1215">
            <v>0</v>
          </cell>
          <cell r="AV1215">
            <v>0</v>
          </cell>
        </row>
        <row r="1216">
          <cell r="E1216" t="str">
            <v>Z25003321</v>
          </cell>
          <cell r="AP1216">
            <v>0</v>
          </cell>
          <cell r="AQ1216">
            <v>0</v>
          </cell>
          <cell r="AV1216">
            <v>0</v>
          </cell>
        </row>
        <row r="1217">
          <cell r="E1217" t="str">
            <v>D25019448</v>
          </cell>
          <cell r="AP1217">
            <v>0</v>
          </cell>
          <cell r="AQ1217">
            <v>0</v>
          </cell>
          <cell r="AV1217">
            <v>0</v>
          </cell>
        </row>
        <row r="1218">
          <cell r="E1218" t="str">
            <v>D25019496</v>
          </cell>
          <cell r="AP1218">
            <v>0</v>
          </cell>
          <cell r="AQ1218">
            <v>0</v>
          </cell>
          <cell r="AV1218">
            <v>0</v>
          </cell>
        </row>
        <row r="1219">
          <cell r="E1219" t="str">
            <v>D25019504</v>
          </cell>
          <cell r="AP1219">
            <v>0</v>
          </cell>
          <cell r="AQ1219">
            <v>0</v>
          </cell>
          <cell r="AV1219">
            <v>0</v>
          </cell>
        </row>
        <row r="1220">
          <cell r="E1220" t="str">
            <v>Z25003354</v>
          </cell>
          <cell r="AP1220">
            <v>0</v>
          </cell>
          <cell r="AQ1220">
            <v>0</v>
          </cell>
          <cell r="AV1220">
            <v>0</v>
          </cell>
        </row>
        <row r="1221">
          <cell r="E1221" t="str">
            <v>B25017019</v>
          </cell>
          <cell r="AP1221">
            <v>0</v>
          </cell>
          <cell r="AQ1221">
            <v>0</v>
          </cell>
          <cell r="AV1221">
            <v>0</v>
          </cell>
        </row>
        <row r="1222">
          <cell r="E1222" t="str">
            <v>B25017026</v>
          </cell>
          <cell r="AP1222">
            <v>0</v>
          </cell>
          <cell r="AQ1222">
            <v>0</v>
          </cell>
          <cell r="AV1222">
            <v>0</v>
          </cell>
        </row>
        <row r="1223">
          <cell r="E1223" t="str">
            <v>Z25003356</v>
          </cell>
          <cell r="AP1223">
            <v>0</v>
          </cell>
          <cell r="AQ1223">
            <v>0</v>
          </cell>
          <cell r="AV1223">
            <v>0</v>
          </cell>
        </row>
        <row r="1224">
          <cell r="E1224" t="str">
            <v>D25019620</v>
          </cell>
          <cell r="AP1224">
            <v>0</v>
          </cell>
          <cell r="AQ1224">
            <v>0</v>
          </cell>
          <cell r="AV1224">
            <v>0</v>
          </cell>
        </row>
        <row r="1225">
          <cell r="E1225" t="str">
            <v>Z25003374</v>
          </cell>
          <cell r="AP1225">
            <v>0</v>
          </cell>
          <cell r="AQ1225">
            <v>0</v>
          </cell>
          <cell r="AV1225">
            <v>0</v>
          </cell>
        </row>
        <row r="1226">
          <cell r="E1226" t="str">
            <v>Z25003397</v>
          </cell>
          <cell r="AP1226">
            <v>0</v>
          </cell>
          <cell r="AQ1226">
            <v>0</v>
          </cell>
          <cell r="AV1226">
            <v>0</v>
          </cell>
        </row>
        <row r="1227">
          <cell r="E1227" t="str">
            <v>B26000429</v>
          </cell>
          <cell r="AP1227">
            <v>0</v>
          </cell>
          <cell r="AQ1227">
            <v>0</v>
          </cell>
          <cell r="AV1227">
            <v>0</v>
          </cell>
        </row>
        <row r="1228">
          <cell r="E1228" t="str">
            <v>D26000565</v>
          </cell>
          <cell r="AP1228">
            <v>0</v>
          </cell>
          <cell r="AQ1228">
            <v>0</v>
          </cell>
          <cell r="AV1228">
            <v>0</v>
          </cell>
        </row>
        <row r="1229">
          <cell r="E1229" t="str">
            <v>Z26000091</v>
          </cell>
          <cell r="AP1229">
            <v>0</v>
          </cell>
          <cell r="AQ1229">
            <v>0</v>
          </cell>
          <cell r="AV1229">
            <v>0</v>
          </cell>
        </row>
        <row r="1230">
          <cell r="E1230" t="str">
            <v>D26000711</v>
          </cell>
          <cell r="AP1230">
            <v>0</v>
          </cell>
          <cell r="AQ1230">
            <v>0</v>
          </cell>
          <cell r="AV1230">
            <v>0</v>
          </cell>
        </row>
        <row r="1231">
          <cell r="E1231" t="str">
            <v>D26000775</v>
          </cell>
          <cell r="AP1231">
            <v>0</v>
          </cell>
          <cell r="AQ1231">
            <v>0</v>
          </cell>
          <cell r="AV1231">
            <v>0</v>
          </cell>
        </row>
        <row r="1232">
          <cell r="E1232" t="str">
            <v>D26000776</v>
          </cell>
          <cell r="AP1232">
            <v>0</v>
          </cell>
          <cell r="AQ1232">
            <v>0</v>
          </cell>
          <cell r="AV1232">
            <v>0</v>
          </cell>
        </row>
        <row r="1233">
          <cell r="E1233" t="str">
            <v>D26001205</v>
          </cell>
          <cell r="AP1233">
            <v>0</v>
          </cell>
          <cell r="AQ1233">
            <v>0</v>
          </cell>
          <cell r="AV1233">
            <v>0</v>
          </cell>
        </row>
        <row r="1234">
          <cell r="E1234" t="str">
            <v>Z26000194</v>
          </cell>
          <cell r="AP1234">
            <v>0</v>
          </cell>
          <cell r="AQ1234">
            <v>0</v>
          </cell>
          <cell r="AV1234">
            <v>0</v>
          </cell>
        </row>
        <row r="1235">
          <cell r="E1235" t="str">
            <v>B26001638</v>
          </cell>
          <cell r="AP1235">
            <v>0</v>
          </cell>
          <cell r="AQ1235">
            <v>0</v>
          </cell>
          <cell r="AV1235">
            <v>0</v>
          </cell>
        </row>
        <row r="1236">
          <cell r="E1236" t="str">
            <v>D26001751</v>
          </cell>
          <cell r="AP1236">
            <v>0</v>
          </cell>
          <cell r="AQ1236">
            <v>0</v>
          </cell>
          <cell r="AV1236">
            <v>0</v>
          </cell>
        </row>
        <row r="1237">
          <cell r="E1237" t="str">
            <v>D26001824</v>
          </cell>
          <cell r="AP1237">
            <v>0</v>
          </cell>
          <cell r="AQ1237">
            <v>0</v>
          </cell>
          <cell r="AV1237">
            <v>0</v>
          </cell>
        </row>
        <row r="1238">
          <cell r="E1238" t="str">
            <v>D26001832</v>
          </cell>
          <cell r="AP1238">
            <v>0</v>
          </cell>
          <cell r="AQ1238">
            <v>0</v>
          </cell>
          <cell r="AV1238">
            <v>0</v>
          </cell>
        </row>
        <row r="1239">
          <cell r="E1239" t="str">
            <v>B26001738</v>
          </cell>
          <cell r="AP1239">
            <v>0</v>
          </cell>
          <cell r="AQ1239">
            <v>0</v>
          </cell>
          <cell r="AV1239">
            <v>0</v>
          </cell>
        </row>
        <row r="1240">
          <cell r="E1240" t="str">
            <v>D26001880</v>
          </cell>
          <cell r="AP1240">
            <v>0</v>
          </cell>
          <cell r="AQ1240">
            <v>0</v>
          </cell>
          <cell r="AV1240">
            <v>0</v>
          </cell>
        </row>
        <row r="1241">
          <cell r="E1241" t="str">
            <v>D26001881</v>
          </cell>
          <cell r="AP1241">
            <v>0</v>
          </cell>
          <cell r="AQ1241">
            <v>0</v>
          </cell>
          <cell r="AV1241">
            <v>0</v>
          </cell>
        </row>
        <row r="1242">
          <cell r="E1242" t="str">
            <v>D26001882</v>
          </cell>
          <cell r="AP1242">
            <v>0</v>
          </cell>
          <cell r="AQ1242">
            <v>0</v>
          </cell>
          <cell r="AV1242">
            <v>0</v>
          </cell>
        </row>
        <row r="1243">
          <cell r="E1243" t="str">
            <v>D26001883</v>
          </cell>
          <cell r="AP1243">
            <v>0</v>
          </cell>
          <cell r="AQ1243">
            <v>0</v>
          </cell>
          <cell r="AV1243">
            <v>0</v>
          </cell>
        </row>
        <row r="1244">
          <cell r="E1244" t="str">
            <v>Z26000329</v>
          </cell>
          <cell r="AP1244">
            <v>0</v>
          </cell>
          <cell r="AQ1244">
            <v>0</v>
          </cell>
          <cell r="AV1244">
            <v>0</v>
          </cell>
        </row>
        <row r="1245">
          <cell r="E1245" t="str">
            <v>Z26000349</v>
          </cell>
          <cell r="AP1245">
            <v>0</v>
          </cell>
          <cell r="AQ1245">
            <v>0</v>
          </cell>
          <cell r="AV1245">
            <v>0</v>
          </cell>
        </row>
        <row r="1246">
          <cell r="E1246" t="str">
            <v>D26002089</v>
          </cell>
          <cell r="AP1246">
            <v>0</v>
          </cell>
          <cell r="AQ1246">
            <v>0</v>
          </cell>
          <cell r="AV1246">
            <v>0</v>
          </cell>
        </row>
        <row r="1247">
          <cell r="E1247" t="str">
            <v>D26002192</v>
          </cell>
          <cell r="AP1247">
            <v>0</v>
          </cell>
          <cell r="AQ1247">
            <v>0</v>
          </cell>
          <cell r="AV1247">
            <v>0</v>
          </cell>
        </row>
        <row r="1248">
          <cell r="E1248" t="str">
            <v>D26002316</v>
          </cell>
          <cell r="AP1248">
            <v>0</v>
          </cell>
          <cell r="AQ1248">
            <v>0</v>
          </cell>
          <cell r="AV1248">
            <v>0</v>
          </cell>
        </row>
        <row r="1249">
          <cell r="E1249" t="str">
            <v>Z26000466</v>
          </cell>
          <cell r="AP1249">
            <v>0</v>
          </cell>
          <cell r="AQ1249">
            <v>0</v>
          </cell>
          <cell r="AV1249">
            <v>0</v>
          </cell>
        </row>
        <row r="1250">
          <cell r="E1250" t="str">
            <v>B26002534</v>
          </cell>
          <cell r="AP1250">
            <v>0</v>
          </cell>
          <cell r="AQ1250">
            <v>0</v>
          </cell>
          <cell r="AV1250">
            <v>0</v>
          </cell>
        </row>
        <row r="1251">
          <cell r="E1251" t="str">
            <v>B26002605</v>
          </cell>
          <cell r="AP1251">
            <v>0</v>
          </cell>
          <cell r="AQ1251">
            <v>0</v>
          </cell>
          <cell r="AV1251">
            <v>0</v>
          </cell>
        </row>
        <row r="1252">
          <cell r="E1252" t="str">
            <v>D26003226</v>
          </cell>
          <cell r="AP1252">
            <v>0</v>
          </cell>
          <cell r="AQ1252">
            <v>0</v>
          </cell>
          <cell r="AV1252">
            <v>0</v>
          </cell>
        </row>
        <row r="1253">
          <cell r="E1253" t="str">
            <v>B26001989</v>
          </cell>
          <cell r="AP1253">
            <v>0</v>
          </cell>
          <cell r="AQ1253">
            <v>0</v>
          </cell>
          <cell r="AV1253">
            <v>0</v>
          </cell>
        </row>
        <row r="1254">
          <cell r="E1254" t="str">
            <v>B26002505</v>
          </cell>
          <cell r="AP1254">
            <v>0</v>
          </cell>
          <cell r="AQ1254">
            <v>0</v>
          </cell>
          <cell r="AV1254">
            <v>0</v>
          </cell>
        </row>
        <row r="1255">
          <cell r="E1255" t="str">
            <v>D26003190</v>
          </cell>
          <cell r="AP1255">
            <v>0</v>
          </cell>
          <cell r="AQ1255">
            <v>0</v>
          </cell>
          <cell r="AV1255">
            <v>0</v>
          </cell>
        </row>
        <row r="1256">
          <cell r="E1256" t="str">
            <v>D26000790</v>
          </cell>
          <cell r="AP1256">
            <v>0</v>
          </cell>
          <cell r="AQ1256">
            <v>0</v>
          </cell>
          <cell r="AV1256">
            <v>0</v>
          </cell>
        </row>
        <row r="1257">
          <cell r="E1257" t="str">
            <v>B26000754</v>
          </cell>
          <cell r="AP1257">
            <v>0</v>
          </cell>
          <cell r="AQ1257">
            <v>0</v>
          </cell>
          <cell r="AV1257">
            <v>0</v>
          </cell>
        </row>
        <row r="1258">
          <cell r="E1258" t="str">
            <v>D26000874</v>
          </cell>
          <cell r="AP1258">
            <v>0</v>
          </cell>
          <cell r="AQ1258">
            <v>0</v>
          </cell>
          <cell r="AV1258">
            <v>0</v>
          </cell>
        </row>
        <row r="1259">
          <cell r="E1259" t="str">
            <v>D26000875</v>
          </cell>
          <cell r="AP1259">
            <v>0</v>
          </cell>
          <cell r="AQ1259">
            <v>0</v>
          </cell>
          <cell r="AV1259">
            <v>0</v>
          </cell>
        </row>
        <row r="1260">
          <cell r="E1260" t="str">
            <v>D26003200</v>
          </cell>
          <cell r="AP1260">
            <v>0</v>
          </cell>
          <cell r="AQ1260">
            <v>0</v>
          </cell>
          <cell r="AV1260">
            <v>0</v>
          </cell>
        </row>
        <row r="1261">
          <cell r="E1261" t="str">
            <v>D26003218</v>
          </cell>
          <cell r="AP1261">
            <v>0</v>
          </cell>
          <cell r="AQ1261">
            <v>0</v>
          </cell>
          <cell r="AV1261">
            <v>0</v>
          </cell>
        </row>
        <row r="1262">
          <cell r="E1262" t="str">
            <v>B26000239</v>
          </cell>
          <cell r="AP1262">
            <v>0</v>
          </cell>
          <cell r="AQ1262">
            <v>0</v>
          </cell>
          <cell r="AV1262">
            <v>0</v>
          </cell>
        </row>
        <row r="1263">
          <cell r="E1263" t="str">
            <v>B26000240</v>
          </cell>
          <cell r="AP1263">
            <v>0</v>
          </cell>
          <cell r="AQ1263">
            <v>0</v>
          </cell>
          <cell r="AV1263">
            <v>0</v>
          </cell>
        </row>
        <row r="1264">
          <cell r="E1264" t="str">
            <v>B26000745</v>
          </cell>
          <cell r="AP1264">
            <v>0</v>
          </cell>
          <cell r="AQ1264">
            <v>0</v>
          </cell>
          <cell r="AV1264">
            <v>0</v>
          </cell>
        </row>
        <row r="1265">
          <cell r="E1265" t="str">
            <v>B26000746</v>
          </cell>
          <cell r="AP1265">
            <v>0</v>
          </cell>
          <cell r="AQ1265">
            <v>0</v>
          </cell>
          <cell r="AV1265">
            <v>0</v>
          </cell>
        </row>
        <row r="1266">
          <cell r="E1266" t="str">
            <v>D26001239</v>
          </cell>
          <cell r="AP1266">
            <v>0</v>
          </cell>
          <cell r="AQ1266">
            <v>0</v>
          </cell>
          <cell r="AV1266">
            <v>0</v>
          </cell>
        </row>
        <row r="1267">
          <cell r="E1267" t="str">
            <v>T26000083</v>
          </cell>
          <cell r="AP1267">
            <v>0</v>
          </cell>
          <cell r="AQ1267">
            <v>0</v>
          </cell>
          <cell r="AV1267">
            <v>0</v>
          </cell>
        </row>
        <row r="1268">
          <cell r="E1268" t="str">
            <v>D26001277</v>
          </cell>
          <cell r="AP1268">
            <v>0</v>
          </cell>
          <cell r="AQ1268">
            <v>0</v>
          </cell>
          <cell r="AV1268">
            <v>0</v>
          </cell>
        </row>
        <row r="1269">
          <cell r="E1269" t="str">
            <v>D26001287</v>
          </cell>
          <cell r="AP1269">
            <v>0</v>
          </cell>
          <cell r="AQ1269">
            <v>0</v>
          </cell>
          <cell r="AV1269">
            <v>0</v>
          </cell>
        </row>
        <row r="1270">
          <cell r="E1270" t="str">
            <v>B26001228</v>
          </cell>
          <cell r="AP1270">
            <v>0</v>
          </cell>
          <cell r="AQ1270">
            <v>0</v>
          </cell>
          <cell r="AV1270">
            <v>0</v>
          </cell>
        </row>
        <row r="1271">
          <cell r="E1271" t="str">
            <v>B26001248</v>
          </cell>
          <cell r="AP1271">
            <v>0</v>
          </cell>
          <cell r="AQ1271">
            <v>0</v>
          </cell>
          <cell r="AV1271">
            <v>0</v>
          </cell>
        </row>
        <row r="1272">
          <cell r="E1272" t="str">
            <v>B26001264</v>
          </cell>
          <cell r="AP1272">
            <v>0</v>
          </cell>
          <cell r="AQ1272">
            <v>0</v>
          </cell>
          <cell r="AV1272">
            <v>0</v>
          </cell>
        </row>
        <row r="1273">
          <cell r="E1273" t="str">
            <v>B26001275</v>
          </cell>
          <cell r="AP1273">
            <v>0</v>
          </cell>
          <cell r="AQ1273">
            <v>0</v>
          </cell>
          <cell r="AV1273">
            <v>0</v>
          </cell>
        </row>
        <row r="1274">
          <cell r="E1274" t="str">
            <v>B26001390</v>
          </cell>
          <cell r="AP1274">
            <v>0</v>
          </cell>
          <cell r="AQ1274">
            <v>0</v>
          </cell>
          <cell r="AV1274">
            <v>0</v>
          </cell>
        </row>
        <row r="1275">
          <cell r="E1275" t="str">
            <v>B26002071</v>
          </cell>
          <cell r="AP1275">
            <v>0</v>
          </cell>
          <cell r="AQ1275">
            <v>0</v>
          </cell>
          <cell r="AV1275">
            <v>0</v>
          </cell>
        </row>
        <row r="1276">
          <cell r="E1276" t="str">
            <v>B26002072</v>
          </cell>
          <cell r="AP1276">
            <v>0</v>
          </cell>
          <cell r="AQ1276">
            <v>0</v>
          </cell>
          <cell r="AV1276">
            <v>0</v>
          </cell>
        </row>
        <row r="1277">
          <cell r="E1277" t="str">
            <v>D26002365</v>
          </cell>
          <cell r="AP1277">
            <v>0</v>
          </cell>
          <cell r="AQ1277">
            <v>0</v>
          </cell>
          <cell r="AV1277">
            <v>0</v>
          </cell>
        </row>
        <row r="1278">
          <cell r="E1278" t="str">
            <v>D26002887</v>
          </cell>
          <cell r="AP1278">
            <v>0</v>
          </cell>
          <cell r="AQ1278">
            <v>0</v>
          </cell>
          <cell r="AV1278">
            <v>0</v>
          </cell>
        </row>
        <row r="1279">
          <cell r="E1279" t="str">
            <v>D26002888</v>
          </cell>
          <cell r="AP1279">
            <v>0</v>
          </cell>
          <cell r="AQ1279">
            <v>0</v>
          </cell>
          <cell r="AV1279">
            <v>0</v>
          </cell>
        </row>
        <row r="1280">
          <cell r="E1280" t="str">
            <v>B26002884</v>
          </cell>
          <cell r="AP1280">
            <v>0</v>
          </cell>
          <cell r="AQ1280">
            <v>0</v>
          </cell>
          <cell r="AV1280">
            <v>0</v>
          </cell>
        </row>
        <row r="1281">
          <cell r="E1281" t="str">
            <v>B26002953</v>
          </cell>
          <cell r="AP1281">
            <v>0</v>
          </cell>
          <cell r="AQ1281">
            <v>0</v>
          </cell>
          <cell r="AV1281">
            <v>0</v>
          </cell>
        </row>
        <row r="1282">
          <cell r="E1282" t="str">
            <v>B26003060</v>
          </cell>
          <cell r="AP1282">
            <v>0</v>
          </cell>
          <cell r="AQ1282">
            <v>0</v>
          </cell>
          <cell r="AV1282">
            <v>0</v>
          </cell>
        </row>
        <row r="1283">
          <cell r="E1283" t="str">
            <v>D26003323</v>
          </cell>
          <cell r="AP1283">
            <v>0</v>
          </cell>
          <cell r="AQ1283">
            <v>0</v>
          </cell>
          <cell r="AV1283">
            <v>0</v>
          </cell>
        </row>
        <row r="1284">
          <cell r="E1284" t="str">
            <v>T26000257</v>
          </cell>
          <cell r="AP1284">
            <v>0</v>
          </cell>
          <cell r="AQ1284">
            <v>0</v>
          </cell>
          <cell r="AV1284">
            <v>0</v>
          </cell>
        </row>
        <row r="1285">
          <cell r="E1285" t="str">
            <v>T26000025</v>
          </cell>
          <cell r="AP1285">
            <v>0</v>
          </cell>
          <cell r="AQ1285">
            <v>0</v>
          </cell>
          <cell r="AV1285">
            <v>0</v>
          </cell>
        </row>
        <row r="1286">
          <cell r="E1286" t="str">
            <v>B26001440</v>
          </cell>
          <cell r="AP1286">
            <v>0</v>
          </cell>
          <cell r="AQ1286">
            <v>0</v>
          </cell>
          <cell r="AV1286">
            <v>470000</v>
          </cell>
        </row>
        <row r="1287">
          <cell r="E1287" t="str">
            <v>B26001923</v>
          </cell>
          <cell r="AP1287">
            <v>0</v>
          </cell>
          <cell r="AQ1287">
            <v>0</v>
          </cell>
          <cell r="AV1287">
            <v>0</v>
          </cell>
        </row>
        <row r="1288">
          <cell r="E1288" t="str">
            <v>D26002385</v>
          </cell>
          <cell r="AP1288">
            <v>0</v>
          </cell>
          <cell r="AQ1288">
            <v>0</v>
          </cell>
          <cell r="AV1288">
            <v>0</v>
          </cell>
        </row>
        <row r="1289">
          <cell r="E1289" t="str">
            <v>B26002589</v>
          </cell>
          <cell r="AP1289">
            <v>0</v>
          </cell>
          <cell r="AQ1289">
            <v>0</v>
          </cell>
          <cell r="AV1289">
            <v>0</v>
          </cell>
        </row>
        <row r="1290">
          <cell r="E1290" t="str">
            <v>B26003056</v>
          </cell>
          <cell r="AP1290">
            <v>0</v>
          </cell>
          <cell r="AQ1290">
            <v>0</v>
          </cell>
          <cell r="AV1290">
            <v>0</v>
          </cell>
        </row>
        <row r="1291">
          <cell r="E1291" t="str">
            <v>D26000757</v>
          </cell>
          <cell r="AP1291">
            <v>0</v>
          </cell>
          <cell r="AQ1291">
            <v>0</v>
          </cell>
          <cell r="AV1291">
            <v>0</v>
          </cell>
        </row>
        <row r="1292">
          <cell r="E1292" t="str">
            <v>B26002262</v>
          </cell>
          <cell r="AP1292">
            <v>0</v>
          </cell>
          <cell r="AQ1292">
            <v>0</v>
          </cell>
          <cell r="AV1292">
            <v>0</v>
          </cell>
        </row>
        <row r="1293">
          <cell r="E1293" t="str">
            <v>D26001933</v>
          </cell>
          <cell r="AP1293">
            <v>0</v>
          </cell>
          <cell r="AQ1293">
            <v>0</v>
          </cell>
          <cell r="AV1293">
            <v>0</v>
          </cell>
        </row>
        <row r="1294">
          <cell r="E1294" t="str">
            <v>D26001934</v>
          </cell>
          <cell r="AP1294">
            <v>0</v>
          </cell>
          <cell r="AQ1294">
            <v>0</v>
          </cell>
          <cell r="AV1294">
            <v>0</v>
          </cell>
        </row>
        <row r="1295">
          <cell r="E1295" t="str">
            <v>D26001935</v>
          </cell>
          <cell r="AP1295">
            <v>0</v>
          </cell>
          <cell r="AQ1295">
            <v>0</v>
          </cell>
          <cell r="AV1295">
            <v>0</v>
          </cell>
        </row>
        <row r="1296">
          <cell r="E1296" t="str">
            <v>B26002455</v>
          </cell>
          <cell r="AP1296">
            <v>0</v>
          </cell>
          <cell r="AQ1296">
            <v>0</v>
          </cell>
          <cell r="AV1296">
            <v>0</v>
          </cell>
        </row>
        <row r="1297">
          <cell r="E1297" t="str">
            <v>B26002456</v>
          </cell>
          <cell r="AP1297">
            <v>0</v>
          </cell>
          <cell r="AQ1297">
            <v>0</v>
          </cell>
          <cell r="AV1297">
            <v>0</v>
          </cell>
        </row>
        <row r="1298">
          <cell r="E1298" t="str">
            <v>B26002457</v>
          </cell>
          <cell r="AP1298">
            <v>0</v>
          </cell>
          <cell r="AQ1298">
            <v>0</v>
          </cell>
          <cell r="AV1298">
            <v>0</v>
          </cell>
        </row>
        <row r="1299">
          <cell r="E1299" t="str">
            <v>B26002458</v>
          </cell>
          <cell r="AP1299">
            <v>0</v>
          </cell>
          <cell r="AQ1299">
            <v>0</v>
          </cell>
          <cell r="AV1299">
            <v>0</v>
          </cell>
        </row>
        <row r="1300">
          <cell r="E1300" t="str">
            <v>D26000765</v>
          </cell>
          <cell r="AP1300">
            <v>0</v>
          </cell>
          <cell r="AQ1300">
            <v>0</v>
          </cell>
          <cell r="AV1300">
            <v>0</v>
          </cell>
        </row>
        <row r="1301">
          <cell r="E1301" t="str">
            <v>D26000806</v>
          </cell>
          <cell r="AP1301">
            <v>0</v>
          </cell>
          <cell r="AQ1301">
            <v>0</v>
          </cell>
          <cell r="AV1301">
            <v>0</v>
          </cell>
        </row>
        <row r="1302">
          <cell r="E1302" t="str">
            <v>D26001212</v>
          </cell>
          <cell r="AP1302">
            <v>0</v>
          </cell>
          <cell r="AQ1302">
            <v>0</v>
          </cell>
          <cell r="AV1302">
            <v>0</v>
          </cell>
        </row>
        <row r="1303">
          <cell r="E1303" t="str">
            <v>D26001281</v>
          </cell>
          <cell r="AP1303">
            <v>0</v>
          </cell>
          <cell r="AQ1303">
            <v>0</v>
          </cell>
          <cell r="AV1303">
            <v>4300000</v>
          </cell>
        </row>
        <row r="1304">
          <cell r="E1304" t="str">
            <v>T26000218</v>
          </cell>
          <cell r="AP1304">
            <v>0</v>
          </cell>
          <cell r="AQ1304">
            <v>0</v>
          </cell>
          <cell r="AV1304">
            <v>0</v>
          </cell>
        </row>
        <row r="1305">
          <cell r="E1305" t="str">
            <v>B26002907</v>
          </cell>
          <cell r="AP1305">
            <v>0</v>
          </cell>
          <cell r="AQ1305">
            <v>0</v>
          </cell>
          <cell r="AV1305">
            <v>0</v>
          </cell>
        </row>
        <row r="1306">
          <cell r="E1306" t="str">
            <v>D25019385</v>
          </cell>
          <cell r="AP1306">
            <v>0</v>
          </cell>
          <cell r="AQ1306">
            <v>0</v>
          </cell>
          <cell r="AV1306">
            <v>0</v>
          </cell>
        </row>
        <row r="1307">
          <cell r="E1307" t="str">
            <v>B26002918</v>
          </cell>
          <cell r="AP1307">
            <v>0</v>
          </cell>
          <cell r="AQ1307">
            <v>0</v>
          </cell>
          <cell r="AV1307">
            <v>0</v>
          </cell>
        </row>
        <row r="1308">
          <cell r="E1308" t="str">
            <v>T26000235k</v>
          </cell>
          <cell r="AP1308">
            <v>0</v>
          </cell>
          <cell r="AQ1308">
            <v>0</v>
          </cell>
          <cell r="AV1308">
            <v>0</v>
          </cell>
        </row>
        <row r="1309">
          <cell r="E1309" t="str">
            <v>T26000237</v>
          </cell>
          <cell r="AP1309">
            <v>0</v>
          </cell>
          <cell r="AQ1309">
            <v>0</v>
          </cell>
          <cell r="AV1309">
            <v>0</v>
          </cell>
        </row>
        <row r="1310">
          <cell r="E1310" t="str">
            <v>D26000223</v>
          </cell>
          <cell r="AP1310">
            <v>0</v>
          </cell>
          <cell r="AQ1310">
            <v>0</v>
          </cell>
          <cell r="AV1310">
            <v>0</v>
          </cell>
        </row>
        <row r="1311">
          <cell r="E1311" t="str">
            <v>B26001389</v>
          </cell>
          <cell r="AP1311">
            <v>0</v>
          </cell>
          <cell r="AQ1311">
            <v>0</v>
          </cell>
          <cell r="AV1311">
            <v>4075000</v>
          </cell>
        </row>
        <row r="1312">
          <cell r="E1312" t="str">
            <v>B26001896</v>
          </cell>
          <cell r="AP1312">
            <v>0</v>
          </cell>
          <cell r="AQ1312">
            <v>0</v>
          </cell>
          <cell r="AV1312">
            <v>0</v>
          </cell>
        </row>
        <row r="1313">
          <cell r="E1313" t="str">
            <v>B26001897</v>
          </cell>
          <cell r="AP1313">
            <v>0</v>
          </cell>
          <cell r="AQ1313">
            <v>0</v>
          </cell>
          <cell r="AV1313">
            <v>0</v>
          </cell>
        </row>
        <row r="1314">
          <cell r="E1314" t="str">
            <v>B26002357</v>
          </cell>
          <cell r="AP1314">
            <v>0</v>
          </cell>
          <cell r="AQ1314">
            <v>0</v>
          </cell>
          <cell r="AV1314">
            <v>0</v>
          </cell>
        </row>
        <row r="1315">
          <cell r="E1315" t="str">
            <v>B26002358</v>
          </cell>
          <cell r="AP1315">
            <v>0</v>
          </cell>
          <cell r="AQ1315">
            <v>0</v>
          </cell>
          <cell r="AV1315">
            <v>0</v>
          </cell>
        </row>
        <row r="1316">
          <cell r="E1316" t="str">
            <v>B26002481</v>
          </cell>
          <cell r="AP1316">
            <v>0</v>
          </cell>
          <cell r="AQ1316">
            <v>0</v>
          </cell>
          <cell r="AV1316">
            <v>0</v>
          </cell>
        </row>
        <row r="1317">
          <cell r="E1317" t="str">
            <v>D26002685</v>
          </cell>
          <cell r="AP1317">
            <v>0</v>
          </cell>
          <cell r="AQ1317">
            <v>0</v>
          </cell>
          <cell r="AV1317">
            <v>0</v>
          </cell>
        </row>
        <row r="1318">
          <cell r="E1318" t="str">
            <v>T26000189</v>
          </cell>
          <cell r="AP1318">
            <v>0</v>
          </cell>
          <cell r="AQ1318">
            <v>0</v>
          </cell>
          <cell r="AV1318">
            <v>0</v>
          </cell>
        </row>
        <row r="1319">
          <cell r="E1319" t="str">
            <v>B26002921</v>
          </cell>
          <cell r="AP1319">
            <v>0</v>
          </cell>
          <cell r="AQ1319">
            <v>0</v>
          </cell>
          <cell r="AV1319">
            <v>0</v>
          </cell>
        </row>
        <row r="1320">
          <cell r="E1320" t="str">
            <v>B26003025</v>
          </cell>
          <cell r="AP1320">
            <v>0</v>
          </cell>
          <cell r="AQ1320">
            <v>0</v>
          </cell>
          <cell r="AV1320">
            <v>0</v>
          </cell>
        </row>
        <row r="1321">
          <cell r="E1321" t="str">
            <v>B25016550</v>
          </cell>
          <cell r="AP1321">
            <v>0</v>
          </cell>
          <cell r="AQ1321">
            <v>0</v>
          </cell>
          <cell r="AV1321">
            <v>15000000</v>
          </cell>
        </row>
        <row r="1322">
          <cell r="E1322" t="str">
            <v>D25019411</v>
          </cell>
          <cell r="AP1322">
            <v>0</v>
          </cell>
          <cell r="AQ1322">
            <v>0</v>
          </cell>
          <cell r="AV1322">
            <v>0</v>
          </cell>
        </row>
        <row r="1323">
          <cell r="E1323" t="str">
            <v>B25017052</v>
          </cell>
          <cell r="AP1323">
            <v>0</v>
          </cell>
          <cell r="AQ1323">
            <v>0</v>
          </cell>
          <cell r="AV1323">
            <v>0</v>
          </cell>
        </row>
        <row r="1324">
          <cell r="E1324" t="str">
            <v>B26000047</v>
          </cell>
          <cell r="AP1324">
            <v>0</v>
          </cell>
          <cell r="AQ1324">
            <v>0</v>
          </cell>
          <cell r="AV1324">
            <v>0</v>
          </cell>
        </row>
        <row r="1325">
          <cell r="E1325" t="str">
            <v>B26000244</v>
          </cell>
          <cell r="AP1325">
            <v>0</v>
          </cell>
          <cell r="AQ1325">
            <v>0</v>
          </cell>
          <cell r="AV1325">
            <v>0</v>
          </cell>
        </row>
        <row r="1326">
          <cell r="E1326" t="str">
            <v>B26000701</v>
          </cell>
          <cell r="AP1326">
            <v>0</v>
          </cell>
          <cell r="AQ1326">
            <v>0</v>
          </cell>
          <cell r="AV1326">
            <v>0</v>
          </cell>
        </row>
        <row r="1327">
          <cell r="E1327" t="str">
            <v>D26000758</v>
          </cell>
          <cell r="AP1327">
            <v>0</v>
          </cell>
          <cell r="AQ1327">
            <v>0</v>
          </cell>
          <cell r="AV1327">
            <v>0</v>
          </cell>
        </row>
        <row r="1328">
          <cell r="E1328" t="str">
            <v>B26001359</v>
          </cell>
          <cell r="AP1328">
            <v>0</v>
          </cell>
          <cell r="AQ1328">
            <v>0</v>
          </cell>
          <cell r="AV1328">
            <v>0</v>
          </cell>
        </row>
        <row r="1329">
          <cell r="E1329" t="str">
            <v>B26001578</v>
          </cell>
          <cell r="AP1329">
            <v>0</v>
          </cell>
          <cell r="AQ1329">
            <v>0</v>
          </cell>
          <cell r="AV1329">
            <v>0</v>
          </cell>
        </row>
        <row r="1330">
          <cell r="E1330" t="str">
            <v>B26001629</v>
          </cell>
          <cell r="AP1330">
            <v>0</v>
          </cell>
          <cell r="AQ1330">
            <v>0</v>
          </cell>
          <cell r="AV1330">
            <v>0</v>
          </cell>
        </row>
        <row r="1331">
          <cell r="E1331" t="str">
            <v>B26001675</v>
          </cell>
          <cell r="AP1331">
            <v>0</v>
          </cell>
          <cell r="AQ1331">
            <v>0</v>
          </cell>
          <cell r="AV1331">
            <v>0</v>
          </cell>
        </row>
        <row r="1332">
          <cell r="E1332" t="str">
            <v>B26001704</v>
          </cell>
          <cell r="AP1332">
            <v>0</v>
          </cell>
          <cell r="AQ1332">
            <v>0</v>
          </cell>
          <cell r="AV1332">
            <v>0</v>
          </cell>
        </row>
        <row r="1333">
          <cell r="E1333" t="str">
            <v>D26001945</v>
          </cell>
          <cell r="AP1333">
            <v>0</v>
          </cell>
          <cell r="AQ1333">
            <v>0</v>
          </cell>
          <cell r="AV1333">
            <v>0</v>
          </cell>
        </row>
        <row r="1334">
          <cell r="E1334" t="str">
            <v>D26002457</v>
          </cell>
          <cell r="AP1334">
            <v>0</v>
          </cell>
          <cell r="AQ1334">
            <v>0</v>
          </cell>
          <cell r="AV1334">
            <v>0</v>
          </cell>
        </row>
        <row r="1335">
          <cell r="E1335" t="str">
            <v>D26002552</v>
          </cell>
          <cell r="AP1335">
            <v>0</v>
          </cell>
          <cell r="AQ1335">
            <v>0</v>
          </cell>
          <cell r="AV1335">
            <v>0</v>
          </cell>
        </row>
        <row r="1336">
          <cell r="E1336" t="str">
            <v>B26002879</v>
          </cell>
          <cell r="AP1336">
            <v>0</v>
          </cell>
          <cell r="AQ1336">
            <v>0</v>
          </cell>
          <cell r="AV1336">
            <v>0</v>
          </cell>
        </row>
        <row r="1337">
          <cell r="E1337" t="str">
            <v>D26000861</v>
          </cell>
          <cell r="AP1337">
            <v>0</v>
          </cell>
          <cell r="AQ1337">
            <v>0</v>
          </cell>
          <cell r="AV1337">
            <v>0</v>
          </cell>
        </row>
        <row r="1338">
          <cell r="E1338" t="str">
            <v>B25016228</v>
          </cell>
          <cell r="AP1338">
            <v>0</v>
          </cell>
          <cell r="AQ1338">
            <v>0</v>
          </cell>
          <cell r="AV1338">
            <v>0</v>
          </cell>
        </row>
        <row r="1339">
          <cell r="E1339" t="str">
            <v>B25016798</v>
          </cell>
          <cell r="AP1339">
            <v>0</v>
          </cell>
          <cell r="AQ1339">
            <v>0</v>
          </cell>
          <cell r="AV1339">
            <v>0</v>
          </cell>
        </row>
        <row r="1340">
          <cell r="E1340" t="str">
            <v>B25016802</v>
          </cell>
          <cell r="AP1340">
            <v>0</v>
          </cell>
          <cell r="AQ1340">
            <v>0</v>
          </cell>
          <cell r="AV1340">
            <v>0</v>
          </cell>
        </row>
        <row r="1341">
          <cell r="E1341" t="str">
            <v>B25017093</v>
          </cell>
          <cell r="AP1341">
            <v>0</v>
          </cell>
          <cell r="AQ1341">
            <v>0</v>
          </cell>
          <cell r="AV1341">
            <v>0</v>
          </cell>
        </row>
        <row r="1342">
          <cell r="E1342" t="str">
            <v>D26000237</v>
          </cell>
          <cell r="AP1342">
            <v>0</v>
          </cell>
          <cell r="AQ1342">
            <v>0</v>
          </cell>
          <cell r="AV1342">
            <v>0</v>
          </cell>
        </row>
        <row r="1343">
          <cell r="E1343" t="str">
            <v>B26000783</v>
          </cell>
          <cell r="AP1343">
            <v>0</v>
          </cell>
          <cell r="AQ1343">
            <v>0</v>
          </cell>
          <cell r="AV1343">
            <v>0</v>
          </cell>
        </row>
        <row r="1344">
          <cell r="E1344" t="str">
            <v>B26001561</v>
          </cell>
          <cell r="AP1344">
            <v>0</v>
          </cell>
          <cell r="AQ1344">
            <v>0</v>
          </cell>
          <cell r="AV1344">
            <v>0</v>
          </cell>
        </row>
        <row r="1345">
          <cell r="E1345" t="str">
            <v>D26003097</v>
          </cell>
          <cell r="AP1345">
            <v>0</v>
          </cell>
          <cell r="AQ1345">
            <v>0</v>
          </cell>
          <cell r="AV1345">
            <v>0</v>
          </cell>
        </row>
        <row r="1346">
          <cell r="E1346" t="str">
            <v>B26002996</v>
          </cell>
          <cell r="AP1346">
            <v>0</v>
          </cell>
          <cell r="AQ1346">
            <v>0</v>
          </cell>
          <cell r="AV1346">
            <v>0</v>
          </cell>
        </row>
        <row r="1347">
          <cell r="E1347" t="str">
            <v>T25001720K</v>
          </cell>
          <cell r="AP1347">
            <v>0</v>
          </cell>
          <cell r="AQ1347">
            <v>0</v>
          </cell>
          <cell r="AV1347">
            <v>0</v>
          </cell>
        </row>
        <row r="1348">
          <cell r="E1348" t="str">
            <v>B25016022</v>
          </cell>
          <cell r="AP1348">
            <v>0</v>
          </cell>
          <cell r="AQ1348">
            <v>0</v>
          </cell>
          <cell r="AV1348">
            <v>0</v>
          </cell>
        </row>
        <row r="1349">
          <cell r="E1349" t="str">
            <v>D25018937</v>
          </cell>
          <cell r="AP1349">
            <v>0</v>
          </cell>
          <cell r="AQ1349">
            <v>0</v>
          </cell>
          <cell r="AV1349">
            <v>0</v>
          </cell>
        </row>
        <row r="1350">
          <cell r="E1350" t="str">
            <v>B25016519</v>
          </cell>
          <cell r="AP1350">
            <v>0</v>
          </cell>
          <cell r="AQ1350">
            <v>0</v>
          </cell>
          <cell r="AV1350">
            <v>0</v>
          </cell>
        </row>
        <row r="1351">
          <cell r="E1351" t="str">
            <v>B25016610</v>
          </cell>
          <cell r="AP1351">
            <v>0</v>
          </cell>
          <cell r="AQ1351">
            <v>0</v>
          </cell>
          <cell r="AV1351">
            <v>0</v>
          </cell>
        </row>
        <row r="1352">
          <cell r="E1352" t="str">
            <v>D25019343</v>
          </cell>
          <cell r="AP1352">
            <v>0</v>
          </cell>
          <cell r="AQ1352">
            <v>0</v>
          </cell>
          <cell r="AV1352">
            <v>0</v>
          </cell>
        </row>
        <row r="1353">
          <cell r="E1353" t="str">
            <v>B26000267</v>
          </cell>
          <cell r="AP1353">
            <v>0</v>
          </cell>
          <cell r="AQ1353">
            <v>0</v>
          </cell>
          <cell r="AV1353">
            <v>0</v>
          </cell>
        </row>
        <row r="1354">
          <cell r="E1354" t="str">
            <v>B26000268</v>
          </cell>
          <cell r="AP1354">
            <v>0</v>
          </cell>
          <cell r="AQ1354">
            <v>0</v>
          </cell>
          <cell r="AV1354">
            <v>0</v>
          </cell>
        </row>
        <row r="1355">
          <cell r="E1355" t="str">
            <v>B26000284</v>
          </cell>
          <cell r="AP1355">
            <v>0</v>
          </cell>
          <cell r="AQ1355">
            <v>0</v>
          </cell>
          <cell r="AV1355">
            <v>0</v>
          </cell>
        </row>
        <row r="1356">
          <cell r="E1356" t="str">
            <v>B26000323</v>
          </cell>
          <cell r="AP1356">
            <v>0</v>
          </cell>
          <cell r="AQ1356">
            <v>0</v>
          </cell>
          <cell r="AV1356">
            <v>0</v>
          </cell>
        </row>
        <row r="1357">
          <cell r="E1357" t="str">
            <v>D26000387</v>
          </cell>
          <cell r="AP1357">
            <v>0</v>
          </cell>
          <cell r="AQ1357">
            <v>0</v>
          </cell>
          <cell r="AV1357">
            <v>0</v>
          </cell>
        </row>
        <row r="1358">
          <cell r="E1358" t="str">
            <v>D26000391</v>
          </cell>
          <cell r="AP1358">
            <v>0</v>
          </cell>
          <cell r="AQ1358">
            <v>0</v>
          </cell>
          <cell r="AV1358">
            <v>0</v>
          </cell>
        </row>
        <row r="1359">
          <cell r="E1359" t="str">
            <v>B26000395</v>
          </cell>
          <cell r="AP1359">
            <v>0</v>
          </cell>
          <cell r="AQ1359">
            <v>0</v>
          </cell>
          <cell r="AV1359">
            <v>0</v>
          </cell>
        </row>
        <row r="1360">
          <cell r="E1360" t="str">
            <v>B26000666</v>
          </cell>
          <cell r="AP1360">
            <v>0</v>
          </cell>
          <cell r="AQ1360">
            <v>0</v>
          </cell>
          <cell r="AV1360">
            <v>0</v>
          </cell>
        </row>
        <row r="1361">
          <cell r="E1361" t="str">
            <v>D26000737</v>
          </cell>
          <cell r="AP1361">
            <v>0</v>
          </cell>
          <cell r="AQ1361">
            <v>0</v>
          </cell>
          <cell r="AV1361">
            <v>0</v>
          </cell>
        </row>
        <row r="1362">
          <cell r="E1362" t="str">
            <v>D26000873</v>
          </cell>
          <cell r="AP1362">
            <v>0</v>
          </cell>
          <cell r="AQ1362">
            <v>0</v>
          </cell>
          <cell r="AV1362">
            <v>0</v>
          </cell>
        </row>
        <row r="1363">
          <cell r="E1363" t="str">
            <v>D26000882</v>
          </cell>
          <cell r="AP1363">
            <v>0</v>
          </cell>
          <cell r="AQ1363">
            <v>0</v>
          </cell>
          <cell r="AV1363">
            <v>0</v>
          </cell>
        </row>
        <row r="1364">
          <cell r="E1364" t="str">
            <v>D26000884</v>
          </cell>
          <cell r="AP1364">
            <v>0</v>
          </cell>
          <cell r="AQ1364">
            <v>0</v>
          </cell>
          <cell r="AV1364">
            <v>0</v>
          </cell>
        </row>
        <row r="1365">
          <cell r="E1365" t="str">
            <v>B26000827</v>
          </cell>
          <cell r="AP1365">
            <v>0</v>
          </cell>
          <cell r="AQ1365">
            <v>0</v>
          </cell>
          <cell r="AV1365">
            <v>0</v>
          </cell>
        </row>
        <row r="1366">
          <cell r="E1366" t="str">
            <v>B26000831</v>
          </cell>
          <cell r="AP1366">
            <v>0</v>
          </cell>
          <cell r="AQ1366">
            <v>0</v>
          </cell>
          <cell r="AV1366">
            <v>0</v>
          </cell>
        </row>
        <row r="1367">
          <cell r="E1367" t="str">
            <v>B26000872</v>
          </cell>
          <cell r="AP1367">
            <v>0</v>
          </cell>
          <cell r="AQ1367">
            <v>0</v>
          </cell>
          <cell r="AV1367">
            <v>0</v>
          </cell>
        </row>
        <row r="1368">
          <cell r="E1368" t="str">
            <v>D26000914</v>
          </cell>
          <cell r="AP1368">
            <v>0</v>
          </cell>
          <cell r="AQ1368">
            <v>0</v>
          </cell>
          <cell r="AV1368">
            <v>0</v>
          </cell>
        </row>
        <row r="1369">
          <cell r="E1369" t="str">
            <v>B26000926</v>
          </cell>
          <cell r="AP1369">
            <v>0</v>
          </cell>
          <cell r="AQ1369">
            <v>0</v>
          </cell>
          <cell r="AV1369">
            <v>0</v>
          </cell>
        </row>
        <row r="1370">
          <cell r="E1370" t="str">
            <v>D26001016</v>
          </cell>
          <cell r="AP1370">
            <v>0</v>
          </cell>
          <cell r="AQ1370">
            <v>0</v>
          </cell>
          <cell r="AV1370">
            <v>0</v>
          </cell>
        </row>
        <row r="1371">
          <cell r="E1371" t="str">
            <v>B26001032</v>
          </cell>
          <cell r="AP1371">
            <v>0</v>
          </cell>
          <cell r="AQ1371">
            <v>0</v>
          </cell>
          <cell r="AV1371">
            <v>0</v>
          </cell>
        </row>
        <row r="1372">
          <cell r="E1372" t="str">
            <v>B26001033</v>
          </cell>
          <cell r="AP1372">
            <v>0</v>
          </cell>
          <cell r="AQ1372">
            <v>0</v>
          </cell>
          <cell r="AV1372">
            <v>0</v>
          </cell>
        </row>
        <row r="1373">
          <cell r="E1373" t="str">
            <v>B26001047</v>
          </cell>
          <cell r="AP1373">
            <v>0</v>
          </cell>
          <cell r="AQ1373">
            <v>0</v>
          </cell>
          <cell r="AV1373">
            <v>0</v>
          </cell>
        </row>
        <row r="1374">
          <cell r="E1374" t="str">
            <v>D26001140</v>
          </cell>
          <cell r="AP1374">
            <v>0</v>
          </cell>
          <cell r="AQ1374">
            <v>0</v>
          </cell>
          <cell r="AV1374">
            <v>0</v>
          </cell>
        </row>
        <row r="1375">
          <cell r="E1375" t="str">
            <v>D26001157</v>
          </cell>
          <cell r="AP1375">
            <v>0</v>
          </cell>
          <cell r="AQ1375">
            <v>0</v>
          </cell>
          <cell r="AV1375">
            <v>0</v>
          </cell>
        </row>
        <row r="1376">
          <cell r="E1376" t="str">
            <v>B26001163</v>
          </cell>
          <cell r="AP1376">
            <v>0</v>
          </cell>
          <cell r="AQ1376">
            <v>0</v>
          </cell>
          <cell r="AV1376">
            <v>0</v>
          </cell>
        </row>
        <row r="1377">
          <cell r="E1377" t="str">
            <v>D26001214</v>
          </cell>
          <cell r="AP1377">
            <v>0</v>
          </cell>
          <cell r="AQ1377">
            <v>0</v>
          </cell>
          <cell r="AV1377">
            <v>0</v>
          </cell>
        </row>
        <row r="1378">
          <cell r="E1378" t="str">
            <v>B26001239</v>
          </cell>
          <cell r="AP1378">
            <v>0</v>
          </cell>
          <cell r="AQ1378">
            <v>0</v>
          </cell>
          <cell r="AV1378">
            <v>0</v>
          </cell>
        </row>
        <row r="1379">
          <cell r="E1379" t="str">
            <v>D26001300</v>
          </cell>
          <cell r="AP1379">
            <v>0</v>
          </cell>
          <cell r="AQ1379">
            <v>0</v>
          </cell>
          <cell r="AV1379">
            <v>0</v>
          </cell>
        </row>
        <row r="1380">
          <cell r="E1380" t="str">
            <v>D26001326</v>
          </cell>
          <cell r="AP1380">
            <v>0</v>
          </cell>
          <cell r="AQ1380">
            <v>0</v>
          </cell>
          <cell r="AV1380">
            <v>0</v>
          </cell>
        </row>
        <row r="1381">
          <cell r="E1381" t="str">
            <v>D26001367</v>
          </cell>
          <cell r="AP1381">
            <v>0</v>
          </cell>
          <cell r="AQ1381">
            <v>0</v>
          </cell>
          <cell r="AV1381">
            <v>0</v>
          </cell>
        </row>
        <row r="1382">
          <cell r="E1382" t="str">
            <v>D26001574</v>
          </cell>
          <cell r="AP1382">
            <v>0</v>
          </cell>
          <cell r="AQ1382">
            <v>0</v>
          </cell>
          <cell r="AV1382">
            <v>0</v>
          </cell>
        </row>
        <row r="1383">
          <cell r="E1383" t="str">
            <v>B26001560</v>
          </cell>
          <cell r="AP1383">
            <v>0</v>
          </cell>
          <cell r="AQ1383">
            <v>0</v>
          </cell>
          <cell r="AV1383">
            <v>0</v>
          </cell>
        </row>
        <row r="1384">
          <cell r="E1384" t="str">
            <v>D26001685</v>
          </cell>
          <cell r="AP1384">
            <v>0</v>
          </cell>
          <cell r="AQ1384">
            <v>0</v>
          </cell>
          <cell r="AV1384">
            <v>0</v>
          </cell>
        </row>
        <row r="1385">
          <cell r="E1385" t="str">
            <v>D26001686</v>
          </cell>
          <cell r="AP1385">
            <v>0</v>
          </cell>
          <cell r="AQ1385">
            <v>0</v>
          </cell>
          <cell r="AV1385">
            <v>0</v>
          </cell>
        </row>
        <row r="1386">
          <cell r="E1386" t="str">
            <v>D26001687</v>
          </cell>
          <cell r="AP1386">
            <v>0</v>
          </cell>
          <cell r="AQ1386">
            <v>0</v>
          </cell>
          <cell r="AV1386">
            <v>0</v>
          </cell>
        </row>
        <row r="1387">
          <cell r="E1387" t="str">
            <v>D26001742</v>
          </cell>
          <cell r="AP1387">
            <v>0</v>
          </cell>
          <cell r="AQ1387">
            <v>0</v>
          </cell>
          <cell r="AV1387">
            <v>0</v>
          </cell>
        </row>
        <row r="1388">
          <cell r="E1388" t="str">
            <v>D26001796</v>
          </cell>
          <cell r="AP1388">
            <v>0</v>
          </cell>
          <cell r="AQ1388">
            <v>0</v>
          </cell>
          <cell r="AV1388">
            <v>0</v>
          </cell>
        </row>
        <row r="1389">
          <cell r="E1389" t="str">
            <v>B26001730</v>
          </cell>
          <cell r="AP1389">
            <v>0</v>
          </cell>
          <cell r="AQ1389">
            <v>0</v>
          </cell>
          <cell r="AV1389">
            <v>0</v>
          </cell>
        </row>
        <row r="1390">
          <cell r="E1390" t="str">
            <v>D26001867</v>
          </cell>
          <cell r="AP1390">
            <v>0</v>
          </cell>
          <cell r="AQ1390">
            <v>0</v>
          </cell>
          <cell r="AV1390">
            <v>0</v>
          </cell>
        </row>
        <row r="1391">
          <cell r="E1391" t="str">
            <v>B26001840</v>
          </cell>
          <cell r="AP1391">
            <v>0</v>
          </cell>
          <cell r="AQ1391">
            <v>0</v>
          </cell>
          <cell r="AV1391">
            <v>0</v>
          </cell>
        </row>
        <row r="1392">
          <cell r="E1392" t="str">
            <v>B26001854</v>
          </cell>
          <cell r="AP1392">
            <v>0</v>
          </cell>
          <cell r="AQ1392">
            <v>0</v>
          </cell>
          <cell r="AV1392">
            <v>0</v>
          </cell>
        </row>
        <row r="1393">
          <cell r="E1393" t="str">
            <v>B26001859</v>
          </cell>
          <cell r="AP1393">
            <v>0</v>
          </cell>
          <cell r="AQ1393">
            <v>0</v>
          </cell>
          <cell r="AV1393">
            <v>0</v>
          </cell>
        </row>
        <row r="1394">
          <cell r="E1394" t="str">
            <v>T26000139</v>
          </cell>
          <cell r="AP1394">
            <v>0</v>
          </cell>
          <cell r="AQ1394">
            <v>0</v>
          </cell>
          <cell r="AV1394">
            <v>0</v>
          </cell>
        </row>
        <row r="1395">
          <cell r="E1395" t="str">
            <v>B26002153</v>
          </cell>
          <cell r="AP1395">
            <v>0</v>
          </cell>
          <cell r="AQ1395">
            <v>0</v>
          </cell>
          <cell r="AV1395">
            <v>0</v>
          </cell>
        </row>
        <row r="1396">
          <cell r="E1396" t="str">
            <v>D26002256</v>
          </cell>
          <cell r="AP1396">
            <v>0</v>
          </cell>
          <cell r="AQ1396">
            <v>0</v>
          </cell>
          <cell r="AV1396">
            <v>0</v>
          </cell>
        </row>
        <row r="1397">
          <cell r="E1397" t="str">
            <v>B26002228</v>
          </cell>
          <cell r="AP1397">
            <v>0</v>
          </cell>
          <cell r="AQ1397">
            <v>0</v>
          </cell>
          <cell r="AV1397">
            <v>0</v>
          </cell>
        </row>
        <row r="1398">
          <cell r="E1398" t="str">
            <v>D26002440</v>
          </cell>
          <cell r="AP1398">
            <v>0</v>
          </cell>
          <cell r="AQ1398">
            <v>0</v>
          </cell>
          <cell r="AV1398">
            <v>0</v>
          </cell>
        </row>
        <row r="1399">
          <cell r="E1399" t="str">
            <v>B26002270</v>
          </cell>
          <cell r="AP1399">
            <v>0</v>
          </cell>
          <cell r="AQ1399">
            <v>0</v>
          </cell>
          <cell r="AV1399">
            <v>0</v>
          </cell>
        </row>
        <row r="1400">
          <cell r="E1400" t="str">
            <v>B26002324</v>
          </cell>
          <cell r="AP1400">
            <v>0</v>
          </cell>
          <cell r="AQ1400">
            <v>0</v>
          </cell>
          <cell r="AV1400">
            <v>0</v>
          </cell>
        </row>
        <row r="1401">
          <cell r="E1401" t="str">
            <v>B26002346</v>
          </cell>
          <cell r="AP1401">
            <v>0</v>
          </cell>
          <cell r="AQ1401">
            <v>0</v>
          </cell>
          <cell r="AV1401">
            <v>0</v>
          </cell>
        </row>
        <row r="1402">
          <cell r="E1402" t="str">
            <v>D26002522</v>
          </cell>
          <cell r="AP1402">
            <v>0</v>
          </cell>
          <cell r="AQ1402">
            <v>0</v>
          </cell>
          <cell r="AV1402">
            <v>0</v>
          </cell>
        </row>
        <row r="1403">
          <cell r="E1403" t="str">
            <v>D26002622</v>
          </cell>
          <cell r="AP1403">
            <v>0</v>
          </cell>
          <cell r="AQ1403">
            <v>0</v>
          </cell>
          <cell r="AV1403">
            <v>0</v>
          </cell>
        </row>
        <row r="1404">
          <cell r="E1404" t="str">
            <v>D26002648</v>
          </cell>
          <cell r="AP1404">
            <v>0</v>
          </cell>
          <cell r="AQ1404">
            <v>0</v>
          </cell>
          <cell r="AV1404">
            <v>0</v>
          </cell>
        </row>
        <row r="1405">
          <cell r="E1405" t="str">
            <v>D26002811</v>
          </cell>
          <cell r="AP1405">
            <v>0</v>
          </cell>
          <cell r="AQ1405">
            <v>0</v>
          </cell>
          <cell r="AV1405">
            <v>0</v>
          </cell>
        </row>
        <row r="1406">
          <cell r="E1406" t="str">
            <v>D26003032</v>
          </cell>
          <cell r="AP1406">
            <v>0</v>
          </cell>
          <cell r="AQ1406">
            <v>0</v>
          </cell>
          <cell r="AV1406">
            <v>0</v>
          </cell>
        </row>
        <row r="1407">
          <cell r="E1407" t="str">
            <v>D26003033</v>
          </cell>
          <cell r="AP1407">
            <v>0</v>
          </cell>
          <cell r="AQ1407">
            <v>0</v>
          </cell>
          <cell r="AV1407">
            <v>0</v>
          </cell>
        </row>
        <row r="1408">
          <cell r="E1408" t="str">
            <v>D26003048</v>
          </cell>
          <cell r="AP1408">
            <v>0</v>
          </cell>
          <cell r="AQ1408">
            <v>0</v>
          </cell>
          <cell r="AV1408">
            <v>0</v>
          </cell>
        </row>
        <row r="1409">
          <cell r="E1409" t="str">
            <v>T26000231k</v>
          </cell>
          <cell r="AP1409">
            <v>0</v>
          </cell>
          <cell r="AQ1409">
            <v>0</v>
          </cell>
          <cell r="AV1409">
            <v>0</v>
          </cell>
        </row>
        <row r="1410">
          <cell r="E1410" t="str">
            <v>B26002959</v>
          </cell>
          <cell r="AP1410">
            <v>0</v>
          </cell>
          <cell r="AQ1410">
            <v>0</v>
          </cell>
          <cell r="AV1410">
            <v>0</v>
          </cell>
        </row>
        <row r="1411">
          <cell r="E1411" t="str">
            <v>B26002960</v>
          </cell>
          <cell r="AP1411">
            <v>0</v>
          </cell>
          <cell r="AQ1411">
            <v>0</v>
          </cell>
          <cell r="AV1411">
            <v>0</v>
          </cell>
        </row>
        <row r="1412">
          <cell r="E1412" t="str">
            <v>B26002973</v>
          </cell>
          <cell r="AP1412">
            <v>0</v>
          </cell>
          <cell r="AQ1412">
            <v>0</v>
          </cell>
          <cell r="AV1412">
            <v>0</v>
          </cell>
        </row>
        <row r="1413">
          <cell r="E1413" t="str">
            <v>D26003187</v>
          </cell>
          <cell r="AP1413">
            <v>0</v>
          </cell>
          <cell r="AQ1413">
            <v>0</v>
          </cell>
          <cell r="AV1413">
            <v>0</v>
          </cell>
        </row>
        <row r="1414">
          <cell r="E1414" t="str">
            <v>D26003196</v>
          </cell>
          <cell r="AP1414">
            <v>0</v>
          </cell>
          <cell r="AQ1414">
            <v>0</v>
          </cell>
          <cell r="AV1414">
            <v>0</v>
          </cell>
        </row>
        <row r="1415">
          <cell r="E1415" t="str">
            <v>D26003321</v>
          </cell>
          <cell r="AP1415">
            <v>0</v>
          </cell>
          <cell r="AQ1415">
            <v>0</v>
          </cell>
          <cell r="AV1415">
            <v>0</v>
          </cell>
        </row>
        <row r="1416">
          <cell r="E1416" t="str">
            <v>D26002181</v>
          </cell>
          <cell r="AP1416">
            <v>0</v>
          </cell>
          <cell r="AQ1416">
            <v>0</v>
          </cell>
          <cell r="AV1416">
            <v>0</v>
          </cell>
        </row>
        <row r="1417">
          <cell r="E1417" t="str">
            <v>D26002182</v>
          </cell>
          <cell r="AP1417">
            <v>0</v>
          </cell>
          <cell r="AQ1417">
            <v>0</v>
          </cell>
          <cell r="AV1417">
            <v>0</v>
          </cell>
        </row>
        <row r="1418">
          <cell r="E1418" t="str">
            <v>D26002310</v>
          </cell>
          <cell r="AP1418">
            <v>0</v>
          </cell>
          <cell r="AQ1418">
            <v>0</v>
          </cell>
          <cell r="AV1418">
            <v>0</v>
          </cell>
        </row>
        <row r="1419">
          <cell r="E1419" t="str">
            <v>D26002311</v>
          </cell>
          <cell r="AP1419">
            <v>0</v>
          </cell>
          <cell r="AQ1419">
            <v>0</v>
          </cell>
          <cell r="AV1419">
            <v>0</v>
          </cell>
        </row>
        <row r="1420">
          <cell r="E1420" t="str">
            <v>B26002579</v>
          </cell>
          <cell r="AP1420">
            <v>0</v>
          </cell>
          <cell r="AQ1420">
            <v>0</v>
          </cell>
          <cell r="AV1420">
            <v>0</v>
          </cell>
        </row>
        <row r="1421">
          <cell r="E1421" t="str">
            <v>B26002704</v>
          </cell>
          <cell r="AP1421">
            <v>0</v>
          </cell>
          <cell r="AQ1421">
            <v>0</v>
          </cell>
          <cell r="AV1421">
            <v>0</v>
          </cell>
        </row>
        <row r="1422">
          <cell r="E1422" t="str">
            <v>C26000142</v>
          </cell>
          <cell r="AP1422">
            <v>0</v>
          </cell>
          <cell r="AQ1422">
            <v>0</v>
          </cell>
          <cell r="AV1422">
            <v>0</v>
          </cell>
        </row>
        <row r="1423">
          <cell r="E1423" t="str">
            <v>B25016384</v>
          </cell>
          <cell r="AP1423">
            <v>0</v>
          </cell>
          <cell r="AQ1423">
            <v>0</v>
          </cell>
          <cell r="AV1423">
            <v>0</v>
          </cell>
        </row>
        <row r="1424">
          <cell r="E1424" t="str">
            <v>D25019393</v>
          </cell>
          <cell r="AP1424">
            <v>0</v>
          </cell>
          <cell r="AQ1424">
            <v>0</v>
          </cell>
          <cell r="AV1424">
            <v>0</v>
          </cell>
        </row>
        <row r="1425">
          <cell r="E1425" t="str">
            <v>D25019652</v>
          </cell>
          <cell r="AP1425">
            <v>0</v>
          </cell>
          <cell r="AQ1425">
            <v>0</v>
          </cell>
          <cell r="AV1425">
            <v>0</v>
          </cell>
        </row>
        <row r="1426">
          <cell r="E1426" t="str">
            <v>B26000606</v>
          </cell>
          <cell r="AP1426">
            <v>0</v>
          </cell>
          <cell r="AQ1426">
            <v>0</v>
          </cell>
          <cell r="AV1426">
            <v>0</v>
          </cell>
        </row>
        <row r="1427">
          <cell r="E1427" t="str">
            <v>B26000956</v>
          </cell>
          <cell r="AP1427">
            <v>0</v>
          </cell>
          <cell r="AQ1427">
            <v>0</v>
          </cell>
          <cell r="AV1427">
            <v>0</v>
          </cell>
        </row>
        <row r="1428">
          <cell r="E1428" t="str">
            <v>B26001207</v>
          </cell>
          <cell r="AP1428">
            <v>0</v>
          </cell>
          <cell r="AQ1428">
            <v>0</v>
          </cell>
          <cell r="AV1428">
            <v>0</v>
          </cell>
        </row>
        <row r="1429">
          <cell r="E1429" t="str">
            <v>B26002317</v>
          </cell>
          <cell r="AP1429">
            <v>0</v>
          </cell>
          <cell r="AQ1429">
            <v>0</v>
          </cell>
          <cell r="AV1429">
            <v>0</v>
          </cell>
        </row>
        <row r="1430">
          <cell r="E1430" t="str">
            <v>T26000229</v>
          </cell>
          <cell r="AP1430">
            <v>0</v>
          </cell>
          <cell r="AQ1430">
            <v>0</v>
          </cell>
          <cell r="AV1430">
            <v>0</v>
          </cell>
        </row>
        <row r="1431">
          <cell r="E1431" t="str">
            <v>T26000230</v>
          </cell>
          <cell r="AP1431">
            <v>0</v>
          </cell>
          <cell r="AQ1431">
            <v>0</v>
          </cell>
          <cell r="AV1431">
            <v>0</v>
          </cell>
        </row>
        <row r="1432">
          <cell r="E1432" t="str">
            <v>D26001151</v>
          </cell>
          <cell r="AP1432">
            <v>0</v>
          </cell>
          <cell r="AQ1432">
            <v>0</v>
          </cell>
          <cell r="AV1432">
            <v>0</v>
          </cell>
        </row>
        <row r="1433">
          <cell r="E1433" t="str">
            <v>D26001766</v>
          </cell>
          <cell r="AP1433">
            <v>0</v>
          </cell>
          <cell r="AQ1433">
            <v>0</v>
          </cell>
          <cell r="AV1433">
            <v>0</v>
          </cell>
        </row>
        <row r="1434">
          <cell r="E1434" t="str">
            <v>B26001763</v>
          </cell>
          <cell r="AP1434">
            <v>0</v>
          </cell>
          <cell r="AQ1434">
            <v>0</v>
          </cell>
          <cell r="AV1434">
            <v>0</v>
          </cell>
        </row>
        <row r="1435">
          <cell r="E1435" t="str">
            <v>B26001974</v>
          </cell>
          <cell r="AP1435">
            <v>0</v>
          </cell>
          <cell r="AQ1435">
            <v>0</v>
          </cell>
          <cell r="AV1435">
            <v>0</v>
          </cell>
        </row>
        <row r="1436">
          <cell r="E1436" t="str">
            <v>B26002320</v>
          </cell>
          <cell r="AP1436">
            <v>0</v>
          </cell>
          <cell r="AQ1436">
            <v>0</v>
          </cell>
          <cell r="AV1436">
            <v>0</v>
          </cell>
        </row>
        <row r="1437">
          <cell r="E1437" t="str">
            <v>B26002434</v>
          </cell>
          <cell r="AP1437">
            <v>0</v>
          </cell>
          <cell r="AQ1437">
            <v>0</v>
          </cell>
          <cell r="AV1437">
            <v>0</v>
          </cell>
        </row>
        <row r="1438">
          <cell r="E1438" t="str">
            <v>B26002435</v>
          </cell>
          <cell r="AP1438">
            <v>0</v>
          </cell>
          <cell r="AQ1438">
            <v>0</v>
          </cell>
          <cell r="AV1438">
            <v>0</v>
          </cell>
        </row>
        <row r="1439">
          <cell r="E1439" t="str">
            <v>D26002836</v>
          </cell>
          <cell r="AP1439">
            <v>0</v>
          </cell>
          <cell r="AQ1439">
            <v>0</v>
          </cell>
          <cell r="AV1439">
            <v>0</v>
          </cell>
        </row>
        <row r="1440">
          <cell r="E1440" t="str">
            <v>T26000192</v>
          </cell>
          <cell r="AP1440">
            <v>0</v>
          </cell>
          <cell r="AQ1440">
            <v>0</v>
          </cell>
          <cell r="AV1440">
            <v>0</v>
          </cell>
        </row>
        <row r="1441">
          <cell r="E1441" t="str">
            <v>D26003242</v>
          </cell>
          <cell r="AP1441">
            <v>0</v>
          </cell>
          <cell r="AQ1441">
            <v>0</v>
          </cell>
          <cell r="AV1441">
            <v>0</v>
          </cell>
        </row>
        <row r="1442">
          <cell r="E1442" t="str">
            <v>B26001196</v>
          </cell>
          <cell r="AP1442">
            <v>0</v>
          </cell>
          <cell r="AQ1442">
            <v>0</v>
          </cell>
          <cell r="AV1442">
            <v>1600000</v>
          </cell>
        </row>
        <row r="1443">
          <cell r="E1443" t="str">
            <v>B26001197</v>
          </cell>
          <cell r="AP1443">
            <v>0</v>
          </cell>
          <cell r="AQ1443">
            <v>0</v>
          </cell>
          <cell r="AV1443">
            <v>0</v>
          </cell>
        </row>
        <row r="1444">
          <cell r="E1444" t="str">
            <v>B26001198</v>
          </cell>
          <cell r="AP1444">
            <v>0</v>
          </cell>
          <cell r="AQ1444">
            <v>0</v>
          </cell>
          <cell r="AV1444">
            <v>0</v>
          </cell>
        </row>
        <row r="1445">
          <cell r="E1445" t="str">
            <v>B26001199</v>
          </cell>
          <cell r="AP1445">
            <v>0</v>
          </cell>
          <cell r="AQ1445">
            <v>0</v>
          </cell>
          <cell r="AV1445">
            <v>0</v>
          </cell>
        </row>
        <row r="1446">
          <cell r="E1446" t="str">
            <v>B26001200</v>
          </cell>
          <cell r="AP1446">
            <v>0</v>
          </cell>
          <cell r="AQ1446">
            <v>0</v>
          </cell>
          <cell r="AV1446">
            <v>0</v>
          </cell>
        </row>
        <row r="1447">
          <cell r="E1447" t="str">
            <v>D26001307</v>
          </cell>
          <cell r="AP1447">
            <v>0</v>
          </cell>
          <cell r="AQ1447">
            <v>0</v>
          </cell>
          <cell r="AV1447">
            <v>0</v>
          </cell>
        </row>
        <row r="1448">
          <cell r="E1448" t="str">
            <v>B26001786</v>
          </cell>
          <cell r="AP1448">
            <v>0</v>
          </cell>
          <cell r="AQ1448">
            <v>0</v>
          </cell>
          <cell r="AV1448">
            <v>0</v>
          </cell>
        </row>
        <row r="1449">
          <cell r="E1449" t="str">
            <v>B26001787</v>
          </cell>
          <cell r="AP1449">
            <v>0</v>
          </cell>
          <cell r="AQ1449">
            <v>0</v>
          </cell>
          <cell r="AV1449">
            <v>0</v>
          </cell>
        </row>
        <row r="1450">
          <cell r="E1450" t="str">
            <v>B26001788</v>
          </cell>
          <cell r="AP1450">
            <v>0</v>
          </cell>
          <cell r="AQ1450">
            <v>0</v>
          </cell>
          <cell r="AV1450">
            <v>0</v>
          </cell>
        </row>
        <row r="1451">
          <cell r="E1451" t="str">
            <v>B26001789</v>
          </cell>
          <cell r="AP1451">
            <v>0</v>
          </cell>
          <cell r="AQ1451">
            <v>0</v>
          </cell>
          <cell r="AV1451">
            <v>0</v>
          </cell>
        </row>
        <row r="1452">
          <cell r="E1452" t="str">
            <v>B26001791</v>
          </cell>
          <cell r="AP1452">
            <v>0</v>
          </cell>
          <cell r="AQ1452">
            <v>0</v>
          </cell>
          <cell r="AV1452">
            <v>0</v>
          </cell>
        </row>
        <row r="1453">
          <cell r="E1453" t="str">
            <v>B26002020</v>
          </cell>
          <cell r="AP1453">
            <v>0</v>
          </cell>
          <cell r="AQ1453">
            <v>0</v>
          </cell>
          <cell r="AV1453">
            <v>0</v>
          </cell>
        </row>
        <row r="1454">
          <cell r="E1454" t="str">
            <v>B26002021</v>
          </cell>
          <cell r="AP1454">
            <v>0</v>
          </cell>
          <cell r="AQ1454">
            <v>0</v>
          </cell>
          <cell r="AV1454">
            <v>0</v>
          </cell>
        </row>
        <row r="1455">
          <cell r="E1455" t="str">
            <v>B26002022</v>
          </cell>
          <cell r="AP1455">
            <v>0</v>
          </cell>
          <cell r="AQ1455">
            <v>0</v>
          </cell>
          <cell r="AV1455">
            <v>0</v>
          </cell>
        </row>
        <row r="1456">
          <cell r="E1456" t="str">
            <v>D26002249</v>
          </cell>
          <cell r="AP1456">
            <v>0</v>
          </cell>
          <cell r="AQ1456">
            <v>0</v>
          </cell>
          <cell r="AV1456">
            <v>0</v>
          </cell>
        </row>
        <row r="1457">
          <cell r="E1457" t="str">
            <v>B26002521</v>
          </cell>
          <cell r="AP1457">
            <v>0</v>
          </cell>
          <cell r="AQ1457">
            <v>0</v>
          </cell>
          <cell r="AV1457">
            <v>0</v>
          </cell>
        </row>
        <row r="1458">
          <cell r="E1458" t="str">
            <v>B26002523</v>
          </cell>
          <cell r="AP1458">
            <v>0</v>
          </cell>
          <cell r="AQ1458">
            <v>0</v>
          </cell>
          <cell r="AV1458">
            <v>0</v>
          </cell>
        </row>
        <row r="1459">
          <cell r="E1459" t="str">
            <v>B26002524</v>
          </cell>
          <cell r="AP1459">
            <v>0</v>
          </cell>
          <cell r="AQ1459">
            <v>0</v>
          </cell>
          <cell r="AV1459">
            <v>0</v>
          </cell>
        </row>
        <row r="1460">
          <cell r="E1460" t="str">
            <v>B26002525</v>
          </cell>
          <cell r="AP1460">
            <v>0</v>
          </cell>
          <cell r="AQ1460">
            <v>0</v>
          </cell>
          <cell r="AV1460">
            <v>0</v>
          </cell>
        </row>
        <row r="1461">
          <cell r="E1461" t="str">
            <v>B26002812</v>
          </cell>
          <cell r="AP1461">
            <v>0</v>
          </cell>
          <cell r="AQ1461">
            <v>0</v>
          </cell>
          <cell r="AV1461">
            <v>0</v>
          </cell>
        </row>
        <row r="1462">
          <cell r="E1462" t="str">
            <v>B26001901</v>
          </cell>
          <cell r="AP1462">
            <v>0</v>
          </cell>
          <cell r="AQ1462">
            <v>0</v>
          </cell>
          <cell r="AV1462">
            <v>0</v>
          </cell>
        </row>
        <row r="1463">
          <cell r="E1463" t="str">
            <v>B26002107</v>
          </cell>
          <cell r="AP1463">
            <v>0</v>
          </cell>
          <cell r="AQ1463">
            <v>0</v>
          </cell>
          <cell r="AV1463">
            <v>0</v>
          </cell>
        </row>
        <row r="1464">
          <cell r="E1464" t="str">
            <v>C26000151</v>
          </cell>
          <cell r="AP1464">
            <v>0</v>
          </cell>
          <cell r="AQ1464">
            <v>0</v>
          </cell>
          <cell r="AV1464">
            <v>0</v>
          </cell>
        </row>
        <row r="1465">
          <cell r="E1465" t="str">
            <v>B26002062</v>
          </cell>
          <cell r="AP1465">
            <v>0</v>
          </cell>
          <cell r="AQ1465">
            <v>0</v>
          </cell>
          <cell r="AV1465">
            <v>0</v>
          </cell>
        </row>
        <row r="1466">
          <cell r="E1466" t="str">
            <v>D26001846</v>
          </cell>
          <cell r="AP1466">
            <v>0</v>
          </cell>
          <cell r="AQ1466">
            <v>0</v>
          </cell>
          <cell r="AV1466">
            <v>0</v>
          </cell>
        </row>
        <row r="1467">
          <cell r="E1467" t="str">
            <v>D26002410</v>
          </cell>
          <cell r="AP1467">
            <v>0</v>
          </cell>
          <cell r="AQ1467">
            <v>0</v>
          </cell>
          <cell r="AV1467">
            <v>0</v>
          </cell>
        </row>
        <row r="1468">
          <cell r="E1468" t="str">
            <v>D26003123</v>
          </cell>
          <cell r="AP1468">
            <v>0</v>
          </cell>
          <cell r="AQ1468">
            <v>0</v>
          </cell>
          <cell r="AV1468">
            <v>0</v>
          </cell>
        </row>
        <row r="1469">
          <cell r="E1469" t="str">
            <v>D26003309</v>
          </cell>
          <cell r="AP1469">
            <v>0</v>
          </cell>
          <cell r="AQ1469">
            <v>0</v>
          </cell>
          <cell r="AV1469">
            <v>0</v>
          </cell>
        </row>
        <row r="1470">
          <cell r="E1470" t="str">
            <v>B25005869</v>
          </cell>
          <cell r="AP1470">
            <v>0</v>
          </cell>
          <cell r="AQ1470">
            <v>0</v>
          </cell>
          <cell r="AV1470">
            <v>0</v>
          </cell>
        </row>
        <row r="1471">
          <cell r="E1471" t="str">
            <v>D25010517</v>
          </cell>
          <cell r="AP1471">
            <v>0</v>
          </cell>
          <cell r="AQ1471">
            <v>0</v>
          </cell>
          <cell r="AV1471">
            <v>0</v>
          </cell>
        </row>
        <row r="1472">
          <cell r="E1472" t="str">
            <v>B26000617</v>
          </cell>
          <cell r="AP1472">
            <v>0</v>
          </cell>
          <cell r="AQ1472">
            <v>0</v>
          </cell>
          <cell r="AV1472">
            <v>0</v>
          </cell>
        </row>
        <row r="1473">
          <cell r="E1473" t="str">
            <v>D26002255</v>
          </cell>
          <cell r="AP1473">
            <v>0</v>
          </cell>
          <cell r="AQ1473">
            <v>0</v>
          </cell>
          <cell r="AV1473">
            <v>0</v>
          </cell>
        </row>
        <row r="1474">
          <cell r="E1474" t="str">
            <v>D26003104</v>
          </cell>
          <cell r="AP1474">
            <v>0</v>
          </cell>
          <cell r="AQ1474">
            <v>0</v>
          </cell>
          <cell r="AV1474">
            <v>0</v>
          </cell>
        </row>
        <row r="1475">
          <cell r="E1475" t="str">
            <v>B26002777</v>
          </cell>
          <cell r="AP1475">
            <v>0</v>
          </cell>
          <cell r="AQ1475">
            <v>0</v>
          </cell>
          <cell r="AV1475">
            <v>0</v>
          </cell>
        </row>
        <row r="1476">
          <cell r="E1476" t="str">
            <v>D26001797</v>
          </cell>
          <cell r="AP1476">
            <v>0</v>
          </cell>
          <cell r="AQ1476">
            <v>0</v>
          </cell>
          <cell r="AV1476">
            <v>0</v>
          </cell>
        </row>
        <row r="1477">
          <cell r="E1477" t="str">
            <v>D25018930</v>
          </cell>
          <cell r="AP1477">
            <v>0</v>
          </cell>
          <cell r="AQ1477">
            <v>0</v>
          </cell>
          <cell r="AV1477">
            <v>0</v>
          </cell>
        </row>
        <row r="1478">
          <cell r="E1478" t="str">
            <v>C26000174</v>
          </cell>
          <cell r="AP1478">
            <v>0</v>
          </cell>
          <cell r="AQ1478">
            <v>0</v>
          </cell>
          <cell r="AV1478">
            <v>616000</v>
          </cell>
        </row>
        <row r="1479">
          <cell r="E1479" t="str">
            <v>C26000175</v>
          </cell>
          <cell r="AP1479">
            <v>0</v>
          </cell>
          <cell r="AQ1479">
            <v>0</v>
          </cell>
          <cell r="AV1479">
            <v>212000</v>
          </cell>
        </row>
        <row r="1480">
          <cell r="E1480" t="str">
            <v>C26000176</v>
          </cell>
          <cell r="AP1480">
            <v>0</v>
          </cell>
          <cell r="AQ1480">
            <v>0</v>
          </cell>
          <cell r="AV1480">
            <v>184000</v>
          </cell>
        </row>
        <row r="1481">
          <cell r="E1481" t="str">
            <v>T26000149K</v>
          </cell>
          <cell r="AP1481">
            <v>0</v>
          </cell>
          <cell r="AQ1481">
            <v>0</v>
          </cell>
          <cell r="AV1481">
            <v>0</v>
          </cell>
        </row>
        <row r="1482">
          <cell r="E1482" t="str">
            <v>D26001055</v>
          </cell>
          <cell r="AP1482">
            <v>0</v>
          </cell>
          <cell r="AQ1482">
            <v>0</v>
          </cell>
          <cell r="AV1482">
            <v>0</v>
          </cell>
        </row>
        <row r="1483">
          <cell r="E1483" t="str">
            <v>D26001521</v>
          </cell>
          <cell r="AP1483">
            <v>0</v>
          </cell>
          <cell r="AQ1483">
            <v>0</v>
          </cell>
          <cell r="AV1483">
            <v>0</v>
          </cell>
        </row>
        <row r="1484">
          <cell r="E1484" t="str">
            <v>D26001554</v>
          </cell>
          <cell r="AP1484">
            <v>0</v>
          </cell>
          <cell r="AQ1484">
            <v>0</v>
          </cell>
          <cell r="AV1484">
            <v>0</v>
          </cell>
        </row>
        <row r="1485">
          <cell r="E1485" t="str">
            <v>D26001568</v>
          </cell>
          <cell r="AP1485">
            <v>0</v>
          </cell>
          <cell r="AQ1485">
            <v>0</v>
          </cell>
          <cell r="AV1485">
            <v>0</v>
          </cell>
        </row>
        <row r="1486">
          <cell r="E1486" t="str">
            <v>B26001889</v>
          </cell>
          <cell r="AP1486">
            <v>0</v>
          </cell>
          <cell r="AQ1486">
            <v>0</v>
          </cell>
          <cell r="AV1486">
            <v>0</v>
          </cell>
        </row>
        <row r="1487">
          <cell r="E1487" t="str">
            <v>D26002000</v>
          </cell>
          <cell r="AP1487">
            <v>0</v>
          </cell>
          <cell r="AQ1487">
            <v>0</v>
          </cell>
          <cell r="AV1487">
            <v>0</v>
          </cell>
        </row>
        <row r="1488">
          <cell r="E1488" t="str">
            <v>B26002156</v>
          </cell>
          <cell r="AP1488">
            <v>0</v>
          </cell>
          <cell r="AQ1488">
            <v>0</v>
          </cell>
          <cell r="AV1488">
            <v>0</v>
          </cell>
        </row>
        <row r="1489">
          <cell r="E1489" t="str">
            <v>B26002509</v>
          </cell>
          <cell r="AP1489">
            <v>0</v>
          </cell>
          <cell r="AQ1489">
            <v>0</v>
          </cell>
          <cell r="AV1489">
            <v>0</v>
          </cell>
        </row>
        <row r="1490">
          <cell r="E1490" t="str">
            <v>D26002749</v>
          </cell>
          <cell r="AP1490">
            <v>0</v>
          </cell>
          <cell r="AQ1490">
            <v>0</v>
          </cell>
          <cell r="AV1490">
            <v>0</v>
          </cell>
        </row>
        <row r="1491">
          <cell r="E1491" t="str">
            <v>D26003092</v>
          </cell>
          <cell r="AP1491">
            <v>0</v>
          </cell>
          <cell r="AQ1491">
            <v>0</v>
          </cell>
          <cell r="AV1491">
            <v>0</v>
          </cell>
        </row>
        <row r="1492">
          <cell r="E1492" t="str">
            <v>D26001386</v>
          </cell>
          <cell r="AP1492">
            <v>0</v>
          </cell>
          <cell r="AQ1492">
            <v>0</v>
          </cell>
          <cell r="AV1492">
            <v>0</v>
          </cell>
        </row>
        <row r="1493">
          <cell r="E1493" t="str">
            <v>D26001392</v>
          </cell>
          <cell r="AP1493">
            <v>0</v>
          </cell>
          <cell r="AQ1493">
            <v>0</v>
          </cell>
          <cell r="AV1493">
            <v>0</v>
          </cell>
        </row>
        <row r="1494">
          <cell r="E1494" t="str">
            <v>B26002785</v>
          </cell>
          <cell r="AP1494">
            <v>0</v>
          </cell>
          <cell r="AQ1494">
            <v>0</v>
          </cell>
          <cell r="AV1494">
            <v>0</v>
          </cell>
        </row>
        <row r="1495">
          <cell r="E1495" t="str">
            <v>D26003116</v>
          </cell>
          <cell r="AP1495">
            <v>0</v>
          </cell>
          <cell r="AQ1495">
            <v>0</v>
          </cell>
          <cell r="AV1495">
            <v>0</v>
          </cell>
        </row>
        <row r="1496">
          <cell r="E1496" t="str">
            <v>Z26000236</v>
          </cell>
          <cell r="AP1496">
            <v>0</v>
          </cell>
          <cell r="AQ1496">
            <v>0</v>
          </cell>
          <cell r="AV1496">
            <v>0</v>
          </cell>
        </row>
        <row r="1497">
          <cell r="E1497" t="str">
            <v>Z26000335</v>
          </cell>
          <cell r="AP1497">
            <v>0</v>
          </cell>
          <cell r="AQ1497">
            <v>0</v>
          </cell>
          <cell r="AV1497">
            <v>0</v>
          </cell>
        </row>
        <row r="1498">
          <cell r="E1498" t="str">
            <v>Z26000520</v>
          </cell>
          <cell r="AP1498">
            <v>0</v>
          </cell>
          <cell r="AQ1498">
            <v>0</v>
          </cell>
          <cell r="AV1498">
            <v>0</v>
          </cell>
        </row>
        <row r="1499">
          <cell r="E1499" t="str">
            <v>Z26000617</v>
          </cell>
          <cell r="AP1499">
            <v>0</v>
          </cell>
          <cell r="AQ1499">
            <v>0</v>
          </cell>
          <cell r="AV1499">
            <v>0</v>
          </cell>
        </row>
        <row r="1500">
          <cell r="E1500" t="str">
            <v>Z26000581</v>
          </cell>
          <cell r="AP1500">
            <v>0</v>
          </cell>
          <cell r="AQ1500">
            <v>0</v>
          </cell>
          <cell r="AV1500">
            <v>2025000</v>
          </cell>
        </row>
        <row r="1501">
          <cell r="E1501" t="str">
            <v>D26002848</v>
          </cell>
          <cell r="AP1501">
            <v>0</v>
          </cell>
          <cell r="AQ1501">
            <v>0</v>
          </cell>
          <cell r="AV1501">
            <v>0</v>
          </cell>
        </row>
        <row r="1502">
          <cell r="E1502" t="str">
            <v>B26002247</v>
          </cell>
          <cell r="AP1502">
            <v>0</v>
          </cell>
          <cell r="AQ1502">
            <v>0</v>
          </cell>
          <cell r="AV1502">
            <v>0</v>
          </cell>
        </row>
        <row r="1503">
          <cell r="E1503" t="str">
            <v>B26002887</v>
          </cell>
          <cell r="AP1503">
            <v>0</v>
          </cell>
          <cell r="AQ1503">
            <v>0</v>
          </cell>
          <cell r="AV1503">
            <v>0</v>
          </cell>
        </row>
        <row r="1504">
          <cell r="E1504" t="str">
            <v>B26002888</v>
          </cell>
          <cell r="AP1504">
            <v>0</v>
          </cell>
          <cell r="AQ1504">
            <v>0</v>
          </cell>
          <cell r="AV1504">
            <v>0</v>
          </cell>
        </row>
        <row r="1505">
          <cell r="E1505" t="str">
            <v>T25001533K</v>
          </cell>
          <cell r="AP1505">
            <v>0</v>
          </cell>
          <cell r="AQ1505">
            <v>0</v>
          </cell>
          <cell r="AV1505">
            <v>0</v>
          </cell>
        </row>
        <row r="1506">
          <cell r="E1506" t="str">
            <v>T25001617</v>
          </cell>
          <cell r="AP1506">
            <v>0</v>
          </cell>
          <cell r="AQ1506">
            <v>0</v>
          </cell>
          <cell r="AV1506">
            <v>0</v>
          </cell>
        </row>
        <row r="1507">
          <cell r="E1507" t="str">
            <v>T26000086</v>
          </cell>
          <cell r="AP1507">
            <v>0</v>
          </cell>
          <cell r="AQ1507">
            <v>0</v>
          </cell>
          <cell r="AV1507">
            <v>0</v>
          </cell>
        </row>
        <row r="1508">
          <cell r="E1508" t="str">
            <v>D25017894</v>
          </cell>
          <cell r="AP1508">
            <v>0</v>
          </cell>
          <cell r="AQ1508">
            <v>0</v>
          </cell>
          <cell r="AV1508">
            <v>0</v>
          </cell>
        </row>
        <row r="1509">
          <cell r="E1509" t="str">
            <v>D25017895</v>
          </cell>
          <cell r="AP1509">
            <v>0</v>
          </cell>
          <cell r="AQ1509">
            <v>0</v>
          </cell>
          <cell r="AV1509">
            <v>0</v>
          </cell>
        </row>
        <row r="1510">
          <cell r="E1510" t="str">
            <v>D25017897</v>
          </cell>
          <cell r="AP1510">
            <v>0</v>
          </cell>
          <cell r="AQ1510">
            <v>0</v>
          </cell>
          <cell r="AV1510">
            <v>0</v>
          </cell>
        </row>
        <row r="1511">
          <cell r="E1511" t="str">
            <v>T25001556K</v>
          </cell>
          <cell r="AP1511">
            <v>0</v>
          </cell>
          <cell r="AQ1511">
            <v>0</v>
          </cell>
          <cell r="AV1511">
            <v>0</v>
          </cell>
        </row>
        <row r="1512">
          <cell r="E1512" t="str">
            <v>D26002748</v>
          </cell>
          <cell r="AP1512">
            <v>0</v>
          </cell>
          <cell r="AQ1512">
            <v>0</v>
          </cell>
          <cell r="AV1512">
            <v>0</v>
          </cell>
        </row>
        <row r="1513">
          <cell r="E1513" t="str">
            <v>D26003237</v>
          </cell>
          <cell r="AP1513">
            <v>0</v>
          </cell>
          <cell r="AQ1513">
            <v>0</v>
          </cell>
          <cell r="AV1513">
            <v>0</v>
          </cell>
        </row>
        <row r="1514">
          <cell r="E1514" t="str">
            <v>D26000840</v>
          </cell>
          <cell r="AP1514">
            <v>0</v>
          </cell>
          <cell r="AQ1514">
            <v>0</v>
          </cell>
          <cell r="AV1514">
            <v>0</v>
          </cell>
        </row>
        <row r="1515">
          <cell r="E1515" t="str">
            <v>B26001123</v>
          </cell>
          <cell r="AP1515">
            <v>0</v>
          </cell>
          <cell r="AQ1515">
            <v>0</v>
          </cell>
          <cell r="AV1515">
            <v>0</v>
          </cell>
        </row>
        <row r="1516">
          <cell r="E1516" t="str">
            <v>B26001136</v>
          </cell>
          <cell r="AP1516">
            <v>0</v>
          </cell>
          <cell r="AQ1516">
            <v>0</v>
          </cell>
          <cell r="AV1516">
            <v>0</v>
          </cell>
        </row>
        <row r="1517">
          <cell r="E1517" t="str">
            <v>B26001590</v>
          </cell>
          <cell r="AP1517">
            <v>0</v>
          </cell>
          <cell r="AQ1517">
            <v>0</v>
          </cell>
          <cell r="AV1517">
            <v>0</v>
          </cell>
        </row>
        <row r="1518">
          <cell r="E1518" t="str">
            <v>B26001591</v>
          </cell>
          <cell r="AP1518">
            <v>0</v>
          </cell>
          <cell r="AQ1518">
            <v>0</v>
          </cell>
          <cell r="AV1518">
            <v>0</v>
          </cell>
        </row>
        <row r="1519">
          <cell r="E1519" t="str">
            <v>D26002416</v>
          </cell>
          <cell r="AP1519">
            <v>0</v>
          </cell>
          <cell r="AQ1519">
            <v>0</v>
          </cell>
          <cell r="AV1519">
            <v>0</v>
          </cell>
        </row>
        <row r="1520">
          <cell r="E1520" t="str">
            <v>B26002645</v>
          </cell>
          <cell r="AP1520">
            <v>0</v>
          </cell>
          <cell r="AQ1520">
            <v>0</v>
          </cell>
          <cell r="AV1520">
            <v>0</v>
          </cell>
        </row>
        <row r="1521">
          <cell r="E1521" t="str">
            <v>Z26000020</v>
          </cell>
          <cell r="AP1521">
            <v>0</v>
          </cell>
          <cell r="AQ1521">
            <v>0</v>
          </cell>
          <cell r="AV1521">
            <v>0</v>
          </cell>
        </row>
        <row r="1522">
          <cell r="E1522" t="str">
            <v>Z26000021</v>
          </cell>
          <cell r="AP1522">
            <v>0</v>
          </cell>
          <cell r="AQ1522">
            <v>0</v>
          </cell>
          <cell r="AV1522">
            <v>0</v>
          </cell>
        </row>
        <row r="1523">
          <cell r="E1523" t="str">
            <v>Z26000024</v>
          </cell>
          <cell r="AP1523">
            <v>0</v>
          </cell>
          <cell r="AQ1523">
            <v>0</v>
          </cell>
          <cell r="AV1523">
            <v>0</v>
          </cell>
        </row>
        <row r="1524">
          <cell r="E1524" t="str">
            <v>Z26000231</v>
          </cell>
          <cell r="AP1524">
            <v>0</v>
          </cell>
          <cell r="AQ1524">
            <v>0</v>
          </cell>
          <cell r="AV1524">
            <v>0</v>
          </cell>
        </row>
        <row r="1525">
          <cell r="E1525" t="str">
            <v>Z26000232</v>
          </cell>
          <cell r="AP1525">
            <v>0</v>
          </cell>
          <cell r="AQ1525">
            <v>0</v>
          </cell>
          <cell r="AV1525">
            <v>0</v>
          </cell>
        </row>
        <row r="1526">
          <cell r="E1526" t="str">
            <v>Z26000606</v>
          </cell>
          <cell r="AP1526">
            <v>0</v>
          </cell>
          <cell r="AQ1526">
            <v>0</v>
          </cell>
          <cell r="AV1526">
            <v>0</v>
          </cell>
        </row>
        <row r="1527">
          <cell r="E1527" t="str">
            <v>Z26000607</v>
          </cell>
          <cell r="AP1527">
            <v>0</v>
          </cell>
          <cell r="AQ1527">
            <v>0</v>
          </cell>
          <cell r="AV1527">
            <v>0</v>
          </cell>
        </row>
        <row r="1528">
          <cell r="E1528" t="str">
            <v>D26002833</v>
          </cell>
          <cell r="AP1528">
            <v>0</v>
          </cell>
          <cell r="AQ1528">
            <v>0</v>
          </cell>
          <cell r="AV1528">
            <v>0</v>
          </cell>
        </row>
        <row r="1529">
          <cell r="E1529" t="str">
            <v>D25018525</v>
          </cell>
          <cell r="AP1529">
            <v>0</v>
          </cell>
          <cell r="AQ1529">
            <v>0</v>
          </cell>
          <cell r="AV1529">
            <v>119520000</v>
          </cell>
        </row>
        <row r="1530">
          <cell r="E1530" t="str">
            <v>D25018606</v>
          </cell>
          <cell r="AP1530">
            <v>0</v>
          </cell>
          <cell r="AQ1530">
            <v>0</v>
          </cell>
          <cell r="AV1530">
            <v>17010000</v>
          </cell>
        </row>
        <row r="1531">
          <cell r="E1531" t="str">
            <v>B25016177</v>
          </cell>
          <cell r="AP1531">
            <v>0</v>
          </cell>
          <cell r="AQ1531">
            <v>0</v>
          </cell>
          <cell r="AV1531">
            <v>3240000</v>
          </cell>
        </row>
        <row r="1532">
          <cell r="E1532" t="str">
            <v>B25016825</v>
          </cell>
          <cell r="AP1532">
            <v>0</v>
          </cell>
          <cell r="AQ1532">
            <v>0</v>
          </cell>
          <cell r="AV1532">
            <v>7700000</v>
          </cell>
        </row>
        <row r="1533">
          <cell r="E1533" t="str">
            <v>B25016837</v>
          </cell>
          <cell r="AP1533">
            <v>0</v>
          </cell>
          <cell r="AQ1533">
            <v>0</v>
          </cell>
          <cell r="AV1533">
            <v>42075000</v>
          </cell>
        </row>
        <row r="1534">
          <cell r="E1534" t="str">
            <v>B25017008</v>
          </cell>
          <cell r="AP1534">
            <v>0</v>
          </cell>
          <cell r="AQ1534">
            <v>0</v>
          </cell>
          <cell r="AV1534">
            <v>0</v>
          </cell>
        </row>
        <row r="1535">
          <cell r="E1535" t="str">
            <v>D25019579</v>
          </cell>
          <cell r="AP1535">
            <v>0</v>
          </cell>
          <cell r="AQ1535">
            <v>0</v>
          </cell>
          <cell r="AV1535">
            <v>0</v>
          </cell>
        </row>
        <row r="1536">
          <cell r="E1536" t="str">
            <v>D26000036</v>
          </cell>
          <cell r="AP1536">
            <v>0</v>
          </cell>
          <cell r="AQ1536">
            <v>0</v>
          </cell>
          <cell r="AV1536">
            <v>0</v>
          </cell>
        </row>
        <row r="1537">
          <cell r="E1537" t="str">
            <v>D26000149</v>
          </cell>
          <cell r="AP1537">
            <v>0</v>
          </cell>
          <cell r="AQ1537">
            <v>0</v>
          </cell>
          <cell r="AV1537">
            <v>0</v>
          </cell>
        </row>
        <row r="1538">
          <cell r="E1538" t="str">
            <v>D26000150</v>
          </cell>
          <cell r="AP1538">
            <v>0</v>
          </cell>
          <cell r="AQ1538">
            <v>0</v>
          </cell>
          <cell r="AV1538">
            <v>0</v>
          </cell>
        </row>
        <row r="1539">
          <cell r="E1539" t="str">
            <v>B26000166</v>
          </cell>
          <cell r="AP1539">
            <v>0</v>
          </cell>
          <cell r="AQ1539">
            <v>0</v>
          </cell>
          <cell r="AV1539">
            <v>0</v>
          </cell>
        </row>
        <row r="1540">
          <cell r="E1540" t="str">
            <v>B26000347</v>
          </cell>
          <cell r="AP1540">
            <v>0</v>
          </cell>
          <cell r="AQ1540">
            <v>0</v>
          </cell>
          <cell r="AV1540">
            <v>0</v>
          </cell>
        </row>
        <row r="1541">
          <cell r="E1541" t="str">
            <v>D26000810</v>
          </cell>
          <cell r="AP1541">
            <v>0</v>
          </cell>
          <cell r="AQ1541">
            <v>0</v>
          </cell>
          <cell r="AV1541">
            <v>0</v>
          </cell>
        </row>
        <row r="1542">
          <cell r="E1542" t="str">
            <v>B26000982</v>
          </cell>
          <cell r="AP1542">
            <v>0</v>
          </cell>
          <cell r="AQ1542">
            <v>0</v>
          </cell>
          <cell r="AV1542">
            <v>0</v>
          </cell>
        </row>
        <row r="1543">
          <cell r="E1543" t="str">
            <v>B26000983</v>
          </cell>
          <cell r="AP1543">
            <v>0</v>
          </cell>
          <cell r="AQ1543">
            <v>0</v>
          </cell>
          <cell r="AV1543">
            <v>0</v>
          </cell>
        </row>
        <row r="1544">
          <cell r="E1544" t="str">
            <v>B26001042</v>
          </cell>
          <cell r="AP1544">
            <v>0</v>
          </cell>
          <cell r="AQ1544">
            <v>0</v>
          </cell>
          <cell r="AV1544">
            <v>0</v>
          </cell>
        </row>
        <row r="1545">
          <cell r="E1545" t="str">
            <v>B26001049</v>
          </cell>
          <cell r="AP1545">
            <v>0</v>
          </cell>
          <cell r="AQ1545">
            <v>0</v>
          </cell>
          <cell r="AV1545">
            <v>0</v>
          </cell>
        </row>
        <row r="1546">
          <cell r="E1546" t="str">
            <v>D26001275</v>
          </cell>
          <cell r="AP1546">
            <v>0</v>
          </cell>
          <cell r="AQ1546">
            <v>0</v>
          </cell>
          <cell r="AV1546">
            <v>0</v>
          </cell>
        </row>
        <row r="1547">
          <cell r="E1547" t="str">
            <v>D26001314</v>
          </cell>
          <cell r="AP1547">
            <v>0</v>
          </cell>
          <cell r="AQ1547">
            <v>0</v>
          </cell>
          <cell r="AV1547">
            <v>0</v>
          </cell>
        </row>
        <row r="1548">
          <cell r="E1548" t="str">
            <v>B26001274</v>
          </cell>
          <cell r="AP1548">
            <v>0</v>
          </cell>
          <cell r="AQ1548">
            <v>0</v>
          </cell>
          <cell r="AV1548">
            <v>0</v>
          </cell>
        </row>
        <row r="1549">
          <cell r="E1549" t="str">
            <v>B26001388</v>
          </cell>
          <cell r="AP1549">
            <v>0</v>
          </cell>
          <cell r="AQ1549">
            <v>0</v>
          </cell>
          <cell r="AV1549">
            <v>0</v>
          </cell>
        </row>
        <row r="1550">
          <cell r="E1550" t="str">
            <v>B26001410</v>
          </cell>
          <cell r="AP1550">
            <v>0</v>
          </cell>
          <cell r="AQ1550">
            <v>0</v>
          </cell>
          <cell r="AV1550">
            <v>0</v>
          </cell>
        </row>
        <row r="1551">
          <cell r="E1551" t="str">
            <v>B26001446</v>
          </cell>
          <cell r="AP1551">
            <v>0</v>
          </cell>
          <cell r="AQ1551">
            <v>0</v>
          </cell>
          <cell r="AV1551">
            <v>0</v>
          </cell>
        </row>
        <row r="1552">
          <cell r="E1552" t="str">
            <v>B26001574</v>
          </cell>
          <cell r="AP1552">
            <v>0</v>
          </cell>
          <cell r="AQ1552">
            <v>0</v>
          </cell>
          <cell r="AV1552">
            <v>0</v>
          </cell>
        </row>
        <row r="1553">
          <cell r="E1553" t="str">
            <v>B26001580</v>
          </cell>
          <cell r="AP1553">
            <v>0</v>
          </cell>
          <cell r="AQ1553">
            <v>0</v>
          </cell>
          <cell r="AV1553">
            <v>0</v>
          </cell>
        </row>
        <row r="1554">
          <cell r="E1554" t="str">
            <v>D26001839</v>
          </cell>
          <cell r="AP1554">
            <v>0</v>
          </cell>
          <cell r="AQ1554">
            <v>0</v>
          </cell>
          <cell r="AV1554">
            <v>0</v>
          </cell>
        </row>
        <row r="1555">
          <cell r="E1555" t="str">
            <v>B26001745</v>
          </cell>
          <cell r="AP1555">
            <v>0</v>
          </cell>
          <cell r="AQ1555">
            <v>0</v>
          </cell>
          <cell r="AV1555">
            <v>0</v>
          </cell>
        </row>
        <row r="1556">
          <cell r="E1556" t="str">
            <v>D26002091</v>
          </cell>
          <cell r="AP1556">
            <v>0</v>
          </cell>
          <cell r="AQ1556">
            <v>0</v>
          </cell>
          <cell r="AV1556">
            <v>0</v>
          </cell>
        </row>
        <row r="1557">
          <cell r="E1557" t="str">
            <v>D26002297</v>
          </cell>
          <cell r="AP1557">
            <v>0</v>
          </cell>
          <cell r="AQ1557">
            <v>0</v>
          </cell>
          <cell r="AV1557">
            <v>0</v>
          </cell>
        </row>
        <row r="1558">
          <cell r="E1558" t="str">
            <v>D26002682</v>
          </cell>
          <cell r="AP1558">
            <v>0</v>
          </cell>
          <cell r="AQ1558">
            <v>0</v>
          </cell>
          <cell r="AV1558">
            <v>0</v>
          </cell>
        </row>
        <row r="1559">
          <cell r="E1559" t="str">
            <v>D26002683</v>
          </cell>
          <cell r="AP1559">
            <v>0</v>
          </cell>
          <cell r="AQ1559">
            <v>0</v>
          </cell>
          <cell r="AV1559">
            <v>0</v>
          </cell>
        </row>
        <row r="1560">
          <cell r="E1560" t="str">
            <v>D26002710</v>
          </cell>
          <cell r="AP1560">
            <v>0</v>
          </cell>
          <cell r="AQ1560">
            <v>0</v>
          </cell>
          <cell r="AV1560">
            <v>0</v>
          </cell>
        </row>
        <row r="1561">
          <cell r="E1561" t="str">
            <v>D26002907</v>
          </cell>
          <cell r="AP1561">
            <v>0</v>
          </cell>
          <cell r="AQ1561">
            <v>0</v>
          </cell>
          <cell r="AV1561">
            <v>0</v>
          </cell>
        </row>
        <row r="1562">
          <cell r="E1562" t="str">
            <v>D26002913</v>
          </cell>
          <cell r="AP1562">
            <v>0</v>
          </cell>
          <cell r="AQ1562">
            <v>0</v>
          </cell>
          <cell r="AV1562">
            <v>0</v>
          </cell>
        </row>
        <row r="1563">
          <cell r="E1563" t="str">
            <v>D26002914</v>
          </cell>
          <cell r="AP1563">
            <v>0</v>
          </cell>
          <cell r="AQ1563">
            <v>0</v>
          </cell>
          <cell r="AV1563">
            <v>0</v>
          </cell>
        </row>
        <row r="1564">
          <cell r="E1564" t="str">
            <v>B26002910</v>
          </cell>
          <cell r="AP1564">
            <v>0</v>
          </cell>
          <cell r="AQ1564">
            <v>0</v>
          </cell>
          <cell r="AV1564">
            <v>0</v>
          </cell>
        </row>
        <row r="1565">
          <cell r="E1565" t="str">
            <v>B26003009</v>
          </cell>
          <cell r="AP1565">
            <v>0</v>
          </cell>
          <cell r="AQ1565">
            <v>0</v>
          </cell>
          <cell r="AV1565">
            <v>0</v>
          </cell>
        </row>
        <row r="1566">
          <cell r="E1566" t="str">
            <v>B25016619</v>
          </cell>
          <cell r="AP1566">
            <v>0</v>
          </cell>
          <cell r="AQ1566">
            <v>0</v>
          </cell>
          <cell r="AV1566">
            <v>0</v>
          </cell>
        </row>
        <row r="1567">
          <cell r="E1567" t="str">
            <v>D25019634</v>
          </cell>
          <cell r="AP1567">
            <v>0</v>
          </cell>
          <cell r="AQ1567">
            <v>0</v>
          </cell>
          <cell r="AV1567">
            <v>0</v>
          </cell>
        </row>
        <row r="1568">
          <cell r="E1568" t="str">
            <v>B25013215</v>
          </cell>
          <cell r="AP1568">
            <v>0</v>
          </cell>
          <cell r="AQ1568">
            <v>0</v>
          </cell>
          <cell r="AV1568">
            <v>0</v>
          </cell>
        </row>
        <row r="1569">
          <cell r="E1569" t="str">
            <v>B25013285</v>
          </cell>
          <cell r="AP1569">
            <v>0</v>
          </cell>
          <cell r="AQ1569">
            <v>0</v>
          </cell>
          <cell r="AV1569">
            <v>0</v>
          </cell>
        </row>
        <row r="1570">
          <cell r="E1570" t="str">
            <v>E23005700</v>
          </cell>
          <cell r="AP1570">
            <v>0</v>
          </cell>
          <cell r="AQ1570">
            <v>0</v>
          </cell>
          <cell r="AV1570">
            <v>0</v>
          </cell>
        </row>
        <row r="1571">
          <cell r="E1571" t="str">
            <v>B25008183</v>
          </cell>
          <cell r="AP1571">
            <v>0</v>
          </cell>
          <cell r="AQ1571">
            <v>0</v>
          </cell>
          <cell r="AV1571">
            <v>0</v>
          </cell>
        </row>
        <row r="1572">
          <cell r="E1572" t="str">
            <v>B26001004</v>
          </cell>
          <cell r="AP1572">
            <v>0</v>
          </cell>
          <cell r="AQ1572">
            <v>0</v>
          </cell>
          <cell r="AV1572">
            <v>0</v>
          </cell>
        </row>
        <row r="1573">
          <cell r="E1573" t="str">
            <v>D26002404</v>
          </cell>
          <cell r="AP1573">
            <v>0</v>
          </cell>
          <cell r="AQ1573">
            <v>0</v>
          </cell>
          <cell r="AV1573">
            <v>0</v>
          </cell>
        </row>
        <row r="1574">
          <cell r="E1574" t="str">
            <v>B26002150</v>
          </cell>
          <cell r="AP1574">
            <v>0</v>
          </cell>
          <cell r="AQ1574">
            <v>0</v>
          </cell>
          <cell r="AV1574">
            <v>0</v>
          </cell>
        </row>
        <row r="1575">
          <cell r="E1575" t="str">
            <v>D26000664</v>
          </cell>
          <cell r="AP1575">
            <v>0</v>
          </cell>
          <cell r="AQ1575">
            <v>0</v>
          </cell>
          <cell r="AV1575">
            <v>0</v>
          </cell>
        </row>
        <row r="1576">
          <cell r="E1576" t="str">
            <v>B26002728</v>
          </cell>
          <cell r="AP1576">
            <v>0</v>
          </cell>
          <cell r="AQ1576">
            <v>0</v>
          </cell>
          <cell r="AV1576">
            <v>0</v>
          </cell>
        </row>
        <row r="1577">
          <cell r="E1577" t="str">
            <v>D26000899</v>
          </cell>
          <cell r="AP1577">
            <v>0</v>
          </cell>
          <cell r="AQ1577">
            <v>0</v>
          </cell>
          <cell r="AV1577">
            <v>0</v>
          </cell>
        </row>
        <row r="1578">
          <cell r="E1578" t="str">
            <v>T26000064</v>
          </cell>
          <cell r="AP1578">
            <v>0</v>
          </cell>
          <cell r="AQ1578">
            <v>0</v>
          </cell>
          <cell r="AV1578">
            <v>0</v>
          </cell>
        </row>
        <row r="1579">
          <cell r="E1579" t="str">
            <v>T26000089</v>
          </cell>
          <cell r="AP1579">
            <v>0</v>
          </cell>
          <cell r="AQ1579">
            <v>0</v>
          </cell>
          <cell r="AV1579">
            <v>0</v>
          </cell>
        </row>
        <row r="1580">
          <cell r="E1580" t="str">
            <v>B26002113</v>
          </cell>
          <cell r="AP1580">
            <v>0</v>
          </cell>
          <cell r="AQ1580">
            <v>0</v>
          </cell>
          <cell r="AV1580">
            <v>0</v>
          </cell>
        </row>
        <row r="1581">
          <cell r="E1581" t="str">
            <v>B26002495</v>
          </cell>
          <cell r="AP1581">
            <v>0</v>
          </cell>
          <cell r="AQ1581">
            <v>0</v>
          </cell>
          <cell r="AV1581">
            <v>0</v>
          </cell>
        </row>
        <row r="1582">
          <cell r="E1582" t="str">
            <v>B26002496</v>
          </cell>
          <cell r="AP1582">
            <v>0</v>
          </cell>
          <cell r="AQ1582">
            <v>0</v>
          </cell>
          <cell r="AV1582">
            <v>0</v>
          </cell>
        </row>
        <row r="1583">
          <cell r="E1583" t="str">
            <v>D26000811</v>
          </cell>
          <cell r="AP1583">
            <v>0</v>
          </cell>
          <cell r="AQ1583">
            <v>0</v>
          </cell>
          <cell r="AV1583">
            <v>1350000</v>
          </cell>
        </row>
        <row r="1584">
          <cell r="E1584" t="str">
            <v>D26002364</v>
          </cell>
          <cell r="AP1584">
            <v>0</v>
          </cell>
          <cell r="AQ1584">
            <v>0</v>
          </cell>
          <cell r="AV1584">
            <v>0</v>
          </cell>
        </row>
        <row r="1585">
          <cell r="E1585" t="str">
            <v>D26002487</v>
          </cell>
          <cell r="AP1585">
            <v>0</v>
          </cell>
          <cell r="AQ1585">
            <v>0</v>
          </cell>
          <cell r="AV1585">
            <v>0</v>
          </cell>
        </row>
        <row r="1586">
          <cell r="E1586" t="str">
            <v>B26002339</v>
          </cell>
          <cell r="AP1586">
            <v>0</v>
          </cell>
          <cell r="AQ1586">
            <v>0</v>
          </cell>
          <cell r="AV1586">
            <v>0</v>
          </cell>
        </row>
        <row r="1587">
          <cell r="E1587" t="str">
            <v>D26002621</v>
          </cell>
          <cell r="AP1587">
            <v>0</v>
          </cell>
          <cell r="AQ1587">
            <v>0</v>
          </cell>
          <cell r="AV1587">
            <v>0</v>
          </cell>
        </row>
        <row r="1588">
          <cell r="E1588" t="str">
            <v>D25015654</v>
          </cell>
          <cell r="AP1588">
            <v>0</v>
          </cell>
          <cell r="AQ1588">
            <v>0</v>
          </cell>
          <cell r="AV1588">
            <v>0</v>
          </cell>
        </row>
        <row r="1589">
          <cell r="E1589" t="str">
            <v>D26002401</v>
          </cell>
          <cell r="AP1589">
            <v>0</v>
          </cell>
          <cell r="AQ1589">
            <v>0</v>
          </cell>
          <cell r="AV1589">
            <v>0</v>
          </cell>
        </row>
        <row r="1590">
          <cell r="E1590" t="str">
            <v>T25001854</v>
          </cell>
          <cell r="AP1590">
            <v>0</v>
          </cell>
          <cell r="AQ1590">
            <v>0</v>
          </cell>
          <cell r="AV1590">
            <v>0</v>
          </cell>
        </row>
        <row r="1591">
          <cell r="E1591" t="str">
            <v>D25019148</v>
          </cell>
          <cell r="AP1591">
            <v>0</v>
          </cell>
          <cell r="AQ1591">
            <v>0</v>
          </cell>
          <cell r="AV1591">
            <v>0</v>
          </cell>
        </row>
        <row r="1592">
          <cell r="E1592" t="str">
            <v>B26000046</v>
          </cell>
          <cell r="AP1592">
            <v>0</v>
          </cell>
          <cell r="AQ1592">
            <v>0</v>
          </cell>
          <cell r="AV1592">
            <v>0</v>
          </cell>
        </row>
        <row r="1593">
          <cell r="E1593" t="str">
            <v>B26000125</v>
          </cell>
          <cell r="AP1593">
            <v>0</v>
          </cell>
          <cell r="AQ1593">
            <v>0</v>
          </cell>
          <cell r="AV1593">
            <v>0</v>
          </cell>
        </row>
        <row r="1594">
          <cell r="E1594" t="str">
            <v>B26000508</v>
          </cell>
          <cell r="AP1594">
            <v>0</v>
          </cell>
          <cell r="AQ1594">
            <v>0</v>
          </cell>
          <cell r="AV1594">
            <v>0</v>
          </cell>
        </row>
        <row r="1595">
          <cell r="E1595" t="str">
            <v>B26001344</v>
          </cell>
          <cell r="AP1595">
            <v>0</v>
          </cell>
          <cell r="AQ1595">
            <v>0</v>
          </cell>
          <cell r="AV1595">
            <v>0</v>
          </cell>
        </row>
        <row r="1596">
          <cell r="E1596" t="str">
            <v>D26002160</v>
          </cell>
          <cell r="AP1596">
            <v>0</v>
          </cell>
          <cell r="AQ1596">
            <v>0</v>
          </cell>
          <cell r="AV1596">
            <v>0</v>
          </cell>
        </row>
        <row r="1597">
          <cell r="E1597" t="str">
            <v>B26002874</v>
          </cell>
          <cell r="AP1597">
            <v>0</v>
          </cell>
          <cell r="AQ1597">
            <v>0</v>
          </cell>
          <cell r="AV1597">
            <v>0</v>
          </cell>
        </row>
        <row r="1598">
          <cell r="E1598" t="str">
            <v>D26001318</v>
          </cell>
          <cell r="AP1598">
            <v>0</v>
          </cell>
          <cell r="AQ1598">
            <v>0</v>
          </cell>
          <cell r="AV1598">
            <v>0</v>
          </cell>
        </row>
        <row r="1599">
          <cell r="E1599" t="str">
            <v>Z26000424</v>
          </cell>
          <cell r="AP1599">
            <v>0</v>
          </cell>
          <cell r="AQ1599">
            <v>0</v>
          </cell>
          <cell r="AV1599">
            <v>0</v>
          </cell>
        </row>
        <row r="1600">
          <cell r="E1600" t="str">
            <v>B26000001</v>
          </cell>
          <cell r="AP1600">
            <v>0</v>
          </cell>
          <cell r="AQ1600">
            <v>0</v>
          </cell>
          <cell r="AV1600">
            <v>0</v>
          </cell>
        </row>
        <row r="1601">
          <cell r="E1601" t="str">
            <v>B26000052</v>
          </cell>
          <cell r="AP1601">
            <v>0</v>
          </cell>
          <cell r="AQ1601">
            <v>0</v>
          </cell>
          <cell r="AV1601">
            <v>0</v>
          </cell>
        </row>
        <row r="1602">
          <cell r="E1602" t="str">
            <v>B26000053</v>
          </cell>
          <cell r="AP1602">
            <v>0</v>
          </cell>
          <cell r="AQ1602">
            <v>0</v>
          </cell>
          <cell r="AV1602">
            <v>0</v>
          </cell>
        </row>
        <row r="1603">
          <cell r="E1603" t="str">
            <v>B26000062</v>
          </cell>
          <cell r="AP1603">
            <v>0</v>
          </cell>
          <cell r="AQ1603">
            <v>0</v>
          </cell>
          <cell r="AV1603">
            <v>0</v>
          </cell>
        </row>
        <row r="1604">
          <cell r="E1604" t="str">
            <v>B26000102</v>
          </cell>
          <cell r="AP1604">
            <v>0</v>
          </cell>
          <cell r="AQ1604">
            <v>0</v>
          </cell>
          <cell r="AV1604">
            <v>0</v>
          </cell>
        </row>
        <row r="1605">
          <cell r="E1605" t="str">
            <v>D26000066</v>
          </cell>
          <cell r="AP1605">
            <v>0</v>
          </cell>
          <cell r="AQ1605">
            <v>0</v>
          </cell>
          <cell r="AV1605">
            <v>0</v>
          </cell>
        </row>
        <row r="1606">
          <cell r="E1606" t="str">
            <v>D26000222</v>
          </cell>
          <cell r="AP1606">
            <v>0</v>
          </cell>
          <cell r="AQ1606">
            <v>0</v>
          </cell>
          <cell r="AV1606">
            <v>0</v>
          </cell>
        </row>
        <row r="1607">
          <cell r="E1607" t="str">
            <v>D26000314</v>
          </cell>
          <cell r="AP1607">
            <v>0</v>
          </cell>
          <cell r="AQ1607">
            <v>0</v>
          </cell>
          <cell r="AV1607">
            <v>0</v>
          </cell>
        </row>
        <row r="1608">
          <cell r="E1608" t="str">
            <v>B26000311</v>
          </cell>
          <cell r="AP1608">
            <v>0</v>
          </cell>
          <cell r="AQ1608">
            <v>0</v>
          </cell>
          <cell r="AV1608">
            <v>0</v>
          </cell>
        </row>
        <row r="1609">
          <cell r="E1609" t="str">
            <v>B26000314</v>
          </cell>
          <cell r="AP1609">
            <v>0</v>
          </cell>
          <cell r="AQ1609">
            <v>0</v>
          </cell>
          <cell r="AV1609">
            <v>0</v>
          </cell>
        </row>
        <row r="1610">
          <cell r="E1610" t="str">
            <v>D26000382</v>
          </cell>
          <cell r="AP1610">
            <v>0</v>
          </cell>
          <cell r="AQ1610">
            <v>0</v>
          </cell>
          <cell r="AV1610">
            <v>0</v>
          </cell>
        </row>
        <row r="1611">
          <cell r="E1611" t="str">
            <v>D26000383</v>
          </cell>
          <cell r="AP1611">
            <v>0</v>
          </cell>
          <cell r="AQ1611">
            <v>0</v>
          </cell>
          <cell r="AV1611">
            <v>0</v>
          </cell>
        </row>
        <row r="1612">
          <cell r="E1612" t="str">
            <v>D26000460</v>
          </cell>
          <cell r="AP1612">
            <v>0</v>
          </cell>
          <cell r="AQ1612">
            <v>0</v>
          </cell>
          <cell r="AV1612">
            <v>0</v>
          </cell>
        </row>
        <row r="1613">
          <cell r="E1613" t="str">
            <v>D26000513</v>
          </cell>
          <cell r="AP1613">
            <v>0</v>
          </cell>
          <cell r="AQ1613">
            <v>0</v>
          </cell>
          <cell r="AV1613">
            <v>0</v>
          </cell>
        </row>
        <row r="1614">
          <cell r="E1614" t="str">
            <v>D26000514</v>
          </cell>
          <cell r="AP1614">
            <v>0</v>
          </cell>
          <cell r="AQ1614">
            <v>0</v>
          </cell>
          <cell r="AV1614">
            <v>0</v>
          </cell>
        </row>
        <row r="1615">
          <cell r="E1615" t="str">
            <v>D26000515</v>
          </cell>
          <cell r="AP1615">
            <v>0</v>
          </cell>
          <cell r="AQ1615">
            <v>0</v>
          </cell>
          <cell r="AV1615">
            <v>0</v>
          </cell>
        </row>
        <row r="1616">
          <cell r="E1616" t="str">
            <v>B26000502</v>
          </cell>
          <cell r="AP1616">
            <v>0</v>
          </cell>
          <cell r="AQ1616">
            <v>0</v>
          </cell>
          <cell r="AV1616">
            <v>0</v>
          </cell>
        </row>
        <row r="1617">
          <cell r="E1617" t="str">
            <v>B26000531</v>
          </cell>
          <cell r="AP1617">
            <v>0</v>
          </cell>
          <cell r="AQ1617">
            <v>0</v>
          </cell>
          <cell r="AV1617">
            <v>0</v>
          </cell>
        </row>
        <row r="1618">
          <cell r="E1618" t="str">
            <v>B26000580</v>
          </cell>
          <cell r="AP1618">
            <v>0</v>
          </cell>
          <cell r="AQ1618">
            <v>0</v>
          </cell>
          <cell r="AV1618">
            <v>0</v>
          </cell>
        </row>
        <row r="1619">
          <cell r="E1619" t="str">
            <v>D26000633</v>
          </cell>
          <cell r="AP1619">
            <v>0</v>
          </cell>
          <cell r="AQ1619">
            <v>0</v>
          </cell>
          <cell r="AV1619">
            <v>0</v>
          </cell>
        </row>
        <row r="1620">
          <cell r="E1620" t="str">
            <v>D26000655</v>
          </cell>
          <cell r="AP1620">
            <v>0</v>
          </cell>
          <cell r="AQ1620">
            <v>0</v>
          </cell>
          <cell r="AV1620">
            <v>0</v>
          </cell>
        </row>
        <row r="1621">
          <cell r="E1621" t="str">
            <v>B26000665</v>
          </cell>
          <cell r="AP1621">
            <v>0</v>
          </cell>
          <cell r="AQ1621">
            <v>0</v>
          </cell>
          <cell r="AV1621">
            <v>0</v>
          </cell>
        </row>
        <row r="1622">
          <cell r="E1622" t="str">
            <v>B26000679</v>
          </cell>
          <cell r="AP1622">
            <v>0</v>
          </cell>
          <cell r="AQ1622">
            <v>0</v>
          </cell>
          <cell r="AV1622">
            <v>0</v>
          </cell>
        </row>
        <row r="1623">
          <cell r="E1623" t="str">
            <v>D26000708</v>
          </cell>
          <cell r="AP1623">
            <v>0</v>
          </cell>
          <cell r="AQ1623">
            <v>0</v>
          </cell>
          <cell r="AV1623">
            <v>0</v>
          </cell>
        </row>
        <row r="1624">
          <cell r="E1624" t="str">
            <v>D26000712</v>
          </cell>
          <cell r="AP1624">
            <v>0</v>
          </cell>
          <cell r="AQ1624">
            <v>0</v>
          </cell>
          <cell r="AV1624">
            <v>0</v>
          </cell>
        </row>
        <row r="1625">
          <cell r="E1625" t="str">
            <v>B26000731</v>
          </cell>
          <cell r="AP1625">
            <v>0</v>
          </cell>
          <cell r="AQ1625">
            <v>0</v>
          </cell>
          <cell r="AV1625">
            <v>0</v>
          </cell>
        </row>
        <row r="1626">
          <cell r="E1626" t="str">
            <v>D26000812</v>
          </cell>
          <cell r="AP1626">
            <v>0</v>
          </cell>
          <cell r="AQ1626">
            <v>0</v>
          </cell>
          <cell r="AV1626">
            <v>0</v>
          </cell>
        </row>
        <row r="1627">
          <cell r="E1627" t="str">
            <v>B26000778</v>
          </cell>
          <cell r="AP1627">
            <v>0</v>
          </cell>
          <cell r="AQ1627">
            <v>0</v>
          </cell>
          <cell r="AV1627">
            <v>0</v>
          </cell>
        </row>
        <row r="1628">
          <cell r="E1628" t="str">
            <v>D26000848</v>
          </cell>
          <cell r="AP1628">
            <v>0</v>
          </cell>
          <cell r="AQ1628">
            <v>0</v>
          </cell>
          <cell r="AV1628">
            <v>0</v>
          </cell>
        </row>
        <row r="1629">
          <cell r="E1629" t="str">
            <v>B26000811</v>
          </cell>
          <cell r="AP1629">
            <v>0</v>
          </cell>
          <cell r="AQ1629">
            <v>0</v>
          </cell>
          <cell r="AV1629">
            <v>0</v>
          </cell>
        </row>
        <row r="1630">
          <cell r="E1630" t="str">
            <v>B26000842</v>
          </cell>
          <cell r="AP1630">
            <v>0</v>
          </cell>
          <cell r="AQ1630">
            <v>0</v>
          </cell>
          <cell r="AV1630">
            <v>0</v>
          </cell>
        </row>
        <row r="1631">
          <cell r="E1631" t="str">
            <v>B26000843</v>
          </cell>
          <cell r="AP1631">
            <v>0</v>
          </cell>
          <cell r="AQ1631">
            <v>0</v>
          </cell>
          <cell r="AV1631">
            <v>0</v>
          </cell>
        </row>
        <row r="1632">
          <cell r="E1632" t="str">
            <v>B26000894</v>
          </cell>
          <cell r="AP1632">
            <v>0</v>
          </cell>
          <cell r="AQ1632">
            <v>0</v>
          </cell>
          <cell r="AV1632">
            <v>0</v>
          </cell>
        </row>
        <row r="1633">
          <cell r="E1633" t="str">
            <v>B26000895</v>
          </cell>
          <cell r="AP1633">
            <v>0</v>
          </cell>
          <cell r="AQ1633">
            <v>0</v>
          </cell>
          <cell r="AV1633">
            <v>0</v>
          </cell>
        </row>
        <row r="1634">
          <cell r="E1634" t="str">
            <v>B26000907</v>
          </cell>
          <cell r="AP1634">
            <v>0</v>
          </cell>
          <cell r="AQ1634">
            <v>0</v>
          </cell>
          <cell r="AV1634">
            <v>0</v>
          </cell>
        </row>
        <row r="1635">
          <cell r="E1635" t="str">
            <v>D26001026</v>
          </cell>
          <cell r="AP1635">
            <v>0</v>
          </cell>
          <cell r="AQ1635">
            <v>0</v>
          </cell>
          <cell r="AV1635">
            <v>0</v>
          </cell>
        </row>
        <row r="1636">
          <cell r="E1636" t="str">
            <v>D26001084</v>
          </cell>
          <cell r="AP1636">
            <v>0</v>
          </cell>
          <cell r="AQ1636">
            <v>0</v>
          </cell>
          <cell r="AV1636">
            <v>0</v>
          </cell>
        </row>
        <row r="1637">
          <cell r="E1637" t="str">
            <v>B26001113</v>
          </cell>
          <cell r="AP1637">
            <v>0</v>
          </cell>
          <cell r="AQ1637">
            <v>0</v>
          </cell>
          <cell r="AV1637">
            <v>0</v>
          </cell>
        </row>
        <row r="1638">
          <cell r="E1638" t="str">
            <v>D26001153</v>
          </cell>
          <cell r="AP1638">
            <v>0</v>
          </cell>
          <cell r="AQ1638">
            <v>0</v>
          </cell>
          <cell r="AV1638">
            <v>0</v>
          </cell>
        </row>
        <row r="1639">
          <cell r="E1639" t="str">
            <v>D26001171</v>
          </cell>
          <cell r="AP1639">
            <v>0</v>
          </cell>
          <cell r="AQ1639">
            <v>0</v>
          </cell>
          <cell r="AV1639">
            <v>0</v>
          </cell>
        </row>
        <row r="1640">
          <cell r="E1640" t="str">
            <v>D26001172</v>
          </cell>
          <cell r="AP1640">
            <v>0</v>
          </cell>
          <cell r="AQ1640">
            <v>0</v>
          </cell>
          <cell r="AV1640">
            <v>0</v>
          </cell>
        </row>
        <row r="1641">
          <cell r="E1641" t="str">
            <v>B26001146</v>
          </cell>
          <cell r="AP1641">
            <v>0</v>
          </cell>
          <cell r="AQ1641">
            <v>0</v>
          </cell>
          <cell r="AV1641">
            <v>0</v>
          </cell>
        </row>
        <row r="1642">
          <cell r="E1642" t="str">
            <v>D26001224</v>
          </cell>
          <cell r="AP1642">
            <v>0</v>
          </cell>
          <cell r="AQ1642">
            <v>0</v>
          </cell>
          <cell r="AV1642">
            <v>0</v>
          </cell>
        </row>
        <row r="1643">
          <cell r="E1643" t="str">
            <v>B26001218</v>
          </cell>
          <cell r="AP1643">
            <v>0</v>
          </cell>
          <cell r="AQ1643">
            <v>0</v>
          </cell>
          <cell r="AV1643">
            <v>0</v>
          </cell>
        </row>
        <row r="1644">
          <cell r="E1644" t="str">
            <v>B26001219</v>
          </cell>
          <cell r="AP1644">
            <v>0</v>
          </cell>
          <cell r="AQ1644">
            <v>0</v>
          </cell>
          <cell r="AV1644">
            <v>0</v>
          </cell>
        </row>
        <row r="1645">
          <cell r="E1645" t="str">
            <v>D26001283</v>
          </cell>
          <cell r="AP1645">
            <v>0</v>
          </cell>
          <cell r="AQ1645">
            <v>0</v>
          </cell>
          <cell r="AV1645">
            <v>0</v>
          </cell>
        </row>
        <row r="1646">
          <cell r="E1646" t="str">
            <v>D26001297</v>
          </cell>
          <cell r="AP1646">
            <v>0</v>
          </cell>
          <cell r="AQ1646">
            <v>0</v>
          </cell>
          <cell r="AV1646">
            <v>0</v>
          </cell>
        </row>
        <row r="1647">
          <cell r="E1647" t="str">
            <v>B26001238</v>
          </cell>
          <cell r="AP1647">
            <v>0</v>
          </cell>
          <cell r="AQ1647">
            <v>0</v>
          </cell>
          <cell r="AV1647">
            <v>0</v>
          </cell>
        </row>
        <row r="1648">
          <cell r="E1648" t="str">
            <v>B26001295</v>
          </cell>
          <cell r="AP1648">
            <v>0</v>
          </cell>
          <cell r="AQ1648">
            <v>0</v>
          </cell>
          <cell r="AV1648">
            <v>0</v>
          </cell>
        </row>
        <row r="1649">
          <cell r="E1649" t="str">
            <v>D26001383</v>
          </cell>
          <cell r="AP1649">
            <v>0</v>
          </cell>
          <cell r="AQ1649">
            <v>0</v>
          </cell>
          <cell r="AV1649">
            <v>0</v>
          </cell>
        </row>
        <row r="1650">
          <cell r="E1650" t="str">
            <v>D26001466</v>
          </cell>
          <cell r="AP1650">
            <v>0</v>
          </cell>
          <cell r="AQ1650">
            <v>0</v>
          </cell>
          <cell r="AV1650">
            <v>0</v>
          </cell>
        </row>
        <row r="1651">
          <cell r="E1651" t="str">
            <v>B26001433</v>
          </cell>
          <cell r="AP1651">
            <v>0</v>
          </cell>
          <cell r="AQ1651">
            <v>0</v>
          </cell>
          <cell r="AV1651">
            <v>0</v>
          </cell>
        </row>
        <row r="1652">
          <cell r="E1652" t="str">
            <v>B26001434</v>
          </cell>
          <cell r="AP1652">
            <v>0</v>
          </cell>
          <cell r="AQ1652">
            <v>0</v>
          </cell>
          <cell r="AV1652">
            <v>0</v>
          </cell>
        </row>
        <row r="1653">
          <cell r="E1653" t="str">
            <v>B26001459</v>
          </cell>
          <cell r="AP1653">
            <v>0</v>
          </cell>
          <cell r="AQ1653">
            <v>0</v>
          </cell>
          <cell r="AV1653">
            <v>0</v>
          </cell>
        </row>
        <row r="1654">
          <cell r="E1654" t="str">
            <v>D26001631</v>
          </cell>
          <cell r="AP1654">
            <v>0</v>
          </cell>
          <cell r="AQ1654">
            <v>0</v>
          </cell>
          <cell r="AV1654">
            <v>0</v>
          </cell>
        </row>
        <row r="1655">
          <cell r="E1655" t="str">
            <v>D26001632</v>
          </cell>
          <cell r="AP1655">
            <v>0</v>
          </cell>
          <cell r="AQ1655">
            <v>0</v>
          </cell>
          <cell r="AV1655">
            <v>0</v>
          </cell>
        </row>
        <row r="1656">
          <cell r="E1656" t="str">
            <v>D26001684</v>
          </cell>
          <cell r="AP1656">
            <v>0</v>
          </cell>
          <cell r="AQ1656">
            <v>0</v>
          </cell>
          <cell r="AV1656">
            <v>0</v>
          </cell>
        </row>
        <row r="1657">
          <cell r="E1657" t="str">
            <v>D26001732</v>
          </cell>
          <cell r="AP1657">
            <v>0</v>
          </cell>
          <cell r="AQ1657">
            <v>0</v>
          </cell>
          <cell r="AV1657">
            <v>0</v>
          </cell>
        </row>
        <row r="1658">
          <cell r="E1658" t="str">
            <v>B26001655</v>
          </cell>
          <cell r="AP1658">
            <v>0</v>
          </cell>
          <cell r="AQ1658">
            <v>0</v>
          </cell>
          <cell r="AV1658">
            <v>0</v>
          </cell>
        </row>
        <row r="1659">
          <cell r="E1659" t="str">
            <v>B26001670</v>
          </cell>
          <cell r="AP1659">
            <v>0</v>
          </cell>
          <cell r="AQ1659">
            <v>0</v>
          </cell>
          <cell r="AV1659">
            <v>0</v>
          </cell>
        </row>
        <row r="1660">
          <cell r="E1660" t="str">
            <v>D26001858</v>
          </cell>
          <cell r="AP1660">
            <v>0</v>
          </cell>
          <cell r="AQ1660">
            <v>0</v>
          </cell>
          <cell r="AV1660">
            <v>0</v>
          </cell>
        </row>
        <row r="1661">
          <cell r="E1661" t="str">
            <v>D26001859</v>
          </cell>
          <cell r="AP1661">
            <v>0</v>
          </cell>
          <cell r="AQ1661">
            <v>0</v>
          </cell>
          <cell r="AV1661">
            <v>0</v>
          </cell>
        </row>
        <row r="1662">
          <cell r="E1662" t="str">
            <v>D26001902</v>
          </cell>
          <cell r="AP1662">
            <v>0</v>
          </cell>
          <cell r="AQ1662">
            <v>0</v>
          </cell>
          <cell r="AV1662">
            <v>0</v>
          </cell>
        </row>
        <row r="1663">
          <cell r="E1663" t="str">
            <v>B26001821</v>
          </cell>
          <cell r="AP1663">
            <v>0</v>
          </cell>
          <cell r="AQ1663">
            <v>0</v>
          </cell>
          <cell r="AV1663">
            <v>0</v>
          </cell>
        </row>
        <row r="1664">
          <cell r="E1664" t="str">
            <v>B26001822</v>
          </cell>
          <cell r="AP1664">
            <v>0</v>
          </cell>
          <cell r="AQ1664">
            <v>0</v>
          </cell>
          <cell r="AV1664">
            <v>0</v>
          </cell>
        </row>
        <row r="1665">
          <cell r="E1665" t="str">
            <v>B26001869</v>
          </cell>
          <cell r="AP1665">
            <v>0</v>
          </cell>
          <cell r="AQ1665">
            <v>0</v>
          </cell>
          <cell r="AV1665">
            <v>0</v>
          </cell>
        </row>
        <row r="1666">
          <cell r="E1666" t="str">
            <v>B26001870</v>
          </cell>
          <cell r="AP1666">
            <v>0</v>
          </cell>
          <cell r="AQ1666">
            <v>0</v>
          </cell>
          <cell r="AV1666">
            <v>0</v>
          </cell>
        </row>
        <row r="1667">
          <cell r="E1667" t="str">
            <v>D26002052</v>
          </cell>
          <cell r="AP1667">
            <v>0</v>
          </cell>
          <cell r="AQ1667">
            <v>0</v>
          </cell>
          <cell r="AV1667">
            <v>0</v>
          </cell>
        </row>
        <row r="1668">
          <cell r="E1668" t="str">
            <v>B26001985</v>
          </cell>
          <cell r="AP1668">
            <v>0</v>
          </cell>
          <cell r="AQ1668">
            <v>0</v>
          </cell>
          <cell r="AV1668">
            <v>0</v>
          </cell>
        </row>
        <row r="1669">
          <cell r="E1669" t="str">
            <v>B26001986</v>
          </cell>
          <cell r="AP1669">
            <v>0</v>
          </cell>
          <cell r="AQ1669">
            <v>0</v>
          </cell>
          <cell r="AV1669">
            <v>0</v>
          </cell>
        </row>
        <row r="1670">
          <cell r="E1670" t="str">
            <v>B26002054</v>
          </cell>
          <cell r="AP1670">
            <v>0</v>
          </cell>
          <cell r="AQ1670">
            <v>0</v>
          </cell>
          <cell r="AV1670">
            <v>0</v>
          </cell>
        </row>
        <row r="1671">
          <cell r="E1671" t="str">
            <v>B26002055</v>
          </cell>
          <cell r="AP1671">
            <v>0</v>
          </cell>
          <cell r="AQ1671">
            <v>0</v>
          </cell>
          <cell r="AV1671">
            <v>0</v>
          </cell>
        </row>
        <row r="1672">
          <cell r="E1672" t="str">
            <v>B26002133</v>
          </cell>
          <cell r="AP1672">
            <v>0</v>
          </cell>
          <cell r="AQ1672">
            <v>0</v>
          </cell>
          <cell r="AV1672">
            <v>0</v>
          </cell>
        </row>
        <row r="1673">
          <cell r="E1673" t="str">
            <v>B26002134</v>
          </cell>
          <cell r="AP1673">
            <v>0</v>
          </cell>
          <cell r="AQ1673">
            <v>0</v>
          </cell>
          <cell r="AV1673">
            <v>0</v>
          </cell>
        </row>
        <row r="1674">
          <cell r="E1674" t="str">
            <v>D26002277</v>
          </cell>
          <cell r="AP1674">
            <v>0</v>
          </cell>
          <cell r="AQ1674">
            <v>0</v>
          </cell>
          <cell r="AV1674">
            <v>0</v>
          </cell>
        </row>
        <row r="1675">
          <cell r="E1675" t="str">
            <v>D26002374</v>
          </cell>
          <cell r="AP1675">
            <v>0</v>
          </cell>
          <cell r="AQ1675">
            <v>0</v>
          </cell>
          <cell r="AV1675">
            <v>0</v>
          </cell>
        </row>
        <row r="1676">
          <cell r="E1676" t="str">
            <v>B26002209</v>
          </cell>
          <cell r="AP1676">
            <v>0</v>
          </cell>
          <cell r="AQ1676">
            <v>0</v>
          </cell>
          <cell r="AV1676">
            <v>0</v>
          </cell>
        </row>
        <row r="1677">
          <cell r="E1677" t="str">
            <v>B26002291</v>
          </cell>
          <cell r="AP1677">
            <v>0</v>
          </cell>
          <cell r="AQ1677">
            <v>0</v>
          </cell>
          <cell r="AV1677">
            <v>0</v>
          </cell>
        </row>
        <row r="1678">
          <cell r="E1678" t="str">
            <v>B26002318</v>
          </cell>
          <cell r="AP1678">
            <v>0</v>
          </cell>
          <cell r="AQ1678">
            <v>0</v>
          </cell>
          <cell r="AV1678">
            <v>0</v>
          </cell>
        </row>
        <row r="1679">
          <cell r="E1679" t="str">
            <v>B26002327</v>
          </cell>
          <cell r="AP1679">
            <v>0</v>
          </cell>
          <cell r="AQ1679">
            <v>0</v>
          </cell>
          <cell r="AV1679">
            <v>0</v>
          </cell>
        </row>
        <row r="1680">
          <cell r="E1680" t="str">
            <v>B26002334</v>
          </cell>
          <cell r="AP1680">
            <v>0</v>
          </cell>
          <cell r="AQ1680">
            <v>0</v>
          </cell>
          <cell r="AV1680">
            <v>0</v>
          </cell>
        </row>
        <row r="1681">
          <cell r="E1681" t="str">
            <v>B26002335</v>
          </cell>
          <cell r="AP1681">
            <v>0</v>
          </cell>
          <cell r="AQ1681">
            <v>0</v>
          </cell>
          <cell r="AV1681">
            <v>0</v>
          </cell>
        </row>
        <row r="1682">
          <cell r="E1682" t="str">
            <v>D26002656</v>
          </cell>
          <cell r="AP1682">
            <v>0</v>
          </cell>
          <cell r="AQ1682">
            <v>0</v>
          </cell>
          <cell r="AV1682">
            <v>0</v>
          </cell>
        </row>
        <row r="1683">
          <cell r="E1683" t="str">
            <v>B26002549</v>
          </cell>
          <cell r="AP1683">
            <v>0</v>
          </cell>
          <cell r="AQ1683">
            <v>0</v>
          </cell>
          <cell r="AV1683">
            <v>0</v>
          </cell>
        </row>
        <row r="1684">
          <cell r="E1684" t="str">
            <v>D26002680</v>
          </cell>
          <cell r="AP1684">
            <v>0</v>
          </cell>
          <cell r="AQ1684">
            <v>0</v>
          </cell>
          <cell r="AV1684">
            <v>0</v>
          </cell>
        </row>
        <row r="1685">
          <cell r="E1685" t="str">
            <v>D26002736</v>
          </cell>
          <cell r="AP1685">
            <v>0</v>
          </cell>
          <cell r="AQ1685">
            <v>0</v>
          </cell>
          <cell r="AV1685">
            <v>0</v>
          </cell>
        </row>
        <row r="1686">
          <cell r="E1686" t="str">
            <v>D26002737</v>
          </cell>
          <cell r="AP1686">
            <v>0</v>
          </cell>
          <cell r="AQ1686">
            <v>0</v>
          </cell>
          <cell r="AV1686">
            <v>0</v>
          </cell>
        </row>
        <row r="1687">
          <cell r="E1687" t="str">
            <v>B26002619</v>
          </cell>
          <cell r="AP1687">
            <v>0</v>
          </cell>
          <cell r="AQ1687">
            <v>0</v>
          </cell>
          <cell r="AV1687">
            <v>0</v>
          </cell>
        </row>
        <row r="1688">
          <cell r="E1688" t="str">
            <v>B26002620</v>
          </cell>
          <cell r="AP1688">
            <v>0</v>
          </cell>
          <cell r="AQ1688">
            <v>0</v>
          </cell>
          <cell r="AV1688">
            <v>0</v>
          </cell>
        </row>
        <row r="1689">
          <cell r="E1689" t="str">
            <v>D26002845</v>
          </cell>
          <cell r="AP1689">
            <v>0</v>
          </cell>
          <cell r="AQ1689">
            <v>0</v>
          </cell>
          <cell r="AV1689">
            <v>0</v>
          </cell>
        </row>
        <row r="1690">
          <cell r="E1690" t="str">
            <v>B26002737</v>
          </cell>
          <cell r="AP1690">
            <v>0</v>
          </cell>
          <cell r="AQ1690">
            <v>0</v>
          </cell>
          <cell r="AV1690">
            <v>0</v>
          </cell>
        </row>
        <row r="1691">
          <cell r="E1691" t="str">
            <v>B26002738</v>
          </cell>
          <cell r="AP1691">
            <v>0</v>
          </cell>
          <cell r="AQ1691">
            <v>0</v>
          </cell>
          <cell r="AV1691">
            <v>0</v>
          </cell>
        </row>
        <row r="1692">
          <cell r="E1692" t="str">
            <v>D26002984</v>
          </cell>
          <cell r="AP1692">
            <v>0</v>
          </cell>
          <cell r="AQ1692">
            <v>0</v>
          </cell>
          <cell r="AV1692">
            <v>0</v>
          </cell>
        </row>
        <row r="1693">
          <cell r="E1693" t="str">
            <v>D26002985</v>
          </cell>
          <cell r="AP1693">
            <v>0</v>
          </cell>
          <cell r="AQ1693">
            <v>0</v>
          </cell>
          <cell r="AV1693">
            <v>0</v>
          </cell>
        </row>
        <row r="1694">
          <cell r="E1694" t="str">
            <v>N26000027</v>
          </cell>
          <cell r="AP1694">
            <v>0</v>
          </cell>
          <cell r="AQ1694">
            <v>0</v>
          </cell>
          <cell r="AV1694">
            <v>1250000</v>
          </cell>
        </row>
        <row r="1695">
          <cell r="E1695" t="str">
            <v>D26003050</v>
          </cell>
          <cell r="AP1695">
            <v>0</v>
          </cell>
          <cell r="AQ1695">
            <v>0</v>
          </cell>
          <cell r="AV1695">
            <v>0</v>
          </cell>
        </row>
        <row r="1696">
          <cell r="E1696" t="str">
            <v>B26002897</v>
          </cell>
          <cell r="AP1696">
            <v>0</v>
          </cell>
          <cell r="AQ1696">
            <v>0</v>
          </cell>
          <cell r="AV1696">
            <v>0</v>
          </cell>
        </row>
        <row r="1697">
          <cell r="E1697" t="str">
            <v>B26002898</v>
          </cell>
          <cell r="AP1697">
            <v>0</v>
          </cell>
          <cell r="AQ1697">
            <v>0</v>
          </cell>
          <cell r="AV1697">
            <v>0</v>
          </cell>
        </row>
        <row r="1698">
          <cell r="E1698" t="str">
            <v>B26002965</v>
          </cell>
          <cell r="AP1698">
            <v>0</v>
          </cell>
          <cell r="AQ1698">
            <v>0</v>
          </cell>
          <cell r="AV1698">
            <v>0</v>
          </cell>
        </row>
        <row r="1699">
          <cell r="E1699" t="str">
            <v>B26002970</v>
          </cell>
          <cell r="AP1699">
            <v>0</v>
          </cell>
          <cell r="AQ1699">
            <v>0</v>
          </cell>
          <cell r="AV1699">
            <v>0</v>
          </cell>
        </row>
        <row r="1700">
          <cell r="E1700" t="str">
            <v>D26003169</v>
          </cell>
          <cell r="AP1700">
            <v>0</v>
          </cell>
          <cell r="AQ1700">
            <v>0</v>
          </cell>
          <cell r="AV1700">
            <v>0</v>
          </cell>
        </row>
        <row r="1701">
          <cell r="E1701" t="str">
            <v>B26003000</v>
          </cell>
          <cell r="AP1701">
            <v>0</v>
          </cell>
          <cell r="AQ1701">
            <v>0</v>
          </cell>
          <cell r="AV1701">
            <v>0</v>
          </cell>
        </row>
        <row r="1702">
          <cell r="E1702" t="str">
            <v>B26003001</v>
          </cell>
          <cell r="AP1702">
            <v>0</v>
          </cell>
          <cell r="AQ1702">
            <v>0</v>
          </cell>
          <cell r="AV1702">
            <v>0</v>
          </cell>
        </row>
        <row r="1703">
          <cell r="E1703" t="str">
            <v>B26003024</v>
          </cell>
          <cell r="AP1703">
            <v>0</v>
          </cell>
          <cell r="AQ1703">
            <v>0</v>
          </cell>
          <cell r="AV1703">
            <v>0</v>
          </cell>
        </row>
        <row r="1704">
          <cell r="E1704" t="str">
            <v>D26003232</v>
          </cell>
          <cell r="AP1704">
            <v>0</v>
          </cell>
          <cell r="AQ1704">
            <v>0</v>
          </cell>
          <cell r="AV1704">
            <v>0</v>
          </cell>
        </row>
        <row r="1705">
          <cell r="E1705" t="str">
            <v>B26003053</v>
          </cell>
          <cell r="AP1705">
            <v>0</v>
          </cell>
          <cell r="AQ1705">
            <v>0</v>
          </cell>
          <cell r="AV1705">
            <v>0</v>
          </cell>
        </row>
        <row r="1706">
          <cell r="E1706" t="str">
            <v>B26003087</v>
          </cell>
          <cell r="AP1706">
            <v>0</v>
          </cell>
          <cell r="AQ1706">
            <v>0</v>
          </cell>
          <cell r="AV1706">
            <v>0</v>
          </cell>
        </row>
        <row r="1707">
          <cell r="E1707" t="str">
            <v>B26003096</v>
          </cell>
          <cell r="AP1707">
            <v>0</v>
          </cell>
          <cell r="AQ1707">
            <v>0</v>
          </cell>
          <cell r="AV1707">
            <v>0</v>
          </cell>
        </row>
        <row r="1708">
          <cell r="E1708" t="str">
            <v>B26003097</v>
          </cell>
          <cell r="AP1708">
            <v>0</v>
          </cell>
          <cell r="AQ1708">
            <v>0</v>
          </cell>
          <cell r="AV1708">
            <v>0</v>
          </cell>
        </row>
        <row r="1709">
          <cell r="E1709" t="str">
            <v>B26003098</v>
          </cell>
          <cell r="AP1709">
            <v>0</v>
          </cell>
          <cell r="AQ1709">
            <v>0</v>
          </cell>
          <cell r="AV1709">
            <v>0</v>
          </cell>
        </row>
        <row r="1710">
          <cell r="E1710" t="str">
            <v>D26002272</v>
          </cell>
          <cell r="AP1710">
            <v>0</v>
          </cell>
          <cell r="AQ1710">
            <v>0</v>
          </cell>
          <cell r="AV1710">
            <v>0</v>
          </cell>
        </row>
        <row r="1711">
          <cell r="E1711" t="str">
            <v>D26002273</v>
          </cell>
          <cell r="AP1711">
            <v>0</v>
          </cell>
          <cell r="AQ1711">
            <v>0</v>
          </cell>
          <cell r="AV1711">
            <v>0</v>
          </cell>
        </row>
        <row r="1712">
          <cell r="E1712" t="str">
            <v>B26002699</v>
          </cell>
          <cell r="AP1712">
            <v>0</v>
          </cell>
          <cell r="AQ1712">
            <v>0</v>
          </cell>
          <cell r="AV1712">
            <v>0</v>
          </cell>
        </row>
        <row r="1713">
          <cell r="E1713" t="str">
            <v>T26000196</v>
          </cell>
          <cell r="AP1713">
            <v>0</v>
          </cell>
          <cell r="AQ1713">
            <v>0</v>
          </cell>
          <cell r="AV1713">
            <v>0</v>
          </cell>
        </row>
        <row r="1714">
          <cell r="E1714" t="str">
            <v>B26002932</v>
          </cell>
          <cell r="AP1714">
            <v>0</v>
          </cell>
          <cell r="AQ1714">
            <v>0</v>
          </cell>
          <cell r="AV1714">
            <v>0</v>
          </cell>
        </row>
        <row r="1715">
          <cell r="E1715" t="str">
            <v>D26001875</v>
          </cell>
          <cell r="AP1715">
            <v>0</v>
          </cell>
          <cell r="AQ1715">
            <v>0</v>
          </cell>
          <cell r="AV1715">
            <v>0</v>
          </cell>
        </row>
        <row r="1716">
          <cell r="E1716" t="str">
            <v>D26001969</v>
          </cell>
          <cell r="AP1716">
            <v>0</v>
          </cell>
          <cell r="AQ1716">
            <v>0</v>
          </cell>
          <cell r="AV1716">
            <v>0</v>
          </cell>
        </row>
        <row r="1717">
          <cell r="E1717" t="str">
            <v>B26002625</v>
          </cell>
          <cell r="AP1717">
            <v>0</v>
          </cell>
          <cell r="AQ1717">
            <v>0</v>
          </cell>
          <cell r="AV1717">
            <v>0</v>
          </cell>
        </row>
        <row r="1718">
          <cell r="E1718" t="str">
            <v>D26001733</v>
          </cell>
          <cell r="AP1718">
            <v>0</v>
          </cell>
          <cell r="AQ1718">
            <v>0</v>
          </cell>
          <cell r="AV1718">
            <v>0</v>
          </cell>
        </row>
        <row r="1719">
          <cell r="E1719" t="str">
            <v>B26001753</v>
          </cell>
          <cell r="AP1719">
            <v>0</v>
          </cell>
          <cell r="AQ1719">
            <v>0</v>
          </cell>
          <cell r="AV1719">
            <v>0</v>
          </cell>
        </row>
        <row r="1720">
          <cell r="E1720" t="str">
            <v>D26001879</v>
          </cell>
          <cell r="AP1720">
            <v>0</v>
          </cell>
          <cell r="AQ1720">
            <v>0</v>
          </cell>
          <cell r="AV1720">
            <v>0</v>
          </cell>
        </row>
        <row r="1721">
          <cell r="E1721" t="str">
            <v>B26002716</v>
          </cell>
          <cell r="AP1721">
            <v>0</v>
          </cell>
          <cell r="AQ1721">
            <v>0</v>
          </cell>
          <cell r="AV1721">
            <v>0</v>
          </cell>
        </row>
        <row r="1722">
          <cell r="E1722" t="str">
            <v>B26000870</v>
          </cell>
          <cell r="AP1722">
            <v>0</v>
          </cell>
          <cell r="AQ1722">
            <v>0</v>
          </cell>
          <cell r="AV1722">
            <v>0</v>
          </cell>
        </row>
        <row r="1723">
          <cell r="E1723" t="str">
            <v>D26000924</v>
          </cell>
          <cell r="AP1723">
            <v>0</v>
          </cell>
          <cell r="AQ1723">
            <v>0</v>
          </cell>
          <cell r="AV1723">
            <v>0</v>
          </cell>
        </row>
        <row r="1724">
          <cell r="E1724" t="str">
            <v>D26001053</v>
          </cell>
          <cell r="AP1724">
            <v>0</v>
          </cell>
          <cell r="AQ1724">
            <v>0</v>
          </cell>
          <cell r="AV1724">
            <v>0</v>
          </cell>
        </row>
        <row r="1725">
          <cell r="E1725" t="str">
            <v>D26001062</v>
          </cell>
          <cell r="AP1725">
            <v>0</v>
          </cell>
          <cell r="AQ1725">
            <v>0</v>
          </cell>
          <cell r="AV1725">
            <v>0</v>
          </cell>
        </row>
        <row r="1726">
          <cell r="E1726" t="str">
            <v>B26001055</v>
          </cell>
          <cell r="AP1726">
            <v>0</v>
          </cell>
          <cell r="AQ1726">
            <v>0</v>
          </cell>
          <cell r="AV1726">
            <v>0</v>
          </cell>
        </row>
        <row r="1727">
          <cell r="E1727" t="str">
            <v>D26001319</v>
          </cell>
          <cell r="AP1727">
            <v>0</v>
          </cell>
          <cell r="AQ1727">
            <v>0</v>
          </cell>
          <cell r="AV1727">
            <v>0</v>
          </cell>
        </row>
        <row r="1728">
          <cell r="E1728" t="str">
            <v>B26001537</v>
          </cell>
          <cell r="AP1728">
            <v>0</v>
          </cell>
          <cell r="AQ1728">
            <v>0</v>
          </cell>
          <cell r="AV1728">
            <v>0</v>
          </cell>
        </row>
        <row r="1729">
          <cell r="E1729" t="str">
            <v>B26001550</v>
          </cell>
          <cell r="AP1729">
            <v>0</v>
          </cell>
          <cell r="AQ1729">
            <v>0</v>
          </cell>
          <cell r="AV1729">
            <v>0</v>
          </cell>
        </row>
        <row r="1730">
          <cell r="E1730" t="str">
            <v>B26002752</v>
          </cell>
          <cell r="AP1730">
            <v>0</v>
          </cell>
          <cell r="AQ1730">
            <v>0</v>
          </cell>
          <cell r="AV1730">
            <v>0</v>
          </cell>
        </row>
        <row r="1731">
          <cell r="E1731" t="str">
            <v>D26003246</v>
          </cell>
          <cell r="AP1731">
            <v>0</v>
          </cell>
          <cell r="AQ1731">
            <v>0</v>
          </cell>
          <cell r="AV1731">
            <v>0</v>
          </cell>
        </row>
        <row r="1732">
          <cell r="E1732" t="str">
            <v>B26000315</v>
          </cell>
          <cell r="AP1732">
            <v>0</v>
          </cell>
          <cell r="AQ1732">
            <v>0</v>
          </cell>
          <cell r="AV1732">
            <v>19500000</v>
          </cell>
        </row>
        <row r="1733">
          <cell r="E1733" t="str">
            <v>B26001243</v>
          </cell>
          <cell r="AP1733">
            <v>0</v>
          </cell>
          <cell r="AQ1733">
            <v>0</v>
          </cell>
          <cell r="AV1733">
            <v>19500000</v>
          </cell>
        </row>
        <row r="1734">
          <cell r="E1734" t="str">
            <v>D26001524</v>
          </cell>
          <cell r="AP1734">
            <v>0</v>
          </cell>
          <cell r="AQ1734">
            <v>0</v>
          </cell>
          <cell r="AV1734">
            <v>1730000</v>
          </cell>
        </row>
        <row r="1735">
          <cell r="E1735" t="str">
            <v>B26001576</v>
          </cell>
          <cell r="AP1735">
            <v>0</v>
          </cell>
          <cell r="AQ1735">
            <v>0</v>
          </cell>
          <cell r="AV1735">
            <v>19500000</v>
          </cell>
        </row>
        <row r="1736">
          <cell r="E1736" t="str">
            <v>D26002300</v>
          </cell>
          <cell r="AP1736">
            <v>0</v>
          </cell>
          <cell r="AQ1736">
            <v>0</v>
          </cell>
          <cell r="AV1736">
            <v>0</v>
          </cell>
        </row>
        <row r="1737">
          <cell r="E1737" t="str">
            <v>B26002308</v>
          </cell>
          <cell r="AP1737">
            <v>0</v>
          </cell>
          <cell r="AQ1737">
            <v>0</v>
          </cell>
          <cell r="AV1737">
            <v>0</v>
          </cell>
        </row>
        <row r="1738">
          <cell r="E1738" t="str">
            <v>B26002309</v>
          </cell>
          <cell r="AP1738">
            <v>0</v>
          </cell>
          <cell r="AQ1738">
            <v>0</v>
          </cell>
          <cell r="AV1738">
            <v>0</v>
          </cell>
        </row>
        <row r="1739">
          <cell r="E1739" t="str">
            <v>B26002864</v>
          </cell>
          <cell r="AP1739">
            <v>0</v>
          </cell>
          <cell r="AQ1739">
            <v>0</v>
          </cell>
          <cell r="AV1739">
            <v>4280000</v>
          </cell>
        </row>
        <row r="1740">
          <cell r="E1740" t="str">
            <v>B26002980</v>
          </cell>
          <cell r="AP1740">
            <v>0</v>
          </cell>
          <cell r="AQ1740">
            <v>0</v>
          </cell>
          <cell r="AV1740">
            <v>0</v>
          </cell>
        </row>
        <row r="1741">
          <cell r="E1741" t="str">
            <v>B26003032</v>
          </cell>
          <cell r="AP1741">
            <v>0</v>
          </cell>
          <cell r="AQ1741">
            <v>0</v>
          </cell>
          <cell r="AV1741">
            <v>0</v>
          </cell>
        </row>
        <row r="1742">
          <cell r="E1742" t="str">
            <v>D25016516</v>
          </cell>
          <cell r="AP1742">
            <v>0</v>
          </cell>
          <cell r="AQ1742">
            <v>0</v>
          </cell>
          <cell r="AV1742">
            <v>0</v>
          </cell>
        </row>
        <row r="1743">
          <cell r="E1743" t="str">
            <v>N25000063</v>
          </cell>
          <cell r="AP1743">
            <v>0</v>
          </cell>
          <cell r="AQ1743">
            <v>0</v>
          </cell>
          <cell r="AV1743">
            <v>0</v>
          </cell>
        </row>
        <row r="1744">
          <cell r="E1744" t="str">
            <v>B26000678</v>
          </cell>
          <cell r="AP1744">
            <v>0</v>
          </cell>
          <cell r="AQ1744">
            <v>0</v>
          </cell>
          <cell r="AV1744">
            <v>0</v>
          </cell>
        </row>
        <row r="1745">
          <cell r="E1745" t="str">
            <v>B26003037</v>
          </cell>
          <cell r="AP1745">
            <v>0</v>
          </cell>
          <cell r="AQ1745">
            <v>0</v>
          </cell>
          <cell r="AV1745">
            <v>0</v>
          </cell>
        </row>
        <row r="1746">
          <cell r="E1746" t="str">
            <v>D25017524</v>
          </cell>
          <cell r="AP1746">
            <v>0</v>
          </cell>
          <cell r="AQ1746">
            <v>0</v>
          </cell>
          <cell r="AV1746">
            <v>0</v>
          </cell>
        </row>
        <row r="1747">
          <cell r="E1747" t="str">
            <v>B25015180</v>
          </cell>
          <cell r="AP1747">
            <v>0</v>
          </cell>
          <cell r="AQ1747">
            <v>0</v>
          </cell>
          <cell r="AV1747">
            <v>0</v>
          </cell>
        </row>
        <row r="1748">
          <cell r="E1748" t="str">
            <v>B25015962</v>
          </cell>
          <cell r="AP1748">
            <v>0</v>
          </cell>
          <cell r="AQ1748">
            <v>0</v>
          </cell>
          <cell r="AV1748">
            <v>0</v>
          </cell>
        </row>
        <row r="1749">
          <cell r="E1749" t="str">
            <v>D25018402</v>
          </cell>
          <cell r="AP1749">
            <v>0</v>
          </cell>
          <cell r="AQ1749">
            <v>0</v>
          </cell>
          <cell r="AV1749">
            <v>0</v>
          </cell>
        </row>
        <row r="1750">
          <cell r="E1750" t="str">
            <v>B25016026</v>
          </cell>
          <cell r="AP1750">
            <v>0</v>
          </cell>
          <cell r="AQ1750">
            <v>0</v>
          </cell>
          <cell r="AV1750">
            <v>0</v>
          </cell>
        </row>
        <row r="1751">
          <cell r="E1751" t="str">
            <v>D25019077</v>
          </cell>
          <cell r="AP1751">
            <v>0</v>
          </cell>
          <cell r="AQ1751">
            <v>0</v>
          </cell>
          <cell r="AV1751">
            <v>0</v>
          </cell>
        </row>
        <row r="1752">
          <cell r="E1752" t="str">
            <v>B26000050</v>
          </cell>
          <cell r="AP1752">
            <v>0</v>
          </cell>
          <cell r="AQ1752">
            <v>0</v>
          </cell>
          <cell r="AV1752">
            <v>0</v>
          </cell>
        </row>
        <row r="1753">
          <cell r="E1753" t="str">
            <v>B26000726</v>
          </cell>
          <cell r="AP1753">
            <v>0</v>
          </cell>
          <cell r="AQ1753">
            <v>0</v>
          </cell>
          <cell r="AV1753">
            <v>0</v>
          </cell>
        </row>
        <row r="1754">
          <cell r="E1754" t="str">
            <v>D26000942</v>
          </cell>
          <cell r="AP1754">
            <v>0</v>
          </cell>
          <cell r="AQ1754">
            <v>0</v>
          </cell>
          <cell r="AV1754">
            <v>0</v>
          </cell>
        </row>
        <row r="1755">
          <cell r="E1755" t="str">
            <v>D26001481</v>
          </cell>
          <cell r="AP1755">
            <v>0</v>
          </cell>
          <cell r="AQ1755">
            <v>0</v>
          </cell>
          <cell r="AV1755">
            <v>0</v>
          </cell>
        </row>
        <row r="1756">
          <cell r="E1756" t="str">
            <v>D26001580</v>
          </cell>
          <cell r="AP1756">
            <v>0</v>
          </cell>
          <cell r="AQ1756">
            <v>0</v>
          </cell>
          <cell r="AV1756">
            <v>0</v>
          </cell>
        </row>
        <row r="1757">
          <cell r="E1757" t="str">
            <v>D26002530</v>
          </cell>
          <cell r="AP1757">
            <v>0</v>
          </cell>
          <cell r="AQ1757">
            <v>0</v>
          </cell>
          <cell r="AV1757">
            <v>0</v>
          </cell>
        </row>
        <row r="1758">
          <cell r="E1758" t="str">
            <v>B25015817</v>
          </cell>
          <cell r="AP1758">
            <v>0</v>
          </cell>
          <cell r="AQ1758">
            <v>0</v>
          </cell>
          <cell r="AV1758">
            <v>0</v>
          </cell>
        </row>
        <row r="1759">
          <cell r="E1759" t="str">
            <v>B25016025</v>
          </cell>
          <cell r="AP1759">
            <v>0</v>
          </cell>
          <cell r="AQ1759">
            <v>0</v>
          </cell>
          <cell r="AV1759">
            <v>0</v>
          </cell>
        </row>
        <row r="1760">
          <cell r="E1760" t="str">
            <v>B26000049</v>
          </cell>
          <cell r="AP1760">
            <v>0</v>
          </cell>
          <cell r="AQ1760">
            <v>0</v>
          </cell>
          <cell r="AV1760">
            <v>0</v>
          </cell>
        </row>
        <row r="1761">
          <cell r="E1761" t="str">
            <v>B26001029</v>
          </cell>
          <cell r="AP1761">
            <v>0</v>
          </cell>
          <cell r="AQ1761">
            <v>0</v>
          </cell>
          <cell r="AV1761">
            <v>0</v>
          </cell>
        </row>
        <row r="1762">
          <cell r="E1762" t="str">
            <v>T26000092</v>
          </cell>
          <cell r="AP1762">
            <v>0</v>
          </cell>
          <cell r="AQ1762">
            <v>0</v>
          </cell>
          <cell r="AV1762">
            <v>0</v>
          </cell>
        </row>
        <row r="1763">
          <cell r="E1763" t="str">
            <v>T26000093</v>
          </cell>
          <cell r="AP1763">
            <v>0</v>
          </cell>
          <cell r="AQ1763">
            <v>0</v>
          </cell>
          <cell r="AV1763">
            <v>0</v>
          </cell>
        </row>
        <row r="1764">
          <cell r="E1764" t="str">
            <v>D26000315</v>
          </cell>
          <cell r="AP1764">
            <v>0</v>
          </cell>
          <cell r="AQ1764">
            <v>0</v>
          </cell>
          <cell r="AV1764">
            <v>0</v>
          </cell>
        </row>
        <row r="1765">
          <cell r="E1765" t="str">
            <v>B26000653</v>
          </cell>
          <cell r="AP1765">
            <v>0</v>
          </cell>
          <cell r="AQ1765">
            <v>0</v>
          </cell>
          <cell r="AV1765">
            <v>0</v>
          </cell>
        </row>
        <row r="1766">
          <cell r="E1766" t="str">
            <v>D26001184</v>
          </cell>
          <cell r="AP1766">
            <v>0</v>
          </cell>
          <cell r="AQ1766">
            <v>0</v>
          </cell>
          <cell r="AV1766">
            <v>0</v>
          </cell>
        </row>
        <row r="1767">
          <cell r="E1767" t="str">
            <v>D26002063</v>
          </cell>
          <cell r="AP1767">
            <v>0</v>
          </cell>
          <cell r="AQ1767">
            <v>0</v>
          </cell>
          <cell r="AV1767">
            <v>0</v>
          </cell>
        </row>
        <row r="1768">
          <cell r="E1768" t="str">
            <v>D26002119</v>
          </cell>
          <cell r="AP1768">
            <v>0</v>
          </cell>
          <cell r="AQ1768">
            <v>0</v>
          </cell>
          <cell r="AV1768">
            <v>0</v>
          </cell>
        </row>
        <row r="1769">
          <cell r="E1769" t="str">
            <v>D26002183</v>
          </cell>
          <cell r="AP1769">
            <v>0</v>
          </cell>
          <cell r="AQ1769">
            <v>0</v>
          </cell>
          <cell r="AV1769">
            <v>0</v>
          </cell>
        </row>
        <row r="1770">
          <cell r="E1770" t="str">
            <v>B26002218</v>
          </cell>
          <cell r="AP1770">
            <v>0</v>
          </cell>
          <cell r="AQ1770">
            <v>0</v>
          </cell>
          <cell r="AV1770">
            <v>0</v>
          </cell>
        </row>
        <row r="1771">
          <cell r="E1771" t="str">
            <v>B26002219</v>
          </cell>
          <cell r="AP1771">
            <v>0</v>
          </cell>
          <cell r="AQ1771">
            <v>0</v>
          </cell>
          <cell r="AV1771">
            <v>0</v>
          </cell>
        </row>
        <row r="1772">
          <cell r="E1772" t="str">
            <v>B26002288</v>
          </cell>
          <cell r="AP1772">
            <v>0</v>
          </cell>
          <cell r="AQ1772">
            <v>0</v>
          </cell>
          <cell r="AV1772">
            <v>0</v>
          </cell>
        </row>
        <row r="1773">
          <cell r="E1773" t="str">
            <v>Z25003333</v>
          </cell>
          <cell r="AP1773">
            <v>0</v>
          </cell>
          <cell r="AQ1773">
            <v>0</v>
          </cell>
          <cell r="AV1773">
            <v>0</v>
          </cell>
        </row>
        <row r="1774">
          <cell r="E1774" t="str">
            <v>Z25003346</v>
          </cell>
          <cell r="AP1774">
            <v>0</v>
          </cell>
          <cell r="AQ1774">
            <v>0</v>
          </cell>
          <cell r="AV1774">
            <v>0</v>
          </cell>
        </row>
        <row r="1775">
          <cell r="E1775" t="str">
            <v>Z25003348</v>
          </cell>
          <cell r="AP1775">
            <v>0</v>
          </cell>
          <cell r="AQ1775">
            <v>0</v>
          </cell>
          <cell r="AV1775">
            <v>0</v>
          </cell>
        </row>
        <row r="1776">
          <cell r="E1776" t="str">
            <v>Z25003358</v>
          </cell>
          <cell r="AP1776">
            <v>0</v>
          </cell>
          <cell r="AQ1776">
            <v>0</v>
          </cell>
          <cell r="AV1776">
            <v>0</v>
          </cell>
        </row>
        <row r="1777">
          <cell r="E1777" t="str">
            <v>Z25003375</v>
          </cell>
          <cell r="AP1777">
            <v>0</v>
          </cell>
          <cell r="AQ1777">
            <v>0</v>
          </cell>
          <cell r="AV1777">
            <v>0</v>
          </cell>
        </row>
        <row r="1778">
          <cell r="E1778" t="str">
            <v>Z26000012</v>
          </cell>
          <cell r="AP1778">
            <v>0</v>
          </cell>
          <cell r="AQ1778">
            <v>0</v>
          </cell>
          <cell r="AV1778">
            <v>0</v>
          </cell>
        </row>
        <row r="1779">
          <cell r="E1779" t="str">
            <v>Z26000029</v>
          </cell>
          <cell r="AP1779">
            <v>0</v>
          </cell>
          <cell r="AQ1779">
            <v>0</v>
          </cell>
          <cell r="AV1779">
            <v>0</v>
          </cell>
        </row>
        <row r="1780">
          <cell r="E1780" t="str">
            <v>Z26000094</v>
          </cell>
          <cell r="AP1780">
            <v>0</v>
          </cell>
          <cell r="AQ1780">
            <v>0</v>
          </cell>
          <cell r="AV1780">
            <v>0</v>
          </cell>
        </row>
        <row r="1781">
          <cell r="E1781" t="str">
            <v>Z26000102</v>
          </cell>
          <cell r="AP1781">
            <v>0</v>
          </cell>
          <cell r="AQ1781">
            <v>0</v>
          </cell>
          <cell r="AV1781">
            <v>0</v>
          </cell>
        </row>
        <row r="1782">
          <cell r="E1782" t="str">
            <v>Z26000130</v>
          </cell>
          <cell r="AP1782">
            <v>0</v>
          </cell>
          <cell r="AQ1782">
            <v>0</v>
          </cell>
          <cell r="AV1782">
            <v>0</v>
          </cell>
        </row>
        <row r="1783">
          <cell r="E1783" t="str">
            <v>Z26000153</v>
          </cell>
          <cell r="AP1783">
            <v>0</v>
          </cell>
          <cell r="AQ1783">
            <v>0</v>
          </cell>
          <cell r="AV1783">
            <v>0</v>
          </cell>
        </row>
        <row r="1784">
          <cell r="E1784" t="str">
            <v>Z26000177</v>
          </cell>
          <cell r="AP1784">
            <v>0</v>
          </cell>
          <cell r="AQ1784">
            <v>0</v>
          </cell>
          <cell r="AV1784">
            <v>0</v>
          </cell>
        </row>
        <row r="1785">
          <cell r="E1785" t="str">
            <v>Z26000220</v>
          </cell>
          <cell r="AP1785">
            <v>0</v>
          </cell>
          <cell r="AQ1785">
            <v>0</v>
          </cell>
          <cell r="AV1785">
            <v>0</v>
          </cell>
        </row>
        <row r="1786">
          <cell r="E1786" t="str">
            <v>Z26000279</v>
          </cell>
          <cell r="AP1786">
            <v>0</v>
          </cell>
          <cell r="AQ1786">
            <v>0</v>
          </cell>
          <cell r="AV1786">
            <v>0</v>
          </cell>
        </row>
        <row r="1787">
          <cell r="E1787" t="str">
            <v>Z26000372</v>
          </cell>
          <cell r="AP1787">
            <v>0</v>
          </cell>
          <cell r="AQ1787">
            <v>0</v>
          </cell>
          <cell r="AV1787">
            <v>0</v>
          </cell>
        </row>
        <row r="1788">
          <cell r="E1788" t="str">
            <v>Z26000427</v>
          </cell>
          <cell r="AP1788">
            <v>0</v>
          </cell>
          <cell r="AQ1788">
            <v>0</v>
          </cell>
          <cell r="AV1788">
            <v>0</v>
          </cell>
        </row>
        <row r="1789">
          <cell r="E1789" t="str">
            <v>Z26000437</v>
          </cell>
          <cell r="AP1789">
            <v>0</v>
          </cell>
          <cell r="AQ1789">
            <v>0</v>
          </cell>
          <cell r="AV1789">
            <v>0</v>
          </cell>
        </row>
        <row r="1790">
          <cell r="E1790" t="str">
            <v>Z26000549</v>
          </cell>
          <cell r="AP1790">
            <v>0</v>
          </cell>
          <cell r="AQ1790">
            <v>0</v>
          </cell>
          <cell r="AV1790">
            <v>0</v>
          </cell>
        </row>
        <row r="1791">
          <cell r="E1791" t="str">
            <v>Z26000550</v>
          </cell>
          <cell r="AP1791">
            <v>0</v>
          </cell>
          <cell r="AQ1791">
            <v>0</v>
          </cell>
          <cell r="AV1791">
            <v>0</v>
          </cell>
        </row>
        <row r="1792">
          <cell r="E1792" t="str">
            <v>D25018617</v>
          </cell>
          <cell r="AP1792">
            <v>0</v>
          </cell>
          <cell r="AQ1792">
            <v>0</v>
          </cell>
          <cell r="AV1792">
            <v>0</v>
          </cell>
        </row>
        <row r="1793">
          <cell r="E1793" t="str">
            <v>B25016247</v>
          </cell>
          <cell r="AP1793">
            <v>0</v>
          </cell>
          <cell r="AQ1793">
            <v>0</v>
          </cell>
          <cell r="AV1793">
            <v>0</v>
          </cell>
        </row>
        <row r="1794">
          <cell r="E1794" t="str">
            <v>B25016267</v>
          </cell>
          <cell r="AP1794">
            <v>0</v>
          </cell>
          <cell r="AQ1794">
            <v>0</v>
          </cell>
          <cell r="AV1794">
            <v>0</v>
          </cell>
        </row>
        <row r="1795">
          <cell r="E1795" t="str">
            <v>B25016447</v>
          </cell>
          <cell r="AP1795">
            <v>0</v>
          </cell>
          <cell r="AQ1795">
            <v>0</v>
          </cell>
          <cell r="AV1795">
            <v>0</v>
          </cell>
        </row>
        <row r="1796">
          <cell r="E1796" t="str">
            <v>B25016509</v>
          </cell>
          <cell r="AP1796">
            <v>0</v>
          </cell>
          <cell r="AQ1796">
            <v>0</v>
          </cell>
          <cell r="AV1796">
            <v>0</v>
          </cell>
        </row>
        <row r="1797">
          <cell r="E1797" t="str">
            <v>B25016792</v>
          </cell>
          <cell r="AP1797">
            <v>0</v>
          </cell>
          <cell r="AQ1797">
            <v>0</v>
          </cell>
          <cell r="AV1797">
            <v>0</v>
          </cell>
        </row>
        <row r="1798">
          <cell r="E1798" t="str">
            <v>D25019469</v>
          </cell>
          <cell r="AP1798">
            <v>0</v>
          </cell>
          <cell r="AQ1798">
            <v>0</v>
          </cell>
          <cell r="AV1798">
            <v>0</v>
          </cell>
        </row>
        <row r="1799">
          <cell r="E1799" t="str">
            <v>B26000118</v>
          </cell>
          <cell r="AP1799">
            <v>0</v>
          </cell>
          <cell r="AQ1799">
            <v>0</v>
          </cell>
          <cell r="AV1799">
            <v>0</v>
          </cell>
        </row>
        <row r="1800">
          <cell r="E1800" t="str">
            <v>D26000102</v>
          </cell>
          <cell r="AP1800">
            <v>0</v>
          </cell>
          <cell r="AQ1800">
            <v>0</v>
          </cell>
          <cell r="AV1800">
            <v>0</v>
          </cell>
        </row>
        <row r="1801">
          <cell r="E1801" t="str">
            <v>B26000292</v>
          </cell>
          <cell r="AP1801">
            <v>0</v>
          </cell>
          <cell r="AQ1801">
            <v>0</v>
          </cell>
          <cell r="AV1801">
            <v>0</v>
          </cell>
        </row>
        <row r="1802">
          <cell r="E1802" t="str">
            <v>B26000293</v>
          </cell>
          <cell r="AP1802">
            <v>0</v>
          </cell>
          <cell r="AQ1802">
            <v>0</v>
          </cell>
          <cell r="AV1802">
            <v>0</v>
          </cell>
        </row>
        <row r="1803">
          <cell r="E1803" t="str">
            <v>B26000528</v>
          </cell>
          <cell r="AP1803">
            <v>0</v>
          </cell>
          <cell r="AQ1803">
            <v>0</v>
          </cell>
          <cell r="AV1803">
            <v>0</v>
          </cell>
        </row>
        <row r="1804">
          <cell r="E1804" t="str">
            <v>B26000572</v>
          </cell>
          <cell r="AP1804">
            <v>0</v>
          </cell>
          <cell r="AQ1804">
            <v>0</v>
          </cell>
          <cell r="AV1804">
            <v>0</v>
          </cell>
        </row>
        <row r="1805">
          <cell r="E1805" t="str">
            <v>B26000621</v>
          </cell>
          <cell r="AP1805">
            <v>0</v>
          </cell>
          <cell r="AQ1805">
            <v>0</v>
          </cell>
          <cell r="AV1805">
            <v>0</v>
          </cell>
        </row>
        <row r="1806">
          <cell r="E1806" t="str">
            <v>B26000671</v>
          </cell>
          <cell r="AP1806">
            <v>0</v>
          </cell>
          <cell r="AQ1806">
            <v>0</v>
          </cell>
          <cell r="AV1806">
            <v>0</v>
          </cell>
        </row>
        <row r="1807">
          <cell r="E1807" t="str">
            <v>B26000696</v>
          </cell>
          <cell r="AP1807">
            <v>0</v>
          </cell>
          <cell r="AQ1807">
            <v>0</v>
          </cell>
          <cell r="AV1807">
            <v>0</v>
          </cell>
        </row>
        <row r="1808">
          <cell r="E1808" t="str">
            <v>B26000829</v>
          </cell>
          <cell r="AP1808">
            <v>0</v>
          </cell>
          <cell r="AQ1808">
            <v>0</v>
          </cell>
          <cell r="AV1808">
            <v>0</v>
          </cell>
        </row>
        <row r="1809">
          <cell r="E1809" t="str">
            <v>B26000865</v>
          </cell>
          <cell r="AP1809">
            <v>0</v>
          </cell>
          <cell r="AQ1809">
            <v>0</v>
          </cell>
          <cell r="AV1809">
            <v>0</v>
          </cell>
        </row>
        <row r="1810">
          <cell r="E1810" t="str">
            <v>B26001201</v>
          </cell>
          <cell r="AP1810">
            <v>0</v>
          </cell>
          <cell r="AQ1810">
            <v>0</v>
          </cell>
          <cell r="AV1810">
            <v>0</v>
          </cell>
        </row>
        <row r="1811">
          <cell r="E1811" t="str">
            <v>B26001289</v>
          </cell>
          <cell r="AP1811">
            <v>0</v>
          </cell>
          <cell r="AQ1811">
            <v>0</v>
          </cell>
          <cell r="AV1811">
            <v>0</v>
          </cell>
        </row>
        <row r="1812">
          <cell r="E1812" t="str">
            <v>B26001340</v>
          </cell>
          <cell r="AP1812">
            <v>0</v>
          </cell>
          <cell r="AQ1812">
            <v>0</v>
          </cell>
          <cell r="AV1812">
            <v>0</v>
          </cell>
        </row>
        <row r="1813">
          <cell r="E1813" t="str">
            <v>B26001341</v>
          </cell>
          <cell r="AP1813">
            <v>0</v>
          </cell>
          <cell r="AQ1813">
            <v>0</v>
          </cell>
          <cell r="AV1813">
            <v>0</v>
          </cell>
        </row>
        <row r="1814">
          <cell r="E1814" t="str">
            <v>B26001348</v>
          </cell>
          <cell r="AP1814">
            <v>0</v>
          </cell>
          <cell r="AQ1814">
            <v>0</v>
          </cell>
          <cell r="AV1814">
            <v>0</v>
          </cell>
        </row>
        <row r="1815">
          <cell r="E1815" t="str">
            <v>B26001383</v>
          </cell>
          <cell r="AP1815">
            <v>0</v>
          </cell>
          <cell r="AQ1815">
            <v>0</v>
          </cell>
          <cell r="AV1815">
            <v>0</v>
          </cell>
        </row>
        <row r="1816">
          <cell r="E1816" t="str">
            <v>B26001464</v>
          </cell>
          <cell r="AP1816">
            <v>0</v>
          </cell>
          <cell r="AQ1816">
            <v>0</v>
          </cell>
          <cell r="AV1816">
            <v>0</v>
          </cell>
        </row>
        <row r="1817">
          <cell r="E1817" t="str">
            <v>B26001551</v>
          </cell>
          <cell r="AP1817">
            <v>0</v>
          </cell>
          <cell r="AQ1817">
            <v>0</v>
          </cell>
          <cell r="AV1817">
            <v>0</v>
          </cell>
        </row>
        <row r="1818">
          <cell r="E1818" t="str">
            <v>B26001698</v>
          </cell>
          <cell r="AP1818">
            <v>0</v>
          </cell>
          <cell r="AQ1818">
            <v>0</v>
          </cell>
          <cell r="AV1818">
            <v>0</v>
          </cell>
        </row>
        <row r="1819">
          <cell r="E1819" t="str">
            <v>B26001774</v>
          </cell>
          <cell r="AP1819">
            <v>0</v>
          </cell>
          <cell r="AQ1819">
            <v>0</v>
          </cell>
          <cell r="AV1819">
            <v>0</v>
          </cell>
        </row>
        <row r="1820">
          <cell r="E1820" t="str">
            <v>B26001779</v>
          </cell>
          <cell r="AP1820">
            <v>0</v>
          </cell>
          <cell r="AQ1820">
            <v>0</v>
          </cell>
          <cell r="AV1820">
            <v>0</v>
          </cell>
        </row>
        <row r="1821">
          <cell r="E1821" t="str">
            <v>B26001782</v>
          </cell>
          <cell r="AP1821">
            <v>0</v>
          </cell>
          <cell r="AQ1821">
            <v>0</v>
          </cell>
          <cell r="AV1821">
            <v>0</v>
          </cell>
        </row>
        <row r="1822">
          <cell r="E1822" t="str">
            <v>D26001928</v>
          </cell>
          <cell r="AP1822">
            <v>0</v>
          </cell>
          <cell r="AQ1822">
            <v>0</v>
          </cell>
          <cell r="AV1822">
            <v>0</v>
          </cell>
        </row>
        <row r="1823">
          <cell r="E1823" t="str">
            <v>D26001938</v>
          </cell>
          <cell r="AP1823">
            <v>0</v>
          </cell>
          <cell r="AQ1823">
            <v>0</v>
          </cell>
          <cell r="AV1823">
            <v>0</v>
          </cell>
        </row>
        <row r="1824">
          <cell r="E1824" t="str">
            <v>D26002098</v>
          </cell>
          <cell r="AP1824">
            <v>0</v>
          </cell>
          <cell r="AQ1824">
            <v>0</v>
          </cell>
          <cell r="AV1824">
            <v>0</v>
          </cell>
        </row>
        <row r="1825">
          <cell r="E1825" t="str">
            <v>D26002167</v>
          </cell>
          <cell r="AP1825">
            <v>0</v>
          </cell>
          <cell r="AQ1825">
            <v>0</v>
          </cell>
          <cell r="AV1825">
            <v>0</v>
          </cell>
        </row>
        <row r="1826">
          <cell r="E1826" t="str">
            <v>D26002270</v>
          </cell>
          <cell r="AP1826">
            <v>0</v>
          </cell>
          <cell r="AQ1826">
            <v>0</v>
          </cell>
          <cell r="AV1826">
            <v>0</v>
          </cell>
        </row>
        <row r="1827">
          <cell r="E1827" t="str">
            <v>B26002210</v>
          </cell>
          <cell r="AP1827">
            <v>0</v>
          </cell>
          <cell r="AQ1827">
            <v>0</v>
          </cell>
          <cell r="AV1827">
            <v>0</v>
          </cell>
        </row>
        <row r="1828">
          <cell r="E1828" t="str">
            <v>D26002437</v>
          </cell>
          <cell r="AP1828">
            <v>0</v>
          </cell>
          <cell r="AQ1828">
            <v>0</v>
          </cell>
          <cell r="AV1828">
            <v>0</v>
          </cell>
        </row>
        <row r="1829">
          <cell r="E1829" t="str">
            <v>D26002488</v>
          </cell>
          <cell r="AP1829">
            <v>0</v>
          </cell>
          <cell r="AQ1829">
            <v>0</v>
          </cell>
          <cell r="AV1829">
            <v>0</v>
          </cell>
        </row>
        <row r="1830">
          <cell r="E1830" t="str">
            <v>D26002500</v>
          </cell>
          <cell r="AP1830">
            <v>0</v>
          </cell>
          <cell r="AQ1830">
            <v>0</v>
          </cell>
          <cell r="AV1830">
            <v>0</v>
          </cell>
        </row>
        <row r="1831">
          <cell r="E1831" t="str">
            <v>D26002516</v>
          </cell>
          <cell r="AP1831">
            <v>0</v>
          </cell>
          <cell r="AQ1831">
            <v>0</v>
          </cell>
          <cell r="AV1831">
            <v>0</v>
          </cell>
        </row>
        <row r="1832">
          <cell r="E1832" t="str">
            <v>D26002615</v>
          </cell>
          <cell r="AP1832">
            <v>0</v>
          </cell>
          <cell r="AQ1832">
            <v>0</v>
          </cell>
          <cell r="AV1832">
            <v>0</v>
          </cell>
        </row>
        <row r="1833">
          <cell r="E1833" t="str">
            <v>D26002699</v>
          </cell>
          <cell r="AP1833">
            <v>0</v>
          </cell>
          <cell r="AQ1833">
            <v>0</v>
          </cell>
          <cell r="AV1833">
            <v>0</v>
          </cell>
        </row>
        <row r="1834">
          <cell r="E1834" t="str">
            <v>D26002784</v>
          </cell>
          <cell r="AP1834">
            <v>0</v>
          </cell>
          <cell r="AQ1834">
            <v>0</v>
          </cell>
          <cell r="AV1834">
            <v>0</v>
          </cell>
        </row>
        <row r="1835">
          <cell r="E1835" t="str">
            <v>D26002787</v>
          </cell>
          <cell r="AP1835">
            <v>0</v>
          </cell>
          <cell r="AQ1835">
            <v>0</v>
          </cell>
          <cell r="AV1835">
            <v>0</v>
          </cell>
        </row>
        <row r="1836">
          <cell r="E1836" t="str">
            <v>D26002794</v>
          </cell>
          <cell r="AP1836">
            <v>0</v>
          </cell>
          <cell r="AQ1836">
            <v>0</v>
          </cell>
          <cell r="AV1836">
            <v>0</v>
          </cell>
        </row>
        <row r="1837">
          <cell r="E1837" t="str">
            <v>D26002832</v>
          </cell>
          <cell r="AP1837">
            <v>0</v>
          </cell>
          <cell r="AQ1837">
            <v>0</v>
          </cell>
          <cell r="AV1837">
            <v>0</v>
          </cell>
        </row>
        <row r="1838">
          <cell r="E1838" t="str">
            <v>D26003076</v>
          </cell>
          <cell r="AP1838">
            <v>0</v>
          </cell>
          <cell r="AQ1838">
            <v>0</v>
          </cell>
          <cell r="AV1838">
            <v>0</v>
          </cell>
        </row>
        <row r="1839">
          <cell r="E1839" t="str">
            <v>D26003078</v>
          </cell>
          <cell r="AP1839">
            <v>0</v>
          </cell>
          <cell r="AQ1839">
            <v>0</v>
          </cell>
          <cell r="AV1839">
            <v>0</v>
          </cell>
        </row>
        <row r="1840">
          <cell r="E1840" t="str">
            <v>D26003192</v>
          </cell>
          <cell r="AP1840">
            <v>0</v>
          </cell>
          <cell r="AQ1840">
            <v>0</v>
          </cell>
          <cell r="AV1840">
            <v>0</v>
          </cell>
        </row>
        <row r="1841">
          <cell r="E1841" t="str">
            <v>D26003199</v>
          </cell>
          <cell r="AP1841">
            <v>0</v>
          </cell>
          <cell r="AQ1841">
            <v>0</v>
          </cell>
          <cell r="AV1841">
            <v>0</v>
          </cell>
        </row>
        <row r="1842">
          <cell r="E1842" t="str">
            <v>D26003303</v>
          </cell>
          <cell r="AP1842">
            <v>0</v>
          </cell>
          <cell r="AQ1842">
            <v>0</v>
          </cell>
          <cell r="AV1842">
            <v>0</v>
          </cell>
        </row>
        <row r="1843">
          <cell r="E1843" t="str">
            <v>B26000380</v>
          </cell>
          <cell r="AP1843">
            <v>0</v>
          </cell>
          <cell r="AQ1843">
            <v>0</v>
          </cell>
          <cell r="AV1843">
            <v>0</v>
          </cell>
        </row>
        <row r="1844">
          <cell r="E1844" t="str">
            <v>T26000253</v>
          </cell>
          <cell r="AP1844">
            <v>0</v>
          </cell>
          <cell r="AQ1844">
            <v>0</v>
          </cell>
          <cell r="AV1844">
            <v>0</v>
          </cell>
        </row>
        <row r="1845">
          <cell r="E1845" t="str">
            <v>T26000254</v>
          </cell>
          <cell r="AP1845">
            <v>0</v>
          </cell>
          <cell r="AQ1845">
            <v>0</v>
          </cell>
          <cell r="AV1845">
            <v>0</v>
          </cell>
        </row>
        <row r="1846">
          <cell r="E1846" t="str">
            <v>B25002140</v>
          </cell>
          <cell r="AP1846">
            <v>0</v>
          </cell>
          <cell r="AQ1846">
            <v>0</v>
          </cell>
          <cell r="AV1846">
            <v>0</v>
          </cell>
        </row>
        <row r="1847">
          <cell r="E1847" t="str">
            <v>B26001581</v>
          </cell>
          <cell r="AP1847">
            <v>0</v>
          </cell>
          <cell r="AQ1847">
            <v>0</v>
          </cell>
          <cell r="AV1847">
            <v>0</v>
          </cell>
        </row>
        <row r="1848">
          <cell r="E1848" t="str">
            <v>B26002005</v>
          </cell>
          <cell r="AP1848">
            <v>0</v>
          </cell>
          <cell r="AQ1848">
            <v>0</v>
          </cell>
          <cell r="AV1848">
            <v>0</v>
          </cell>
        </row>
        <row r="1849">
          <cell r="E1849" t="str">
            <v>B26002040</v>
          </cell>
          <cell r="AP1849">
            <v>0</v>
          </cell>
          <cell r="AQ1849">
            <v>0</v>
          </cell>
          <cell r="AV1849">
            <v>0</v>
          </cell>
        </row>
        <row r="1850">
          <cell r="E1850" t="str">
            <v>B26002051</v>
          </cell>
          <cell r="AP1850">
            <v>0</v>
          </cell>
          <cell r="AQ1850">
            <v>0</v>
          </cell>
          <cell r="AV1850">
            <v>0</v>
          </cell>
        </row>
        <row r="1851">
          <cell r="E1851" t="str">
            <v>D26002357</v>
          </cell>
          <cell r="AP1851">
            <v>0</v>
          </cell>
          <cell r="AQ1851">
            <v>0</v>
          </cell>
          <cell r="AV1851">
            <v>0</v>
          </cell>
        </row>
        <row r="1852">
          <cell r="E1852" t="str">
            <v>T26000183</v>
          </cell>
          <cell r="AP1852">
            <v>0</v>
          </cell>
          <cell r="AQ1852">
            <v>0</v>
          </cell>
          <cell r="AV1852">
            <v>0</v>
          </cell>
        </row>
        <row r="1853">
          <cell r="E1853" t="str">
            <v>B26002629</v>
          </cell>
          <cell r="AP1853">
            <v>0</v>
          </cell>
          <cell r="AQ1853">
            <v>0</v>
          </cell>
          <cell r="AV1853">
            <v>0</v>
          </cell>
        </row>
        <row r="1854">
          <cell r="E1854" t="str">
            <v>D26002977</v>
          </cell>
          <cell r="AP1854">
            <v>0</v>
          </cell>
          <cell r="AQ1854">
            <v>0</v>
          </cell>
          <cell r="AV1854">
            <v>0</v>
          </cell>
        </row>
        <row r="1855">
          <cell r="E1855" t="str">
            <v>D26003024</v>
          </cell>
          <cell r="AP1855">
            <v>0</v>
          </cell>
          <cell r="AQ1855">
            <v>0</v>
          </cell>
          <cell r="AV1855">
            <v>0</v>
          </cell>
        </row>
        <row r="1856">
          <cell r="E1856" t="str">
            <v>B26002908</v>
          </cell>
          <cell r="AP1856">
            <v>0</v>
          </cell>
          <cell r="AQ1856">
            <v>0</v>
          </cell>
          <cell r="AV1856">
            <v>0</v>
          </cell>
        </row>
        <row r="1857">
          <cell r="E1857" t="str">
            <v>Z26000140</v>
          </cell>
          <cell r="AP1857">
            <v>0</v>
          </cell>
          <cell r="AQ1857">
            <v>0</v>
          </cell>
          <cell r="AV1857">
            <v>0</v>
          </cell>
        </row>
        <row r="1858">
          <cell r="E1858" t="str">
            <v>Z26000160</v>
          </cell>
          <cell r="AP1858">
            <v>0</v>
          </cell>
          <cell r="AQ1858">
            <v>0</v>
          </cell>
          <cell r="AV1858">
            <v>0</v>
          </cell>
        </row>
        <row r="1859">
          <cell r="E1859" t="str">
            <v>Z26000402</v>
          </cell>
          <cell r="AP1859">
            <v>0</v>
          </cell>
          <cell r="AQ1859">
            <v>0</v>
          </cell>
          <cell r="AV1859">
            <v>0</v>
          </cell>
        </row>
        <row r="1860">
          <cell r="E1860" t="str">
            <v>Z26000605</v>
          </cell>
          <cell r="AP1860">
            <v>0</v>
          </cell>
          <cell r="AQ1860">
            <v>0</v>
          </cell>
          <cell r="AV1860">
            <v>0</v>
          </cell>
        </row>
        <row r="1861">
          <cell r="E1861" t="str">
            <v>Z26000609</v>
          </cell>
          <cell r="AP1861">
            <v>0</v>
          </cell>
          <cell r="AQ1861">
            <v>0</v>
          </cell>
          <cell r="AV1861">
            <v>0</v>
          </cell>
        </row>
        <row r="1862">
          <cell r="E1862" t="str">
            <v>B25016892</v>
          </cell>
          <cell r="AP1862">
            <v>0</v>
          </cell>
          <cell r="AQ1862">
            <v>0</v>
          </cell>
          <cell r="AV1862">
            <v>0</v>
          </cell>
        </row>
        <row r="1863">
          <cell r="E1863" t="str">
            <v>D25019399</v>
          </cell>
          <cell r="AP1863">
            <v>0</v>
          </cell>
          <cell r="AQ1863">
            <v>0</v>
          </cell>
          <cell r="AV1863">
            <v>0</v>
          </cell>
        </row>
        <row r="1864">
          <cell r="E1864" t="str">
            <v>B25016922</v>
          </cell>
          <cell r="AP1864">
            <v>0</v>
          </cell>
          <cell r="AQ1864">
            <v>0</v>
          </cell>
          <cell r="AV1864">
            <v>0</v>
          </cell>
        </row>
        <row r="1865">
          <cell r="E1865" t="str">
            <v>B26001649</v>
          </cell>
          <cell r="AP1865">
            <v>0</v>
          </cell>
          <cell r="AQ1865">
            <v>0</v>
          </cell>
          <cell r="AV1865">
            <v>0</v>
          </cell>
        </row>
        <row r="1866">
          <cell r="E1866" t="str">
            <v>B26001714</v>
          </cell>
          <cell r="AP1866">
            <v>0</v>
          </cell>
          <cell r="AQ1866">
            <v>0</v>
          </cell>
          <cell r="AV1866">
            <v>0</v>
          </cell>
        </row>
        <row r="1867">
          <cell r="E1867" t="str">
            <v>D26002696</v>
          </cell>
          <cell r="AP1867">
            <v>0</v>
          </cell>
          <cell r="AQ1867">
            <v>0</v>
          </cell>
          <cell r="AV1867">
            <v>0</v>
          </cell>
        </row>
        <row r="1868">
          <cell r="E1868" t="str">
            <v>B26002616</v>
          </cell>
          <cell r="AP1868">
            <v>0</v>
          </cell>
          <cell r="AQ1868">
            <v>0</v>
          </cell>
          <cell r="AV1868">
            <v>0</v>
          </cell>
        </row>
        <row r="1869">
          <cell r="E1869" t="str">
            <v>C25000307</v>
          </cell>
          <cell r="AP1869">
            <v>0</v>
          </cell>
          <cell r="AQ1869">
            <v>0</v>
          </cell>
          <cell r="AV1869">
            <v>0</v>
          </cell>
        </row>
        <row r="1870">
          <cell r="E1870" t="str">
            <v>D24015365</v>
          </cell>
          <cell r="AP1870">
            <v>0</v>
          </cell>
          <cell r="AQ1870">
            <v>0</v>
          </cell>
          <cell r="AV1870">
            <v>0</v>
          </cell>
        </row>
        <row r="1871">
          <cell r="E1871" t="str">
            <v>D24015541</v>
          </cell>
          <cell r="AP1871">
            <v>0</v>
          </cell>
          <cell r="AQ1871">
            <v>0</v>
          </cell>
          <cell r="AV1871">
            <v>0</v>
          </cell>
        </row>
        <row r="1872">
          <cell r="E1872" t="str">
            <v>C25000192</v>
          </cell>
          <cell r="AP1872">
            <v>0</v>
          </cell>
          <cell r="AQ1872">
            <v>0</v>
          </cell>
          <cell r="AV1872">
            <v>0</v>
          </cell>
        </row>
        <row r="1873">
          <cell r="E1873" t="str">
            <v>C25000195</v>
          </cell>
          <cell r="AP1873">
            <v>0</v>
          </cell>
          <cell r="AQ1873">
            <v>0</v>
          </cell>
          <cell r="AV1873">
            <v>0</v>
          </cell>
        </row>
        <row r="1874">
          <cell r="E1874" t="str">
            <v>C25000196</v>
          </cell>
          <cell r="AP1874">
            <v>0</v>
          </cell>
          <cell r="AQ1874">
            <v>0</v>
          </cell>
          <cell r="AV1874">
            <v>0</v>
          </cell>
        </row>
        <row r="1875">
          <cell r="E1875" t="str">
            <v>C25000197</v>
          </cell>
          <cell r="AP1875">
            <v>0</v>
          </cell>
          <cell r="AQ1875">
            <v>0</v>
          </cell>
          <cell r="AV1875">
            <v>0</v>
          </cell>
        </row>
        <row r="1876">
          <cell r="E1876" t="str">
            <v>C25000198</v>
          </cell>
          <cell r="AP1876">
            <v>0</v>
          </cell>
          <cell r="AQ1876">
            <v>0</v>
          </cell>
          <cell r="AV1876">
            <v>0</v>
          </cell>
        </row>
        <row r="1877">
          <cell r="E1877" t="str">
            <v>C25000445</v>
          </cell>
          <cell r="AP1877">
            <v>0</v>
          </cell>
          <cell r="AQ1877">
            <v>0</v>
          </cell>
          <cell r="AV1877">
            <v>0</v>
          </cell>
        </row>
        <row r="1878">
          <cell r="E1878" t="str">
            <v>B25008299</v>
          </cell>
          <cell r="AP1878">
            <v>0</v>
          </cell>
          <cell r="AQ1878">
            <v>0</v>
          </cell>
          <cell r="AV1878">
            <v>0</v>
          </cell>
        </row>
        <row r="1879">
          <cell r="E1879" t="str">
            <v>B25008808</v>
          </cell>
          <cell r="AP1879">
            <v>0</v>
          </cell>
          <cell r="AQ1879">
            <v>0</v>
          </cell>
          <cell r="AV1879">
            <v>0</v>
          </cell>
        </row>
        <row r="1880">
          <cell r="E1880" t="str">
            <v>B25009712</v>
          </cell>
          <cell r="AP1880">
            <v>0</v>
          </cell>
          <cell r="AQ1880">
            <v>0</v>
          </cell>
          <cell r="AV1880">
            <v>0</v>
          </cell>
        </row>
        <row r="1881">
          <cell r="E1881" t="str">
            <v>M25000081</v>
          </cell>
          <cell r="AP1881">
            <v>0</v>
          </cell>
          <cell r="AQ1881">
            <v>0</v>
          </cell>
          <cell r="AV1881">
            <v>0</v>
          </cell>
        </row>
        <row r="1882">
          <cell r="E1882" t="str">
            <v>D25018593</v>
          </cell>
          <cell r="AP1882">
            <v>0</v>
          </cell>
          <cell r="AQ1882">
            <v>0</v>
          </cell>
          <cell r="AV1882">
            <v>0</v>
          </cell>
        </row>
        <row r="1883">
          <cell r="E1883" t="str">
            <v>B26000145</v>
          </cell>
          <cell r="AP1883">
            <v>0</v>
          </cell>
          <cell r="AQ1883">
            <v>0</v>
          </cell>
          <cell r="AV1883">
            <v>0</v>
          </cell>
        </row>
        <row r="1884">
          <cell r="E1884" t="str">
            <v>B26000146</v>
          </cell>
          <cell r="AP1884">
            <v>0</v>
          </cell>
          <cell r="AQ1884">
            <v>0</v>
          </cell>
          <cell r="AV1884">
            <v>0</v>
          </cell>
        </row>
        <row r="1885">
          <cell r="E1885" t="str">
            <v>D26000177</v>
          </cell>
          <cell r="AP1885">
            <v>0</v>
          </cell>
          <cell r="AQ1885">
            <v>0</v>
          </cell>
          <cell r="AV1885">
            <v>0</v>
          </cell>
        </row>
        <row r="1886">
          <cell r="E1886" t="str">
            <v>D25018553</v>
          </cell>
          <cell r="AP1886">
            <v>0</v>
          </cell>
          <cell r="AQ1886">
            <v>0</v>
          </cell>
          <cell r="AV1886">
            <v>0</v>
          </cell>
        </row>
        <row r="1887">
          <cell r="E1887" t="str">
            <v>D26001327</v>
          </cell>
          <cell r="AP1887">
            <v>0</v>
          </cell>
          <cell r="AQ1887">
            <v>0</v>
          </cell>
          <cell r="AV1887">
            <v>0</v>
          </cell>
        </row>
        <row r="1888">
          <cell r="E1888" t="str">
            <v>B25016972</v>
          </cell>
          <cell r="AP1888">
            <v>0</v>
          </cell>
          <cell r="AQ1888">
            <v>0</v>
          </cell>
          <cell r="AV1888">
            <v>0</v>
          </cell>
        </row>
        <row r="1889">
          <cell r="E1889" t="str">
            <v>B26000326</v>
          </cell>
          <cell r="AP1889">
            <v>0</v>
          </cell>
          <cell r="AQ1889">
            <v>0</v>
          </cell>
          <cell r="AV1889">
            <v>0</v>
          </cell>
        </row>
        <row r="1890">
          <cell r="E1890" t="str">
            <v>B26001041</v>
          </cell>
          <cell r="AP1890">
            <v>0</v>
          </cell>
          <cell r="AQ1890">
            <v>0</v>
          </cell>
          <cell r="AV1890">
            <v>0</v>
          </cell>
        </row>
        <row r="1891">
          <cell r="E1891" t="str">
            <v>B26001680</v>
          </cell>
          <cell r="AP1891">
            <v>0</v>
          </cell>
          <cell r="AQ1891">
            <v>0</v>
          </cell>
          <cell r="AV1891">
            <v>0</v>
          </cell>
        </row>
        <row r="1892">
          <cell r="E1892" t="str">
            <v>D26002752</v>
          </cell>
          <cell r="AP1892">
            <v>0</v>
          </cell>
          <cell r="AQ1892">
            <v>0</v>
          </cell>
          <cell r="AV1892">
            <v>0</v>
          </cell>
        </row>
        <row r="1893">
          <cell r="E1893" t="str">
            <v>D26002753</v>
          </cell>
          <cell r="AP1893">
            <v>0</v>
          </cell>
          <cell r="AQ1893">
            <v>0</v>
          </cell>
          <cell r="AV1893">
            <v>0</v>
          </cell>
        </row>
        <row r="1894">
          <cell r="E1894" t="str">
            <v>D26001769</v>
          </cell>
          <cell r="AP1894">
            <v>0</v>
          </cell>
          <cell r="AQ1894">
            <v>0</v>
          </cell>
          <cell r="AV1894">
            <v>0</v>
          </cell>
        </row>
        <row r="1895">
          <cell r="E1895" t="str">
            <v>B26001766</v>
          </cell>
          <cell r="AP1895">
            <v>0</v>
          </cell>
          <cell r="AQ1895">
            <v>0</v>
          </cell>
          <cell r="AV1895">
            <v>0</v>
          </cell>
        </row>
        <row r="1896">
          <cell r="E1896" t="str">
            <v>B26001767</v>
          </cell>
          <cell r="AP1896">
            <v>0</v>
          </cell>
          <cell r="AQ1896">
            <v>0</v>
          </cell>
          <cell r="AV1896">
            <v>0</v>
          </cell>
        </row>
        <row r="1897">
          <cell r="E1897" t="str">
            <v>T26000124</v>
          </cell>
          <cell r="AP1897">
            <v>0</v>
          </cell>
          <cell r="AQ1897">
            <v>0</v>
          </cell>
          <cell r="AV1897">
            <v>0</v>
          </cell>
        </row>
        <row r="1898">
          <cell r="E1898" t="str">
            <v>D26001924</v>
          </cell>
          <cell r="AP1898">
            <v>0</v>
          </cell>
          <cell r="AQ1898">
            <v>0</v>
          </cell>
          <cell r="AV1898">
            <v>0</v>
          </cell>
        </row>
        <row r="1899">
          <cell r="E1899" t="str">
            <v>B26002166</v>
          </cell>
          <cell r="AP1899">
            <v>0</v>
          </cell>
          <cell r="AQ1899">
            <v>0</v>
          </cell>
          <cell r="AV1899">
            <v>0</v>
          </cell>
        </row>
        <row r="1900">
          <cell r="E1900" t="str">
            <v>D26002309</v>
          </cell>
          <cell r="AP1900">
            <v>0</v>
          </cell>
          <cell r="AQ1900">
            <v>0</v>
          </cell>
          <cell r="AV1900">
            <v>0</v>
          </cell>
        </row>
        <row r="1901">
          <cell r="E1901" t="str">
            <v>D26002350</v>
          </cell>
          <cell r="AP1901">
            <v>0</v>
          </cell>
          <cell r="AQ1901">
            <v>0</v>
          </cell>
          <cell r="AV1901">
            <v>0</v>
          </cell>
        </row>
        <row r="1902">
          <cell r="E1902" t="str">
            <v>N26000021</v>
          </cell>
          <cell r="AP1902">
            <v>0</v>
          </cell>
          <cell r="AQ1902">
            <v>0</v>
          </cell>
          <cell r="AV1902">
            <v>0</v>
          </cell>
        </row>
        <row r="1903">
          <cell r="E1903" t="str">
            <v>D26002389</v>
          </cell>
          <cell r="AP1903">
            <v>0</v>
          </cell>
          <cell r="AQ1903">
            <v>0</v>
          </cell>
          <cell r="AV1903">
            <v>0</v>
          </cell>
        </row>
        <row r="1904">
          <cell r="E1904" t="str">
            <v>B26002354</v>
          </cell>
          <cell r="AP1904">
            <v>0</v>
          </cell>
          <cell r="AQ1904">
            <v>0</v>
          </cell>
          <cell r="AV1904">
            <v>0</v>
          </cell>
        </row>
        <row r="1905">
          <cell r="E1905" t="str">
            <v>B26002441</v>
          </cell>
          <cell r="AP1905">
            <v>0</v>
          </cell>
          <cell r="AQ1905">
            <v>0</v>
          </cell>
          <cell r="AV1905">
            <v>0</v>
          </cell>
        </row>
        <row r="1906">
          <cell r="E1906" t="str">
            <v>B26002442</v>
          </cell>
          <cell r="AP1906">
            <v>0</v>
          </cell>
          <cell r="AQ1906">
            <v>0</v>
          </cell>
          <cell r="AV1906">
            <v>0</v>
          </cell>
        </row>
        <row r="1907">
          <cell r="E1907" t="str">
            <v>D26002880</v>
          </cell>
          <cell r="AP1907">
            <v>0</v>
          </cell>
          <cell r="AQ1907">
            <v>0</v>
          </cell>
          <cell r="AV1907">
            <v>0</v>
          </cell>
        </row>
        <row r="1908">
          <cell r="E1908" t="str">
            <v>B26002782</v>
          </cell>
          <cell r="AP1908">
            <v>0</v>
          </cell>
          <cell r="AQ1908">
            <v>0</v>
          </cell>
          <cell r="AV1908">
            <v>0</v>
          </cell>
        </row>
        <row r="1909">
          <cell r="E1909" t="str">
            <v>D26003098</v>
          </cell>
          <cell r="AP1909">
            <v>0</v>
          </cell>
          <cell r="AQ1909">
            <v>0</v>
          </cell>
          <cell r="AV1909">
            <v>0</v>
          </cell>
        </row>
        <row r="1910">
          <cell r="E1910" t="str">
            <v>D26003099</v>
          </cell>
          <cell r="AP1910">
            <v>0</v>
          </cell>
          <cell r="AQ1910">
            <v>0</v>
          </cell>
          <cell r="AV1910">
            <v>0</v>
          </cell>
        </row>
        <row r="1911">
          <cell r="E1911" t="str">
            <v>D26003139</v>
          </cell>
          <cell r="AP1911">
            <v>0</v>
          </cell>
          <cell r="AQ1911">
            <v>0</v>
          </cell>
          <cell r="AV1911">
            <v>0</v>
          </cell>
        </row>
        <row r="1912">
          <cell r="E1912" t="str">
            <v>B26000288</v>
          </cell>
          <cell r="AP1912">
            <v>0</v>
          </cell>
          <cell r="AQ1912">
            <v>0</v>
          </cell>
          <cell r="AV1912">
            <v>0</v>
          </cell>
        </row>
        <row r="1913">
          <cell r="E1913" t="str">
            <v>D26000885</v>
          </cell>
          <cell r="AP1913">
            <v>0</v>
          </cell>
          <cell r="AQ1913">
            <v>0</v>
          </cell>
          <cell r="AV1913">
            <v>0</v>
          </cell>
        </row>
        <row r="1914">
          <cell r="E1914" t="str">
            <v>D26001196</v>
          </cell>
          <cell r="AP1914">
            <v>0</v>
          </cell>
          <cell r="AQ1914">
            <v>0</v>
          </cell>
          <cell r="AV1914">
            <v>0</v>
          </cell>
        </row>
        <row r="1915">
          <cell r="E1915" t="str">
            <v>D26001745</v>
          </cell>
          <cell r="AP1915">
            <v>0</v>
          </cell>
          <cell r="AQ1915">
            <v>0</v>
          </cell>
          <cell r="AV1915">
            <v>0</v>
          </cell>
        </row>
        <row r="1916">
          <cell r="E1916" t="str">
            <v>D26001800</v>
          </cell>
          <cell r="AP1916">
            <v>0</v>
          </cell>
          <cell r="AQ1916">
            <v>0</v>
          </cell>
          <cell r="AV1916">
            <v>0</v>
          </cell>
        </row>
        <row r="1917">
          <cell r="E1917" t="str">
            <v>D26001801</v>
          </cell>
          <cell r="AP1917">
            <v>0</v>
          </cell>
          <cell r="AQ1917">
            <v>0</v>
          </cell>
          <cell r="AV1917">
            <v>0</v>
          </cell>
        </row>
        <row r="1918">
          <cell r="E1918" t="str">
            <v>D26001817</v>
          </cell>
          <cell r="AP1918">
            <v>0</v>
          </cell>
          <cell r="AQ1918">
            <v>0</v>
          </cell>
          <cell r="AV1918">
            <v>0</v>
          </cell>
        </row>
        <row r="1919">
          <cell r="E1919" t="str">
            <v>B26001712</v>
          </cell>
          <cell r="AP1919">
            <v>0</v>
          </cell>
          <cell r="AQ1919">
            <v>0</v>
          </cell>
          <cell r="AV1919">
            <v>0</v>
          </cell>
        </row>
        <row r="1920">
          <cell r="E1920" t="str">
            <v>D26002019</v>
          </cell>
          <cell r="AP1920">
            <v>0</v>
          </cell>
          <cell r="AQ1920">
            <v>0</v>
          </cell>
          <cell r="AV1920">
            <v>0</v>
          </cell>
        </row>
        <row r="1921">
          <cell r="E1921" t="str">
            <v>B26001898</v>
          </cell>
          <cell r="AP1921">
            <v>0</v>
          </cell>
          <cell r="AQ1921">
            <v>0</v>
          </cell>
          <cell r="AV1921">
            <v>0</v>
          </cell>
        </row>
        <row r="1922">
          <cell r="E1922" t="str">
            <v>D26002042</v>
          </cell>
          <cell r="AP1922">
            <v>0</v>
          </cell>
          <cell r="AQ1922">
            <v>0</v>
          </cell>
          <cell r="AV1922">
            <v>0</v>
          </cell>
        </row>
        <row r="1923">
          <cell r="E1923" t="str">
            <v>B26002167</v>
          </cell>
          <cell r="AP1923">
            <v>0</v>
          </cell>
          <cell r="AQ1923">
            <v>0</v>
          </cell>
          <cell r="AV1923">
            <v>0</v>
          </cell>
        </row>
        <row r="1924">
          <cell r="E1924" t="str">
            <v>B26002168</v>
          </cell>
          <cell r="AP1924">
            <v>0</v>
          </cell>
          <cell r="AQ1924">
            <v>0</v>
          </cell>
          <cell r="AV1924">
            <v>0</v>
          </cell>
        </row>
        <row r="1925">
          <cell r="E1925" t="str">
            <v>D26002971</v>
          </cell>
          <cell r="AP1925">
            <v>0</v>
          </cell>
          <cell r="AQ1925">
            <v>0</v>
          </cell>
          <cell r="AV1925">
            <v>0</v>
          </cell>
        </row>
        <row r="1926">
          <cell r="E1926" t="str">
            <v>D26003067</v>
          </cell>
          <cell r="AP1926">
            <v>0</v>
          </cell>
          <cell r="AQ1926">
            <v>0</v>
          </cell>
          <cell r="AV1926">
            <v>0</v>
          </cell>
        </row>
        <row r="1927">
          <cell r="E1927" t="str">
            <v>D26003126</v>
          </cell>
          <cell r="AP1927">
            <v>0</v>
          </cell>
          <cell r="AQ1927">
            <v>0</v>
          </cell>
          <cell r="AV1927">
            <v>0</v>
          </cell>
        </row>
        <row r="1928">
          <cell r="E1928" t="str">
            <v>D26003261</v>
          </cell>
          <cell r="AP1928">
            <v>0</v>
          </cell>
          <cell r="AQ1928">
            <v>0</v>
          </cell>
          <cell r="AV1928">
            <v>0</v>
          </cell>
        </row>
        <row r="1929">
          <cell r="E1929" t="str">
            <v>B26000037</v>
          </cell>
          <cell r="AP1929">
            <v>0</v>
          </cell>
          <cell r="AQ1929">
            <v>0</v>
          </cell>
          <cell r="AV1929">
            <v>0</v>
          </cell>
        </row>
        <row r="1930">
          <cell r="E1930" t="str">
            <v>D26000089</v>
          </cell>
          <cell r="AP1930">
            <v>0</v>
          </cell>
          <cell r="AQ1930">
            <v>0</v>
          </cell>
          <cell r="AV1930">
            <v>0</v>
          </cell>
        </row>
        <row r="1931">
          <cell r="E1931" t="str">
            <v>D26001302</v>
          </cell>
          <cell r="AP1931">
            <v>0</v>
          </cell>
          <cell r="AQ1931">
            <v>0</v>
          </cell>
          <cell r="AV1931">
            <v>0</v>
          </cell>
        </row>
        <row r="1932">
          <cell r="E1932" t="str">
            <v>D26001303</v>
          </cell>
          <cell r="AP1932">
            <v>0</v>
          </cell>
          <cell r="AQ1932">
            <v>0</v>
          </cell>
          <cell r="AV1932">
            <v>0</v>
          </cell>
        </row>
        <row r="1933">
          <cell r="E1933" t="str">
            <v>B26001765</v>
          </cell>
          <cell r="AP1933">
            <v>0</v>
          </cell>
          <cell r="AQ1933">
            <v>0</v>
          </cell>
          <cell r="AV1933">
            <v>0</v>
          </cell>
        </row>
        <row r="1934">
          <cell r="E1934" t="str">
            <v>D26002387</v>
          </cell>
          <cell r="AP1934">
            <v>0</v>
          </cell>
          <cell r="AQ1934">
            <v>0</v>
          </cell>
          <cell r="AV1934">
            <v>0</v>
          </cell>
        </row>
        <row r="1935">
          <cell r="E1935" t="str">
            <v>D26002388</v>
          </cell>
          <cell r="AP1935">
            <v>0</v>
          </cell>
          <cell r="AQ1935">
            <v>0</v>
          </cell>
          <cell r="AV1935">
            <v>0</v>
          </cell>
        </row>
        <row r="1936">
          <cell r="E1936" t="str">
            <v>T26000122</v>
          </cell>
          <cell r="AP1936">
            <v>0</v>
          </cell>
          <cell r="AQ1936">
            <v>0</v>
          </cell>
          <cell r="AV1936">
            <v>0</v>
          </cell>
        </row>
        <row r="1937">
          <cell r="E1937" t="str">
            <v>Z26000519</v>
          </cell>
          <cell r="AP1937">
            <v>0</v>
          </cell>
          <cell r="AQ1937">
            <v>0</v>
          </cell>
          <cell r="AV1937">
            <v>0</v>
          </cell>
        </row>
        <row r="1938">
          <cell r="E1938" t="str">
            <v>D26000752</v>
          </cell>
          <cell r="AP1938">
            <v>0</v>
          </cell>
          <cell r="AQ1938">
            <v>0</v>
          </cell>
          <cell r="AV1938">
            <v>0</v>
          </cell>
        </row>
        <row r="1939">
          <cell r="E1939" t="str">
            <v>D26003087</v>
          </cell>
          <cell r="AP1939">
            <v>0</v>
          </cell>
          <cell r="AQ1939">
            <v>0</v>
          </cell>
          <cell r="AV1939">
            <v>0</v>
          </cell>
        </row>
        <row r="1940">
          <cell r="E1940" t="str">
            <v>D26003122</v>
          </cell>
          <cell r="AP1940">
            <v>0</v>
          </cell>
          <cell r="AQ1940">
            <v>0</v>
          </cell>
          <cell r="AV1940">
            <v>0</v>
          </cell>
        </row>
        <row r="1941">
          <cell r="E1941" t="str">
            <v>B26002988</v>
          </cell>
          <cell r="AP1941">
            <v>0</v>
          </cell>
          <cell r="AQ1941">
            <v>0</v>
          </cell>
          <cell r="AV1941">
            <v>0</v>
          </cell>
        </row>
        <row r="1942">
          <cell r="E1942" t="str">
            <v>T26000251</v>
          </cell>
          <cell r="AP1942">
            <v>0</v>
          </cell>
          <cell r="AQ1942">
            <v>0</v>
          </cell>
          <cell r="AV1942">
            <v>0</v>
          </cell>
        </row>
        <row r="1943">
          <cell r="E1943" t="str">
            <v>D26003277</v>
          </cell>
          <cell r="AP1943">
            <v>0</v>
          </cell>
          <cell r="AQ1943">
            <v>0</v>
          </cell>
          <cell r="AV1943">
            <v>0</v>
          </cell>
        </row>
        <row r="1944">
          <cell r="E1944" t="str">
            <v>D26000093</v>
          </cell>
          <cell r="AP1944">
            <v>0</v>
          </cell>
          <cell r="AQ1944">
            <v>0</v>
          </cell>
          <cell r="AV1944">
            <v>0</v>
          </cell>
        </row>
        <row r="1945">
          <cell r="E1945" t="str">
            <v>B26000913</v>
          </cell>
          <cell r="AP1945">
            <v>0</v>
          </cell>
          <cell r="AQ1945">
            <v>0</v>
          </cell>
          <cell r="AV1945">
            <v>0</v>
          </cell>
        </row>
        <row r="1946">
          <cell r="E1946" t="str">
            <v>B26000357</v>
          </cell>
          <cell r="AP1946">
            <v>0</v>
          </cell>
          <cell r="AQ1946">
            <v>0</v>
          </cell>
          <cell r="AV1946">
            <v>0</v>
          </cell>
        </row>
        <row r="1947">
          <cell r="E1947" t="str">
            <v>D26000440</v>
          </cell>
          <cell r="AP1947">
            <v>0</v>
          </cell>
          <cell r="AQ1947">
            <v>0</v>
          </cell>
          <cell r="AV1947">
            <v>0</v>
          </cell>
        </row>
        <row r="1948">
          <cell r="E1948" t="str">
            <v>B26002313</v>
          </cell>
          <cell r="AP1948">
            <v>0</v>
          </cell>
          <cell r="AQ1948">
            <v>0</v>
          </cell>
          <cell r="AV1948">
            <v>0</v>
          </cell>
        </row>
        <row r="1949">
          <cell r="E1949" t="str">
            <v>D26003151</v>
          </cell>
          <cell r="AP1949">
            <v>0</v>
          </cell>
          <cell r="AQ1949">
            <v>0</v>
          </cell>
          <cell r="AV1949">
            <v>14200000</v>
          </cell>
        </row>
        <row r="1950">
          <cell r="E1950" t="str">
            <v>D25014407</v>
          </cell>
          <cell r="AP1950">
            <v>0</v>
          </cell>
          <cell r="AQ1950">
            <v>0</v>
          </cell>
          <cell r="AV1950">
            <v>525000000</v>
          </cell>
        </row>
        <row r="1951">
          <cell r="E1951" t="str">
            <v>D26001468</v>
          </cell>
          <cell r="AP1951">
            <v>0</v>
          </cell>
          <cell r="AQ1951">
            <v>0</v>
          </cell>
          <cell r="AV1951">
            <v>0</v>
          </cell>
        </row>
        <row r="1952">
          <cell r="E1952" t="str">
            <v>D26001781</v>
          </cell>
          <cell r="AP1952">
            <v>0</v>
          </cell>
          <cell r="AQ1952">
            <v>0</v>
          </cell>
          <cell r="AV1952">
            <v>0</v>
          </cell>
        </row>
        <row r="1953">
          <cell r="E1953" t="str">
            <v>B26002909</v>
          </cell>
          <cell r="AP1953">
            <v>0</v>
          </cell>
          <cell r="AQ1953">
            <v>0</v>
          </cell>
          <cell r="AV1953">
            <v>0</v>
          </cell>
        </row>
        <row r="1954">
          <cell r="E1954" t="str">
            <v>B26002911</v>
          </cell>
          <cell r="AP1954">
            <v>0</v>
          </cell>
          <cell r="AQ1954">
            <v>0</v>
          </cell>
          <cell r="AV1954">
            <v>0</v>
          </cell>
        </row>
        <row r="1955">
          <cell r="E1955" t="str">
            <v>B26000171</v>
          </cell>
          <cell r="AP1955">
            <v>0</v>
          </cell>
          <cell r="AQ1955">
            <v>0</v>
          </cell>
          <cell r="AV1955">
            <v>0</v>
          </cell>
        </row>
        <row r="1956">
          <cell r="E1956" t="str">
            <v>D26001079</v>
          </cell>
          <cell r="AP1956">
            <v>0</v>
          </cell>
          <cell r="AQ1956">
            <v>0</v>
          </cell>
          <cell r="AV1956">
            <v>0</v>
          </cell>
        </row>
        <row r="1957">
          <cell r="E1957" t="str">
            <v>T25001881k</v>
          </cell>
          <cell r="AP1957">
            <v>0</v>
          </cell>
          <cell r="AQ1957">
            <v>0</v>
          </cell>
          <cell r="AV1957">
            <v>0</v>
          </cell>
        </row>
        <row r="1958">
          <cell r="E1958" t="str">
            <v>T26000023</v>
          </cell>
          <cell r="AP1958">
            <v>0</v>
          </cell>
          <cell r="AQ1958">
            <v>0</v>
          </cell>
          <cell r="AV1958">
            <v>0</v>
          </cell>
        </row>
        <row r="1959">
          <cell r="E1959" t="str">
            <v>B26001319</v>
          </cell>
          <cell r="AP1959">
            <v>0</v>
          </cell>
          <cell r="AQ1959">
            <v>0</v>
          </cell>
          <cell r="AV1959">
            <v>0</v>
          </cell>
        </row>
        <row r="1960">
          <cell r="E1960" t="str">
            <v>D26002055</v>
          </cell>
          <cell r="AP1960">
            <v>0</v>
          </cell>
          <cell r="AQ1960">
            <v>0</v>
          </cell>
          <cell r="AV1960">
            <v>0</v>
          </cell>
        </row>
        <row r="1961">
          <cell r="E1961" t="str">
            <v>B25016739</v>
          </cell>
          <cell r="AP1961">
            <v>0</v>
          </cell>
          <cell r="AQ1961">
            <v>0</v>
          </cell>
          <cell r="AV1961">
            <v>0</v>
          </cell>
        </row>
        <row r="1962">
          <cell r="E1962" t="str">
            <v>B25016739</v>
          </cell>
          <cell r="AP1962">
            <v>0</v>
          </cell>
          <cell r="AQ1962">
            <v>0</v>
          </cell>
          <cell r="AV1962">
            <v>0</v>
          </cell>
        </row>
        <row r="1963">
          <cell r="E1963" t="str">
            <v>B25016739</v>
          </cell>
          <cell r="AP1963">
            <v>0</v>
          </cell>
          <cell r="AQ1963">
            <v>0</v>
          </cell>
          <cell r="AV1963">
            <v>0</v>
          </cell>
        </row>
        <row r="1964">
          <cell r="E1964" t="str">
            <v>B25016740</v>
          </cell>
          <cell r="AP1964">
            <v>0</v>
          </cell>
          <cell r="AQ1964">
            <v>0</v>
          </cell>
          <cell r="AV1964">
            <v>0</v>
          </cell>
        </row>
        <row r="1965">
          <cell r="E1965" t="str">
            <v>B25016740</v>
          </cell>
          <cell r="AP1965">
            <v>0</v>
          </cell>
          <cell r="AQ1965">
            <v>0</v>
          </cell>
          <cell r="AV1965">
            <v>0</v>
          </cell>
        </row>
        <row r="1966">
          <cell r="E1966" t="str">
            <v>D25019250</v>
          </cell>
          <cell r="AP1966">
            <v>0</v>
          </cell>
          <cell r="AQ1966">
            <v>0</v>
          </cell>
          <cell r="AV1966">
            <v>0</v>
          </cell>
        </row>
        <row r="1967">
          <cell r="E1967" t="str">
            <v>D25019250</v>
          </cell>
          <cell r="AP1967">
            <v>0</v>
          </cell>
          <cell r="AQ1967">
            <v>0</v>
          </cell>
          <cell r="AV1967">
            <v>0</v>
          </cell>
        </row>
        <row r="1968">
          <cell r="E1968" t="str">
            <v>D25019250</v>
          </cell>
          <cell r="AP1968">
            <v>0</v>
          </cell>
          <cell r="AQ1968">
            <v>0</v>
          </cell>
          <cell r="AV1968">
            <v>0</v>
          </cell>
        </row>
        <row r="1969">
          <cell r="E1969" t="str">
            <v>B25016887</v>
          </cell>
          <cell r="AP1969">
            <v>0</v>
          </cell>
          <cell r="AQ1969">
            <v>0</v>
          </cell>
          <cell r="AV1969">
            <v>0</v>
          </cell>
        </row>
        <row r="1970">
          <cell r="E1970" t="str">
            <v>B25016947</v>
          </cell>
          <cell r="AP1970">
            <v>0</v>
          </cell>
          <cell r="AQ1970">
            <v>0</v>
          </cell>
          <cell r="AV1970">
            <v>0</v>
          </cell>
        </row>
        <row r="1971">
          <cell r="E1971" t="str">
            <v>D26001633</v>
          </cell>
          <cell r="AP1971">
            <v>0</v>
          </cell>
          <cell r="AQ1971">
            <v>125000000</v>
          </cell>
          <cell r="AV1971">
            <v>0</v>
          </cell>
        </row>
        <row r="1972">
          <cell r="E1972" t="str">
            <v>D26001633</v>
          </cell>
          <cell r="AP1972">
            <v>0</v>
          </cell>
          <cell r="AQ1972">
            <v>125000000</v>
          </cell>
          <cell r="AV1972">
            <v>0</v>
          </cell>
        </row>
        <row r="1973">
          <cell r="E1973" t="str">
            <v>D26001633</v>
          </cell>
          <cell r="AP1973">
            <v>0</v>
          </cell>
          <cell r="AQ1973">
            <v>125000000</v>
          </cell>
          <cell r="AV1973">
            <v>0</v>
          </cell>
        </row>
        <row r="1974">
          <cell r="E1974" t="str">
            <v>D26001633</v>
          </cell>
          <cell r="AP1974">
            <v>0</v>
          </cell>
          <cell r="AQ1974">
            <v>125000000</v>
          </cell>
          <cell r="AV1974">
            <v>0</v>
          </cell>
        </row>
        <row r="1975">
          <cell r="E1975" t="str">
            <v>D26001633</v>
          </cell>
          <cell r="AP1975">
            <v>0</v>
          </cell>
          <cell r="AQ1975">
            <v>125000000</v>
          </cell>
          <cell r="AV1975">
            <v>0</v>
          </cell>
        </row>
        <row r="1976">
          <cell r="E1976" t="str">
            <v>D26001633</v>
          </cell>
          <cell r="AP1976">
            <v>0</v>
          </cell>
          <cell r="AQ1976">
            <v>125000000</v>
          </cell>
          <cell r="AV1976">
            <v>0</v>
          </cell>
        </row>
        <row r="1977">
          <cell r="E1977" t="str">
            <v>D26001633</v>
          </cell>
          <cell r="AP1977">
            <v>0</v>
          </cell>
          <cell r="AQ1977">
            <v>125000000</v>
          </cell>
          <cell r="AV1977">
            <v>0</v>
          </cell>
        </row>
        <row r="1978">
          <cell r="E1978" t="str">
            <v>D26001633</v>
          </cell>
          <cell r="AP1978">
            <v>0</v>
          </cell>
          <cell r="AQ1978">
            <v>125000000</v>
          </cell>
          <cell r="AV1978">
            <v>0</v>
          </cell>
        </row>
        <row r="1979">
          <cell r="E1979" t="str">
            <v>D26001633</v>
          </cell>
          <cell r="AP1979">
            <v>0</v>
          </cell>
          <cell r="AQ1979">
            <v>125000000</v>
          </cell>
          <cell r="AV1979">
            <v>0</v>
          </cell>
        </row>
        <row r="1980">
          <cell r="E1980" t="str">
            <v>D26001633</v>
          </cell>
          <cell r="AP1980">
            <v>0</v>
          </cell>
          <cell r="AQ1980">
            <v>129687500</v>
          </cell>
          <cell r="AV1980">
            <v>0</v>
          </cell>
        </row>
        <row r="1981">
          <cell r="E1981" t="str">
            <v>D25017428</v>
          </cell>
          <cell r="AP1981">
            <v>0</v>
          </cell>
          <cell r="AQ1981">
            <v>0</v>
          </cell>
          <cell r="AV1981">
            <v>0</v>
          </cell>
        </row>
        <row r="1982">
          <cell r="E1982" t="str">
            <v>B26001089</v>
          </cell>
          <cell r="AP1982">
            <v>0</v>
          </cell>
          <cell r="AQ1982">
            <v>0</v>
          </cell>
          <cell r="AV1982">
            <v>0</v>
          </cell>
        </row>
        <row r="1983">
          <cell r="E1983" t="str">
            <v>B26001313</v>
          </cell>
          <cell r="AP1983">
            <v>0</v>
          </cell>
          <cell r="AQ1983">
            <v>0</v>
          </cell>
          <cell r="AV1983">
            <v>0</v>
          </cell>
        </row>
        <row r="1984">
          <cell r="E1984" t="str">
            <v>B26001585</v>
          </cell>
          <cell r="AP1984">
            <v>0</v>
          </cell>
          <cell r="AQ1984">
            <v>0</v>
          </cell>
          <cell r="AV1984">
            <v>0</v>
          </cell>
        </row>
        <row r="1985">
          <cell r="E1985" t="str">
            <v>B26002847</v>
          </cell>
          <cell r="AP1985">
            <v>0</v>
          </cell>
          <cell r="AQ1985">
            <v>0</v>
          </cell>
          <cell r="AV1985">
            <v>0</v>
          </cell>
        </row>
        <row r="1986">
          <cell r="E1986" t="str">
            <v>B26003057</v>
          </cell>
          <cell r="AP1986">
            <v>0</v>
          </cell>
          <cell r="AQ1986">
            <v>0</v>
          </cell>
          <cell r="AV1986">
            <v>0</v>
          </cell>
        </row>
        <row r="1987">
          <cell r="E1987" t="str">
            <v>D26003319</v>
          </cell>
          <cell r="AP1987">
            <v>0</v>
          </cell>
          <cell r="AQ1987">
            <v>0</v>
          </cell>
          <cell r="AV1987">
            <v>0</v>
          </cell>
        </row>
        <row r="1988">
          <cell r="E1988" t="str">
            <v>T25001655</v>
          </cell>
          <cell r="AP1988">
            <v>0</v>
          </cell>
          <cell r="AQ1988">
            <v>0</v>
          </cell>
          <cell r="AV1988">
            <v>0</v>
          </cell>
        </row>
        <row r="1989">
          <cell r="E1989" t="str">
            <v>D26000630</v>
          </cell>
          <cell r="AP1989">
            <v>0</v>
          </cell>
          <cell r="AQ1989">
            <v>0</v>
          </cell>
          <cell r="AV1989">
            <v>0</v>
          </cell>
        </row>
        <row r="1990">
          <cell r="E1990" t="str">
            <v>D26000631</v>
          </cell>
          <cell r="AP1990">
            <v>0</v>
          </cell>
          <cell r="AQ1990">
            <v>0</v>
          </cell>
          <cell r="AV1990">
            <v>0</v>
          </cell>
        </row>
        <row r="1991">
          <cell r="E1991" t="str">
            <v>T26000033</v>
          </cell>
          <cell r="AP1991">
            <v>0</v>
          </cell>
          <cell r="AQ1991">
            <v>0</v>
          </cell>
          <cell r="AV1991">
            <v>0</v>
          </cell>
        </row>
        <row r="1992">
          <cell r="E1992" t="str">
            <v>B26001613</v>
          </cell>
          <cell r="AP1992">
            <v>0</v>
          </cell>
          <cell r="AQ1992">
            <v>0</v>
          </cell>
          <cell r="AV1992">
            <v>0</v>
          </cell>
        </row>
        <row r="1993">
          <cell r="E1993" t="str">
            <v>T26000165</v>
          </cell>
          <cell r="AP1993">
            <v>0</v>
          </cell>
          <cell r="AQ1993">
            <v>0</v>
          </cell>
          <cell r="AV1993">
            <v>0</v>
          </cell>
        </row>
        <row r="1994">
          <cell r="E1994" t="str">
            <v>D26003030</v>
          </cell>
          <cell r="AP1994">
            <v>0</v>
          </cell>
          <cell r="AQ1994">
            <v>0</v>
          </cell>
          <cell r="AV1994">
            <v>0</v>
          </cell>
        </row>
        <row r="1995">
          <cell r="E1995" t="str">
            <v>D26003031</v>
          </cell>
          <cell r="AP1995">
            <v>0</v>
          </cell>
          <cell r="AQ1995">
            <v>0</v>
          </cell>
          <cell r="AV1995">
            <v>0</v>
          </cell>
        </row>
        <row r="1996">
          <cell r="E1996" t="str">
            <v>D26003040</v>
          </cell>
          <cell r="AP1996">
            <v>0</v>
          </cell>
          <cell r="AQ1996">
            <v>0</v>
          </cell>
          <cell r="AV1996">
            <v>0</v>
          </cell>
        </row>
        <row r="1997">
          <cell r="E1997" t="str">
            <v>T26000216</v>
          </cell>
          <cell r="AP1997">
            <v>0</v>
          </cell>
          <cell r="AQ1997">
            <v>0</v>
          </cell>
          <cell r="AV1997">
            <v>0</v>
          </cell>
        </row>
        <row r="1998">
          <cell r="E1998" t="str">
            <v>B26001164</v>
          </cell>
          <cell r="AP1998">
            <v>0</v>
          </cell>
          <cell r="AQ1998">
            <v>0</v>
          </cell>
          <cell r="AV1998">
            <v>21429000</v>
          </cell>
        </row>
        <row r="1999">
          <cell r="E1999" t="str">
            <v>D26001298</v>
          </cell>
          <cell r="AP1999">
            <v>0</v>
          </cell>
          <cell r="AQ1999">
            <v>0</v>
          </cell>
          <cell r="AV1999">
            <v>32375000</v>
          </cell>
        </row>
        <row r="2000">
          <cell r="E2000" t="str">
            <v>D26001313</v>
          </cell>
          <cell r="AP2000">
            <v>0</v>
          </cell>
          <cell r="AQ2000">
            <v>0</v>
          </cell>
          <cell r="AV2000">
            <v>6196000</v>
          </cell>
        </row>
        <row r="2001">
          <cell r="E2001" t="str">
            <v>D26001380</v>
          </cell>
          <cell r="AP2001">
            <v>0</v>
          </cell>
          <cell r="AQ2001">
            <v>0</v>
          </cell>
          <cell r="AV2001">
            <v>0</v>
          </cell>
        </row>
        <row r="2002">
          <cell r="E2002" t="str">
            <v>D26001382</v>
          </cell>
          <cell r="AP2002">
            <v>0</v>
          </cell>
          <cell r="AQ2002">
            <v>0</v>
          </cell>
          <cell r="AV2002">
            <v>0</v>
          </cell>
        </row>
        <row r="2003">
          <cell r="E2003" t="str">
            <v>D26001428</v>
          </cell>
          <cell r="AP2003">
            <v>0</v>
          </cell>
          <cell r="AQ2003">
            <v>0</v>
          </cell>
          <cell r="AV2003">
            <v>0</v>
          </cell>
        </row>
        <row r="2004">
          <cell r="E2004" t="str">
            <v>B26001435</v>
          </cell>
          <cell r="AP2004">
            <v>0</v>
          </cell>
          <cell r="AQ2004">
            <v>0</v>
          </cell>
          <cell r="AV2004">
            <v>0</v>
          </cell>
        </row>
        <row r="2005">
          <cell r="E2005" t="str">
            <v>D26001644</v>
          </cell>
          <cell r="AP2005">
            <v>0</v>
          </cell>
          <cell r="AQ2005">
            <v>0</v>
          </cell>
          <cell r="AV2005">
            <v>0</v>
          </cell>
        </row>
        <row r="2006">
          <cell r="E2006" t="str">
            <v>D26001645</v>
          </cell>
          <cell r="AP2006">
            <v>0</v>
          </cell>
          <cell r="AQ2006">
            <v>0</v>
          </cell>
          <cell r="AV2006">
            <v>0</v>
          </cell>
        </row>
        <row r="2007">
          <cell r="E2007" t="str">
            <v>D26001854</v>
          </cell>
          <cell r="AP2007">
            <v>0</v>
          </cell>
          <cell r="AQ2007">
            <v>0</v>
          </cell>
          <cell r="AV2007">
            <v>0</v>
          </cell>
        </row>
        <row r="2008">
          <cell r="E2008" t="str">
            <v>B26001851</v>
          </cell>
          <cell r="AP2008">
            <v>0</v>
          </cell>
          <cell r="AQ2008">
            <v>0</v>
          </cell>
          <cell r="AV2008">
            <v>0</v>
          </cell>
        </row>
        <row r="2009">
          <cell r="E2009" t="str">
            <v>D26002080</v>
          </cell>
          <cell r="AP2009">
            <v>0</v>
          </cell>
          <cell r="AQ2009">
            <v>0</v>
          </cell>
          <cell r="AV2009">
            <v>0</v>
          </cell>
        </row>
        <row r="2010">
          <cell r="E2010" t="str">
            <v>B26002052</v>
          </cell>
          <cell r="AP2010">
            <v>0</v>
          </cell>
          <cell r="AQ2010">
            <v>0</v>
          </cell>
          <cell r="AV2010">
            <v>0</v>
          </cell>
        </row>
        <row r="2011">
          <cell r="E2011" t="str">
            <v>B26002100</v>
          </cell>
          <cell r="AP2011">
            <v>0</v>
          </cell>
          <cell r="AQ2011">
            <v>0</v>
          </cell>
          <cell r="AV2011">
            <v>0</v>
          </cell>
        </row>
        <row r="2012">
          <cell r="E2012" t="str">
            <v>D26002778</v>
          </cell>
          <cell r="AP2012">
            <v>0</v>
          </cell>
          <cell r="AQ2012">
            <v>0</v>
          </cell>
          <cell r="AV2012">
            <v>0</v>
          </cell>
        </row>
        <row r="2013">
          <cell r="E2013" t="str">
            <v>T26000222</v>
          </cell>
          <cell r="AP2013">
            <v>0</v>
          </cell>
          <cell r="AQ2013">
            <v>0</v>
          </cell>
          <cell r="AV2013">
            <v>0</v>
          </cell>
        </row>
        <row r="2014">
          <cell r="E2014" t="str">
            <v>D26001794</v>
          </cell>
          <cell r="AP2014">
            <v>0</v>
          </cell>
          <cell r="AQ2014">
            <v>0</v>
          </cell>
          <cell r="AV2014">
            <v>0</v>
          </cell>
        </row>
        <row r="2015">
          <cell r="E2015" t="str">
            <v>D26001811</v>
          </cell>
          <cell r="AP2015">
            <v>0</v>
          </cell>
          <cell r="AQ2015">
            <v>0</v>
          </cell>
          <cell r="AV2015">
            <v>0</v>
          </cell>
        </row>
        <row r="2016">
          <cell r="E2016" t="str">
            <v>D26002569</v>
          </cell>
          <cell r="AP2016">
            <v>0</v>
          </cell>
          <cell r="AQ2016">
            <v>0</v>
          </cell>
          <cell r="AV2016">
            <v>0</v>
          </cell>
        </row>
        <row r="2017">
          <cell r="E2017" t="str">
            <v>B26002671</v>
          </cell>
          <cell r="AP2017">
            <v>0</v>
          </cell>
          <cell r="AQ2017">
            <v>0</v>
          </cell>
          <cell r="AV2017">
            <v>0</v>
          </cell>
        </row>
        <row r="2018">
          <cell r="E2018" t="str">
            <v>B26002672</v>
          </cell>
          <cell r="AP2018">
            <v>0</v>
          </cell>
          <cell r="AQ2018">
            <v>0</v>
          </cell>
          <cell r="AV2018">
            <v>0</v>
          </cell>
        </row>
        <row r="2019">
          <cell r="E2019" t="str">
            <v>B26002674</v>
          </cell>
          <cell r="AP2019">
            <v>0</v>
          </cell>
          <cell r="AQ2019">
            <v>0</v>
          </cell>
          <cell r="AV2019">
            <v>0</v>
          </cell>
        </row>
        <row r="2020">
          <cell r="E2020" t="str">
            <v>B26002736</v>
          </cell>
          <cell r="AP2020">
            <v>0</v>
          </cell>
          <cell r="AQ2020">
            <v>0</v>
          </cell>
          <cell r="AV2020">
            <v>0</v>
          </cell>
        </row>
        <row r="2021">
          <cell r="E2021" t="str">
            <v>B26002954</v>
          </cell>
          <cell r="AP2021">
            <v>0</v>
          </cell>
          <cell r="AQ2021">
            <v>0</v>
          </cell>
          <cell r="AV2021">
            <v>0</v>
          </cell>
        </row>
        <row r="2022">
          <cell r="E2022" t="str">
            <v>B26002893</v>
          </cell>
          <cell r="AP2022">
            <v>0</v>
          </cell>
          <cell r="AQ2022">
            <v>0</v>
          </cell>
          <cell r="AV2022">
            <v>0</v>
          </cell>
        </row>
        <row r="2023">
          <cell r="E2023" t="str">
            <v>D26001146</v>
          </cell>
          <cell r="AP2023">
            <v>0</v>
          </cell>
          <cell r="AQ2023">
            <v>0</v>
          </cell>
          <cell r="AV2023">
            <v>0</v>
          </cell>
        </row>
        <row r="2024">
          <cell r="E2024" t="str">
            <v>B26001472</v>
          </cell>
          <cell r="AP2024">
            <v>0</v>
          </cell>
          <cell r="AQ2024">
            <v>0</v>
          </cell>
          <cell r="AV2024">
            <v>0</v>
          </cell>
        </row>
        <row r="2025">
          <cell r="E2025" t="str">
            <v>B26001555</v>
          </cell>
          <cell r="AP2025">
            <v>0</v>
          </cell>
          <cell r="AQ2025">
            <v>0</v>
          </cell>
          <cell r="AV2025">
            <v>0</v>
          </cell>
        </row>
        <row r="2026">
          <cell r="E2026" t="str">
            <v>B26002323</v>
          </cell>
          <cell r="AP2026">
            <v>0</v>
          </cell>
          <cell r="AQ2026">
            <v>0</v>
          </cell>
          <cell r="AV2026">
            <v>0</v>
          </cell>
        </row>
        <row r="2027">
          <cell r="E2027" t="str">
            <v>T25000698</v>
          </cell>
          <cell r="AP2027">
            <v>0</v>
          </cell>
          <cell r="AQ2027">
            <v>0</v>
          </cell>
          <cell r="AV2027">
            <v>0</v>
          </cell>
        </row>
        <row r="2028">
          <cell r="E2028" t="str">
            <v>T25000700</v>
          </cell>
          <cell r="AP2028">
            <v>0</v>
          </cell>
          <cell r="AQ2028">
            <v>0</v>
          </cell>
          <cell r="AV2028">
            <v>0</v>
          </cell>
        </row>
        <row r="2029">
          <cell r="E2029" t="str">
            <v>D25017210</v>
          </cell>
          <cell r="AP2029">
            <v>0</v>
          </cell>
          <cell r="AQ2029">
            <v>0</v>
          </cell>
          <cell r="AV2029">
            <v>0</v>
          </cell>
        </row>
        <row r="2030">
          <cell r="E2030" t="str">
            <v>D25018775</v>
          </cell>
          <cell r="AP2030">
            <v>0</v>
          </cell>
          <cell r="AQ2030">
            <v>0</v>
          </cell>
          <cell r="AV2030">
            <v>0</v>
          </cell>
        </row>
        <row r="2031">
          <cell r="E2031" t="str">
            <v>D25018776</v>
          </cell>
          <cell r="AP2031">
            <v>0</v>
          </cell>
          <cell r="AQ2031">
            <v>0</v>
          </cell>
          <cell r="AV2031">
            <v>0</v>
          </cell>
        </row>
        <row r="2032">
          <cell r="E2032" t="str">
            <v>D25019491</v>
          </cell>
          <cell r="AP2032">
            <v>0</v>
          </cell>
          <cell r="AQ2032">
            <v>0</v>
          </cell>
          <cell r="AV2032">
            <v>0</v>
          </cell>
        </row>
        <row r="2033">
          <cell r="E2033" t="str">
            <v>B25016962</v>
          </cell>
          <cell r="AP2033">
            <v>0</v>
          </cell>
          <cell r="AQ2033">
            <v>0</v>
          </cell>
          <cell r="AV2033">
            <v>0</v>
          </cell>
        </row>
        <row r="2034">
          <cell r="E2034" t="str">
            <v>D26001199</v>
          </cell>
          <cell r="AP2034">
            <v>0</v>
          </cell>
          <cell r="AQ2034">
            <v>0</v>
          </cell>
          <cell r="AV2034">
            <v>0</v>
          </cell>
        </row>
        <row r="2035">
          <cell r="E2035" t="str">
            <v>D25018010</v>
          </cell>
          <cell r="AP2035">
            <v>0</v>
          </cell>
          <cell r="AQ2035">
            <v>0</v>
          </cell>
          <cell r="AV2035">
            <v>0</v>
          </cell>
        </row>
        <row r="2036">
          <cell r="E2036" t="str">
            <v>D25018011</v>
          </cell>
          <cell r="AP2036">
            <v>0</v>
          </cell>
          <cell r="AQ2036">
            <v>0</v>
          </cell>
          <cell r="AV2036">
            <v>0</v>
          </cell>
        </row>
        <row r="2037">
          <cell r="E2037" t="str">
            <v>B26001039</v>
          </cell>
          <cell r="AP2037">
            <v>0</v>
          </cell>
          <cell r="AQ2037">
            <v>0</v>
          </cell>
          <cell r="AV2037">
            <v>0</v>
          </cell>
        </row>
        <row r="2038">
          <cell r="E2038" t="str">
            <v>D26001222</v>
          </cell>
          <cell r="AP2038">
            <v>0</v>
          </cell>
          <cell r="AQ2038">
            <v>0</v>
          </cell>
          <cell r="AV2038">
            <v>0</v>
          </cell>
        </row>
        <row r="2039">
          <cell r="E2039" t="str">
            <v>B25015004</v>
          </cell>
          <cell r="AP2039">
            <v>0</v>
          </cell>
          <cell r="AQ2039">
            <v>0</v>
          </cell>
          <cell r="AV2039">
            <v>0</v>
          </cell>
        </row>
        <row r="2040">
          <cell r="E2040" t="str">
            <v>B25015067</v>
          </cell>
          <cell r="AP2040">
            <v>0</v>
          </cell>
          <cell r="AQ2040">
            <v>0</v>
          </cell>
          <cell r="AV2040">
            <v>0</v>
          </cell>
        </row>
        <row r="2041">
          <cell r="E2041" t="str">
            <v>D25017412</v>
          </cell>
          <cell r="AP2041">
            <v>0</v>
          </cell>
          <cell r="AQ2041">
            <v>0</v>
          </cell>
          <cell r="AV2041">
            <v>0</v>
          </cell>
        </row>
        <row r="2042">
          <cell r="E2042" t="str">
            <v>B25015250</v>
          </cell>
          <cell r="AP2042">
            <v>0</v>
          </cell>
          <cell r="AQ2042">
            <v>0</v>
          </cell>
          <cell r="AV2042">
            <v>0</v>
          </cell>
        </row>
        <row r="2043">
          <cell r="E2043" t="str">
            <v>B25015395</v>
          </cell>
          <cell r="AP2043">
            <v>0</v>
          </cell>
          <cell r="AQ2043">
            <v>0</v>
          </cell>
          <cell r="AV2043">
            <v>0</v>
          </cell>
        </row>
        <row r="2044">
          <cell r="E2044" t="str">
            <v>D25017843</v>
          </cell>
          <cell r="AP2044">
            <v>0</v>
          </cell>
          <cell r="AQ2044">
            <v>0</v>
          </cell>
          <cell r="AV2044">
            <v>0</v>
          </cell>
        </row>
        <row r="2045">
          <cell r="E2045" t="str">
            <v>B25015533</v>
          </cell>
          <cell r="AP2045">
            <v>0</v>
          </cell>
          <cell r="AQ2045">
            <v>0</v>
          </cell>
          <cell r="AV2045">
            <v>0</v>
          </cell>
        </row>
        <row r="2046">
          <cell r="E2046" t="str">
            <v>D25017972</v>
          </cell>
          <cell r="AP2046">
            <v>0</v>
          </cell>
          <cell r="AQ2046">
            <v>0</v>
          </cell>
          <cell r="AV2046">
            <v>0</v>
          </cell>
        </row>
        <row r="2047">
          <cell r="E2047" t="str">
            <v>D25018032</v>
          </cell>
          <cell r="AP2047">
            <v>0</v>
          </cell>
          <cell r="AQ2047">
            <v>0</v>
          </cell>
          <cell r="AV2047">
            <v>0</v>
          </cell>
        </row>
        <row r="2048">
          <cell r="E2048" t="str">
            <v>B25015677</v>
          </cell>
          <cell r="AP2048">
            <v>0</v>
          </cell>
          <cell r="AQ2048">
            <v>0</v>
          </cell>
          <cell r="AV2048">
            <v>0</v>
          </cell>
        </row>
        <row r="2049">
          <cell r="E2049" t="str">
            <v>D25018648</v>
          </cell>
          <cell r="AP2049">
            <v>0</v>
          </cell>
          <cell r="AQ2049">
            <v>0</v>
          </cell>
          <cell r="AV2049">
            <v>0</v>
          </cell>
        </row>
        <row r="2050">
          <cell r="E2050" t="str">
            <v>D25018929</v>
          </cell>
          <cell r="AP2050">
            <v>0</v>
          </cell>
          <cell r="AQ2050">
            <v>0</v>
          </cell>
          <cell r="AV2050">
            <v>0</v>
          </cell>
        </row>
        <row r="2051">
          <cell r="E2051" t="str">
            <v>B25016629</v>
          </cell>
          <cell r="AP2051">
            <v>0</v>
          </cell>
          <cell r="AQ2051">
            <v>0</v>
          </cell>
          <cell r="AV2051">
            <v>0</v>
          </cell>
        </row>
        <row r="2052">
          <cell r="E2052" t="str">
            <v>D25019093</v>
          </cell>
          <cell r="AP2052">
            <v>0</v>
          </cell>
          <cell r="AQ2052">
            <v>0</v>
          </cell>
          <cell r="AV2052">
            <v>0</v>
          </cell>
        </row>
        <row r="2053">
          <cell r="E2053" t="str">
            <v>D25019171</v>
          </cell>
          <cell r="AP2053">
            <v>0</v>
          </cell>
          <cell r="AQ2053">
            <v>0</v>
          </cell>
          <cell r="AV2053">
            <v>0</v>
          </cell>
        </row>
        <row r="2054">
          <cell r="E2054" t="str">
            <v>B25016746</v>
          </cell>
          <cell r="AP2054">
            <v>0</v>
          </cell>
          <cell r="AQ2054">
            <v>0</v>
          </cell>
          <cell r="AV2054">
            <v>0</v>
          </cell>
        </row>
        <row r="2055">
          <cell r="E2055" t="str">
            <v>D25019258</v>
          </cell>
          <cell r="AP2055">
            <v>0</v>
          </cell>
          <cell r="AQ2055">
            <v>0</v>
          </cell>
          <cell r="AV2055">
            <v>0</v>
          </cell>
        </row>
        <row r="2056">
          <cell r="E2056" t="str">
            <v>B25017047</v>
          </cell>
          <cell r="AP2056">
            <v>0</v>
          </cell>
          <cell r="AQ2056">
            <v>0</v>
          </cell>
          <cell r="AV2056">
            <v>0</v>
          </cell>
        </row>
        <row r="2057">
          <cell r="E2057" t="str">
            <v>B25017107</v>
          </cell>
          <cell r="AP2057">
            <v>0</v>
          </cell>
          <cell r="AQ2057">
            <v>0</v>
          </cell>
          <cell r="AV2057">
            <v>0</v>
          </cell>
        </row>
        <row r="2058">
          <cell r="E2058" t="str">
            <v>B25017109</v>
          </cell>
          <cell r="AP2058">
            <v>0</v>
          </cell>
          <cell r="AQ2058">
            <v>0</v>
          </cell>
          <cell r="AV2058">
            <v>0</v>
          </cell>
        </row>
        <row r="2059">
          <cell r="E2059" t="str">
            <v>D26000485</v>
          </cell>
          <cell r="AP2059">
            <v>0</v>
          </cell>
          <cell r="AQ2059">
            <v>0</v>
          </cell>
          <cell r="AV2059">
            <v>0</v>
          </cell>
        </row>
        <row r="2060">
          <cell r="E2060" t="str">
            <v>D26000506</v>
          </cell>
          <cell r="AP2060">
            <v>0</v>
          </cell>
          <cell r="AQ2060">
            <v>0</v>
          </cell>
          <cell r="AV2060">
            <v>0</v>
          </cell>
        </row>
        <row r="2061">
          <cell r="E2061" t="str">
            <v>D26000575</v>
          </cell>
          <cell r="AP2061">
            <v>0</v>
          </cell>
          <cell r="AQ2061">
            <v>0</v>
          </cell>
          <cell r="AV2061">
            <v>0</v>
          </cell>
        </row>
        <row r="2062">
          <cell r="E2062" t="str">
            <v>D26000852</v>
          </cell>
          <cell r="AP2062">
            <v>0</v>
          </cell>
          <cell r="AQ2062">
            <v>0</v>
          </cell>
          <cell r="AV2062">
            <v>0</v>
          </cell>
        </row>
        <row r="2063">
          <cell r="E2063" t="str">
            <v>D26001446</v>
          </cell>
          <cell r="AP2063">
            <v>0</v>
          </cell>
          <cell r="AQ2063">
            <v>0</v>
          </cell>
          <cell r="AV2063">
            <v>0</v>
          </cell>
        </row>
        <row r="2064">
          <cell r="E2064" t="str">
            <v>D26001587</v>
          </cell>
          <cell r="AP2064">
            <v>0</v>
          </cell>
          <cell r="AQ2064">
            <v>0</v>
          </cell>
          <cell r="AV2064">
            <v>0</v>
          </cell>
        </row>
        <row r="2065">
          <cell r="E2065" t="str">
            <v>D26001625</v>
          </cell>
          <cell r="AP2065">
            <v>0</v>
          </cell>
          <cell r="AQ2065">
            <v>0</v>
          </cell>
          <cell r="AV2065">
            <v>0</v>
          </cell>
        </row>
        <row r="2066">
          <cell r="E2066" t="str">
            <v>D26001850</v>
          </cell>
          <cell r="AP2066">
            <v>0</v>
          </cell>
          <cell r="AQ2066">
            <v>0</v>
          </cell>
          <cell r="AV2066">
            <v>0</v>
          </cell>
        </row>
        <row r="2067">
          <cell r="E2067" t="str">
            <v>D26002100</v>
          </cell>
          <cell r="AP2067">
            <v>0</v>
          </cell>
          <cell r="AQ2067">
            <v>0</v>
          </cell>
          <cell r="AV2067">
            <v>0</v>
          </cell>
        </row>
        <row r="2068">
          <cell r="E2068" t="str">
            <v>D26002356</v>
          </cell>
          <cell r="AP2068">
            <v>0</v>
          </cell>
          <cell r="AQ2068">
            <v>0</v>
          </cell>
          <cell r="AV2068">
            <v>0</v>
          </cell>
        </row>
        <row r="2069">
          <cell r="E2069" t="str">
            <v>D26002976</v>
          </cell>
          <cell r="AP2069">
            <v>0</v>
          </cell>
          <cell r="AQ2069">
            <v>0</v>
          </cell>
          <cell r="AV2069">
            <v>0</v>
          </cell>
        </row>
        <row r="2070">
          <cell r="E2070" t="str">
            <v>D26003028</v>
          </cell>
          <cell r="AP2070">
            <v>0</v>
          </cell>
          <cell r="AQ2070">
            <v>0</v>
          </cell>
          <cell r="AV2070">
            <v>0</v>
          </cell>
        </row>
        <row r="2071">
          <cell r="E2071" t="str">
            <v>D26003039</v>
          </cell>
          <cell r="AP2071">
            <v>0</v>
          </cell>
          <cell r="AQ2071">
            <v>0</v>
          </cell>
          <cell r="AV2071">
            <v>0</v>
          </cell>
        </row>
        <row r="2072">
          <cell r="E2072" t="str">
            <v>D26003086</v>
          </cell>
          <cell r="AP2072">
            <v>0</v>
          </cell>
          <cell r="AQ2072">
            <v>0</v>
          </cell>
          <cell r="AV2072">
            <v>0</v>
          </cell>
        </row>
        <row r="2073">
          <cell r="E2073" t="str">
            <v>B26003035</v>
          </cell>
          <cell r="AP2073">
            <v>0</v>
          </cell>
          <cell r="AQ2073">
            <v>0</v>
          </cell>
          <cell r="AV2073">
            <v>0</v>
          </cell>
        </row>
        <row r="2074">
          <cell r="E2074" t="str">
            <v>D26003206</v>
          </cell>
          <cell r="AP2074">
            <v>0</v>
          </cell>
          <cell r="AQ2074">
            <v>0</v>
          </cell>
          <cell r="AV2074">
            <v>0</v>
          </cell>
        </row>
        <row r="2075">
          <cell r="E2075" t="str">
            <v>T22000046</v>
          </cell>
          <cell r="AP2075">
            <v>0</v>
          </cell>
          <cell r="AQ2075">
            <v>0</v>
          </cell>
          <cell r="AV2075">
            <v>0</v>
          </cell>
        </row>
        <row r="2076">
          <cell r="E2076" t="str">
            <v>T22000053</v>
          </cell>
          <cell r="AP2076">
            <v>0</v>
          </cell>
          <cell r="AQ2076">
            <v>0</v>
          </cell>
          <cell r="AV2076">
            <v>0</v>
          </cell>
        </row>
        <row r="2077">
          <cell r="E2077" t="str">
            <v>T22000087</v>
          </cell>
          <cell r="AP2077">
            <v>0</v>
          </cell>
          <cell r="AQ2077">
            <v>0</v>
          </cell>
          <cell r="AV2077">
            <v>0</v>
          </cell>
        </row>
        <row r="2078">
          <cell r="E2078" t="str">
            <v>T22000122</v>
          </cell>
          <cell r="AP2078">
            <v>0</v>
          </cell>
          <cell r="AQ2078">
            <v>0</v>
          </cell>
          <cell r="AV2078">
            <v>0</v>
          </cell>
        </row>
        <row r="2079">
          <cell r="E2079" t="str">
            <v>T22000134</v>
          </cell>
          <cell r="AP2079">
            <v>0</v>
          </cell>
          <cell r="AQ2079">
            <v>0</v>
          </cell>
          <cell r="AV2079">
            <v>0</v>
          </cell>
        </row>
        <row r="2080">
          <cell r="E2080" t="str">
            <v>T22000139</v>
          </cell>
          <cell r="AP2080">
            <v>0</v>
          </cell>
          <cell r="AQ2080">
            <v>0</v>
          </cell>
          <cell r="AV2080">
            <v>0</v>
          </cell>
        </row>
        <row r="2081">
          <cell r="E2081" t="str">
            <v>T22000141</v>
          </cell>
          <cell r="AP2081">
            <v>0</v>
          </cell>
          <cell r="AQ2081">
            <v>0</v>
          </cell>
          <cell r="AV2081">
            <v>0</v>
          </cell>
        </row>
        <row r="2082">
          <cell r="E2082" t="str">
            <v>T22000167</v>
          </cell>
          <cell r="AP2082">
            <v>0</v>
          </cell>
          <cell r="AQ2082">
            <v>0</v>
          </cell>
          <cell r="AV2082">
            <v>0</v>
          </cell>
        </row>
        <row r="2083">
          <cell r="E2083" t="str">
            <v>T22000207</v>
          </cell>
          <cell r="AP2083">
            <v>0</v>
          </cell>
          <cell r="AQ2083">
            <v>0</v>
          </cell>
          <cell r="AV2083">
            <v>0</v>
          </cell>
        </row>
        <row r="2084">
          <cell r="E2084" t="str">
            <v>T22000231</v>
          </cell>
          <cell r="AP2084">
            <v>0</v>
          </cell>
          <cell r="AQ2084">
            <v>0</v>
          </cell>
          <cell r="AV2084">
            <v>0</v>
          </cell>
        </row>
        <row r="2085">
          <cell r="E2085" t="str">
            <v>T22000254</v>
          </cell>
          <cell r="AP2085">
            <v>0</v>
          </cell>
          <cell r="AQ2085">
            <v>0</v>
          </cell>
          <cell r="AV2085">
            <v>0</v>
          </cell>
        </row>
        <row r="2086">
          <cell r="E2086" t="str">
            <v>T22000265</v>
          </cell>
          <cell r="AP2086">
            <v>0</v>
          </cell>
          <cell r="AQ2086">
            <v>0</v>
          </cell>
          <cell r="AV2086">
            <v>0</v>
          </cell>
        </row>
        <row r="2087">
          <cell r="E2087" t="str">
            <v>T22000282</v>
          </cell>
          <cell r="AP2087">
            <v>0</v>
          </cell>
          <cell r="AQ2087">
            <v>0</v>
          </cell>
          <cell r="AV2087">
            <v>0</v>
          </cell>
        </row>
        <row r="2088">
          <cell r="E2088" t="str">
            <v>T22000316</v>
          </cell>
          <cell r="AP2088">
            <v>0</v>
          </cell>
          <cell r="AQ2088">
            <v>0</v>
          </cell>
          <cell r="AV2088">
            <v>0</v>
          </cell>
        </row>
        <row r="2089">
          <cell r="E2089" t="str">
            <v>T22000338</v>
          </cell>
          <cell r="AP2089">
            <v>0</v>
          </cell>
          <cell r="AQ2089">
            <v>0</v>
          </cell>
          <cell r="AV2089">
            <v>0</v>
          </cell>
        </row>
        <row r="2090">
          <cell r="E2090" t="str">
            <v>T22000378</v>
          </cell>
          <cell r="AP2090">
            <v>0</v>
          </cell>
          <cell r="AQ2090">
            <v>0</v>
          </cell>
          <cell r="AV2090">
            <v>0</v>
          </cell>
        </row>
        <row r="2091">
          <cell r="E2091" t="str">
            <v>T22000394</v>
          </cell>
          <cell r="AP2091">
            <v>0</v>
          </cell>
          <cell r="AQ2091">
            <v>0</v>
          </cell>
          <cell r="AV2091">
            <v>0</v>
          </cell>
        </row>
        <row r="2092">
          <cell r="E2092" t="str">
            <v>T22000405</v>
          </cell>
          <cell r="AP2092">
            <v>0</v>
          </cell>
          <cell r="AQ2092">
            <v>0</v>
          </cell>
          <cell r="AV2092">
            <v>0</v>
          </cell>
        </row>
        <row r="2093">
          <cell r="E2093" t="str">
            <v>T22000425</v>
          </cell>
          <cell r="AP2093">
            <v>0</v>
          </cell>
          <cell r="AQ2093">
            <v>0</v>
          </cell>
          <cell r="AV2093">
            <v>0</v>
          </cell>
        </row>
        <row r="2094">
          <cell r="E2094" t="str">
            <v>T22000456</v>
          </cell>
          <cell r="AP2094">
            <v>0</v>
          </cell>
          <cell r="AQ2094">
            <v>0</v>
          </cell>
          <cell r="AV2094">
            <v>0</v>
          </cell>
        </row>
        <row r="2095">
          <cell r="E2095" t="str">
            <v>T22000472</v>
          </cell>
          <cell r="AP2095">
            <v>0</v>
          </cell>
          <cell r="AQ2095">
            <v>0</v>
          </cell>
          <cell r="AV2095">
            <v>0</v>
          </cell>
        </row>
        <row r="2096">
          <cell r="E2096" t="str">
            <v>T22000491</v>
          </cell>
          <cell r="AP2096">
            <v>0</v>
          </cell>
          <cell r="AQ2096">
            <v>0</v>
          </cell>
          <cell r="AV2096">
            <v>0</v>
          </cell>
        </row>
        <row r="2097">
          <cell r="E2097" t="str">
            <v>T22000520</v>
          </cell>
          <cell r="AP2097">
            <v>0</v>
          </cell>
          <cell r="AQ2097">
            <v>0</v>
          </cell>
          <cell r="AV2097">
            <v>0</v>
          </cell>
        </row>
        <row r="2098">
          <cell r="E2098" t="str">
            <v>T22000560</v>
          </cell>
          <cell r="AP2098">
            <v>0</v>
          </cell>
          <cell r="AQ2098">
            <v>0</v>
          </cell>
          <cell r="AV2098">
            <v>0</v>
          </cell>
        </row>
        <row r="2099">
          <cell r="E2099" t="str">
            <v>T22000561</v>
          </cell>
          <cell r="AP2099">
            <v>0</v>
          </cell>
          <cell r="AQ2099">
            <v>0</v>
          </cell>
          <cell r="AV2099">
            <v>0</v>
          </cell>
        </row>
        <row r="2100">
          <cell r="E2100" t="str">
            <v>T22000580</v>
          </cell>
          <cell r="AP2100">
            <v>0</v>
          </cell>
          <cell r="AQ2100">
            <v>0</v>
          </cell>
          <cell r="AV2100">
            <v>0</v>
          </cell>
        </row>
        <row r="2101">
          <cell r="E2101" t="str">
            <v>T22000604</v>
          </cell>
          <cell r="AP2101">
            <v>0</v>
          </cell>
          <cell r="AQ2101">
            <v>0</v>
          </cell>
          <cell r="AV2101">
            <v>0</v>
          </cell>
        </row>
        <row r="2102">
          <cell r="E2102" t="str">
            <v>T22000664</v>
          </cell>
          <cell r="AP2102">
            <v>0</v>
          </cell>
          <cell r="AQ2102">
            <v>0</v>
          </cell>
          <cell r="AV2102">
            <v>0</v>
          </cell>
        </row>
        <row r="2103">
          <cell r="E2103" t="str">
            <v>T22000725</v>
          </cell>
          <cell r="AP2103">
            <v>0</v>
          </cell>
          <cell r="AQ2103">
            <v>0</v>
          </cell>
          <cell r="AV2103">
            <v>0</v>
          </cell>
        </row>
        <row r="2104">
          <cell r="E2104" t="str">
            <v>T22000772</v>
          </cell>
          <cell r="AP2104">
            <v>0</v>
          </cell>
          <cell r="AQ2104">
            <v>0</v>
          </cell>
          <cell r="AV2104">
            <v>0</v>
          </cell>
        </row>
        <row r="2105">
          <cell r="E2105" t="str">
            <v>T22000799</v>
          </cell>
          <cell r="AP2105">
            <v>0</v>
          </cell>
          <cell r="AQ2105">
            <v>0</v>
          </cell>
          <cell r="AV2105">
            <v>0</v>
          </cell>
        </row>
        <row r="2106">
          <cell r="E2106" t="str">
            <v>T23000003</v>
          </cell>
          <cell r="AP2106">
            <v>0</v>
          </cell>
          <cell r="AQ2106">
            <v>0</v>
          </cell>
          <cell r="AV2106">
            <v>0</v>
          </cell>
        </row>
        <row r="2107">
          <cell r="E2107" t="str">
            <v>T23000012</v>
          </cell>
          <cell r="AP2107">
            <v>0</v>
          </cell>
          <cell r="AQ2107">
            <v>0</v>
          </cell>
          <cell r="AV2107">
            <v>0</v>
          </cell>
        </row>
        <row r="2108">
          <cell r="E2108" t="str">
            <v>T23000013</v>
          </cell>
          <cell r="AP2108">
            <v>0</v>
          </cell>
          <cell r="AQ2108">
            <v>0</v>
          </cell>
          <cell r="AV2108">
            <v>0</v>
          </cell>
        </row>
        <row r="2109">
          <cell r="E2109" t="str">
            <v>T23000057</v>
          </cell>
          <cell r="AP2109">
            <v>0</v>
          </cell>
          <cell r="AQ2109">
            <v>0</v>
          </cell>
          <cell r="AV2109">
            <v>0</v>
          </cell>
        </row>
        <row r="2110">
          <cell r="E2110" t="str">
            <v>T23000064</v>
          </cell>
          <cell r="AP2110">
            <v>0</v>
          </cell>
          <cell r="AQ2110">
            <v>0</v>
          </cell>
          <cell r="AV2110">
            <v>0</v>
          </cell>
        </row>
        <row r="2111">
          <cell r="E2111" t="str">
            <v>T23000087</v>
          </cell>
          <cell r="AP2111">
            <v>0</v>
          </cell>
          <cell r="AQ2111">
            <v>0</v>
          </cell>
          <cell r="AV2111">
            <v>0</v>
          </cell>
        </row>
        <row r="2112">
          <cell r="E2112" t="str">
            <v>T23000120</v>
          </cell>
          <cell r="AP2112">
            <v>0</v>
          </cell>
          <cell r="AQ2112">
            <v>0</v>
          </cell>
          <cell r="AV2112">
            <v>0</v>
          </cell>
        </row>
        <row r="2113">
          <cell r="E2113" t="str">
            <v>D23001207</v>
          </cell>
          <cell r="AP2113">
            <v>0</v>
          </cell>
          <cell r="AQ2113">
            <v>0</v>
          </cell>
          <cell r="AV2113">
            <v>0</v>
          </cell>
        </row>
        <row r="2114">
          <cell r="E2114" t="str">
            <v>T23000149</v>
          </cell>
          <cell r="AP2114">
            <v>0</v>
          </cell>
          <cell r="AQ2114">
            <v>0</v>
          </cell>
          <cell r="AV2114">
            <v>0</v>
          </cell>
        </row>
        <row r="2115">
          <cell r="E2115" t="str">
            <v>T23000180</v>
          </cell>
          <cell r="AP2115">
            <v>0</v>
          </cell>
          <cell r="AQ2115">
            <v>0</v>
          </cell>
          <cell r="AV2115">
            <v>0</v>
          </cell>
        </row>
        <row r="2116">
          <cell r="E2116" t="str">
            <v>T23000184</v>
          </cell>
          <cell r="AP2116">
            <v>0</v>
          </cell>
          <cell r="AQ2116">
            <v>0</v>
          </cell>
          <cell r="AV2116">
            <v>0</v>
          </cell>
        </row>
        <row r="2117">
          <cell r="E2117" t="str">
            <v>T23000187</v>
          </cell>
          <cell r="AP2117">
            <v>0</v>
          </cell>
          <cell r="AQ2117">
            <v>0</v>
          </cell>
          <cell r="AV2117">
            <v>0</v>
          </cell>
        </row>
        <row r="2118">
          <cell r="E2118" t="str">
            <v>T23000252</v>
          </cell>
          <cell r="AP2118">
            <v>0</v>
          </cell>
          <cell r="AQ2118">
            <v>0</v>
          </cell>
          <cell r="AV2118">
            <v>0</v>
          </cell>
        </row>
        <row r="2119">
          <cell r="E2119" t="str">
            <v>T23000257</v>
          </cell>
          <cell r="AP2119">
            <v>0</v>
          </cell>
          <cell r="AQ2119">
            <v>0</v>
          </cell>
          <cell r="AV2119">
            <v>0</v>
          </cell>
        </row>
        <row r="2120">
          <cell r="E2120" t="str">
            <v>T23000275</v>
          </cell>
          <cell r="AP2120">
            <v>0</v>
          </cell>
          <cell r="AQ2120">
            <v>0</v>
          </cell>
          <cell r="AV2120">
            <v>0</v>
          </cell>
        </row>
        <row r="2121">
          <cell r="E2121" t="str">
            <v>T23000285</v>
          </cell>
          <cell r="AP2121">
            <v>0</v>
          </cell>
          <cell r="AQ2121">
            <v>0</v>
          </cell>
          <cell r="AV2121">
            <v>0</v>
          </cell>
        </row>
        <row r="2122">
          <cell r="E2122" t="str">
            <v>T23000332</v>
          </cell>
          <cell r="AP2122">
            <v>0</v>
          </cell>
          <cell r="AQ2122">
            <v>0</v>
          </cell>
          <cell r="AV2122">
            <v>0</v>
          </cell>
        </row>
        <row r="2123">
          <cell r="E2123" t="str">
            <v>T23000355</v>
          </cell>
          <cell r="AP2123">
            <v>0</v>
          </cell>
          <cell r="AQ2123">
            <v>0</v>
          </cell>
          <cell r="AV2123">
            <v>0</v>
          </cell>
        </row>
        <row r="2124">
          <cell r="E2124" t="str">
            <v>T23000382</v>
          </cell>
          <cell r="AP2124">
            <v>0</v>
          </cell>
          <cell r="AQ2124">
            <v>0</v>
          </cell>
          <cell r="AV2124">
            <v>0</v>
          </cell>
        </row>
        <row r="2125">
          <cell r="E2125" t="str">
            <v>T23000419</v>
          </cell>
          <cell r="AP2125">
            <v>0</v>
          </cell>
          <cell r="AQ2125">
            <v>0</v>
          </cell>
          <cell r="AV2125">
            <v>0</v>
          </cell>
        </row>
        <row r="2126">
          <cell r="E2126" t="str">
            <v>T23000426</v>
          </cell>
          <cell r="AP2126">
            <v>0</v>
          </cell>
          <cell r="AQ2126">
            <v>0</v>
          </cell>
          <cell r="AV2126">
            <v>0</v>
          </cell>
        </row>
        <row r="2127">
          <cell r="E2127" t="str">
            <v>T23000485</v>
          </cell>
          <cell r="AP2127">
            <v>0</v>
          </cell>
          <cell r="AQ2127">
            <v>0</v>
          </cell>
          <cell r="AV2127">
            <v>0</v>
          </cell>
        </row>
        <row r="2128">
          <cell r="E2128" t="str">
            <v>T23000492</v>
          </cell>
          <cell r="AP2128">
            <v>0</v>
          </cell>
          <cell r="AQ2128">
            <v>0</v>
          </cell>
          <cell r="AV2128">
            <v>0</v>
          </cell>
        </row>
        <row r="2129">
          <cell r="E2129" t="str">
            <v>T23000504</v>
          </cell>
          <cell r="AP2129">
            <v>0</v>
          </cell>
          <cell r="AQ2129">
            <v>0</v>
          </cell>
          <cell r="AV2129">
            <v>0</v>
          </cell>
        </row>
        <row r="2130">
          <cell r="E2130" t="str">
            <v>T23000507</v>
          </cell>
          <cell r="AP2130">
            <v>0</v>
          </cell>
          <cell r="AQ2130">
            <v>0</v>
          </cell>
          <cell r="AV2130">
            <v>0</v>
          </cell>
        </row>
        <row r="2131">
          <cell r="E2131" t="str">
            <v>T23000508</v>
          </cell>
          <cell r="AP2131">
            <v>0</v>
          </cell>
          <cell r="AQ2131">
            <v>0</v>
          </cell>
          <cell r="AV2131">
            <v>0</v>
          </cell>
        </row>
        <row r="2132">
          <cell r="E2132" t="str">
            <v>T23000509</v>
          </cell>
          <cell r="AP2132">
            <v>0</v>
          </cell>
          <cell r="AQ2132">
            <v>0</v>
          </cell>
          <cell r="AV2132">
            <v>0</v>
          </cell>
        </row>
        <row r="2133">
          <cell r="E2133" t="str">
            <v>T23000522</v>
          </cell>
          <cell r="AP2133">
            <v>0</v>
          </cell>
          <cell r="AQ2133">
            <v>0</v>
          </cell>
          <cell r="AV2133">
            <v>0</v>
          </cell>
        </row>
        <row r="2134">
          <cell r="E2134" t="str">
            <v>T23000524</v>
          </cell>
          <cell r="AP2134">
            <v>0</v>
          </cell>
          <cell r="AQ2134">
            <v>0</v>
          </cell>
          <cell r="AV2134">
            <v>0</v>
          </cell>
        </row>
        <row r="2135">
          <cell r="E2135" t="str">
            <v>T23000577</v>
          </cell>
          <cell r="AP2135">
            <v>0</v>
          </cell>
          <cell r="AQ2135">
            <v>0</v>
          </cell>
          <cell r="AV2135">
            <v>0</v>
          </cell>
        </row>
        <row r="2136">
          <cell r="E2136" t="str">
            <v>T23000584</v>
          </cell>
          <cell r="AP2136">
            <v>0</v>
          </cell>
          <cell r="AQ2136">
            <v>0</v>
          </cell>
          <cell r="AV2136">
            <v>0</v>
          </cell>
        </row>
        <row r="2137">
          <cell r="E2137" t="str">
            <v>T23000594</v>
          </cell>
          <cell r="AP2137">
            <v>0</v>
          </cell>
          <cell r="AQ2137">
            <v>0</v>
          </cell>
          <cell r="AV2137">
            <v>0</v>
          </cell>
        </row>
        <row r="2138">
          <cell r="E2138" t="str">
            <v>T23000630</v>
          </cell>
          <cell r="AP2138">
            <v>0</v>
          </cell>
          <cell r="AQ2138">
            <v>0</v>
          </cell>
          <cell r="AV2138">
            <v>0</v>
          </cell>
        </row>
        <row r="2139">
          <cell r="E2139" t="str">
            <v>T23000644</v>
          </cell>
          <cell r="AP2139">
            <v>0</v>
          </cell>
          <cell r="AQ2139">
            <v>0</v>
          </cell>
          <cell r="AV2139">
            <v>0</v>
          </cell>
        </row>
        <row r="2140">
          <cell r="E2140" t="str">
            <v>T23000686</v>
          </cell>
          <cell r="AP2140">
            <v>0</v>
          </cell>
          <cell r="AQ2140">
            <v>0</v>
          </cell>
          <cell r="AV2140">
            <v>0</v>
          </cell>
        </row>
        <row r="2141">
          <cell r="E2141" t="str">
            <v>T23000695</v>
          </cell>
          <cell r="AP2141">
            <v>0</v>
          </cell>
          <cell r="AQ2141">
            <v>0</v>
          </cell>
          <cell r="AV2141">
            <v>0</v>
          </cell>
        </row>
        <row r="2142">
          <cell r="E2142" t="str">
            <v>T23000741</v>
          </cell>
          <cell r="AP2142">
            <v>0</v>
          </cell>
          <cell r="AQ2142">
            <v>0</v>
          </cell>
          <cell r="AV2142">
            <v>0</v>
          </cell>
        </row>
        <row r="2143">
          <cell r="E2143" t="str">
            <v>T23000742</v>
          </cell>
          <cell r="AP2143">
            <v>0</v>
          </cell>
          <cell r="AQ2143">
            <v>0</v>
          </cell>
          <cell r="AV2143">
            <v>0</v>
          </cell>
        </row>
        <row r="2144">
          <cell r="E2144" t="str">
            <v>T23000772</v>
          </cell>
          <cell r="AP2144">
            <v>0</v>
          </cell>
          <cell r="AQ2144">
            <v>0</v>
          </cell>
          <cell r="AV2144">
            <v>0</v>
          </cell>
        </row>
        <row r="2145">
          <cell r="E2145" t="str">
            <v>T23000781</v>
          </cell>
          <cell r="AP2145">
            <v>0</v>
          </cell>
          <cell r="AQ2145">
            <v>0</v>
          </cell>
          <cell r="AV2145">
            <v>0</v>
          </cell>
        </row>
        <row r="2146">
          <cell r="E2146" t="str">
            <v>T23000782</v>
          </cell>
          <cell r="AP2146">
            <v>0</v>
          </cell>
          <cell r="AQ2146">
            <v>0</v>
          </cell>
          <cell r="AV2146">
            <v>0</v>
          </cell>
        </row>
        <row r="2147">
          <cell r="E2147" t="str">
            <v>T23000809</v>
          </cell>
          <cell r="AP2147">
            <v>0</v>
          </cell>
          <cell r="AQ2147">
            <v>0</v>
          </cell>
          <cell r="AV2147">
            <v>0</v>
          </cell>
        </row>
        <row r="2148">
          <cell r="E2148" t="str">
            <v>T23000845</v>
          </cell>
          <cell r="AP2148">
            <v>0</v>
          </cell>
          <cell r="AQ2148">
            <v>0</v>
          </cell>
          <cell r="AV2148">
            <v>0</v>
          </cell>
        </row>
        <row r="2149">
          <cell r="E2149" t="str">
            <v>T23000846</v>
          </cell>
          <cell r="AP2149">
            <v>0</v>
          </cell>
          <cell r="AQ2149">
            <v>0</v>
          </cell>
          <cell r="AV2149">
            <v>0</v>
          </cell>
        </row>
        <row r="2150">
          <cell r="E2150" t="str">
            <v>T23000860</v>
          </cell>
          <cell r="AP2150">
            <v>0</v>
          </cell>
          <cell r="AQ2150">
            <v>0</v>
          </cell>
          <cell r="AV2150">
            <v>0</v>
          </cell>
        </row>
        <row r="2151">
          <cell r="E2151" t="str">
            <v>T23000881</v>
          </cell>
          <cell r="AP2151">
            <v>0</v>
          </cell>
          <cell r="AQ2151">
            <v>0</v>
          </cell>
          <cell r="AV2151">
            <v>0</v>
          </cell>
        </row>
        <row r="2152">
          <cell r="E2152" t="str">
            <v>T23000884</v>
          </cell>
          <cell r="AP2152">
            <v>0</v>
          </cell>
          <cell r="AQ2152">
            <v>0</v>
          </cell>
          <cell r="AV2152">
            <v>0</v>
          </cell>
        </row>
        <row r="2153">
          <cell r="E2153" t="str">
            <v>T23000911</v>
          </cell>
          <cell r="AP2153">
            <v>0</v>
          </cell>
          <cell r="AQ2153">
            <v>0</v>
          </cell>
          <cell r="AV2153">
            <v>0</v>
          </cell>
        </row>
        <row r="2154">
          <cell r="E2154" t="str">
            <v>T23000912</v>
          </cell>
          <cell r="AP2154">
            <v>0</v>
          </cell>
          <cell r="AQ2154">
            <v>0</v>
          </cell>
          <cell r="AV2154">
            <v>0</v>
          </cell>
        </row>
        <row r="2155">
          <cell r="E2155" t="str">
            <v>T23000914</v>
          </cell>
          <cell r="AP2155">
            <v>0</v>
          </cell>
          <cell r="AQ2155">
            <v>0</v>
          </cell>
          <cell r="AV2155">
            <v>0</v>
          </cell>
        </row>
        <row r="2156">
          <cell r="E2156" t="str">
            <v>T23000919</v>
          </cell>
          <cell r="AP2156">
            <v>0</v>
          </cell>
          <cell r="AQ2156">
            <v>0</v>
          </cell>
          <cell r="AV2156">
            <v>0</v>
          </cell>
        </row>
        <row r="2157">
          <cell r="E2157" t="str">
            <v>T23000924</v>
          </cell>
          <cell r="AP2157">
            <v>0</v>
          </cell>
          <cell r="AQ2157">
            <v>0</v>
          </cell>
          <cell r="AV2157">
            <v>0</v>
          </cell>
        </row>
        <row r="2158">
          <cell r="E2158" t="str">
            <v>T23000935</v>
          </cell>
          <cell r="AP2158">
            <v>0</v>
          </cell>
          <cell r="AQ2158">
            <v>0</v>
          </cell>
          <cell r="AV2158">
            <v>0</v>
          </cell>
        </row>
        <row r="2159">
          <cell r="E2159" t="str">
            <v>T23000936</v>
          </cell>
          <cell r="AP2159">
            <v>0</v>
          </cell>
          <cell r="AQ2159">
            <v>0</v>
          </cell>
          <cell r="AV2159">
            <v>0</v>
          </cell>
        </row>
        <row r="2160">
          <cell r="E2160" t="str">
            <v>T23000986</v>
          </cell>
          <cell r="AP2160">
            <v>0</v>
          </cell>
          <cell r="AQ2160">
            <v>0</v>
          </cell>
          <cell r="AV2160">
            <v>0</v>
          </cell>
        </row>
        <row r="2161">
          <cell r="E2161" t="str">
            <v>T23000989</v>
          </cell>
          <cell r="AP2161">
            <v>0</v>
          </cell>
          <cell r="AQ2161">
            <v>0</v>
          </cell>
          <cell r="AV2161">
            <v>0</v>
          </cell>
        </row>
        <row r="2162">
          <cell r="E2162" t="str">
            <v>T23000994</v>
          </cell>
          <cell r="AP2162">
            <v>0</v>
          </cell>
          <cell r="AQ2162">
            <v>0</v>
          </cell>
          <cell r="AV2162">
            <v>0</v>
          </cell>
        </row>
        <row r="2163">
          <cell r="E2163" t="str">
            <v>T23000998</v>
          </cell>
          <cell r="AP2163">
            <v>0</v>
          </cell>
          <cell r="AQ2163">
            <v>0</v>
          </cell>
          <cell r="AV2163">
            <v>0</v>
          </cell>
        </row>
        <row r="2164">
          <cell r="E2164" t="str">
            <v>T23000999</v>
          </cell>
          <cell r="AP2164">
            <v>0</v>
          </cell>
          <cell r="AQ2164">
            <v>0</v>
          </cell>
          <cell r="AV2164">
            <v>0</v>
          </cell>
        </row>
        <row r="2165">
          <cell r="E2165" t="str">
            <v>T23001024</v>
          </cell>
          <cell r="AP2165">
            <v>0</v>
          </cell>
          <cell r="AQ2165">
            <v>0</v>
          </cell>
          <cell r="AV2165">
            <v>0</v>
          </cell>
        </row>
        <row r="2166">
          <cell r="E2166" t="str">
            <v>T23001025</v>
          </cell>
          <cell r="AP2166">
            <v>0</v>
          </cell>
          <cell r="AQ2166">
            <v>0</v>
          </cell>
          <cell r="AV2166">
            <v>0</v>
          </cell>
        </row>
        <row r="2167">
          <cell r="E2167" t="str">
            <v>T23001026</v>
          </cell>
          <cell r="AP2167">
            <v>0</v>
          </cell>
          <cell r="AQ2167">
            <v>0</v>
          </cell>
          <cell r="AV2167">
            <v>0</v>
          </cell>
        </row>
        <row r="2168">
          <cell r="E2168" t="str">
            <v>T23001057</v>
          </cell>
          <cell r="AP2168">
            <v>0</v>
          </cell>
          <cell r="AQ2168">
            <v>0</v>
          </cell>
          <cell r="AV2168">
            <v>0</v>
          </cell>
        </row>
        <row r="2169">
          <cell r="E2169" t="str">
            <v>T23001090</v>
          </cell>
          <cell r="AP2169">
            <v>0</v>
          </cell>
          <cell r="AQ2169">
            <v>0</v>
          </cell>
          <cell r="AV2169">
            <v>0</v>
          </cell>
        </row>
        <row r="2170">
          <cell r="E2170" t="str">
            <v>T23001094</v>
          </cell>
          <cell r="AP2170">
            <v>0</v>
          </cell>
          <cell r="AQ2170">
            <v>0</v>
          </cell>
          <cell r="AV2170">
            <v>0</v>
          </cell>
        </row>
        <row r="2171">
          <cell r="E2171" t="str">
            <v>T23001095</v>
          </cell>
          <cell r="AP2171">
            <v>0</v>
          </cell>
          <cell r="AQ2171">
            <v>0</v>
          </cell>
          <cell r="AV2171">
            <v>0</v>
          </cell>
        </row>
        <row r="2172">
          <cell r="E2172" t="str">
            <v>T23001103</v>
          </cell>
          <cell r="AP2172">
            <v>0</v>
          </cell>
          <cell r="AQ2172">
            <v>0</v>
          </cell>
          <cell r="AV2172">
            <v>0</v>
          </cell>
        </row>
        <row r="2173">
          <cell r="E2173" t="str">
            <v>T24000001</v>
          </cell>
          <cell r="AP2173">
            <v>0</v>
          </cell>
          <cell r="AQ2173">
            <v>0</v>
          </cell>
          <cell r="AV2173">
            <v>0</v>
          </cell>
        </row>
        <row r="2174">
          <cell r="E2174" t="str">
            <v>T24000018</v>
          </cell>
          <cell r="AP2174">
            <v>0</v>
          </cell>
          <cell r="AQ2174">
            <v>0</v>
          </cell>
          <cell r="AV2174">
            <v>0</v>
          </cell>
        </row>
        <row r="2175">
          <cell r="E2175" t="str">
            <v>T24000040</v>
          </cell>
          <cell r="AP2175">
            <v>0</v>
          </cell>
          <cell r="AQ2175">
            <v>0</v>
          </cell>
          <cell r="AV2175">
            <v>0</v>
          </cell>
        </row>
        <row r="2176">
          <cell r="E2176" t="str">
            <v>T24000113</v>
          </cell>
          <cell r="AP2176">
            <v>0</v>
          </cell>
          <cell r="AQ2176">
            <v>0</v>
          </cell>
          <cell r="AV2176">
            <v>0</v>
          </cell>
        </row>
        <row r="2177">
          <cell r="E2177" t="str">
            <v>T24000118</v>
          </cell>
          <cell r="AP2177">
            <v>0</v>
          </cell>
          <cell r="AQ2177">
            <v>0</v>
          </cell>
          <cell r="AV2177">
            <v>0</v>
          </cell>
        </row>
        <row r="2178">
          <cell r="E2178" t="str">
            <v>T24000126</v>
          </cell>
          <cell r="AP2178">
            <v>0</v>
          </cell>
          <cell r="AQ2178">
            <v>0</v>
          </cell>
          <cell r="AV2178">
            <v>0</v>
          </cell>
        </row>
        <row r="2179">
          <cell r="E2179" t="str">
            <v>T24000149</v>
          </cell>
          <cell r="AP2179">
            <v>0</v>
          </cell>
          <cell r="AQ2179">
            <v>0</v>
          </cell>
          <cell r="AV2179">
            <v>0</v>
          </cell>
        </row>
        <row r="2180">
          <cell r="E2180" t="str">
            <v>T24000166</v>
          </cell>
          <cell r="AP2180">
            <v>0</v>
          </cell>
          <cell r="AQ2180">
            <v>0</v>
          </cell>
          <cell r="AV2180">
            <v>0</v>
          </cell>
        </row>
        <row r="2181">
          <cell r="E2181" t="str">
            <v>T24000175</v>
          </cell>
          <cell r="AP2181">
            <v>0</v>
          </cell>
          <cell r="AQ2181">
            <v>0</v>
          </cell>
          <cell r="AV2181">
            <v>0</v>
          </cell>
        </row>
        <row r="2182">
          <cell r="E2182" t="str">
            <v>T24000176</v>
          </cell>
          <cell r="AP2182">
            <v>0</v>
          </cell>
          <cell r="AQ2182">
            <v>0</v>
          </cell>
          <cell r="AV2182">
            <v>0</v>
          </cell>
        </row>
        <row r="2183">
          <cell r="E2183" t="str">
            <v>T24000250</v>
          </cell>
          <cell r="AP2183">
            <v>0</v>
          </cell>
          <cell r="AQ2183">
            <v>0</v>
          </cell>
          <cell r="AV2183">
            <v>0</v>
          </cell>
        </row>
        <row r="2184">
          <cell r="E2184" t="str">
            <v>T24000251</v>
          </cell>
          <cell r="AP2184">
            <v>0</v>
          </cell>
          <cell r="AQ2184">
            <v>0</v>
          </cell>
          <cell r="AV2184">
            <v>0</v>
          </cell>
        </row>
        <row r="2185">
          <cell r="E2185" t="str">
            <v>T24000260</v>
          </cell>
          <cell r="AP2185">
            <v>0</v>
          </cell>
          <cell r="AQ2185">
            <v>0</v>
          </cell>
          <cell r="AV2185">
            <v>0</v>
          </cell>
        </row>
        <row r="2186">
          <cell r="E2186" t="str">
            <v>T24000265</v>
          </cell>
          <cell r="AP2186">
            <v>0</v>
          </cell>
          <cell r="AQ2186">
            <v>0</v>
          </cell>
          <cell r="AV2186">
            <v>0</v>
          </cell>
        </row>
        <row r="2187">
          <cell r="E2187" t="str">
            <v>T24000279</v>
          </cell>
          <cell r="AP2187">
            <v>0</v>
          </cell>
          <cell r="AQ2187">
            <v>0</v>
          </cell>
          <cell r="AV2187">
            <v>0</v>
          </cell>
        </row>
        <row r="2188">
          <cell r="E2188" t="str">
            <v>T24000299</v>
          </cell>
          <cell r="AP2188">
            <v>0</v>
          </cell>
          <cell r="AQ2188">
            <v>0</v>
          </cell>
          <cell r="AV2188">
            <v>0</v>
          </cell>
        </row>
        <row r="2189">
          <cell r="E2189" t="str">
            <v>T24000376</v>
          </cell>
          <cell r="AP2189">
            <v>0</v>
          </cell>
          <cell r="AQ2189">
            <v>0</v>
          </cell>
          <cell r="AV2189">
            <v>0</v>
          </cell>
        </row>
        <row r="2190">
          <cell r="E2190" t="str">
            <v>T24000384</v>
          </cell>
          <cell r="AP2190">
            <v>0</v>
          </cell>
          <cell r="AQ2190">
            <v>0</v>
          </cell>
          <cell r="AV2190">
            <v>0</v>
          </cell>
        </row>
        <row r="2191">
          <cell r="E2191" t="str">
            <v>T24000391</v>
          </cell>
          <cell r="AP2191">
            <v>0</v>
          </cell>
          <cell r="AQ2191">
            <v>0</v>
          </cell>
          <cell r="AV2191">
            <v>0</v>
          </cell>
        </row>
        <row r="2192">
          <cell r="E2192" t="str">
            <v>T24000392</v>
          </cell>
          <cell r="AP2192">
            <v>0</v>
          </cell>
          <cell r="AQ2192">
            <v>0</v>
          </cell>
          <cell r="AV2192">
            <v>0</v>
          </cell>
        </row>
        <row r="2193">
          <cell r="E2193" t="str">
            <v>T24000419</v>
          </cell>
          <cell r="AP2193">
            <v>0</v>
          </cell>
          <cell r="AQ2193">
            <v>0</v>
          </cell>
          <cell r="AV2193">
            <v>0</v>
          </cell>
        </row>
        <row r="2194">
          <cell r="E2194" t="str">
            <v>T24000448</v>
          </cell>
          <cell r="AP2194">
            <v>0</v>
          </cell>
          <cell r="AQ2194">
            <v>0</v>
          </cell>
          <cell r="AV2194">
            <v>0</v>
          </cell>
        </row>
        <row r="2195">
          <cell r="E2195" t="str">
            <v>T24000488</v>
          </cell>
          <cell r="AP2195">
            <v>0</v>
          </cell>
          <cell r="AQ2195">
            <v>0</v>
          </cell>
          <cell r="AV2195">
            <v>0</v>
          </cell>
        </row>
        <row r="2196">
          <cell r="E2196" t="str">
            <v>T24000489</v>
          </cell>
          <cell r="AP2196">
            <v>0</v>
          </cell>
          <cell r="AQ2196">
            <v>0</v>
          </cell>
          <cell r="AV2196">
            <v>0</v>
          </cell>
        </row>
        <row r="2197">
          <cell r="E2197" t="str">
            <v>T24000495</v>
          </cell>
          <cell r="AP2197">
            <v>0</v>
          </cell>
          <cell r="AQ2197">
            <v>0</v>
          </cell>
          <cell r="AV2197">
            <v>0</v>
          </cell>
        </row>
        <row r="2198">
          <cell r="E2198" t="str">
            <v>T24000496</v>
          </cell>
          <cell r="AP2198">
            <v>0</v>
          </cell>
          <cell r="AQ2198">
            <v>0</v>
          </cell>
          <cell r="AV2198">
            <v>0</v>
          </cell>
        </row>
        <row r="2199">
          <cell r="E2199" t="str">
            <v>T24000497</v>
          </cell>
          <cell r="AP2199">
            <v>0</v>
          </cell>
          <cell r="AQ2199">
            <v>0</v>
          </cell>
          <cell r="AV2199">
            <v>0</v>
          </cell>
        </row>
        <row r="2200">
          <cell r="E2200" t="str">
            <v>T24000498</v>
          </cell>
          <cell r="AP2200">
            <v>0</v>
          </cell>
          <cell r="AQ2200">
            <v>0</v>
          </cell>
          <cell r="AV2200">
            <v>0</v>
          </cell>
        </row>
        <row r="2201">
          <cell r="E2201" t="str">
            <v>T24000499</v>
          </cell>
          <cell r="AP2201">
            <v>0</v>
          </cell>
          <cell r="AQ2201">
            <v>0</v>
          </cell>
          <cell r="AV2201">
            <v>0</v>
          </cell>
        </row>
        <row r="2202">
          <cell r="E2202" t="str">
            <v>T24000519</v>
          </cell>
          <cell r="AP2202">
            <v>0</v>
          </cell>
          <cell r="AQ2202">
            <v>0</v>
          </cell>
          <cell r="AV2202">
            <v>0</v>
          </cell>
        </row>
        <row r="2203">
          <cell r="E2203" t="str">
            <v>T24000527</v>
          </cell>
          <cell r="AP2203">
            <v>0</v>
          </cell>
          <cell r="AQ2203">
            <v>0</v>
          </cell>
          <cell r="AV2203">
            <v>0</v>
          </cell>
        </row>
        <row r="2204">
          <cell r="E2204" t="str">
            <v>T24000598</v>
          </cell>
          <cell r="AP2204">
            <v>0</v>
          </cell>
          <cell r="AQ2204">
            <v>0</v>
          </cell>
          <cell r="AV2204">
            <v>0</v>
          </cell>
        </row>
        <row r="2205">
          <cell r="E2205" t="str">
            <v>T24000600</v>
          </cell>
          <cell r="AP2205">
            <v>0</v>
          </cell>
          <cell r="AQ2205">
            <v>0</v>
          </cell>
          <cell r="AV2205">
            <v>0</v>
          </cell>
        </row>
        <row r="2206">
          <cell r="E2206" t="str">
            <v>T24000601</v>
          </cell>
          <cell r="AP2206">
            <v>0</v>
          </cell>
          <cell r="AQ2206">
            <v>0</v>
          </cell>
          <cell r="AV2206">
            <v>0</v>
          </cell>
        </row>
        <row r="2207">
          <cell r="E2207" t="str">
            <v>T24000602</v>
          </cell>
          <cell r="AP2207">
            <v>0</v>
          </cell>
          <cell r="AQ2207">
            <v>0</v>
          </cell>
          <cell r="AV2207">
            <v>0</v>
          </cell>
        </row>
        <row r="2208">
          <cell r="E2208" t="str">
            <v>T24000603</v>
          </cell>
          <cell r="AP2208">
            <v>0</v>
          </cell>
          <cell r="AQ2208">
            <v>0</v>
          </cell>
          <cell r="AV2208">
            <v>0</v>
          </cell>
        </row>
        <row r="2209">
          <cell r="E2209" t="str">
            <v>T24000612</v>
          </cell>
          <cell r="AP2209">
            <v>0</v>
          </cell>
          <cell r="AQ2209">
            <v>0</v>
          </cell>
          <cell r="AV2209">
            <v>0</v>
          </cell>
        </row>
        <row r="2210">
          <cell r="E2210" t="str">
            <v>T24000631</v>
          </cell>
          <cell r="AP2210">
            <v>0</v>
          </cell>
          <cell r="AQ2210">
            <v>0</v>
          </cell>
          <cell r="AV2210">
            <v>0</v>
          </cell>
        </row>
        <row r="2211">
          <cell r="E2211" t="str">
            <v>T24000635</v>
          </cell>
          <cell r="AP2211">
            <v>0</v>
          </cell>
          <cell r="AQ2211">
            <v>0</v>
          </cell>
          <cell r="AV2211">
            <v>0</v>
          </cell>
        </row>
        <row r="2212">
          <cell r="E2212" t="str">
            <v>T24000673</v>
          </cell>
          <cell r="AP2212">
            <v>0</v>
          </cell>
          <cell r="AQ2212">
            <v>0</v>
          </cell>
          <cell r="AV2212">
            <v>0</v>
          </cell>
        </row>
        <row r="2213">
          <cell r="E2213" t="str">
            <v>T24000717</v>
          </cell>
          <cell r="AP2213">
            <v>0</v>
          </cell>
          <cell r="AQ2213">
            <v>0</v>
          </cell>
          <cell r="AV2213">
            <v>0</v>
          </cell>
        </row>
        <row r="2214">
          <cell r="E2214" t="str">
            <v>T24000718</v>
          </cell>
          <cell r="AP2214">
            <v>0</v>
          </cell>
          <cell r="AQ2214">
            <v>0</v>
          </cell>
          <cell r="AV2214">
            <v>0</v>
          </cell>
        </row>
        <row r="2215">
          <cell r="E2215" t="str">
            <v>T24000719</v>
          </cell>
          <cell r="AP2215">
            <v>0</v>
          </cell>
          <cell r="AQ2215">
            <v>0</v>
          </cell>
          <cell r="AV2215">
            <v>0</v>
          </cell>
        </row>
        <row r="2216">
          <cell r="E2216" t="str">
            <v>T24000720</v>
          </cell>
          <cell r="AP2216">
            <v>0</v>
          </cell>
          <cell r="AQ2216">
            <v>0</v>
          </cell>
          <cell r="AV2216">
            <v>0</v>
          </cell>
        </row>
        <row r="2217">
          <cell r="E2217" t="str">
            <v>T24000726</v>
          </cell>
          <cell r="AP2217">
            <v>0</v>
          </cell>
          <cell r="AQ2217">
            <v>0</v>
          </cell>
          <cell r="AV2217">
            <v>0</v>
          </cell>
        </row>
        <row r="2218">
          <cell r="E2218" t="str">
            <v>T24000727</v>
          </cell>
          <cell r="AP2218">
            <v>0</v>
          </cell>
          <cell r="AQ2218">
            <v>0</v>
          </cell>
          <cell r="AV2218">
            <v>0</v>
          </cell>
        </row>
        <row r="2219">
          <cell r="E2219" t="str">
            <v>T24000754</v>
          </cell>
          <cell r="AP2219">
            <v>0</v>
          </cell>
          <cell r="AQ2219">
            <v>0</v>
          </cell>
          <cell r="AV2219">
            <v>0</v>
          </cell>
        </row>
        <row r="2220">
          <cell r="E2220" t="str">
            <v>T24000755</v>
          </cell>
          <cell r="AP2220">
            <v>0</v>
          </cell>
          <cell r="AQ2220">
            <v>0</v>
          </cell>
          <cell r="AV2220">
            <v>0</v>
          </cell>
        </row>
        <row r="2221">
          <cell r="E2221" t="str">
            <v>T24000787</v>
          </cell>
          <cell r="AP2221">
            <v>0</v>
          </cell>
          <cell r="AQ2221">
            <v>0</v>
          </cell>
          <cell r="AV2221">
            <v>0</v>
          </cell>
        </row>
        <row r="2222">
          <cell r="E2222" t="str">
            <v>T24000936</v>
          </cell>
          <cell r="AP2222">
            <v>0</v>
          </cell>
          <cell r="AQ2222">
            <v>0</v>
          </cell>
          <cell r="AV2222">
            <v>0</v>
          </cell>
        </row>
        <row r="2223">
          <cell r="E2223" t="str">
            <v>T24000937</v>
          </cell>
          <cell r="AP2223">
            <v>0</v>
          </cell>
          <cell r="AQ2223">
            <v>0</v>
          </cell>
          <cell r="AV2223">
            <v>0</v>
          </cell>
        </row>
        <row r="2224">
          <cell r="E2224" t="str">
            <v>T24000938</v>
          </cell>
          <cell r="AP2224">
            <v>0</v>
          </cell>
          <cell r="AQ2224">
            <v>0</v>
          </cell>
          <cell r="AV2224">
            <v>0</v>
          </cell>
        </row>
        <row r="2225">
          <cell r="E2225" t="str">
            <v>T24000939</v>
          </cell>
          <cell r="AP2225">
            <v>0</v>
          </cell>
          <cell r="AQ2225">
            <v>0</v>
          </cell>
          <cell r="AV2225">
            <v>0</v>
          </cell>
        </row>
        <row r="2226">
          <cell r="E2226" t="str">
            <v>T24000946</v>
          </cell>
          <cell r="AP2226">
            <v>0</v>
          </cell>
          <cell r="AQ2226">
            <v>0</v>
          </cell>
          <cell r="AV2226">
            <v>0</v>
          </cell>
        </row>
        <row r="2227">
          <cell r="E2227" t="str">
            <v>T24000983</v>
          </cell>
          <cell r="AP2227">
            <v>0</v>
          </cell>
          <cell r="AQ2227">
            <v>0</v>
          </cell>
          <cell r="AV2227">
            <v>0</v>
          </cell>
        </row>
        <row r="2228">
          <cell r="E2228" t="str">
            <v>T24000984</v>
          </cell>
          <cell r="AP2228">
            <v>0</v>
          </cell>
          <cell r="AQ2228">
            <v>0</v>
          </cell>
          <cell r="AV2228">
            <v>0</v>
          </cell>
        </row>
        <row r="2229">
          <cell r="E2229" t="str">
            <v>T24000985</v>
          </cell>
          <cell r="AP2229">
            <v>0</v>
          </cell>
          <cell r="AQ2229">
            <v>0</v>
          </cell>
          <cell r="AV2229">
            <v>0</v>
          </cell>
        </row>
        <row r="2230">
          <cell r="E2230" t="str">
            <v>T24001077</v>
          </cell>
          <cell r="AP2230">
            <v>0</v>
          </cell>
          <cell r="AQ2230">
            <v>0</v>
          </cell>
          <cell r="AV2230">
            <v>0</v>
          </cell>
        </row>
        <row r="2231">
          <cell r="E2231" t="str">
            <v>T24001078</v>
          </cell>
          <cell r="AP2231">
            <v>0</v>
          </cell>
          <cell r="AQ2231">
            <v>0</v>
          </cell>
          <cell r="AV2231">
            <v>0</v>
          </cell>
        </row>
        <row r="2232">
          <cell r="E2232" t="str">
            <v>T24001079</v>
          </cell>
          <cell r="AP2232">
            <v>0</v>
          </cell>
          <cell r="AQ2232">
            <v>0</v>
          </cell>
          <cell r="AV2232">
            <v>0</v>
          </cell>
        </row>
        <row r="2233">
          <cell r="E2233" t="str">
            <v>T24001085</v>
          </cell>
          <cell r="AP2233">
            <v>0</v>
          </cell>
          <cell r="AQ2233">
            <v>0</v>
          </cell>
          <cell r="AV2233">
            <v>0</v>
          </cell>
        </row>
        <row r="2234">
          <cell r="E2234" t="str">
            <v>T24001086</v>
          </cell>
          <cell r="AP2234">
            <v>0</v>
          </cell>
          <cell r="AQ2234">
            <v>0</v>
          </cell>
          <cell r="AV2234">
            <v>0</v>
          </cell>
        </row>
        <row r="2235">
          <cell r="E2235" t="str">
            <v>T24001087</v>
          </cell>
          <cell r="AP2235">
            <v>0</v>
          </cell>
          <cell r="AQ2235">
            <v>0</v>
          </cell>
          <cell r="AV2235">
            <v>0</v>
          </cell>
        </row>
        <row r="2236">
          <cell r="E2236" t="str">
            <v>T24001088</v>
          </cell>
          <cell r="AP2236">
            <v>0</v>
          </cell>
          <cell r="AQ2236">
            <v>0</v>
          </cell>
          <cell r="AV2236">
            <v>0</v>
          </cell>
        </row>
        <row r="2237">
          <cell r="E2237" t="str">
            <v>T24001108</v>
          </cell>
          <cell r="AP2237">
            <v>0</v>
          </cell>
          <cell r="AQ2237">
            <v>0</v>
          </cell>
          <cell r="AV2237">
            <v>0</v>
          </cell>
        </row>
        <row r="2238">
          <cell r="E2238" t="str">
            <v>T24001119</v>
          </cell>
          <cell r="AP2238">
            <v>0</v>
          </cell>
          <cell r="AQ2238">
            <v>0</v>
          </cell>
          <cell r="AV2238">
            <v>0</v>
          </cell>
        </row>
        <row r="2239">
          <cell r="E2239" t="str">
            <v>T24001120</v>
          </cell>
          <cell r="AP2239">
            <v>0</v>
          </cell>
          <cell r="AQ2239">
            <v>0</v>
          </cell>
          <cell r="AV2239">
            <v>0</v>
          </cell>
        </row>
        <row r="2240">
          <cell r="E2240" t="str">
            <v>T24001121</v>
          </cell>
          <cell r="AP2240">
            <v>0</v>
          </cell>
          <cell r="AQ2240">
            <v>0</v>
          </cell>
          <cell r="AV2240">
            <v>0</v>
          </cell>
        </row>
        <row r="2241">
          <cell r="E2241" t="str">
            <v>T24001210</v>
          </cell>
          <cell r="AP2241">
            <v>0</v>
          </cell>
          <cell r="AQ2241">
            <v>0</v>
          </cell>
          <cell r="AV2241">
            <v>0</v>
          </cell>
        </row>
        <row r="2242">
          <cell r="E2242" t="str">
            <v>T24001211</v>
          </cell>
          <cell r="AP2242">
            <v>0</v>
          </cell>
          <cell r="AQ2242">
            <v>0</v>
          </cell>
          <cell r="AV2242">
            <v>0</v>
          </cell>
        </row>
        <row r="2243">
          <cell r="E2243" t="str">
            <v>T24001215</v>
          </cell>
          <cell r="AP2243">
            <v>0</v>
          </cell>
          <cell r="AQ2243">
            <v>0</v>
          </cell>
          <cell r="AV2243">
            <v>0</v>
          </cell>
        </row>
        <row r="2244">
          <cell r="E2244" t="str">
            <v>T24001220</v>
          </cell>
          <cell r="AP2244">
            <v>0</v>
          </cell>
          <cell r="AQ2244">
            <v>0</v>
          </cell>
          <cell r="AV2244">
            <v>0</v>
          </cell>
        </row>
        <row r="2245">
          <cell r="E2245" t="str">
            <v>T24001241</v>
          </cell>
          <cell r="AP2245">
            <v>0</v>
          </cell>
          <cell r="AQ2245">
            <v>0</v>
          </cell>
          <cell r="AV2245">
            <v>0</v>
          </cell>
        </row>
        <row r="2246">
          <cell r="E2246" t="str">
            <v>T24001249</v>
          </cell>
          <cell r="AP2246">
            <v>0</v>
          </cell>
          <cell r="AQ2246">
            <v>0</v>
          </cell>
          <cell r="AV2246">
            <v>0</v>
          </cell>
        </row>
        <row r="2247">
          <cell r="E2247" t="str">
            <v>T24001250</v>
          </cell>
          <cell r="AP2247">
            <v>0</v>
          </cell>
          <cell r="AQ2247">
            <v>0</v>
          </cell>
          <cell r="AV2247">
            <v>0</v>
          </cell>
        </row>
        <row r="2248">
          <cell r="E2248" t="str">
            <v>T24001265</v>
          </cell>
          <cell r="AP2248">
            <v>0</v>
          </cell>
          <cell r="AQ2248">
            <v>0</v>
          </cell>
          <cell r="AV2248">
            <v>0</v>
          </cell>
        </row>
        <row r="2249">
          <cell r="E2249" t="str">
            <v>T24001359</v>
          </cell>
          <cell r="AP2249">
            <v>0</v>
          </cell>
          <cell r="AQ2249">
            <v>0</v>
          </cell>
          <cell r="AV2249">
            <v>0</v>
          </cell>
        </row>
        <row r="2250">
          <cell r="E2250" t="str">
            <v>T24001360</v>
          </cell>
          <cell r="AP2250">
            <v>0</v>
          </cell>
          <cell r="AQ2250">
            <v>0</v>
          </cell>
          <cell r="AV2250">
            <v>0</v>
          </cell>
        </row>
        <row r="2251">
          <cell r="E2251" t="str">
            <v>T24001361</v>
          </cell>
          <cell r="AP2251">
            <v>0</v>
          </cell>
          <cell r="AQ2251">
            <v>0</v>
          </cell>
          <cell r="AV2251">
            <v>0</v>
          </cell>
        </row>
        <row r="2252">
          <cell r="E2252" t="str">
            <v>T24001369</v>
          </cell>
          <cell r="AP2252">
            <v>0</v>
          </cell>
          <cell r="AQ2252">
            <v>0</v>
          </cell>
          <cell r="AV2252">
            <v>0</v>
          </cell>
        </row>
        <row r="2253">
          <cell r="E2253" t="str">
            <v>T24001372</v>
          </cell>
          <cell r="AP2253">
            <v>0</v>
          </cell>
          <cell r="AQ2253">
            <v>0</v>
          </cell>
          <cell r="AV2253">
            <v>0</v>
          </cell>
        </row>
        <row r="2254">
          <cell r="E2254" t="str">
            <v>T24001380</v>
          </cell>
          <cell r="AP2254">
            <v>0</v>
          </cell>
          <cell r="AQ2254">
            <v>0</v>
          </cell>
          <cell r="AV2254">
            <v>0</v>
          </cell>
        </row>
        <row r="2255">
          <cell r="E2255" t="str">
            <v>T24001423</v>
          </cell>
          <cell r="AP2255">
            <v>0</v>
          </cell>
          <cell r="AQ2255">
            <v>0</v>
          </cell>
          <cell r="AV2255">
            <v>0</v>
          </cell>
        </row>
        <row r="2256">
          <cell r="E2256" t="str">
            <v>T24001424</v>
          </cell>
          <cell r="AP2256">
            <v>0</v>
          </cell>
          <cell r="AQ2256">
            <v>0</v>
          </cell>
          <cell r="AV2256">
            <v>0</v>
          </cell>
        </row>
        <row r="2257">
          <cell r="E2257" t="str">
            <v>T24001446</v>
          </cell>
          <cell r="AP2257">
            <v>0</v>
          </cell>
          <cell r="AQ2257">
            <v>0</v>
          </cell>
          <cell r="AV2257">
            <v>0</v>
          </cell>
        </row>
        <row r="2258">
          <cell r="E2258" t="str">
            <v>T24001447</v>
          </cell>
          <cell r="AP2258">
            <v>0</v>
          </cell>
          <cell r="AQ2258">
            <v>0</v>
          </cell>
          <cell r="AV2258">
            <v>0</v>
          </cell>
        </row>
        <row r="2259">
          <cell r="E2259" t="str">
            <v>T24001638</v>
          </cell>
          <cell r="AP2259">
            <v>0</v>
          </cell>
          <cell r="AQ2259">
            <v>0</v>
          </cell>
          <cell r="AV2259">
            <v>0</v>
          </cell>
        </row>
        <row r="2260">
          <cell r="E2260" t="str">
            <v>T24001639</v>
          </cell>
          <cell r="AP2260">
            <v>0</v>
          </cell>
          <cell r="AQ2260">
            <v>0</v>
          </cell>
          <cell r="AV2260">
            <v>0</v>
          </cell>
        </row>
        <row r="2261">
          <cell r="E2261" t="str">
            <v>T24001651</v>
          </cell>
          <cell r="AP2261">
            <v>0</v>
          </cell>
          <cell r="AQ2261">
            <v>0</v>
          </cell>
          <cell r="AV2261">
            <v>0</v>
          </cell>
        </row>
        <row r="2262">
          <cell r="E2262" t="str">
            <v>T24001652</v>
          </cell>
          <cell r="AP2262">
            <v>0</v>
          </cell>
          <cell r="AQ2262">
            <v>0</v>
          </cell>
          <cell r="AV2262">
            <v>0</v>
          </cell>
        </row>
        <row r="2263">
          <cell r="E2263" t="str">
            <v>T24001653</v>
          </cell>
          <cell r="AP2263">
            <v>0</v>
          </cell>
          <cell r="AQ2263">
            <v>0</v>
          </cell>
          <cell r="AV2263">
            <v>0</v>
          </cell>
        </row>
        <row r="2264">
          <cell r="E2264" t="str">
            <v>T24001654</v>
          </cell>
          <cell r="AP2264">
            <v>0</v>
          </cell>
          <cell r="AQ2264">
            <v>0</v>
          </cell>
          <cell r="AV2264">
            <v>0</v>
          </cell>
        </row>
        <row r="2265">
          <cell r="E2265" t="str">
            <v>T24001655</v>
          </cell>
          <cell r="AP2265">
            <v>0</v>
          </cell>
          <cell r="AQ2265">
            <v>0</v>
          </cell>
          <cell r="AV2265">
            <v>0</v>
          </cell>
        </row>
        <row r="2266">
          <cell r="E2266" t="str">
            <v>T24001697</v>
          </cell>
          <cell r="AP2266">
            <v>0</v>
          </cell>
          <cell r="AQ2266">
            <v>0</v>
          </cell>
          <cell r="AV2266">
            <v>0</v>
          </cell>
        </row>
        <row r="2267">
          <cell r="E2267" t="str">
            <v>T24001717</v>
          </cell>
          <cell r="AP2267">
            <v>0</v>
          </cell>
          <cell r="AQ2267">
            <v>0</v>
          </cell>
          <cell r="AV2267">
            <v>0</v>
          </cell>
        </row>
        <row r="2268">
          <cell r="E2268" t="str">
            <v>T24001721</v>
          </cell>
          <cell r="AP2268">
            <v>0</v>
          </cell>
          <cell r="AQ2268">
            <v>0</v>
          </cell>
          <cell r="AV2268">
            <v>0</v>
          </cell>
        </row>
        <row r="2269">
          <cell r="E2269" t="str">
            <v>T24001842</v>
          </cell>
          <cell r="AP2269">
            <v>0</v>
          </cell>
          <cell r="AQ2269">
            <v>0</v>
          </cell>
          <cell r="AV2269">
            <v>0</v>
          </cell>
        </row>
        <row r="2270">
          <cell r="E2270" t="str">
            <v>T25000023</v>
          </cell>
          <cell r="AP2270">
            <v>0</v>
          </cell>
          <cell r="AQ2270">
            <v>0</v>
          </cell>
          <cell r="AV2270">
            <v>0</v>
          </cell>
        </row>
        <row r="2271">
          <cell r="E2271" t="str">
            <v>T25000025</v>
          </cell>
          <cell r="AP2271">
            <v>0</v>
          </cell>
          <cell r="AQ2271">
            <v>0</v>
          </cell>
          <cell r="AV2271">
            <v>0</v>
          </cell>
        </row>
        <row r="2272">
          <cell r="E2272" t="str">
            <v>T25000026</v>
          </cell>
          <cell r="AP2272">
            <v>0</v>
          </cell>
          <cell r="AQ2272">
            <v>0</v>
          </cell>
          <cell r="AV2272">
            <v>0</v>
          </cell>
        </row>
        <row r="2273">
          <cell r="E2273" t="str">
            <v>T25000027</v>
          </cell>
          <cell r="AP2273">
            <v>0</v>
          </cell>
          <cell r="AQ2273">
            <v>0</v>
          </cell>
          <cell r="AV2273">
            <v>0</v>
          </cell>
        </row>
        <row r="2274">
          <cell r="E2274" t="str">
            <v>T25000028</v>
          </cell>
          <cell r="AP2274">
            <v>0</v>
          </cell>
          <cell r="AQ2274">
            <v>0</v>
          </cell>
          <cell r="AV2274">
            <v>0</v>
          </cell>
        </row>
        <row r="2275">
          <cell r="E2275" t="str">
            <v>T25000029</v>
          </cell>
          <cell r="AP2275">
            <v>0</v>
          </cell>
          <cell r="AQ2275">
            <v>0</v>
          </cell>
          <cell r="AV2275">
            <v>0</v>
          </cell>
        </row>
        <row r="2276">
          <cell r="E2276" t="str">
            <v>T25000035</v>
          </cell>
          <cell r="AP2276">
            <v>0</v>
          </cell>
          <cell r="AQ2276">
            <v>0</v>
          </cell>
          <cell r="AV2276">
            <v>0</v>
          </cell>
        </row>
        <row r="2277">
          <cell r="E2277" t="str">
            <v>T25000036</v>
          </cell>
          <cell r="AP2277">
            <v>0</v>
          </cell>
          <cell r="AQ2277">
            <v>0</v>
          </cell>
          <cell r="AV2277">
            <v>0</v>
          </cell>
        </row>
        <row r="2278">
          <cell r="E2278" t="str">
            <v>T25000091</v>
          </cell>
          <cell r="AP2278">
            <v>0</v>
          </cell>
          <cell r="AQ2278">
            <v>0</v>
          </cell>
          <cell r="AV2278">
            <v>0</v>
          </cell>
        </row>
        <row r="2279">
          <cell r="E2279" t="str">
            <v>T25000142</v>
          </cell>
          <cell r="AP2279">
            <v>0</v>
          </cell>
          <cell r="AQ2279">
            <v>0</v>
          </cell>
          <cell r="AV2279">
            <v>0</v>
          </cell>
        </row>
        <row r="2280">
          <cell r="E2280" t="str">
            <v>T25000157</v>
          </cell>
          <cell r="AP2280">
            <v>0</v>
          </cell>
          <cell r="AQ2280">
            <v>0</v>
          </cell>
          <cell r="AV2280">
            <v>0</v>
          </cell>
        </row>
        <row r="2281">
          <cell r="E2281" t="str">
            <v>T25000158</v>
          </cell>
          <cell r="AP2281">
            <v>0</v>
          </cell>
          <cell r="AQ2281">
            <v>0</v>
          </cell>
          <cell r="AV2281">
            <v>0</v>
          </cell>
        </row>
        <row r="2282">
          <cell r="E2282" t="str">
            <v>T25000161</v>
          </cell>
          <cell r="AP2282">
            <v>0</v>
          </cell>
          <cell r="AQ2282">
            <v>0</v>
          </cell>
          <cell r="AV2282">
            <v>0</v>
          </cell>
        </row>
        <row r="2283">
          <cell r="E2283" t="str">
            <v>T25000171</v>
          </cell>
          <cell r="AP2283">
            <v>0</v>
          </cell>
          <cell r="AQ2283">
            <v>0</v>
          </cell>
          <cell r="AV2283">
            <v>0</v>
          </cell>
        </row>
        <row r="2284">
          <cell r="E2284" t="str">
            <v>T25000172</v>
          </cell>
          <cell r="AP2284">
            <v>0</v>
          </cell>
          <cell r="AQ2284">
            <v>0</v>
          </cell>
          <cell r="AV2284">
            <v>0</v>
          </cell>
        </row>
        <row r="2285">
          <cell r="E2285" t="str">
            <v>T25000178</v>
          </cell>
          <cell r="AP2285">
            <v>0</v>
          </cell>
          <cell r="AQ2285">
            <v>0</v>
          </cell>
          <cell r="AV2285">
            <v>0</v>
          </cell>
        </row>
        <row r="2286">
          <cell r="E2286" t="str">
            <v>T25000328</v>
          </cell>
          <cell r="AP2286">
            <v>0</v>
          </cell>
          <cell r="AQ2286">
            <v>0</v>
          </cell>
          <cell r="AV2286">
            <v>0</v>
          </cell>
        </row>
        <row r="2287">
          <cell r="E2287" t="str">
            <v>T25000329</v>
          </cell>
          <cell r="AP2287">
            <v>0</v>
          </cell>
          <cell r="AQ2287">
            <v>0</v>
          </cell>
          <cell r="AV2287">
            <v>0</v>
          </cell>
        </row>
        <row r="2288">
          <cell r="E2288" t="str">
            <v>T25000357</v>
          </cell>
          <cell r="AP2288">
            <v>0</v>
          </cell>
          <cell r="AQ2288">
            <v>0</v>
          </cell>
          <cell r="AV2288">
            <v>0</v>
          </cell>
        </row>
        <row r="2289">
          <cell r="E2289" t="str">
            <v>T25000363</v>
          </cell>
          <cell r="AP2289">
            <v>0</v>
          </cell>
          <cell r="AQ2289">
            <v>0</v>
          </cell>
          <cell r="AV2289">
            <v>0</v>
          </cell>
        </row>
        <row r="2290">
          <cell r="E2290" t="str">
            <v>T25000364</v>
          </cell>
          <cell r="AP2290">
            <v>0</v>
          </cell>
          <cell r="AQ2290">
            <v>0</v>
          </cell>
          <cell r="AV2290">
            <v>0</v>
          </cell>
        </row>
        <row r="2291">
          <cell r="E2291" t="str">
            <v>T25000365</v>
          </cell>
          <cell r="AP2291">
            <v>0</v>
          </cell>
          <cell r="AQ2291">
            <v>0</v>
          </cell>
          <cell r="AV2291">
            <v>0</v>
          </cell>
        </row>
        <row r="2292">
          <cell r="E2292" t="str">
            <v>T25000366</v>
          </cell>
          <cell r="AP2292">
            <v>0</v>
          </cell>
          <cell r="AQ2292">
            <v>0</v>
          </cell>
          <cell r="AV2292">
            <v>0</v>
          </cell>
        </row>
        <row r="2293">
          <cell r="E2293" t="str">
            <v>T25000367</v>
          </cell>
          <cell r="AP2293">
            <v>0</v>
          </cell>
          <cell r="AQ2293">
            <v>0</v>
          </cell>
          <cell r="AV2293">
            <v>0</v>
          </cell>
        </row>
        <row r="2294">
          <cell r="E2294" t="str">
            <v>T25000368</v>
          </cell>
          <cell r="AP2294">
            <v>0</v>
          </cell>
          <cell r="AQ2294">
            <v>0</v>
          </cell>
          <cell r="AV2294">
            <v>0</v>
          </cell>
        </row>
        <row r="2295">
          <cell r="E2295" t="str">
            <v>T25000372</v>
          </cell>
          <cell r="AP2295">
            <v>0</v>
          </cell>
          <cell r="AQ2295">
            <v>0</v>
          </cell>
          <cell r="AV2295">
            <v>0</v>
          </cell>
        </row>
        <row r="2296">
          <cell r="E2296" t="str">
            <v>T25000432</v>
          </cell>
          <cell r="AP2296">
            <v>0</v>
          </cell>
          <cell r="AQ2296">
            <v>0</v>
          </cell>
          <cell r="AV2296">
            <v>0</v>
          </cell>
        </row>
        <row r="2297">
          <cell r="E2297" t="str">
            <v>T25000523</v>
          </cell>
          <cell r="AP2297">
            <v>0</v>
          </cell>
          <cell r="AQ2297">
            <v>0</v>
          </cell>
          <cell r="AV2297">
            <v>0</v>
          </cell>
        </row>
        <row r="2298">
          <cell r="E2298" t="str">
            <v>T25000546</v>
          </cell>
          <cell r="AP2298">
            <v>0</v>
          </cell>
          <cell r="AQ2298">
            <v>0</v>
          </cell>
          <cell r="AV2298">
            <v>0</v>
          </cell>
        </row>
        <row r="2299">
          <cell r="E2299" t="str">
            <v>T25000547</v>
          </cell>
          <cell r="AP2299">
            <v>0</v>
          </cell>
          <cell r="AQ2299">
            <v>0</v>
          </cell>
          <cell r="AV2299">
            <v>0</v>
          </cell>
        </row>
        <row r="2300">
          <cell r="E2300" t="str">
            <v>T25000548</v>
          </cell>
          <cell r="AP2300">
            <v>0</v>
          </cell>
          <cell r="AQ2300">
            <v>0</v>
          </cell>
          <cell r="AV2300">
            <v>0</v>
          </cell>
        </row>
        <row r="2301">
          <cell r="E2301" t="str">
            <v>T25000558</v>
          </cell>
          <cell r="AP2301">
            <v>0</v>
          </cell>
          <cell r="AQ2301">
            <v>0</v>
          </cell>
          <cell r="AV2301">
            <v>0</v>
          </cell>
        </row>
        <row r="2302">
          <cell r="E2302" t="str">
            <v>T25000559</v>
          </cell>
          <cell r="AP2302">
            <v>0</v>
          </cell>
          <cell r="AQ2302">
            <v>0</v>
          </cell>
          <cell r="AV2302">
            <v>0</v>
          </cell>
        </row>
        <row r="2303">
          <cell r="E2303" t="str">
            <v>T25000563</v>
          </cell>
          <cell r="AP2303">
            <v>0</v>
          </cell>
          <cell r="AQ2303">
            <v>0</v>
          </cell>
          <cell r="AV2303">
            <v>0</v>
          </cell>
        </row>
        <row r="2304">
          <cell r="E2304" t="str">
            <v>T25000564</v>
          </cell>
          <cell r="AP2304">
            <v>0</v>
          </cell>
          <cell r="AQ2304">
            <v>0</v>
          </cell>
          <cell r="AV2304">
            <v>0</v>
          </cell>
        </row>
        <row r="2305">
          <cell r="E2305" t="str">
            <v>T25000578</v>
          </cell>
          <cell r="AP2305">
            <v>0</v>
          </cell>
          <cell r="AQ2305">
            <v>0</v>
          </cell>
          <cell r="AV2305">
            <v>0</v>
          </cell>
        </row>
        <row r="2306">
          <cell r="E2306" t="str">
            <v>T25000626</v>
          </cell>
          <cell r="AP2306">
            <v>0</v>
          </cell>
          <cell r="AQ2306">
            <v>0</v>
          </cell>
          <cell r="AV2306">
            <v>0</v>
          </cell>
        </row>
        <row r="2307">
          <cell r="E2307" t="str">
            <v>T25000685</v>
          </cell>
          <cell r="AP2307">
            <v>0</v>
          </cell>
          <cell r="AQ2307">
            <v>0</v>
          </cell>
          <cell r="AV2307">
            <v>0</v>
          </cell>
        </row>
        <row r="2308">
          <cell r="E2308" t="str">
            <v>T25000686</v>
          </cell>
          <cell r="AP2308">
            <v>0</v>
          </cell>
          <cell r="AQ2308">
            <v>0</v>
          </cell>
          <cell r="AV2308">
            <v>0</v>
          </cell>
        </row>
        <row r="2309">
          <cell r="E2309" t="str">
            <v>T25000702</v>
          </cell>
          <cell r="AP2309">
            <v>0</v>
          </cell>
          <cell r="AQ2309">
            <v>0</v>
          </cell>
          <cell r="AV2309">
            <v>0</v>
          </cell>
        </row>
        <row r="2310">
          <cell r="E2310" t="str">
            <v>T25000706</v>
          </cell>
          <cell r="AP2310">
            <v>0</v>
          </cell>
          <cell r="AQ2310">
            <v>0</v>
          </cell>
          <cell r="AV2310">
            <v>0</v>
          </cell>
        </row>
        <row r="2311">
          <cell r="E2311" t="str">
            <v>T25000707</v>
          </cell>
          <cell r="AP2311">
            <v>0</v>
          </cell>
          <cell r="AQ2311">
            <v>0</v>
          </cell>
          <cell r="AV2311">
            <v>0</v>
          </cell>
        </row>
        <row r="2312">
          <cell r="E2312" t="str">
            <v>T25000734</v>
          </cell>
          <cell r="AP2312">
            <v>0</v>
          </cell>
          <cell r="AQ2312">
            <v>0</v>
          </cell>
          <cell r="AV2312">
            <v>0</v>
          </cell>
        </row>
        <row r="2313">
          <cell r="E2313" t="str">
            <v>T25000735</v>
          </cell>
          <cell r="AP2313">
            <v>0</v>
          </cell>
          <cell r="AQ2313">
            <v>0</v>
          </cell>
          <cell r="AV2313">
            <v>0</v>
          </cell>
        </row>
        <row r="2314">
          <cell r="E2314" t="str">
            <v>T25000740</v>
          </cell>
          <cell r="AP2314">
            <v>0</v>
          </cell>
          <cell r="AQ2314">
            <v>0</v>
          </cell>
          <cell r="AV2314">
            <v>0</v>
          </cell>
        </row>
        <row r="2315">
          <cell r="E2315" t="str">
            <v>T25000764</v>
          </cell>
          <cell r="AP2315">
            <v>0</v>
          </cell>
          <cell r="AQ2315">
            <v>0</v>
          </cell>
          <cell r="AV2315">
            <v>0</v>
          </cell>
        </row>
        <row r="2316">
          <cell r="E2316" t="str">
            <v>T25000770</v>
          </cell>
          <cell r="AP2316">
            <v>0</v>
          </cell>
          <cell r="AQ2316">
            <v>0</v>
          </cell>
          <cell r="AV2316">
            <v>0</v>
          </cell>
        </row>
        <row r="2317">
          <cell r="E2317" t="str">
            <v>R25000015</v>
          </cell>
          <cell r="AP2317">
            <v>0</v>
          </cell>
          <cell r="AQ2317">
            <v>0</v>
          </cell>
          <cell r="AV2317">
            <v>0</v>
          </cell>
        </row>
        <row r="2318">
          <cell r="E2318" t="str">
            <v>T25000878</v>
          </cell>
          <cell r="AP2318">
            <v>0</v>
          </cell>
          <cell r="AQ2318">
            <v>0</v>
          </cell>
          <cell r="AV2318">
            <v>0</v>
          </cell>
        </row>
        <row r="2319">
          <cell r="E2319" t="str">
            <v>T25000886</v>
          </cell>
          <cell r="AP2319">
            <v>0</v>
          </cell>
          <cell r="AQ2319">
            <v>0</v>
          </cell>
          <cell r="AV2319">
            <v>0</v>
          </cell>
        </row>
        <row r="2320">
          <cell r="E2320" t="str">
            <v>T25000887</v>
          </cell>
          <cell r="AP2320">
            <v>0</v>
          </cell>
          <cell r="AQ2320">
            <v>0</v>
          </cell>
          <cell r="AV2320">
            <v>0</v>
          </cell>
        </row>
        <row r="2321">
          <cell r="E2321" t="str">
            <v>T25000888</v>
          </cell>
          <cell r="AP2321">
            <v>0</v>
          </cell>
          <cell r="AQ2321">
            <v>0</v>
          </cell>
          <cell r="AV2321">
            <v>0</v>
          </cell>
        </row>
        <row r="2322">
          <cell r="E2322" t="str">
            <v>T25000895</v>
          </cell>
          <cell r="AP2322">
            <v>0</v>
          </cell>
          <cell r="AQ2322">
            <v>0</v>
          </cell>
          <cell r="AV2322">
            <v>0</v>
          </cell>
        </row>
        <row r="2323">
          <cell r="E2323" t="str">
            <v>T25000902</v>
          </cell>
          <cell r="AP2323">
            <v>0</v>
          </cell>
          <cell r="AQ2323">
            <v>0</v>
          </cell>
          <cell r="AV2323">
            <v>0</v>
          </cell>
        </row>
        <row r="2324">
          <cell r="E2324" t="str">
            <v>T25000903</v>
          </cell>
          <cell r="AP2324">
            <v>0</v>
          </cell>
          <cell r="AQ2324">
            <v>0</v>
          </cell>
          <cell r="AV2324">
            <v>0</v>
          </cell>
        </row>
        <row r="2325">
          <cell r="E2325" t="str">
            <v>T25000912</v>
          </cell>
          <cell r="AP2325">
            <v>0</v>
          </cell>
          <cell r="AQ2325">
            <v>0</v>
          </cell>
          <cell r="AV2325">
            <v>0</v>
          </cell>
        </row>
        <row r="2326">
          <cell r="E2326" t="str">
            <v>T25000914</v>
          </cell>
          <cell r="AP2326">
            <v>0</v>
          </cell>
          <cell r="AQ2326">
            <v>0</v>
          </cell>
          <cell r="AV2326">
            <v>0</v>
          </cell>
        </row>
        <row r="2327">
          <cell r="E2327" t="str">
            <v>T25000915</v>
          </cell>
          <cell r="AP2327">
            <v>0</v>
          </cell>
          <cell r="AQ2327">
            <v>0</v>
          </cell>
          <cell r="AV2327">
            <v>0</v>
          </cell>
        </row>
        <row r="2328">
          <cell r="E2328" t="str">
            <v>C25000475</v>
          </cell>
          <cell r="AP2328">
            <v>0</v>
          </cell>
          <cell r="AQ2328">
            <v>0</v>
          </cell>
          <cell r="AV2328">
            <v>0</v>
          </cell>
        </row>
        <row r="2329">
          <cell r="E2329" t="str">
            <v>T25000936</v>
          </cell>
          <cell r="AP2329">
            <v>0</v>
          </cell>
          <cell r="AQ2329">
            <v>0</v>
          </cell>
          <cell r="AV2329">
            <v>0</v>
          </cell>
        </row>
        <row r="2330">
          <cell r="E2330" t="str">
            <v>T25000956</v>
          </cell>
          <cell r="AP2330">
            <v>0</v>
          </cell>
          <cell r="AQ2330">
            <v>0</v>
          </cell>
          <cell r="AV2330">
            <v>0</v>
          </cell>
        </row>
        <row r="2331">
          <cell r="E2331" t="str">
            <v>T25000957</v>
          </cell>
          <cell r="AP2331">
            <v>0</v>
          </cell>
          <cell r="AQ2331">
            <v>0</v>
          </cell>
          <cell r="AV2331">
            <v>0</v>
          </cell>
        </row>
        <row r="2332">
          <cell r="E2332" t="str">
            <v>T25000958</v>
          </cell>
          <cell r="AP2332">
            <v>0</v>
          </cell>
          <cell r="AQ2332">
            <v>0</v>
          </cell>
          <cell r="AV2332">
            <v>0</v>
          </cell>
        </row>
        <row r="2333">
          <cell r="E2333" t="str">
            <v>D25009205</v>
          </cell>
          <cell r="AP2333">
            <v>0</v>
          </cell>
          <cell r="AQ2333">
            <v>0</v>
          </cell>
          <cell r="AV2333">
            <v>0</v>
          </cell>
        </row>
        <row r="2334">
          <cell r="E2334" t="str">
            <v>T25000988</v>
          </cell>
          <cell r="AP2334">
            <v>0</v>
          </cell>
          <cell r="AQ2334">
            <v>0</v>
          </cell>
          <cell r="AV2334">
            <v>0</v>
          </cell>
        </row>
        <row r="2335">
          <cell r="E2335" t="str">
            <v>T25000997</v>
          </cell>
          <cell r="AP2335">
            <v>0</v>
          </cell>
          <cell r="AQ2335">
            <v>0</v>
          </cell>
          <cell r="AV2335">
            <v>0</v>
          </cell>
        </row>
        <row r="2336">
          <cell r="E2336" t="str">
            <v>T25000999</v>
          </cell>
          <cell r="AP2336">
            <v>0</v>
          </cell>
          <cell r="AQ2336">
            <v>0</v>
          </cell>
          <cell r="AV2336">
            <v>0</v>
          </cell>
        </row>
        <row r="2337">
          <cell r="E2337" t="str">
            <v>T25001020</v>
          </cell>
          <cell r="AP2337">
            <v>0</v>
          </cell>
          <cell r="AQ2337">
            <v>0</v>
          </cell>
          <cell r="AV2337">
            <v>0</v>
          </cell>
        </row>
        <row r="2338">
          <cell r="E2338" t="str">
            <v>T25001022</v>
          </cell>
          <cell r="AP2338">
            <v>0</v>
          </cell>
          <cell r="AQ2338">
            <v>0</v>
          </cell>
          <cell r="AV2338">
            <v>0</v>
          </cell>
        </row>
        <row r="2339">
          <cell r="E2339" t="str">
            <v>T25001023</v>
          </cell>
          <cell r="AP2339">
            <v>0</v>
          </cell>
          <cell r="AQ2339">
            <v>0</v>
          </cell>
          <cell r="AV2339">
            <v>0</v>
          </cell>
        </row>
        <row r="2340">
          <cell r="E2340" t="str">
            <v>T25001024</v>
          </cell>
          <cell r="AP2340">
            <v>0</v>
          </cell>
          <cell r="AQ2340">
            <v>0</v>
          </cell>
          <cell r="AV2340">
            <v>0</v>
          </cell>
        </row>
        <row r="2341">
          <cell r="E2341" t="str">
            <v>T25001025</v>
          </cell>
          <cell r="AP2341">
            <v>0</v>
          </cell>
          <cell r="AQ2341">
            <v>0</v>
          </cell>
          <cell r="AV2341">
            <v>0</v>
          </cell>
        </row>
        <row r="2342">
          <cell r="E2342" t="str">
            <v>T25001033</v>
          </cell>
          <cell r="AP2342">
            <v>0</v>
          </cell>
          <cell r="AQ2342">
            <v>0</v>
          </cell>
          <cell r="AV2342">
            <v>0</v>
          </cell>
        </row>
        <row r="2343">
          <cell r="E2343" t="str">
            <v>T25001062</v>
          </cell>
          <cell r="AP2343">
            <v>0</v>
          </cell>
          <cell r="AQ2343">
            <v>0</v>
          </cell>
          <cell r="AV2343">
            <v>0</v>
          </cell>
        </row>
        <row r="2344">
          <cell r="E2344" t="str">
            <v>T25001078</v>
          </cell>
          <cell r="AP2344">
            <v>0</v>
          </cell>
          <cell r="AQ2344">
            <v>0</v>
          </cell>
          <cell r="AV2344">
            <v>0</v>
          </cell>
        </row>
        <row r="2345">
          <cell r="E2345" t="str">
            <v>T25001110</v>
          </cell>
          <cell r="AP2345">
            <v>0</v>
          </cell>
          <cell r="AQ2345">
            <v>0</v>
          </cell>
          <cell r="AV2345">
            <v>0</v>
          </cell>
        </row>
        <row r="2346">
          <cell r="E2346" t="str">
            <v>T25001162</v>
          </cell>
          <cell r="AP2346">
            <v>0</v>
          </cell>
          <cell r="AQ2346">
            <v>0</v>
          </cell>
          <cell r="AV2346">
            <v>0</v>
          </cell>
        </row>
        <row r="2347">
          <cell r="E2347" t="str">
            <v>T25001165</v>
          </cell>
          <cell r="AP2347">
            <v>0</v>
          </cell>
          <cell r="AQ2347">
            <v>0</v>
          </cell>
          <cell r="AV2347">
            <v>0</v>
          </cell>
        </row>
        <row r="2348">
          <cell r="E2348" t="str">
            <v>T25001173</v>
          </cell>
          <cell r="AP2348">
            <v>0</v>
          </cell>
          <cell r="AQ2348">
            <v>0</v>
          </cell>
          <cell r="AV2348">
            <v>0</v>
          </cell>
        </row>
        <row r="2349">
          <cell r="E2349" t="str">
            <v>T25001189</v>
          </cell>
          <cell r="AP2349">
            <v>0</v>
          </cell>
          <cell r="AQ2349">
            <v>0</v>
          </cell>
          <cell r="AV2349">
            <v>0</v>
          </cell>
        </row>
        <row r="2350">
          <cell r="E2350" t="str">
            <v>T25001203</v>
          </cell>
          <cell r="AP2350">
            <v>0</v>
          </cell>
          <cell r="AQ2350">
            <v>0</v>
          </cell>
          <cell r="AV2350">
            <v>0</v>
          </cell>
        </row>
        <row r="2351">
          <cell r="E2351" t="str">
            <v>T25001207</v>
          </cell>
          <cell r="AP2351">
            <v>0</v>
          </cell>
          <cell r="AQ2351">
            <v>0</v>
          </cell>
          <cell r="AV2351">
            <v>0</v>
          </cell>
        </row>
        <row r="2352">
          <cell r="E2352" t="str">
            <v>T25001222</v>
          </cell>
          <cell r="AP2352">
            <v>0</v>
          </cell>
          <cell r="AQ2352">
            <v>0</v>
          </cell>
          <cell r="AV2352">
            <v>0</v>
          </cell>
        </row>
        <row r="2353">
          <cell r="E2353" t="str">
            <v>T25001269</v>
          </cell>
          <cell r="AP2353">
            <v>0</v>
          </cell>
          <cell r="AQ2353">
            <v>0</v>
          </cell>
          <cell r="AV2353">
            <v>0</v>
          </cell>
        </row>
        <row r="2354">
          <cell r="E2354" t="str">
            <v>T25001294</v>
          </cell>
          <cell r="AP2354">
            <v>0</v>
          </cell>
          <cell r="AQ2354">
            <v>0</v>
          </cell>
          <cell r="AV2354">
            <v>0</v>
          </cell>
        </row>
        <row r="2355">
          <cell r="E2355" t="str">
            <v>T25001317</v>
          </cell>
          <cell r="AP2355">
            <v>0</v>
          </cell>
          <cell r="AQ2355">
            <v>0</v>
          </cell>
          <cell r="AV2355">
            <v>0</v>
          </cell>
        </row>
        <row r="2356">
          <cell r="E2356" t="str">
            <v>T25001323</v>
          </cell>
          <cell r="AP2356">
            <v>0</v>
          </cell>
          <cell r="AQ2356">
            <v>0</v>
          </cell>
          <cell r="AV2356">
            <v>0</v>
          </cell>
        </row>
        <row r="2357">
          <cell r="E2357" t="str">
            <v>T25001329</v>
          </cell>
          <cell r="AP2357">
            <v>0</v>
          </cell>
          <cell r="AQ2357">
            <v>0</v>
          </cell>
          <cell r="AV2357">
            <v>0</v>
          </cell>
        </row>
        <row r="2358">
          <cell r="E2358" t="str">
            <v>T25001330</v>
          </cell>
          <cell r="AP2358">
            <v>0</v>
          </cell>
          <cell r="AQ2358">
            <v>0</v>
          </cell>
          <cell r="AV2358">
            <v>0</v>
          </cell>
        </row>
        <row r="2359">
          <cell r="E2359" t="str">
            <v>T25001336</v>
          </cell>
          <cell r="AP2359">
            <v>0</v>
          </cell>
          <cell r="AQ2359">
            <v>0</v>
          </cell>
          <cell r="AV2359">
            <v>0</v>
          </cell>
        </row>
        <row r="2360">
          <cell r="E2360" t="str">
            <v>T25001343</v>
          </cell>
          <cell r="AP2360">
            <v>0</v>
          </cell>
          <cell r="AQ2360">
            <v>0</v>
          </cell>
          <cell r="AV2360">
            <v>0</v>
          </cell>
        </row>
        <row r="2361">
          <cell r="E2361" t="str">
            <v>T25001395</v>
          </cell>
          <cell r="AP2361">
            <v>0</v>
          </cell>
          <cell r="AQ2361">
            <v>0</v>
          </cell>
          <cell r="AV2361">
            <v>0</v>
          </cell>
        </row>
        <row r="2362">
          <cell r="E2362" t="str">
            <v>T25001408</v>
          </cell>
          <cell r="AP2362">
            <v>0</v>
          </cell>
          <cell r="AQ2362">
            <v>0</v>
          </cell>
          <cell r="AV2362">
            <v>0</v>
          </cell>
        </row>
        <row r="2363">
          <cell r="E2363" t="str">
            <v>T25001452</v>
          </cell>
          <cell r="AP2363">
            <v>0</v>
          </cell>
          <cell r="AQ2363">
            <v>0</v>
          </cell>
          <cell r="AV2363">
            <v>0</v>
          </cell>
        </row>
        <row r="2364">
          <cell r="E2364" t="str">
            <v>T25001456</v>
          </cell>
          <cell r="AP2364">
            <v>0</v>
          </cell>
          <cell r="AQ2364">
            <v>0</v>
          </cell>
          <cell r="AV2364">
            <v>0</v>
          </cell>
        </row>
        <row r="2365">
          <cell r="E2365" t="str">
            <v>T25001457</v>
          </cell>
          <cell r="AP2365">
            <v>0</v>
          </cell>
          <cell r="AQ2365">
            <v>0</v>
          </cell>
          <cell r="AV2365">
            <v>0</v>
          </cell>
        </row>
        <row r="2366">
          <cell r="E2366" t="str">
            <v>T25001458</v>
          </cell>
          <cell r="AP2366">
            <v>0</v>
          </cell>
          <cell r="AQ2366">
            <v>0</v>
          </cell>
          <cell r="AV2366">
            <v>0</v>
          </cell>
        </row>
        <row r="2367">
          <cell r="E2367" t="str">
            <v>T25001459</v>
          </cell>
          <cell r="AP2367">
            <v>0</v>
          </cell>
          <cell r="AQ2367">
            <v>0</v>
          </cell>
          <cell r="AV2367">
            <v>0</v>
          </cell>
        </row>
        <row r="2368">
          <cell r="E2368" t="str">
            <v>T25001460</v>
          </cell>
          <cell r="AP2368">
            <v>0</v>
          </cell>
          <cell r="AQ2368">
            <v>0</v>
          </cell>
          <cell r="AV2368">
            <v>0</v>
          </cell>
        </row>
        <row r="2369">
          <cell r="E2369" t="str">
            <v>T25001463</v>
          </cell>
          <cell r="AP2369">
            <v>0</v>
          </cell>
          <cell r="AQ2369">
            <v>0</v>
          </cell>
          <cell r="AV2369">
            <v>0</v>
          </cell>
        </row>
        <row r="2370">
          <cell r="E2370" t="str">
            <v>T25001464</v>
          </cell>
          <cell r="AP2370">
            <v>0</v>
          </cell>
          <cell r="AQ2370">
            <v>0</v>
          </cell>
          <cell r="AV2370">
            <v>0</v>
          </cell>
        </row>
        <row r="2371">
          <cell r="E2371" t="str">
            <v>T25001485</v>
          </cell>
          <cell r="AP2371">
            <v>0</v>
          </cell>
          <cell r="AQ2371">
            <v>0</v>
          </cell>
          <cell r="AV2371">
            <v>0</v>
          </cell>
        </row>
        <row r="2372">
          <cell r="E2372" t="str">
            <v>T25001497</v>
          </cell>
          <cell r="AP2372">
            <v>0</v>
          </cell>
          <cell r="AQ2372">
            <v>0</v>
          </cell>
          <cell r="AV2372">
            <v>0</v>
          </cell>
        </row>
        <row r="2373">
          <cell r="E2373" t="str">
            <v>T25001546</v>
          </cell>
          <cell r="AP2373">
            <v>0</v>
          </cell>
          <cell r="AQ2373">
            <v>0</v>
          </cell>
          <cell r="AV2373">
            <v>0</v>
          </cell>
        </row>
        <row r="2374">
          <cell r="E2374" t="str">
            <v>T25001592</v>
          </cell>
          <cell r="AP2374">
            <v>0</v>
          </cell>
          <cell r="AQ2374">
            <v>0</v>
          </cell>
          <cell r="AV2374">
            <v>0</v>
          </cell>
        </row>
        <row r="2375">
          <cell r="E2375" t="str">
            <v>T25001593</v>
          </cell>
          <cell r="AP2375">
            <v>0</v>
          </cell>
          <cell r="AQ2375">
            <v>0</v>
          </cell>
          <cell r="AV2375">
            <v>0</v>
          </cell>
        </row>
        <row r="2376">
          <cell r="E2376" t="str">
            <v>T25001604</v>
          </cell>
          <cell r="AP2376">
            <v>0</v>
          </cell>
          <cell r="AQ2376">
            <v>0</v>
          </cell>
          <cell r="AV2376">
            <v>0</v>
          </cell>
        </row>
        <row r="2377">
          <cell r="E2377" t="str">
            <v>T25001608</v>
          </cell>
          <cell r="AP2377">
            <v>0</v>
          </cell>
          <cell r="AQ2377">
            <v>0</v>
          </cell>
          <cell r="AV2377">
            <v>0</v>
          </cell>
        </row>
        <row r="2378">
          <cell r="E2378" t="str">
            <v>T25001627</v>
          </cell>
          <cell r="AP2378">
            <v>0</v>
          </cell>
          <cell r="AQ2378">
            <v>0</v>
          </cell>
          <cell r="AV2378">
            <v>0</v>
          </cell>
        </row>
        <row r="2379">
          <cell r="E2379" t="str">
            <v>T25001628</v>
          </cell>
          <cell r="AP2379">
            <v>0</v>
          </cell>
          <cell r="AQ2379">
            <v>0</v>
          </cell>
          <cell r="AV2379">
            <v>0</v>
          </cell>
        </row>
        <row r="2380">
          <cell r="E2380" t="str">
            <v>T25001629</v>
          </cell>
          <cell r="AP2380">
            <v>0</v>
          </cell>
          <cell r="AQ2380">
            <v>0</v>
          </cell>
          <cell r="AV2380">
            <v>0</v>
          </cell>
        </row>
        <row r="2381">
          <cell r="E2381" t="str">
            <v>T25001630</v>
          </cell>
          <cell r="AP2381">
            <v>0</v>
          </cell>
          <cell r="AQ2381">
            <v>0</v>
          </cell>
          <cell r="AV2381">
            <v>0</v>
          </cell>
        </row>
        <row r="2382">
          <cell r="E2382" t="str">
            <v>T25001683</v>
          </cell>
          <cell r="AP2382">
            <v>0</v>
          </cell>
          <cell r="AQ2382">
            <v>0</v>
          </cell>
          <cell r="AV2382">
            <v>0</v>
          </cell>
        </row>
        <row r="2383">
          <cell r="E2383" t="str">
            <v>T25001712</v>
          </cell>
          <cell r="AP2383">
            <v>0</v>
          </cell>
          <cell r="AQ2383">
            <v>0</v>
          </cell>
          <cell r="AV2383">
            <v>0</v>
          </cell>
        </row>
        <row r="2384">
          <cell r="E2384" t="str">
            <v>T25001729</v>
          </cell>
          <cell r="AP2384">
            <v>0</v>
          </cell>
          <cell r="AQ2384">
            <v>0</v>
          </cell>
          <cell r="AV2384">
            <v>0</v>
          </cell>
        </row>
        <row r="2385">
          <cell r="E2385" t="str">
            <v>T25001741</v>
          </cell>
          <cell r="AP2385">
            <v>0</v>
          </cell>
          <cell r="AQ2385">
            <v>0</v>
          </cell>
          <cell r="AV2385">
            <v>0</v>
          </cell>
        </row>
        <row r="2386">
          <cell r="E2386" t="str">
            <v>T25001742</v>
          </cell>
          <cell r="AP2386">
            <v>0</v>
          </cell>
          <cell r="AQ2386">
            <v>0</v>
          </cell>
          <cell r="AV2386">
            <v>0</v>
          </cell>
        </row>
        <row r="2387">
          <cell r="E2387" t="str">
            <v>T25001746</v>
          </cell>
          <cell r="AP2387">
            <v>0</v>
          </cell>
          <cell r="AQ2387">
            <v>0</v>
          </cell>
          <cell r="AV2387">
            <v>0</v>
          </cell>
        </row>
        <row r="2388">
          <cell r="E2388" t="str">
            <v>T25001750</v>
          </cell>
          <cell r="AP2388">
            <v>0</v>
          </cell>
          <cell r="AQ2388">
            <v>0</v>
          </cell>
          <cell r="AV2388">
            <v>0</v>
          </cell>
        </row>
        <row r="2389">
          <cell r="E2389" t="str">
            <v>T25001751</v>
          </cell>
          <cell r="AP2389">
            <v>0</v>
          </cell>
          <cell r="AQ2389">
            <v>0</v>
          </cell>
          <cell r="AV2389">
            <v>0</v>
          </cell>
        </row>
        <row r="2390">
          <cell r="E2390" t="str">
            <v>T25001752</v>
          </cell>
          <cell r="AP2390">
            <v>0</v>
          </cell>
          <cell r="AQ2390">
            <v>0</v>
          </cell>
          <cell r="AV2390">
            <v>0</v>
          </cell>
        </row>
        <row r="2391">
          <cell r="E2391" t="str">
            <v>T25001756</v>
          </cell>
          <cell r="AP2391">
            <v>0</v>
          </cell>
          <cell r="AQ2391">
            <v>0</v>
          </cell>
          <cell r="AV2391">
            <v>0</v>
          </cell>
        </row>
        <row r="2392">
          <cell r="E2392" t="str">
            <v>T25001757</v>
          </cell>
          <cell r="AP2392">
            <v>0</v>
          </cell>
          <cell r="AQ2392">
            <v>0</v>
          </cell>
          <cell r="AV2392">
            <v>0</v>
          </cell>
        </row>
        <row r="2393">
          <cell r="E2393" t="str">
            <v>T25001764</v>
          </cell>
          <cell r="AP2393">
            <v>0</v>
          </cell>
          <cell r="AQ2393">
            <v>0</v>
          </cell>
          <cell r="AV2393">
            <v>0</v>
          </cell>
        </row>
        <row r="2394">
          <cell r="E2394" t="str">
            <v>T25001765</v>
          </cell>
          <cell r="AP2394">
            <v>0</v>
          </cell>
          <cell r="AQ2394">
            <v>0</v>
          </cell>
          <cell r="AV2394">
            <v>0</v>
          </cell>
        </row>
        <row r="2395">
          <cell r="E2395" t="str">
            <v>T25001766</v>
          </cell>
          <cell r="AP2395">
            <v>0</v>
          </cell>
          <cell r="AQ2395">
            <v>0</v>
          </cell>
          <cell r="AV2395">
            <v>0</v>
          </cell>
        </row>
        <row r="2396">
          <cell r="E2396" t="str">
            <v>T25001767</v>
          </cell>
          <cell r="AP2396">
            <v>0</v>
          </cell>
          <cell r="AQ2396">
            <v>0</v>
          </cell>
          <cell r="AV2396">
            <v>0</v>
          </cell>
        </row>
        <row r="2397">
          <cell r="E2397" t="str">
            <v>T25001768</v>
          </cell>
          <cell r="AP2397">
            <v>0</v>
          </cell>
          <cell r="AQ2397">
            <v>0</v>
          </cell>
          <cell r="AV2397">
            <v>0</v>
          </cell>
        </row>
        <row r="2398">
          <cell r="E2398" t="str">
            <v>T25001769</v>
          </cell>
          <cell r="AP2398">
            <v>0</v>
          </cell>
          <cell r="AQ2398">
            <v>0</v>
          </cell>
          <cell r="AV2398">
            <v>0</v>
          </cell>
        </row>
        <row r="2399">
          <cell r="E2399" t="str">
            <v>T25001807</v>
          </cell>
          <cell r="AP2399">
            <v>0</v>
          </cell>
          <cell r="AQ2399">
            <v>0</v>
          </cell>
          <cell r="AV2399">
            <v>0</v>
          </cell>
        </row>
        <row r="2400">
          <cell r="E2400" t="str">
            <v>T25001832</v>
          </cell>
          <cell r="AP2400">
            <v>0</v>
          </cell>
          <cell r="AQ2400">
            <v>0</v>
          </cell>
          <cell r="AV2400">
            <v>0</v>
          </cell>
        </row>
        <row r="2401">
          <cell r="E2401" t="str">
            <v>T25001896</v>
          </cell>
          <cell r="AP2401">
            <v>0</v>
          </cell>
          <cell r="AQ2401">
            <v>0</v>
          </cell>
          <cell r="AV2401">
            <v>0</v>
          </cell>
        </row>
        <row r="2402">
          <cell r="E2402" t="str">
            <v>T26000004</v>
          </cell>
          <cell r="AP2402">
            <v>0</v>
          </cell>
          <cell r="AQ2402">
            <v>0</v>
          </cell>
          <cell r="AV2402">
            <v>0</v>
          </cell>
        </row>
        <row r="2403">
          <cell r="E2403" t="str">
            <v>T26000005</v>
          </cell>
          <cell r="AP2403">
            <v>0</v>
          </cell>
          <cell r="AQ2403">
            <v>0</v>
          </cell>
          <cell r="AV2403">
            <v>0</v>
          </cell>
        </row>
        <row r="2404">
          <cell r="E2404" t="str">
            <v>T26000007</v>
          </cell>
          <cell r="AP2404">
            <v>0</v>
          </cell>
          <cell r="AQ2404">
            <v>0</v>
          </cell>
          <cell r="AV2404">
            <v>0</v>
          </cell>
        </row>
        <row r="2405">
          <cell r="E2405" t="str">
            <v>T26000011</v>
          </cell>
          <cell r="AP2405">
            <v>0</v>
          </cell>
          <cell r="AQ2405">
            <v>0</v>
          </cell>
          <cell r="AV2405">
            <v>0</v>
          </cell>
        </row>
        <row r="2406">
          <cell r="E2406" t="str">
            <v>T26000012</v>
          </cell>
          <cell r="AP2406">
            <v>0</v>
          </cell>
          <cell r="AQ2406">
            <v>0</v>
          </cell>
          <cell r="AV2406">
            <v>0</v>
          </cell>
        </row>
        <row r="2407">
          <cell r="E2407" t="str">
            <v>T26000015</v>
          </cell>
          <cell r="AP2407">
            <v>0</v>
          </cell>
          <cell r="AQ2407">
            <v>0</v>
          </cell>
          <cell r="AV2407">
            <v>0</v>
          </cell>
        </row>
        <row r="2408">
          <cell r="E2408" t="str">
            <v>T26000020</v>
          </cell>
          <cell r="AP2408">
            <v>0</v>
          </cell>
          <cell r="AQ2408">
            <v>0</v>
          </cell>
          <cell r="AV2408">
            <v>0</v>
          </cell>
        </row>
        <row r="2409">
          <cell r="E2409" t="str">
            <v>T26000048</v>
          </cell>
          <cell r="AP2409">
            <v>0</v>
          </cell>
          <cell r="AQ2409">
            <v>0</v>
          </cell>
          <cell r="AV2409">
            <v>0</v>
          </cell>
        </row>
        <row r="2410">
          <cell r="E2410" t="str">
            <v>T26000069</v>
          </cell>
          <cell r="AP2410">
            <v>0</v>
          </cell>
          <cell r="AQ2410">
            <v>0</v>
          </cell>
          <cell r="AV2410">
            <v>0</v>
          </cell>
        </row>
        <row r="2411">
          <cell r="E2411" t="str">
            <v>T26000080</v>
          </cell>
          <cell r="AP2411">
            <v>0</v>
          </cell>
          <cell r="AQ2411">
            <v>0</v>
          </cell>
          <cell r="AV2411">
            <v>0</v>
          </cell>
        </row>
        <row r="2412">
          <cell r="E2412" t="str">
            <v>T26000084</v>
          </cell>
          <cell r="AP2412">
            <v>0</v>
          </cell>
          <cell r="AQ2412">
            <v>0</v>
          </cell>
          <cell r="AV2412">
            <v>0</v>
          </cell>
        </row>
        <row r="2413">
          <cell r="E2413" t="str">
            <v>T26000112</v>
          </cell>
          <cell r="AP2413">
            <v>0</v>
          </cell>
          <cell r="AQ2413">
            <v>0</v>
          </cell>
          <cell r="AV2413">
            <v>0</v>
          </cell>
        </row>
        <row r="2414">
          <cell r="E2414" t="str">
            <v>T26000113</v>
          </cell>
          <cell r="AP2414">
            <v>0</v>
          </cell>
          <cell r="AQ2414">
            <v>0</v>
          </cell>
          <cell r="AV2414">
            <v>0</v>
          </cell>
        </row>
        <row r="2415">
          <cell r="E2415" t="str">
            <v>T26000119</v>
          </cell>
          <cell r="AP2415">
            <v>0</v>
          </cell>
          <cell r="AQ2415">
            <v>0</v>
          </cell>
          <cell r="AV2415">
            <v>0</v>
          </cell>
        </row>
        <row r="2416">
          <cell r="E2416" t="str">
            <v>T26000130</v>
          </cell>
          <cell r="AP2416">
            <v>0</v>
          </cell>
          <cell r="AQ2416">
            <v>0</v>
          </cell>
          <cell r="AV2416">
            <v>0</v>
          </cell>
        </row>
        <row r="2417">
          <cell r="E2417" t="str">
            <v>T26000131</v>
          </cell>
          <cell r="AP2417">
            <v>0</v>
          </cell>
          <cell r="AQ2417">
            <v>0</v>
          </cell>
          <cell r="AV2417">
            <v>0</v>
          </cell>
        </row>
        <row r="2418">
          <cell r="E2418" t="str">
            <v>T26000137</v>
          </cell>
          <cell r="AP2418">
            <v>0</v>
          </cell>
          <cell r="AQ2418">
            <v>0</v>
          </cell>
          <cell r="AV2418">
            <v>0</v>
          </cell>
        </row>
        <row r="2419">
          <cell r="E2419" t="str">
            <v>T26000138</v>
          </cell>
          <cell r="AP2419">
            <v>0</v>
          </cell>
          <cell r="AQ2419">
            <v>0</v>
          </cell>
          <cell r="AV2419">
            <v>0</v>
          </cell>
        </row>
        <row r="2420">
          <cell r="E2420" t="str">
            <v>T26000141</v>
          </cell>
          <cell r="AP2420">
            <v>0</v>
          </cell>
          <cell r="AQ2420">
            <v>0</v>
          </cell>
          <cell r="AV2420">
            <v>0</v>
          </cell>
        </row>
        <row r="2421">
          <cell r="E2421" t="str">
            <v>T26000260</v>
          </cell>
          <cell r="AP2421">
            <v>0</v>
          </cell>
          <cell r="AQ2421">
            <v>0</v>
          </cell>
          <cell r="AV2421">
            <v>0</v>
          </cell>
        </row>
        <row r="2422">
          <cell r="E2422" t="str">
            <v>D25016915</v>
          </cell>
          <cell r="AP2422">
            <v>0</v>
          </cell>
          <cell r="AQ2422">
            <v>0</v>
          </cell>
          <cell r="AV2422">
            <v>0</v>
          </cell>
        </row>
        <row r="2423">
          <cell r="E2423" t="str">
            <v>B25016903</v>
          </cell>
          <cell r="AP2423">
            <v>0</v>
          </cell>
          <cell r="AQ2423">
            <v>0</v>
          </cell>
          <cell r="AV2423">
            <v>0</v>
          </cell>
        </row>
        <row r="2424">
          <cell r="E2424" t="str">
            <v>D25019699</v>
          </cell>
          <cell r="AP2424">
            <v>0</v>
          </cell>
          <cell r="AQ2424">
            <v>0</v>
          </cell>
          <cell r="AV2424">
            <v>0</v>
          </cell>
        </row>
        <row r="2425">
          <cell r="E2425" t="str">
            <v>T26000001</v>
          </cell>
          <cell r="AP2425">
            <v>0</v>
          </cell>
          <cell r="AQ2425">
            <v>0</v>
          </cell>
          <cell r="AV2425">
            <v>0</v>
          </cell>
        </row>
        <row r="2426">
          <cell r="E2426" t="str">
            <v>M26000038</v>
          </cell>
          <cell r="AP2426">
            <v>0</v>
          </cell>
          <cell r="AQ2426">
            <v>0</v>
          </cell>
          <cell r="AV2426">
            <v>0</v>
          </cell>
        </row>
        <row r="2427">
          <cell r="E2427" t="str">
            <v>B26000953</v>
          </cell>
          <cell r="AP2427">
            <v>0</v>
          </cell>
          <cell r="AQ2427">
            <v>0</v>
          </cell>
          <cell r="AV2427">
            <v>0</v>
          </cell>
        </row>
        <row r="2428">
          <cell r="E2428" t="str">
            <v>B26002839</v>
          </cell>
          <cell r="AP2428">
            <v>0</v>
          </cell>
          <cell r="AQ2428">
            <v>0</v>
          </cell>
          <cell r="AV2428">
            <v>0</v>
          </cell>
        </row>
        <row r="2429">
          <cell r="E2429" t="str">
            <v>B26002880</v>
          </cell>
          <cell r="AP2429">
            <v>0</v>
          </cell>
          <cell r="AQ2429">
            <v>0</v>
          </cell>
          <cell r="AV2429">
            <v>0</v>
          </cell>
        </row>
        <row r="2430">
          <cell r="E2430" t="str">
            <v>Z26000115</v>
          </cell>
          <cell r="AP2430">
            <v>0</v>
          </cell>
          <cell r="AQ2430">
            <v>0</v>
          </cell>
          <cell r="AV2430">
            <v>0</v>
          </cell>
        </row>
        <row r="2431">
          <cell r="E2431" t="str">
            <v>Z26000569</v>
          </cell>
          <cell r="AP2431">
            <v>0</v>
          </cell>
          <cell r="AQ2431">
            <v>0</v>
          </cell>
          <cell r="AV2431">
            <v>11664000</v>
          </cell>
        </row>
        <row r="2432">
          <cell r="E2432" t="str">
            <v>Z26000579</v>
          </cell>
          <cell r="AP2432">
            <v>0</v>
          </cell>
          <cell r="AQ2432">
            <v>0</v>
          </cell>
          <cell r="AV2432">
            <v>4530000</v>
          </cell>
        </row>
        <row r="2433">
          <cell r="E2433" t="str">
            <v>Z26000585</v>
          </cell>
          <cell r="AP2433">
            <v>0</v>
          </cell>
          <cell r="AQ2433">
            <v>0</v>
          </cell>
          <cell r="AV2433">
            <v>840000</v>
          </cell>
        </row>
        <row r="2434">
          <cell r="E2434" t="str">
            <v>D25019320</v>
          </cell>
          <cell r="AP2434">
            <v>0</v>
          </cell>
          <cell r="AQ2434">
            <v>0</v>
          </cell>
          <cell r="AV2434">
            <v>0</v>
          </cell>
        </row>
        <row r="2435">
          <cell r="E2435" t="str">
            <v>B25016987</v>
          </cell>
          <cell r="AP2435">
            <v>0</v>
          </cell>
          <cell r="AQ2435">
            <v>0</v>
          </cell>
          <cell r="AV2435">
            <v>0</v>
          </cell>
        </row>
        <row r="2436">
          <cell r="E2436" t="str">
            <v>B25016996</v>
          </cell>
          <cell r="AP2436">
            <v>0</v>
          </cell>
          <cell r="AQ2436">
            <v>0</v>
          </cell>
          <cell r="AV2436">
            <v>0</v>
          </cell>
        </row>
        <row r="2437">
          <cell r="E2437" t="str">
            <v>B25016997</v>
          </cell>
          <cell r="AP2437">
            <v>0</v>
          </cell>
          <cell r="AQ2437">
            <v>0</v>
          </cell>
          <cell r="AV2437">
            <v>0</v>
          </cell>
        </row>
        <row r="2438">
          <cell r="E2438" t="str">
            <v>B26000162</v>
          </cell>
          <cell r="AP2438">
            <v>0</v>
          </cell>
          <cell r="AQ2438">
            <v>0</v>
          </cell>
          <cell r="AV2438">
            <v>0</v>
          </cell>
        </row>
        <row r="2439">
          <cell r="E2439" t="str">
            <v>D26000376</v>
          </cell>
          <cell r="AP2439">
            <v>0</v>
          </cell>
          <cell r="AQ2439">
            <v>0</v>
          </cell>
          <cell r="AV2439">
            <v>0</v>
          </cell>
        </row>
        <row r="2440">
          <cell r="E2440" t="str">
            <v>D26000585</v>
          </cell>
          <cell r="AP2440">
            <v>0</v>
          </cell>
          <cell r="AQ2440">
            <v>0</v>
          </cell>
          <cell r="AV2440">
            <v>0</v>
          </cell>
        </row>
        <row r="2441">
          <cell r="E2441" t="str">
            <v>D26000586</v>
          </cell>
          <cell r="AP2441">
            <v>0</v>
          </cell>
          <cell r="AQ2441">
            <v>0</v>
          </cell>
          <cell r="AV2441">
            <v>0</v>
          </cell>
        </row>
        <row r="2442">
          <cell r="E2442" t="str">
            <v>D26000864</v>
          </cell>
          <cell r="AP2442">
            <v>0</v>
          </cell>
          <cell r="AQ2442">
            <v>0</v>
          </cell>
          <cell r="AV2442">
            <v>0</v>
          </cell>
        </row>
        <row r="2443">
          <cell r="E2443" t="str">
            <v>D26000929</v>
          </cell>
          <cell r="AP2443">
            <v>0</v>
          </cell>
          <cell r="AQ2443">
            <v>0</v>
          </cell>
          <cell r="AV2443">
            <v>0</v>
          </cell>
        </row>
        <row r="2444">
          <cell r="E2444" t="str">
            <v>D26001042</v>
          </cell>
          <cell r="AP2444">
            <v>0</v>
          </cell>
          <cell r="AQ2444">
            <v>0</v>
          </cell>
          <cell r="AV2444">
            <v>0</v>
          </cell>
        </row>
        <row r="2445">
          <cell r="E2445" t="str">
            <v>B26001102</v>
          </cell>
          <cell r="AP2445">
            <v>0</v>
          </cell>
          <cell r="AQ2445">
            <v>0</v>
          </cell>
          <cell r="AV2445">
            <v>0</v>
          </cell>
        </row>
        <row r="2446">
          <cell r="E2446" t="str">
            <v>D26001825</v>
          </cell>
          <cell r="AP2446">
            <v>0</v>
          </cell>
          <cell r="AQ2446">
            <v>0</v>
          </cell>
          <cell r="AV2446">
            <v>0</v>
          </cell>
        </row>
        <row r="2447">
          <cell r="E2447" t="str">
            <v>D26001826</v>
          </cell>
          <cell r="AP2447">
            <v>0</v>
          </cell>
          <cell r="AQ2447">
            <v>0</v>
          </cell>
          <cell r="AV2447">
            <v>0</v>
          </cell>
        </row>
        <row r="2448">
          <cell r="E2448" t="str">
            <v>B26001830</v>
          </cell>
          <cell r="AP2448">
            <v>0</v>
          </cell>
          <cell r="AQ2448">
            <v>0</v>
          </cell>
          <cell r="AV2448">
            <v>0</v>
          </cell>
        </row>
        <row r="2449">
          <cell r="E2449" t="str">
            <v>B26002061</v>
          </cell>
          <cell r="AP2449">
            <v>0</v>
          </cell>
          <cell r="AQ2449">
            <v>0</v>
          </cell>
          <cell r="AV2449">
            <v>0</v>
          </cell>
        </row>
        <row r="2450">
          <cell r="E2450" t="str">
            <v>B26002811</v>
          </cell>
          <cell r="AP2450">
            <v>0</v>
          </cell>
          <cell r="AQ2450">
            <v>0</v>
          </cell>
          <cell r="AV2450">
            <v>0</v>
          </cell>
        </row>
        <row r="2451">
          <cell r="E2451" t="str">
            <v>B26002815</v>
          </cell>
          <cell r="AP2451">
            <v>0</v>
          </cell>
          <cell r="AQ2451">
            <v>0</v>
          </cell>
          <cell r="AV2451">
            <v>0</v>
          </cell>
        </row>
        <row r="2452">
          <cell r="E2452" t="str">
            <v>B26002599</v>
          </cell>
          <cell r="AP2452">
            <v>0</v>
          </cell>
          <cell r="AQ2452">
            <v>0</v>
          </cell>
          <cell r="AV2452">
            <v>0</v>
          </cell>
        </row>
        <row r="2453">
          <cell r="E2453" t="str">
            <v>Z25003207</v>
          </cell>
          <cell r="AP2453">
            <v>0</v>
          </cell>
          <cell r="AQ2453">
            <v>0</v>
          </cell>
          <cell r="AV2453">
            <v>10000000</v>
          </cell>
        </row>
        <row r="2454">
          <cell r="E2454" t="str">
            <v>Z26000041</v>
          </cell>
          <cell r="AP2454">
            <v>0</v>
          </cell>
          <cell r="AQ2454">
            <v>0</v>
          </cell>
          <cell r="AV2454">
            <v>0</v>
          </cell>
        </row>
        <row r="2455">
          <cell r="E2455" t="str">
            <v>Z26000292</v>
          </cell>
          <cell r="AP2455">
            <v>0</v>
          </cell>
          <cell r="AQ2455">
            <v>0</v>
          </cell>
          <cell r="AV2455">
            <v>0</v>
          </cell>
        </row>
        <row r="2456">
          <cell r="E2456" t="str">
            <v>T26000125</v>
          </cell>
          <cell r="AP2456">
            <v>0</v>
          </cell>
          <cell r="AQ2456">
            <v>0</v>
          </cell>
          <cell r="AV2456">
            <v>0</v>
          </cell>
        </row>
        <row r="2457">
          <cell r="E2457" t="str">
            <v>B26001144</v>
          </cell>
          <cell r="AP2457">
            <v>0</v>
          </cell>
          <cell r="AQ2457">
            <v>0</v>
          </cell>
          <cell r="AV2457">
            <v>0</v>
          </cell>
        </row>
        <row r="2458">
          <cell r="E2458" t="str">
            <v>D26001810</v>
          </cell>
          <cell r="AP2458">
            <v>0</v>
          </cell>
          <cell r="AQ2458">
            <v>0</v>
          </cell>
          <cell r="AV2458">
            <v>61125000</v>
          </cell>
        </row>
        <row r="2459">
          <cell r="E2459" t="str">
            <v>B26002675</v>
          </cell>
          <cell r="AP2459">
            <v>0</v>
          </cell>
          <cell r="AQ2459">
            <v>0</v>
          </cell>
          <cell r="AV2459">
            <v>68500000</v>
          </cell>
        </row>
        <row r="2460">
          <cell r="E2460" t="str">
            <v>D26003102</v>
          </cell>
          <cell r="AP2460">
            <v>0</v>
          </cell>
          <cell r="AQ2460">
            <v>0</v>
          </cell>
          <cell r="AV2460">
            <v>97240000</v>
          </cell>
        </row>
        <row r="2461">
          <cell r="E2461" t="str">
            <v>D26003113</v>
          </cell>
          <cell r="AP2461">
            <v>0</v>
          </cell>
          <cell r="AQ2461">
            <v>0</v>
          </cell>
          <cell r="AV2461">
            <v>4875000</v>
          </cell>
        </row>
        <row r="2462">
          <cell r="E2462" t="str">
            <v>D26003231</v>
          </cell>
          <cell r="AP2462">
            <v>0</v>
          </cell>
          <cell r="AQ2462">
            <v>0</v>
          </cell>
          <cell r="AV2462">
            <v>0</v>
          </cell>
        </row>
        <row r="2463">
          <cell r="E2463" t="str">
            <v>T25001898</v>
          </cell>
          <cell r="AP2463">
            <v>0</v>
          </cell>
          <cell r="AQ2463">
            <v>0</v>
          </cell>
          <cell r="AV2463">
            <v>5400000</v>
          </cell>
        </row>
        <row r="2464">
          <cell r="E2464" t="str">
            <v>B26002445</v>
          </cell>
          <cell r="AP2464">
            <v>0</v>
          </cell>
          <cell r="AQ2464">
            <v>0</v>
          </cell>
          <cell r="AV2464">
            <v>0</v>
          </cell>
        </row>
        <row r="2465">
          <cell r="E2465" t="str">
            <v>T26000182</v>
          </cell>
          <cell r="AP2465">
            <v>0</v>
          </cell>
          <cell r="AQ2465">
            <v>0</v>
          </cell>
          <cell r="AV2465">
            <v>0</v>
          </cell>
        </row>
        <row r="2466">
          <cell r="E2466" t="str">
            <v>B26002527</v>
          </cell>
          <cell r="AP2466">
            <v>0</v>
          </cell>
          <cell r="AQ2466">
            <v>0</v>
          </cell>
          <cell r="AV2466">
            <v>0</v>
          </cell>
        </row>
        <row r="2467">
          <cell r="E2467" t="str">
            <v>B26000464</v>
          </cell>
          <cell r="AP2467">
            <v>0</v>
          </cell>
          <cell r="AQ2467">
            <v>0</v>
          </cell>
          <cell r="AV2467">
            <v>0</v>
          </cell>
        </row>
        <row r="2468">
          <cell r="E2468" t="str">
            <v>B26001015</v>
          </cell>
          <cell r="AP2468">
            <v>0</v>
          </cell>
          <cell r="AQ2468">
            <v>0</v>
          </cell>
          <cell r="AV2468">
            <v>0</v>
          </cell>
        </row>
        <row r="2469">
          <cell r="E2469" t="str">
            <v>B26001016</v>
          </cell>
          <cell r="AP2469">
            <v>0</v>
          </cell>
          <cell r="AQ2469">
            <v>0</v>
          </cell>
          <cell r="AV2469">
            <v>0</v>
          </cell>
        </row>
        <row r="2470">
          <cell r="E2470" t="str">
            <v>D26002143</v>
          </cell>
          <cell r="AP2470">
            <v>0</v>
          </cell>
          <cell r="AQ2470">
            <v>0</v>
          </cell>
          <cell r="AV2470">
            <v>0</v>
          </cell>
        </row>
        <row r="2471">
          <cell r="E2471" t="str">
            <v>D26002276</v>
          </cell>
          <cell r="AP2471">
            <v>0</v>
          </cell>
          <cell r="AQ2471">
            <v>0</v>
          </cell>
          <cell r="AV2471">
            <v>0</v>
          </cell>
        </row>
        <row r="2472">
          <cell r="E2472" t="str">
            <v>D26000017</v>
          </cell>
          <cell r="AP2472">
            <v>0</v>
          </cell>
          <cell r="AQ2472">
            <v>0</v>
          </cell>
          <cell r="AV2472">
            <v>0</v>
          </cell>
        </row>
        <row r="2473">
          <cell r="E2473" t="str">
            <v>B26001154</v>
          </cell>
          <cell r="AP2473">
            <v>0</v>
          </cell>
          <cell r="AQ2473">
            <v>0</v>
          </cell>
          <cell r="AV2473">
            <v>0</v>
          </cell>
        </row>
        <row r="2474">
          <cell r="E2474" t="str">
            <v>B26001167</v>
          </cell>
          <cell r="AP2474">
            <v>0</v>
          </cell>
          <cell r="AQ2474">
            <v>0</v>
          </cell>
          <cell r="AV2474">
            <v>0</v>
          </cell>
        </row>
        <row r="2475">
          <cell r="E2475" t="str">
            <v>B26001222</v>
          </cell>
          <cell r="AP2475">
            <v>0</v>
          </cell>
          <cell r="AQ2475">
            <v>0</v>
          </cell>
          <cell r="AV2475">
            <v>0</v>
          </cell>
        </row>
        <row r="2476">
          <cell r="E2476" t="str">
            <v>B26001223</v>
          </cell>
          <cell r="AP2476">
            <v>0</v>
          </cell>
          <cell r="AQ2476">
            <v>0</v>
          </cell>
          <cell r="AV2476">
            <v>0</v>
          </cell>
        </row>
        <row r="2477">
          <cell r="E2477" t="str">
            <v>B26001686</v>
          </cell>
          <cell r="AP2477">
            <v>0</v>
          </cell>
          <cell r="AQ2477">
            <v>0</v>
          </cell>
          <cell r="AV2477">
            <v>0</v>
          </cell>
        </row>
        <row r="2478">
          <cell r="E2478" t="str">
            <v>D26002213</v>
          </cell>
          <cell r="AP2478">
            <v>0</v>
          </cell>
          <cell r="AQ2478">
            <v>0</v>
          </cell>
          <cell r="AV2478">
            <v>0</v>
          </cell>
        </row>
        <row r="2479">
          <cell r="E2479" t="str">
            <v>B26002946</v>
          </cell>
          <cell r="AP2479">
            <v>0</v>
          </cell>
          <cell r="AQ2479">
            <v>0</v>
          </cell>
          <cell r="AV2479">
            <v>0</v>
          </cell>
        </row>
        <row r="2480">
          <cell r="E2480" t="str">
            <v>B26000048</v>
          </cell>
          <cell r="AP2480">
            <v>0</v>
          </cell>
          <cell r="AQ2480">
            <v>0</v>
          </cell>
          <cell r="AV2480">
            <v>0</v>
          </cell>
        </row>
        <row r="2481">
          <cell r="E2481" t="str">
            <v>D26000472</v>
          </cell>
          <cell r="AP2481">
            <v>0</v>
          </cell>
          <cell r="AQ2481">
            <v>0</v>
          </cell>
          <cell r="AV2481">
            <v>0</v>
          </cell>
        </row>
        <row r="2482">
          <cell r="E2482" t="str">
            <v>D26000473</v>
          </cell>
          <cell r="AP2482">
            <v>0</v>
          </cell>
          <cell r="AQ2482">
            <v>0</v>
          </cell>
          <cell r="AV2482">
            <v>0</v>
          </cell>
        </row>
        <row r="2483">
          <cell r="E2483" t="str">
            <v>T26000028</v>
          </cell>
          <cell r="AP2483">
            <v>0</v>
          </cell>
          <cell r="AQ2483">
            <v>0</v>
          </cell>
          <cell r="AV2483">
            <v>0</v>
          </cell>
        </row>
        <row r="2484">
          <cell r="E2484" t="str">
            <v>B26000832</v>
          </cell>
          <cell r="AP2484">
            <v>0</v>
          </cell>
          <cell r="AQ2484">
            <v>0</v>
          </cell>
          <cell r="AV2484">
            <v>0</v>
          </cell>
        </row>
        <row r="2485">
          <cell r="E2485" t="str">
            <v>D26002037</v>
          </cell>
          <cell r="AP2485">
            <v>0</v>
          </cell>
          <cell r="AQ2485">
            <v>0</v>
          </cell>
          <cell r="AV2485">
            <v>0</v>
          </cell>
        </row>
        <row r="2486">
          <cell r="E2486" t="str">
            <v>D26002038</v>
          </cell>
          <cell r="AP2486">
            <v>0</v>
          </cell>
          <cell r="AQ2486">
            <v>0</v>
          </cell>
          <cell r="AV2486">
            <v>0</v>
          </cell>
        </row>
        <row r="2487">
          <cell r="E2487" t="str">
            <v>B26001984</v>
          </cell>
          <cell r="AP2487">
            <v>0</v>
          </cell>
          <cell r="AQ2487">
            <v>0</v>
          </cell>
          <cell r="AV2487">
            <v>75764000</v>
          </cell>
        </row>
        <row r="2488">
          <cell r="E2488" t="str">
            <v>B26002004</v>
          </cell>
          <cell r="AP2488">
            <v>0</v>
          </cell>
          <cell r="AQ2488">
            <v>0</v>
          </cell>
          <cell r="AV2488">
            <v>11390000</v>
          </cell>
        </row>
        <row r="2489">
          <cell r="E2489" t="str">
            <v>B26002128</v>
          </cell>
          <cell r="AP2489">
            <v>0</v>
          </cell>
          <cell r="AQ2489">
            <v>0</v>
          </cell>
          <cell r="AV2489">
            <v>12846000</v>
          </cell>
        </row>
        <row r="2490">
          <cell r="E2490" t="str">
            <v>B25015599</v>
          </cell>
          <cell r="AP2490">
            <v>0</v>
          </cell>
          <cell r="AQ2490">
            <v>0</v>
          </cell>
          <cell r="AV2490">
            <v>0</v>
          </cell>
        </row>
        <row r="2491">
          <cell r="E2491" t="str">
            <v>B26000354</v>
          </cell>
          <cell r="AP2491">
            <v>0</v>
          </cell>
          <cell r="AQ2491">
            <v>0</v>
          </cell>
          <cell r="AV2491">
            <v>0</v>
          </cell>
        </row>
        <row r="2492">
          <cell r="E2492" t="str">
            <v>D26000448</v>
          </cell>
          <cell r="AP2492">
            <v>0</v>
          </cell>
          <cell r="AQ2492">
            <v>0</v>
          </cell>
          <cell r="AV2492">
            <v>0</v>
          </cell>
        </row>
        <row r="2493">
          <cell r="E2493" t="str">
            <v>B26000835</v>
          </cell>
          <cell r="AP2493">
            <v>0</v>
          </cell>
          <cell r="AQ2493">
            <v>0</v>
          </cell>
          <cell r="AV2493">
            <v>0</v>
          </cell>
        </row>
        <row r="2494">
          <cell r="E2494" t="str">
            <v>D26000920</v>
          </cell>
          <cell r="AP2494">
            <v>0</v>
          </cell>
          <cell r="AQ2494">
            <v>0</v>
          </cell>
          <cell r="AV2494">
            <v>0</v>
          </cell>
        </row>
        <row r="2495">
          <cell r="E2495" t="str">
            <v>B26000897</v>
          </cell>
          <cell r="AP2495">
            <v>0</v>
          </cell>
          <cell r="AQ2495">
            <v>0</v>
          </cell>
          <cell r="AV2495">
            <v>0</v>
          </cell>
        </row>
        <row r="2496">
          <cell r="E2496" t="str">
            <v>D26000963</v>
          </cell>
          <cell r="AP2496">
            <v>0</v>
          </cell>
          <cell r="AQ2496">
            <v>0</v>
          </cell>
          <cell r="AV2496">
            <v>0</v>
          </cell>
        </row>
        <row r="2497">
          <cell r="E2497" t="str">
            <v>B26001369</v>
          </cell>
          <cell r="AP2497">
            <v>0</v>
          </cell>
          <cell r="AQ2497">
            <v>0</v>
          </cell>
          <cell r="AV2497">
            <v>0</v>
          </cell>
        </row>
        <row r="2498">
          <cell r="E2498" t="str">
            <v>D26001450</v>
          </cell>
          <cell r="AP2498">
            <v>0</v>
          </cell>
          <cell r="AQ2498">
            <v>0</v>
          </cell>
          <cell r="AV2498">
            <v>0</v>
          </cell>
        </row>
        <row r="2499">
          <cell r="E2499" t="str">
            <v>D26001453</v>
          </cell>
          <cell r="AP2499">
            <v>0</v>
          </cell>
          <cell r="AQ2499">
            <v>0</v>
          </cell>
          <cell r="AV2499">
            <v>0</v>
          </cell>
        </row>
        <row r="2500">
          <cell r="E2500" t="str">
            <v>D26001482</v>
          </cell>
          <cell r="AP2500">
            <v>0</v>
          </cell>
          <cell r="AQ2500">
            <v>0</v>
          </cell>
          <cell r="AV2500">
            <v>0</v>
          </cell>
        </row>
        <row r="2501">
          <cell r="E2501" t="str">
            <v>D26001492</v>
          </cell>
          <cell r="AP2501">
            <v>0</v>
          </cell>
          <cell r="AQ2501">
            <v>0</v>
          </cell>
          <cell r="AV2501">
            <v>0</v>
          </cell>
        </row>
        <row r="2502">
          <cell r="E2502" t="str">
            <v>D26002109</v>
          </cell>
          <cell r="AP2502">
            <v>0</v>
          </cell>
          <cell r="AQ2502">
            <v>0</v>
          </cell>
          <cell r="AV2502">
            <v>0</v>
          </cell>
        </row>
        <row r="2503">
          <cell r="E2503" t="str">
            <v>D26002495</v>
          </cell>
          <cell r="AP2503">
            <v>0</v>
          </cell>
          <cell r="AQ2503">
            <v>0</v>
          </cell>
          <cell r="AV2503">
            <v>0</v>
          </cell>
        </row>
        <row r="2504">
          <cell r="E2504" t="str">
            <v>D26003144</v>
          </cell>
          <cell r="AP2504">
            <v>0</v>
          </cell>
          <cell r="AQ2504">
            <v>0</v>
          </cell>
          <cell r="AV2504">
            <v>0</v>
          </cell>
        </row>
        <row r="2505">
          <cell r="E2505" t="str">
            <v>B26002600</v>
          </cell>
          <cell r="AP2505">
            <v>0</v>
          </cell>
          <cell r="AQ2505">
            <v>0</v>
          </cell>
          <cell r="AV2505">
            <v>0</v>
          </cell>
        </row>
        <row r="2506">
          <cell r="E2506" t="str">
            <v>B26001296</v>
          </cell>
          <cell r="AP2506">
            <v>0</v>
          </cell>
          <cell r="AQ2506">
            <v>0</v>
          </cell>
          <cell r="AV2506">
            <v>0</v>
          </cell>
        </row>
        <row r="2507">
          <cell r="E2507" t="str">
            <v>D26001432</v>
          </cell>
          <cell r="AP2507">
            <v>0</v>
          </cell>
          <cell r="AQ2507">
            <v>0</v>
          </cell>
          <cell r="AV2507">
            <v>0</v>
          </cell>
        </row>
        <row r="2508">
          <cell r="E2508" t="str">
            <v>B26001645</v>
          </cell>
          <cell r="AP2508">
            <v>0</v>
          </cell>
          <cell r="AQ2508">
            <v>0</v>
          </cell>
          <cell r="AV2508">
            <v>0</v>
          </cell>
        </row>
        <row r="2509">
          <cell r="E2509" t="str">
            <v>D26001058</v>
          </cell>
          <cell r="AP2509">
            <v>0</v>
          </cell>
          <cell r="AQ2509">
            <v>0</v>
          </cell>
          <cell r="AV2509">
            <v>16850000</v>
          </cell>
        </row>
        <row r="2510">
          <cell r="E2510" t="str">
            <v>D26001059</v>
          </cell>
          <cell r="AP2510">
            <v>0</v>
          </cell>
          <cell r="AQ2510">
            <v>0</v>
          </cell>
          <cell r="AV2510">
            <v>6000000</v>
          </cell>
        </row>
        <row r="2511">
          <cell r="E2511" t="str">
            <v>D26000628</v>
          </cell>
          <cell r="AP2511">
            <v>0</v>
          </cell>
          <cell r="AQ2511">
            <v>0</v>
          </cell>
          <cell r="AV2511">
            <v>0</v>
          </cell>
        </row>
        <row r="2512">
          <cell r="E2512" t="str">
            <v>D26000641</v>
          </cell>
          <cell r="AP2512">
            <v>0</v>
          </cell>
          <cell r="AQ2512">
            <v>0</v>
          </cell>
          <cell r="AV2512">
            <v>0</v>
          </cell>
        </row>
        <row r="2513">
          <cell r="E2513" t="str">
            <v>T26000077</v>
          </cell>
          <cell r="AP2513">
            <v>0</v>
          </cell>
          <cell r="AQ2513">
            <v>0</v>
          </cell>
          <cell r="AV2513">
            <v>0</v>
          </cell>
        </row>
        <row r="2514">
          <cell r="E2514" t="str">
            <v>B26001913</v>
          </cell>
          <cell r="AP2514">
            <v>0</v>
          </cell>
          <cell r="AQ2514">
            <v>0</v>
          </cell>
          <cell r="AV2514">
            <v>0</v>
          </cell>
        </row>
        <row r="2515">
          <cell r="E2515" t="str">
            <v>B26001914</v>
          </cell>
          <cell r="AP2515">
            <v>0</v>
          </cell>
          <cell r="AQ2515">
            <v>0</v>
          </cell>
          <cell r="AV2515">
            <v>0</v>
          </cell>
        </row>
        <row r="2516">
          <cell r="E2516" t="str">
            <v>D26003263</v>
          </cell>
          <cell r="AP2516">
            <v>0</v>
          </cell>
          <cell r="AQ2516">
            <v>0</v>
          </cell>
          <cell r="AV2516">
            <v>0</v>
          </cell>
        </row>
        <row r="2517">
          <cell r="E2517" t="str">
            <v>D26003264</v>
          </cell>
          <cell r="AP2517">
            <v>0</v>
          </cell>
          <cell r="AQ2517">
            <v>0</v>
          </cell>
          <cell r="AV2517">
            <v>0</v>
          </cell>
        </row>
        <row r="2518">
          <cell r="E2518" t="str">
            <v>B26001807</v>
          </cell>
          <cell r="AP2518">
            <v>0</v>
          </cell>
          <cell r="AQ2518">
            <v>0</v>
          </cell>
          <cell r="AV2518">
            <v>0</v>
          </cell>
        </row>
        <row r="2519">
          <cell r="E2519" t="str">
            <v>B26002193</v>
          </cell>
          <cell r="AP2519">
            <v>0</v>
          </cell>
          <cell r="AQ2519">
            <v>0</v>
          </cell>
          <cell r="AV2519">
            <v>0</v>
          </cell>
        </row>
        <row r="2520">
          <cell r="E2520" t="str">
            <v>B26002580</v>
          </cell>
          <cell r="AP2520">
            <v>0</v>
          </cell>
          <cell r="AQ2520">
            <v>0</v>
          </cell>
          <cell r="AV2520">
            <v>0</v>
          </cell>
        </row>
        <row r="2521">
          <cell r="E2521" t="str">
            <v>D26002835</v>
          </cell>
          <cell r="AP2521">
            <v>0</v>
          </cell>
          <cell r="AQ2521">
            <v>0</v>
          </cell>
          <cell r="AV2521">
            <v>0</v>
          </cell>
        </row>
        <row r="2522">
          <cell r="E2522" t="str">
            <v>Z26000325</v>
          </cell>
          <cell r="AP2522">
            <v>0</v>
          </cell>
          <cell r="AQ2522">
            <v>0</v>
          </cell>
          <cell r="AV2522">
            <v>0</v>
          </cell>
        </row>
        <row r="2523">
          <cell r="E2523" t="str">
            <v>Z26000373</v>
          </cell>
          <cell r="AP2523">
            <v>0</v>
          </cell>
          <cell r="AQ2523">
            <v>0</v>
          </cell>
          <cell r="AV2523">
            <v>0</v>
          </cell>
        </row>
        <row r="2524">
          <cell r="E2524" t="str">
            <v>Z26000546</v>
          </cell>
          <cell r="AP2524">
            <v>0</v>
          </cell>
          <cell r="AQ2524">
            <v>0</v>
          </cell>
          <cell r="AV2524">
            <v>0</v>
          </cell>
        </row>
        <row r="2525">
          <cell r="E2525" t="str">
            <v>Z26000596</v>
          </cell>
          <cell r="AP2525">
            <v>0</v>
          </cell>
          <cell r="AQ2525">
            <v>0</v>
          </cell>
          <cell r="AV2525">
            <v>0</v>
          </cell>
        </row>
        <row r="2526">
          <cell r="E2526" t="str">
            <v>D26001951</v>
          </cell>
          <cell r="AP2526">
            <v>0</v>
          </cell>
          <cell r="AQ2526">
            <v>0</v>
          </cell>
          <cell r="AV2526">
            <v>0</v>
          </cell>
        </row>
        <row r="2527">
          <cell r="E2527" t="str">
            <v>D26001995</v>
          </cell>
          <cell r="AP2527">
            <v>0</v>
          </cell>
          <cell r="AQ2527">
            <v>0</v>
          </cell>
          <cell r="AV2527">
            <v>0</v>
          </cell>
        </row>
        <row r="2528">
          <cell r="E2528" t="str">
            <v>B26002110</v>
          </cell>
          <cell r="AP2528">
            <v>0</v>
          </cell>
          <cell r="AQ2528">
            <v>0</v>
          </cell>
          <cell r="AV2528">
            <v>0</v>
          </cell>
        </row>
        <row r="2529">
          <cell r="E2529" t="str">
            <v>B26002111</v>
          </cell>
          <cell r="AP2529">
            <v>0</v>
          </cell>
          <cell r="AQ2529">
            <v>0</v>
          </cell>
          <cell r="AV2529">
            <v>0</v>
          </cell>
        </row>
        <row r="2530">
          <cell r="E2530" t="str">
            <v>D26002237</v>
          </cell>
          <cell r="AP2530">
            <v>0</v>
          </cell>
          <cell r="AQ2530">
            <v>0</v>
          </cell>
          <cell r="AV2530">
            <v>0</v>
          </cell>
        </row>
        <row r="2531">
          <cell r="E2531" t="str">
            <v>D26002291</v>
          </cell>
          <cell r="AP2531">
            <v>0</v>
          </cell>
          <cell r="AQ2531">
            <v>0</v>
          </cell>
          <cell r="AV2531">
            <v>0</v>
          </cell>
        </row>
        <row r="2532">
          <cell r="E2532" t="str">
            <v>D26002412</v>
          </cell>
          <cell r="AP2532">
            <v>0</v>
          </cell>
          <cell r="AQ2532">
            <v>0</v>
          </cell>
          <cell r="AV2532">
            <v>0</v>
          </cell>
        </row>
        <row r="2533">
          <cell r="E2533" t="str">
            <v>D26002413</v>
          </cell>
          <cell r="AP2533">
            <v>0</v>
          </cell>
          <cell r="AQ2533">
            <v>0</v>
          </cell>
          <cell r="AV2533">
            <v>0</v>
          </cell>
        </row>
        <row r="2534">
          <cell r="E2534" t="str">
            <v>D26002414</v>
          </cell>
          <cell r="AP2534">
            <v>0</v>
          </cell>
          <cell r="AQ2534">
            <v>0</v>
          </cell>
          <cell r="AV2534">
            <v>0</v>
          </cell>
        </row>
        <row r="2535">
          <cell r="E2535" t="str">
            <v>D26002460</v>
          </cell>
          <cell r="AP2535">
            <v>0</v>
          </cell>
          <cell r="AQ2535">
            <v>0</v>
          </cell>
          <cell r="AV2535">
            <v>0</v>
          </cell>
        </row>
        <row r="2536">
          <cell r="E2536" t="str">
            <v>D26002525</v>
          </cell>
          <cell r="AP2536">
            <v>0</v>
          </cell>
          <cell r="AQ2536">
            <v>0</v>
          </cell>
          <cell r="AV2536">
            <v>0</v>
          </cell>
        </row>
        <row r="2537">
          <cell r="E2537" t="str">
            <v>B26002417</v>
          </cell>
          <cell r="AP2537">
            <v>0</v>
          </cell>
          <cell r="AQ2537">
            <v>0</v>
          </cell>
          <cell r="AV2537">
            <v>0</v>
          </cell>
        </row>
        <row r="2538">
          <cell r="E2538" t="str">
            <v>D26002739</v>
          </cell>
          <cell r="AP2538">
            <v>0</v>
          </cell>
          <cell r="AQ2538">
            <v>0</v>
          </cell>
          <cell r="AV2538">
            <v>0</v>
          </cell>
        </row>
        <row r="2539">
          <cell r="E2539" t="str">
            <v>D26002740</v>
          </cell>
          <cell r="AP2539">
            <v>0</v>
          </cell>
          <cell r="AQ2539">
            <v>0</v>
          </cell>
          <cell r="AV2539">
            <v>0</v>
          </cell>
        </row>
        <row r="2540">
          <cell r="E2540" t="str">
            <v>D26002759</v>
          </cell>
          <cell r="AP2540">
            <v>0</v>
          </cell>
          <cell r="AQ2540">
            <v>0</v>
          </cell>
          <cell r="AV2540">
            <v>0</v>
          </cell>
        </row>
        <row r="2541">
          <cell r="E2541" t="str">
            <v>D26002760</v>
          </cell>
          <cell r="AP2541">
            <v>0</v>
          </cell>
          <cell r="AQ2541">
            <v>0</v>
          </cell>
          <cell r="AV2541">
            <v>0</v>
          </cell>
        </row>
        <row r="2542">
          <cell r="E2542" t="str">
            <v>D26002761</v>
          </cell>
          <cell r="AP2542">
            <v>0</v>
          </cell>
          <cell r="AQ2542">
            <v>0</v>
          </cell>
          <cell r="AV2542">
            <v>0</v>
          </cell>
        </row>
        <row r="2543">
          <cell r="E2543" t="str">
            <v>D26002762</v>
          </cell>
          <cell r="AP2543">
            <v>0</v>
          </cell>
          <cell r="AQ2543">
            <v>0</v>
          </cell>
          <cell r="AV2543">
            <v>0</v>
          </cell>
        </row>
        <row r="2544">
          <cell r="E2544" t="str">
            <v>D26002763</v>
          </cell>
          <cell r="AP2544">
            <v>0</v>
          </cell>
          <cell r="AQ2544">
            <v>0</v>
          </cell>
          <cell r="AV2544">
            <v>0</v>
          </cell>
        </row>
        <row r="2545">
          <cell r="E2545" t="str">
            <v>D26002837</v>
          </cell>
          <cell r="AP2545">
            <v>0</v>
          </cell>
          <cell r="AQ2545">
            <v>0</v>
          </cell>
          <cell r="AV2545">
            <v>0</v>
          </cell>
        </row>
        <row r="2546">
          <cell r="E2546" t="str">
            <v>D26002877</v>
          </cell>
          <cell r="AP2546">
            <v>0</v>
          </cell>
          <cell r="AQ2546">
            <v>0</v>
          </cell>
          <cell r="AV2546">
            <v>0</v>
          </cell>
        </row>
        <row r="2547">
          <cell r="E2547" t="str">
            <v>D26002878</v>
          </cell>
          <cell r="AP2547">
            <v>0</v>
          </cell>
          <cell r="AQ2547">
            <v>0</v>
          </cell>
          <cell r="AV2547">
            <v>0</v>
          </cell>
        </row>
        <row r="2548">
          <cell r="E2548" t="str">
            <v>D26002884</v>
          </cell>
          <cell r="AP2548">
            <v>0</v>
          </cell>
          <cell r="AQ2548">
            <v>0</v>
          </cell>
          <cell r="AV2548">
            <v>0</v>
          </cell>
        </row>
        <row r="2549">
          <cell r="E2549" t="str">
            <v>D26002894</v>
          </cell>
          <cell r="AP2549">
            <v>0</v>
          </cell>
          <cell r="AQ2549">
            <v>0</v>
          </cell>
          <cell r="AV2549">
            <v>0</v>
          </cell>
        </row>
        <row r="2550">
          <cell r="E2550" t="str">
            <v>D26003211</v>
          </cell>
          <cell r="AP2550">
            <v>0</v>
          </cell>
          <cell r="AQ2550">
            <v>0</v>
          </cell>
          <cell r="AV2550">
            <v>0</v>
          </cell>
        </row>
        <row r="2551">
          <cell r="E2551" t="str">
            <v>D26003240</v>
          </cell>
          <cell r="AP2551">
            <v>0</v>
          </cell>
          <cell r="AQ2551">
            <v>0</v>
          </cell>
          <cell r="AV2551">
            <v>0</v>
          </cell>
        </row>
        <row r="2552">
          <cell r="E2552" t="str">
            <v>D26003241</v>
          </cell>
          <cell r="AP2552">
            <v>0</v>
          </cell>
          <cell r="AQ2552">
            <v>0</v>
          </cell>
          <cell r="AV2552">
            <v>0</v>
          </cell>
        </row>
        <row r="2553">
          <cell r="E2553" t="str">
            <v>T25001634K</v>
          </cell>
          <cell r="AP2553">
            <v>0</v>
          </cell>
          <cell r="AQ2553">
            <v>0</v>
          </cell>
          <cell r="AV2553">
            <v>0</v>
          </cell>
        </row>
        <row r="2554">
          <cell r="E2554" t="str">
            <v>T25001713K</v>
          </cell>
          <cell r="AP2554">
            <v>0</v>
          </cell>
          <cell r="AQ2554">
            <v>0</v>
          </cell>
          <cell r="AV2554">
            <v>0</v>
          </cell>
        </row>
        <row r="2555">
          <cell r="E2555" t="str">
            <v>T26000058K</v>
          </cell>
          <cell r="AP2555">
            <v>0</v>
          </cell>
          <cell r="AQ2555">
            <v>0</v>
          </cell>
          <cell r="AV2555">
            <v>0</v>
          </cell>
        </row>
        <row r="2556">
          <cell r="E2556" t="str">
            <v>T26000245K</v>
          </cell>
          <cell r="AP2556">
            <v>0</v>
          </cell>
          <cell r="AQ2556">
            <v>0</v>
          </cell>
          <cell r="AV2556">
            <v>0</v>
          </cell>
        </row>
        <row r="2557">
          <cell r="E2557" t="str">
            <v>B26002949</v>
          </cell>
          <cell r="AP2557">
            <v>0</v>
          </cell>
          <cell r="AQ2557">
            <v>0</v>
          </cell>
          <cell r="AV2557">
            <v>0</v>
          </cell>
        </row>
        <row r="2558">
          <cell r="E2558" t="str">
            <v>L26000007</v>
          </cell>
          <cell r="AP2558">
            <v>0</v>
          </cell>
          <cell r="AQ2558">
            <v>0</v>
          </cell>
          <cell r="AV2558">
            <v>0</v>
          </cell>
        </row>
        <row r="2559">
          <cell r="E2559" t="str">
            <v>B25016369</v>
          </cell>
          <cell r="AP2559">
            <v>0</v>
          </cell>
          <cell r="AQ2559">
            <v>0</v>
          </cell>
          <cell r="AV2559">
            <v>0</v>
          </cell>
        </row>
        <row r="2560">
          <cell r="E2560" t="str">
            <v>B26002714</v>
          </cell>
          <cell r="AP2560">
            <v>0</v>
          </cell>
          <cell r="AQ2560">
            <v>0</v>
          </cell>
          <cell r="AV2560">
            <v>0</v>
          </cell>
        </row>
        <row r="2561">
          <cell r="E2561" t="str">
            <v>T25001240K</v>
          </cell>
          <cell r="AP2561">
            <v>0</v>
          </cell>
          <cell r="AQ2561">
            <v>0</v>
          </cell>
          <cell r="AV2561">
            <v>0</v>
          </cell>
        </row>
        <row r="2562">
          <cell r="E2562" t="str">
            <v>D26003275</v>
          </cell>
          <cell r="AP2562">
            <v>0</v>
          </cell>
          <cell r="AQ2562">
            <v>0</v>
          </cell>
          <cell r="AV2562">
            <v>0</v>
          </cell>
        </row>
        <row r="2563">
          <cell r="E2563" t="str">
            <v>T26000031</v>
          </cell>
          <cell r="AP2563">
            <v>0</v>
          </cell>
          <cell r="AQ2563">
            <v>0</v>
          </cell>
          <cell r="AV2563">
            <v>0</v>
          </cell>
        </row>
        <row r="2564">
          <cell r="E2564" t="str">
            <v>T26000049</v>
          </cell>
          <cell r="AP2564">
            <v>0</v>
          </cell>
          <cell r="AQ2564">
            <v>0</v>
          </cell>
          <cell r="AV2564">
            <v>0</v>
          </cell>
        </row>
        <row r="2565">
          <cell r="E2565" t="str">
            <v>T26000056</v>
          </cell>
          <cell r="AP2565">
            <v>0</v>
          </cell>
          <cell r="AQ2565">
            <v>0</v>
          </cell>
          <cell r="AV2565">
            <v>0</v>
          </cell>
        </row>
        <row r="2566">
          <cell r="E2566" t="str">
            <v>B26001091</v>
          </cell>
          <cell r="AP2566">
            <v>0</v>
          </cell>
          <cell r="AQ2566">
            <v>0</v>
          </cell>
          <cell r="AV2566">
            <v>0</v>
          </cell>
        </row>
        <row r="2567">
          <cell r="E2567" t="str">
            <v>B26001121</v>
          </cell>
          <cell r="AP2567">
            <v>0</v>
          </cell>
          <cell r="AQ2567">
            <v>0</v>
          </cell>
          <cell r="AV2567">
            <v>0</v>
          </cell>
        </row>
        <row r="2568">
          <cell r="E2568" t="str">
            <v>B26001122</v>
          </cell>
          <cell r="AP2568">
            <v>0</v>
          </cell>
          <cell r="AQ2568">
            <v>0</v>
          </cell>
          <cell r="AV2568">
            <v>0</v>
          </cell>
        </row>
        <row r="2569">
          <cell r="E2569" t="str">
            <v>B26001127</v>
          </cell>
          <cell r="AP2569">
            <v>0</v>
          </cell>
          <cell r="AQ2569">
            <v>0</v>
          </cell>
          <cell r="AV2569">
            <v>0</v>
          </cell>
        </row>
        <row r="2570">
          <cell r="E2570" t="str">
            <v>D26001370</v>
          </cell>
          <cell r="AP2570">
            <v>0</v>
          </cell>
          <cell r="AQ2570">
            <v>0</v>
          </cell>
          <cell r="AV2570">
            <v>0</v>
          </cell>
        </row>
        <row r="2571">
          <cell r="E2571" t="str">
            <v>D26001592</v>
          </cell>
          <cell r="AP2571">
            <v>0</v>
          </cell>
          <cell r="AQ2571">
            <v>0</v>
          </cell>
          <cell r="AV2571">
            <v>0</v>
          </cell>
        </row>
        <row r="2572">
          <cell r="E2572" t="str">
            <v>B26001587</v>
          </cell>
          <cell r="AP2572">
            <v>0</v>
          </cell>
          <cell r="AQ2572">
            <v>0</v>
          </cell>
          <cell r="AV2572">
            <v>0</v>
          </cell>
        </row>
        <row r="2573">
          <cell r="E2573" t="str">
            <v>T26000126</v>
          </cell>
          <cell r="AP2573">
            <v>0</v>
          </cell>
          <cell r="AQ2573">
            <v>0</v>
          </cell>
          <cell r="AV2573">
            <v>0</v>
          </cell>
        </row>
        <row r="2574">
          <cell r="E2574" t="str">
            <v>B26001938</v>
          </cell>
          <cell r="AP2574">
            <v>0</v>
          </cell>
          <cell r="AQ2574">
            <v>0</v>
          </cell>
          <cell r="AV2574">
            <v>0</v>
          </cell>
        </row>
        <row r="2575">
          <cell r="E2575" t="str">
            <v>D26002043</v>
          </cell>
          <cell r="AP2575">
            <v>0</v>
          </cell>
          <cell r="AQ2575">
            <v>0</v>
          </cell>
          <cell r="AV2575">
            <v>0</v>
          </cell>
        </row>
        <row r="2576">
          <cell r="E2576" t="str">
            <v>D26002069</v>
          </cell>
          <cell r="AP2576">
            <v>0</v>
          </cell>
          <cell r="AQ2576">
            <v>0</v>
          </cell>
          <cell r="AV2576">
            <v>0</v>
          </cell>
        </row>
        <row r="2577">
          <cell r="E2577" t="str">
            <v>D26002083</v>
          </cell>
          <cell r="AP2577">
            <v>0</v>
          </cell>
          <cell r="AQ2577">
            <v>0</v>
          </cell>
          <cell r="AV2577">
            <v>0</v>
          </cell>
        </row>
        <row r="2578">
          <cell r="E2578" t="str">
            <v>B26002591</v>
          </cell>
          <cell r="AP2578">
            <v>0</v>
          </cell>
          <cell r="AQ2578">
            <v>0</v>
          </cell>
          <cell r="AV2578">
            <v>0</v>
          </cell>
        </row>
        <row r="2579">
          <cell r="E2579" t="str">
            <v>B26002592</v>
          </cell>
          <cell r="AP2579">
            <v>0</v>
          </cell>
          <cell r="AQ2579">
            <v>0</v>
          </cell>
          <cell r="AV2579">
            <v>0</v>
          </cell>
        </row>
        <row r="2580">
          <cell r="E2580" t="str">
            <v>B26002792</v>
          </cell>
          <cell r="AP2580">
            <v>0</v>
          </cell>
          <cell r="AQ2580">
            <v>0</v>
          </cell>
          <cell r="AV2580">
            <v>0</v>
          </cell>
        </row>
        <row r="2581">
          <cell r="E2581" t="str">
            <v>B26002793</v>
          </cell>
          <cell r="AP2581">
            <v>0</v>
          </cell>
          <cell r="AQ2581">
            <v>0</v>
          </cell>
          <cell r="AV2581">
            <v>0</v>
          </cell>
        </row>
        <row r="2582">
          <cell r="E2582" t="str">
            <v>D26000800</v>
          </cell>
          <cell r="AP2582">
            <v>0</v>
          </cell>
          <cell r="AQ2582">
            <v>0</v>
          </cell>
          <cell r="AV2582">
            <v>0</v>
          </cell>
        </row>
        <row r="2583">
          <cell r="E2583" t="str">
            <v>B26001342</v>
          </cell>
          <cell r="AP2583">
            <v>0</v>
          </cell>
          <cell r="AQ2583">
            <v>0</v>
          </cell>
          <cell r="AV2583">
            <v>0</v>
          </cell>
        </row>
        <row r="2584">
          <cell r="E2584" t="str">
            <v>B26001343</v>
          </cell>
          <cell r="AP2584">
            <v>0</v>
          </cell>
          <cell r="AQ2584">
            <v>0</v>
          </cell>
          <cell r="AV2584">
            <v>0</v>
          </cell>
        </row>
        <row r="2585">
          <cell r="E2585" t="str">
            <v>B26001522</v>
          </cell>
          <cell r="AP2585">
            <v>0</v>
          </cell>
          <cell r="AQ2585">
            <v>0</v>
          </cell>
          <cell r="AV2585">
            <v>0</v>
          </cell>
        </row>
        <row r="2586">
          <cell r="E2586" t="str">
            <v>B26001852</v>
          </cell>
          <cell r="AP2586">
            <v>0</v>
          </cell>
          <cell r="AQ2586">
            <v>0</v>
          </cell>
          <cell r="AV2586">
            <v>0</v>
          </cell>
        </row>
        <row r="2587">
          <cell r="E2587" t="str">
            <v>B26001853</v>
          </cell>
          <cell r="AP2587">
            <v>0</v>
          </cell>
          <cell r="AQ2587">
            <v>0</v>
          </cell>
          <cell r="AV2587">
            <v>0</v>
          </cell>
        </row>
        <row r="2588">
          <cell r="E2588" t="str">
            <v>D26002332</v>
          </cell>
          <cell r="AP2588">
            <v>0</v>
          </cell>
          <cell r="AQ2588">
            <v>0</v>
          </cell>
          <cell r="AV2588">
            <v>0</v>
          </cell>
        </row>
        <row r="2589">
          <cell r="E2589" t="str">
            <v>D26002745</v>
          </cell>
          <cell r="AP2589">
            <v>0</v>
          </cell>
          <cell r="AQ2589">
            <v>0</v>
          </cell>
          <cell r="AV2589">
            <v>0</v>
          </cell>
        </row>
        <row r="2590">
          <cell r="E2590" t="str">
            <v>D26003047</v>
          </cell>
          <cell r="AP2590">
            <v>0</v>
          </cell>
          <cell r="AQ2590">
            <v>0</v>
          </cell>
          <cell r="AV2590">
            <v>0</v>
          </cell>
        </row>
        <row r="2591">
          <cell r="E2591" t="str">
            <v>B26002903</v>
          </cell>
          <cell r="AP2591">
            <v>0</v>
          </cell>
          <cell r="AQ2591">
            <v>0</v>
          </cell>
          <cell r="AV2591">
            <v>0</v>
          </cell>
        </row>
        <row r="2592">
          <cell r="E2592" t="str">
            <v>B26003013</v>
          </cell>
          <cell r="AP2592">
            <v>0</v>
          </cell>
          <cell r="AQ2592">
            <v>0</v>
          </cell>
          <cell r="AV2592">
            <v>0</v>
          </cell>
        </row>
        <row r="2593">
          <cell r="E2593" t="str">
            <v>B26002934</v>
          </cell>
          <cell r="AP2593">
            <v>0</v>
          </cell>
          <cell r="AQ2593">
            <v>0</v>
          </cell>
          <cell r="AV2593">
            <v>0</v>
          </cell>
        </row>
        <row r="2594">
          <cell r="E2594" t="str">
            <v>B25016045</v>
          </cell>
          <cell r="AP2594">
            <v>0</v>
          </cell>
          <cell r="AQ2594">
            <v>0</v>
          </cell>
          <cell r="AV2594">
            <v>0</v>
          </cell>
        </row>
        <row r="2595">
          <cell r="E2595" t="str">
            <v>D25018821</v>
          </cell>
          <cell r="AP2595">
            <v>0</v>
          </cell>
          <cell r="AQ2595">
            <v>0</v>
          </cell>
          <cell r="AV2595">
            <v>0</v>
          </cell>
        </row>
        <row r="2596">
          <cell r="E2596" t="str">
            <v>B25016696</v>
          </cell>
          <cell r="AP2596">
            <v>0</v>
          </cell>
          <cell r="AQ2596">
            <v>0</v>
          </cell>
          <cell r="AV2596">
            <v>0</v>
          </cell>
        </row>
        <row r="2597">
          <cell r="E2597" t="str">
            <v>B25017117</v>
          </cell>
          <cell r="AP2597">
            <v>0</v>
          </cell>
          <cell r="AQ2597">
            <v>0</v>
          </cell>
          <cell r="AV2597">
            <v>0</v>
          </cell>
        </row>
        <row r="2598">
          <cell r="E2598" t="str">
            <v>B25017118</v>
          </cell>
          <cell r="AP2598">
            <v>0</v>
          </cell>
          <cell r="AQ2598">
            <v>0</v>
          </cell>
          <cell r="AV2598">
            <v>0</v>
          </cell>
        </row>
        <row r="2599">
          <cell r="E2599" t="str">
            <v>B26000110</v>
          </cell>
          <cell r="AP2599">
            <v>0</v>
          </cell>
          <cell r="AQ2599">
            <v>0</v>
          </cell>
          <cell r="AV2599">
            <v>0</v>
          </cell>
        </row>
        <row r="2600">
          <cell r="E2600" t="str">
            <v>B26000111</v>
          </cell>
          <cell r="AP2600">
            <v>0</v>
          </cell>
          <cell r="AQ2600">
            <v>0</v>
          </cell>
          <cell r="AV2600">
            <v>0</v>
          </cell>
        </row>
        <row r="2601">
          <cell r="E2601" t="str">
            <v>D26000050</v>
          </cell>
          <cell r="AP2601">
            <v>0</v>
          </cell>
          <cell r="AQ2601">
            <v>0</v>
          </cell>
          <cell r="AV2601">
            <v>0</v>
          </cell>
        </row>
        <row r="2602">
          <cell r="E2602" t="str">
            <v>D26000159</v>
          </cell>
          <cell r="AP2602">
            <v>0</v>
          </cell>
          <cell r="AQ2602">
            <v>0</v>
          </cell>
          <cell r="AV2602">
            <v>0</v>
          </cell>
        </row>
        <row r="2603">
          <cell r="E2603" t="str">
            <v>D26000160</v>
          </cell>
          <cell r="AP2603">
            <v>0</v>
          </cell>
          <cell r="AQ2603">
            <v>0</v>
          </cell>
          <cell r="AV2603">
            <v>0</v>
          </cell>
        </row>
        <row r="2604">
          <cell r="E2604" t="str">
            <v>T26000010</v>
          </cell>
          <cell r="AP2604">
            <v>0</v>
          </cell>
          <cell r="AQ2604">
            <v>0</v>
          </cell>
          <cell r="AV2604">
            <v>0</v>
          </cell>
        </row>
        <row r="2605">
          <cell r="E2605" t="str">
            <v>B26000174</v>
          </cell>
          <cell r="AP2605">
            <v>0</v>
          </cell>
          <cell r="AQ2605">
            <v>0</v>
          </cell>
          <cell r="AV2605">
            <v>0</v>
          </cell>
        </row>
        <row r="2606">
          <cell r="E2606" t="str">
            <v>D26000481</v>
          </cell>
          <cell r="AP2606">
            <v>0</v>
          </cell>
          <cell r="AQ2606">
            <v>0</v>
          </cell>
          <cell r="AV2606">
            <v>0</v>
          </cell>
        </row>
        <row r="2607">
          <cell r="E2607" t="str">
            <v>B26000547</v>
          </cell>
          <cell r="AP2607">
            <v>0</v>
          </cell>
          <cell r="AQ2607">
            <v>0</v>
          </cell>
          <cell r="AV2607">
            <v>0</v>
          </cell>
        </row>
        <row r="2608">
          <cell r="E2608" t="str">
            <v>B26000548</v>
          </cell>
          <cell r="AP2608">
            <v>0</v>
          </cell>
          <cell r="AQ2608">
            <v>0</v>
          </cell>
          <cell r="AV2608">
            <v>0</v>
          </cell>
        </row>
        <row r="2609">
          <cell r="E2609" t="str">
            <v>B26000549</v>
          </cell>
          <cell r="AP2609">
            <v>0</v>
          </cell>
          <cell r="AQ2609">
            <v>0</v>
          </cell>
          <cell r="AV2609">
            <v>0</v>
          </cell>
        </row>
        <row r="2610">
          <cell r="E2610" t="str">
            <v>B26000820</v>
          </cell>
          <cell r="AP2610">
            <v>0</v>
          </cell>
          <cell r="AQ2610">
            <v>0</v>
          </cell>
          <cell r="AV2610">
            <v>0</v>
          </cell>
        </row>
        <row r="2611">
          <cell r="E2611" t="str">
            <v>D26000934</v>
          </cell>
          <cell r="AP2611">
            <v>0</v>
          </cell>
          <cell r="AQ2611">
            <v>0</v>
          </cell>
          <cell r="AV2611">
            <v>0</v>
          </cell>
        </row>
        <row r="2612">
          <cell r="E2612" t="str">
            <v>D26001000</v>
          </cell>
          <cell r="AP2612">
            <v>0</v>
          </cell>
          <cell r="AQ2612">
            <v>0</v>
          </cell>
          <cell r="AV2612">
            <v>0</v>
          </cell>
        </row>
        <row r="2613">
          <cell r="E2613" t="str">
            <v>D26001001</v>
          </cell>
          <cell r="AP2613">
            <v>0</v>
          </cell>
          <cell r="AQ2613">
            <v>0</v>
          </cell>
          <cell r="AV2613">
            <v>0</v>
          </cell>
        </row>
        <row r="2614">
          <cell r="E2614" t="str">
            <v>D26001252</v>
          </cell>
          <cell r="AP2614">
            <v>0</v>
          </cell>
          <cell r="AQ2614">
            <v>0</v>
          </cell>
          <cell r="AV2614">
            <v>0</v>
          </cell>
        </row>
        <row r="2615">
          <cell r="E2615" t="str">
            <v>D26001253</v>
          </cell>
          <cell r="AP2615">
            <v>0</v>
          </cell>
          <cell r="AQ2615">
            <v>0</v>
          </cell>
          <cell r="AV2615">
            <v>0</v>
          </cell>
        </row>
        <row r="2616">
          <cell r="E2616" t="str">
            <v>D26001397</v>
          </cell>
          <cell r="AP2616">
            <v>0</v>
          </cell>
          <cell r="AQ2616">
            <v>0</v>
          </cell>
          <cell r="AV2616">
            <v>0</v>
          </cell>
        </row>
        <row r="2617">
          <cell r="E2617" t="str">
            <v>D26001406</v>
          </cell>
          <cell r="AP2617">
            <v>0</v>
          </cell>
          <cell r="AQ2617">
            <v>0</v>
          </cell>
          <cell r="AV2617">
            <v>0</v>
          </cell>
        </row>
        <row r="2618">
          <cell r="E2618" t="str">
            <v>B26001746</v>
          </cell>
          <cell r="AP2618">
            <v>0</v>
          </cell>
          <cell r="AQ2618">
            <v>0</v>
          </cell>
          <cell r="AV2618">
            <v>0</v>
          </cell>
        </row>
        <row r="2619">
          <cell r="E2619" t="str">
            <v>B26001747</v>
          </cell>
          <cell r="AP2619">
            <v>0</v>
          </cell>
          <cell r="AQ2619">
            <v>0</v>
          </cell>
          <cell r="AV2619">
            <v>0</v>
          </cell>
        </row>
        <row r="2620">
          <cell r="E2620" t="str">
            <v>B26001748</v>
          </cell>
          <cell r="AP2620">
            <v>0</v>
          </cell>
          <cell r="AQ2620">
            <v>0</v>
          </cell>
          <cell r="AV2620">
            <v>0</v>
          </cell>
        </row>
        <row r="2621">
          <cell r="E2621" t="str">
            <v>B26001749</v>
          </cell>
          <cell r="AP2621">
            <v>0</v>
          </cell>
          <cell r="AQ2621">
            <v>0</v>
          </cell>
          <cell r="AV2621">
            <v>0</v>
          </cell>
        </row>
        <row r="2622">
          <cell r="E2622" t="str">
            <v>B26001827</v>
          </cell>
          <cell r="AP2622">
            <v>0</v>
          </cell>
          <cell r="AQ2622">
            <v>0</v>
          </cell>
          <cell r="AV2622">
            <v>0</v>
          </cell>
        </row>
        <row r="2623">
          <cell r="E2623" t="str">
            <v>B26001828</v>
          </cell>
          <cell r="AP2623">
            <v>0</v>
          </cell>
          <cell r="AQ2623">
            <v>0</v>
          </cell>
          <cell r="AV2623">
            <v>0</v>
          </cell>
        </row>
        <row r="2624">
          <cell r="E2624" t="str">
            <v>B26002469</v>
          </cell>
          <cell r="AP2624">
            <v>0</v>
          </cell>
          <cell r="AQ2624">
            <v>0</v>
          </cell>
          <cell r="AV2624">
            <v>0</v>
          </cell>
        </row>
        <row r="2625">
          <cell r="E2625" t="str">
            <v>D26002604</v>
          </cell>
          <cell r="AP2625">
            <v>0</v>
          </cell>
          <cell r="AQ2625">
            <v>0</v>
          </cell>
          <cell r="AV2625">
            <v>0</v>
          </cell>
        </row>
        <row r="2626">
          <cell r="E2626" t="str">
            <v>D26002605</v>
          </cell>
          <cell r="AP2626">
            <v>0</v>
          </cell>
          <cell r="AQ2626">
            <v>0</v>
          </cell>
          <cell r="AV2626">
            <v>0</v>
          </cell>
        </row>
        <row r="2627">
          <cell r="E2627" t="str">
            <v>D26002606</v>
          </cell>
          <cell r="AP2627">
            <v>0</v>
          </cell>
          <cell r="AQ2627">
            <v>0</v>
          </cell>
          <cell r="AV2627">
            <v>0</v>
          </cell>
        </row>
        <row r="2628">
          <cell r="E2628" t="str">
            <v>D26002667</v>
          </cell>
          <cell r="AP2628">
            <v>0</v>
          </cell>
          <cell r="AQ2628">
            <v>0</v>
          </cell>
          <cell r="AV2628">
            <v>0</v>
          </cell>
        </row>
        <row r="2629">
          <cell r="E2629" t="str">
            <v>D26002668</v>
          </cell>
          <cell r="AP2629">
            <v>0</v>
          </cell>
          <cell r="AQ2629">
            <v>0</v>
          </cell>
          <cell r="AV2629">
            <v>0</v>
          </cell>
        </row>
        <row r="2630">
          <cell r="E2630" t="str">
            <v>B26002869</v>
          </cell>
          <cell r="AP2630">
            <v>0</v>
          </cell>
          <cell r="AQ2630">
            <v>0</v>
          </cell>
          <cell r="AV2630">
            <v>0</v>
          </cell>
        </row>
        <row r="2631">
          <cell r="E2631" t="str">
            <v>B26002905</v>
          </cell>
          <cell r="AP2631">
            <v>0</v>
          </cell>
          <cell r="AQ2631">
            <v>0</v>
          </cell>
          <cell r="AV2631">
            <v>0</v>
          </cell>
        </row>
        <row r="2632">
          <cell r="E2632" t="str">
            <v>B26002906</v>
          </cell>
          <cell r="AP2632">
            <v>0</v>
          </cell>
          <cell r="AQ2632">
            <v>0</v>
          </cell>
          <cell r="AV2632">
            <v>0</v>
          </cell>
        </row>
        <row r="2633">
          <cell r="E2633" t="str">
            <v>B26002989</v>
          </cell>
          <cell r="AP2633">
            <v>0</v>
          </cell>
          <cell r="AQ2633">
            <v>0</v>
          </cell>
          <cell r="AV2633">
            <v>0</v>
          </cell>
        </row>
        <row r="2634">
          <cell r="E2634" t="str">
            <v>T26000081</v>
          </cell>
          <cell r="AP2634">
            <v>0</v>
          </cell>
          <cell r="AQ2634">
            <v>0</v>
          </cell>
          <cell r="AV2634">
            <v>0</v>
          </cell>
        </row>
        <row r="2635">
          <cell r="E2635" t="str">
            <v>D26001649</v>
          </cell>
          <cell r="AP2635">
            <v>0</v>
          </cell>
          <cell r="AQ2635">
            <v>0</v>
          </cell>
          <cell r="AV2635">
            <v>0</v>
          </cell>
        </row>
        <row r="2636">
          <cell r="E2636" t="str">
            <v>T26000107</v>
          </cell>
          <cell r="AP2636">
            <v>0</v>
          </cell>
          <cell r="AQ2636">
            <v>0</v>
          </cell>
          <cell r="AV2636">
            <v>0</v>
          </cell>
        </row>
        <row r="2637">
          <cell r="E2637" t="str">
            <v>B26001915</v>
          </cell>
          <cell r="AP2637">
            <v>0</v>
          </cell>
          <cell r="AQ2637">
            <v>0</v>
          </cell>
          <cell r="AV2637">
            <v>0</v>
          </cell>
        </row>
        <row r="2638">
          <cell r="E2638" t="str">
            <v>D26002738</v>
          </cell>
          <cell r="AP2638">
            <v>0</v>
          </cell>
          <cell r="AQ2638">
            <v>0</v>
          </cell>
          <cell r="AV2638">
            <v>0</v>
          </cell>
        </row>
        <row r="2639">
          <cell r="E2639" t="str">
            <v>D26002335</v>
          </cell>
          <cell r="AP2639">
            <v>0</v>
          </cell>
          <cell r="AQ2639">
            <v>0</v>
          </cell>
          <cell r="AV2639">
            <v>0</v>
          </cell>
        </row>
        <row r="2640">
          <cell r="E2640" t="str">
            <v>D26002336</v>
          </cell>
          <cell r="AP2640">
            <v>0</v>
          </cell>
          <cell r="AQ2640">
            <v>0</v>
          </cell>
          <cell r="AV2640">
            <v>0</v>
          </cell>
        </row>
        <row r="2641">
          <cell r="E2641" t="str">
            <v>D26000966</v>
          </cell>
          <cell r="AP2641">
            <v>0</v>
          </cell>
          <cell r="AQ2641">
            <v>0</v>
          </cell>
          <cell r="AV2641">
            <v>0</v>
          </cell>
        </row>
        <row r="2642">
          <cell r="E2642" t="str">
            <v>B26001804</v>
          </cell>
          <cell r="AP2642">
            <v>0</v>
          </cell>
          <cell r="AQ2642">
            <v>0</v>
          </cell>
          <cell r="AV2642">
            <v>0</v>
          </cell>
        </row>
        <row r="2643">
          <cell r="E2643" t="str">
            <v>D26002103</v>
          </cell>
          <cell r="AP2643">
            <v>0</v>
          </cell>
          <cell r="AQ2643">
            <v>0</v>
          </cell>
          <cell r="AV2643">
            <v>0</v>
          </cell>
        </row>
        <row r="2644">
          <cell r="E2644" t="str">
            <v>D26002810</v>
          </cell>
          <cell r="AP2644">
            <v>0</v>
          </cell>
          <cell r="AQ2644">
            <v>0</v>
          </cell>
          <cell r="AV2644">
            <v>0</v>
          </cell>
        </row>
        <row r="2645">
          <cell r="E2645" t="str">
            <v>B26001208</v>
          </cell>
          <cell r="AP2645">
            <v>0</v>
          </cell>
          <cell r="AQ2645">
            <v>0</v>
          </cell>
          <cell r="AV2645">
            <v>0</v>
          </cell>
        </row>
        <row r="2646">
          <cell r="E2646" t="str">
            <v>D26002886</v>
          </cell>
          <cell r="AP2646">
            <v>0</v>
          </cell>
          <cell r="AQ2646">
            <v>0</v>
          </cell>
          <cell r="AV2646">
            <v>0</v>
          </cell>
        </row>
        <row r="2647">
          <cell r="E2647" t="str">
            <v>B25016542</v>
          </cell>
          <cell r="AP2647">
            <v>0</v>
          </cell>
          <cell r="AQ2647">
            <v>0</v>
          </cell>
          <cell r="AV2647">
            <v>0</v>
          </cell>
        </row>
        <row r="2648">
          <cell r="E2648" t="str">
            <v>B26001414</v>
          </cell>
          <cell r="AP2648">
            <v>0</v>
          </cell>
          <cell r="AQ2648">
            <v>0</v>
          </cell>
          <cell r="AV2648">
            <v>0</v>
          </cell>
        </row>
        <row r="2649">
          <cell r="E2649" t="str">
            <v>D26000532</v>
          </cell>
          <cell r="AP2649">
            <v>0</v>
          </cell>
          <cell r="AQ2649">
            <v>0</v>
          </cell>
          <cell r="AV2649">
            <v>0</v>
          </cell>
        </row>
        <row r="2650">
          <cell r="E2650" t="str">
            <v>B26002459</v>
          </cell>
          <cell r="AP2650">
            <v>0</v>
          </cell>
          <cell r="AQ2650">
            <v>0</v>
          </cell>
          <cell r="AV2650">
            <v>0</v>
          </cell>
        </row>
        <row r="2651">
          <cell r="E2651" t="str">
            <v>Z26000565</v>
          </cell>
          <cell r="AP2651">
            <v>0</v>
          </cell>
          <cell r="AQ2651">
            <v>0</v>
          </cell>
          <cell r="AV2651">
            <v>660000</v>
          </cell>
        </row>
        <row r="2652">
          <cell r="E2652" t="str">
            <v>Z26000568</v>
          </cell>
          <cell r="AP2652">
            <v>0</v>
          </cell>
          <cell r="AQ2652">
            <v>0</v>
          </cell>
          <cell r="AV2652">
            <v>129600000</v>
          </cell>
        </row>
        <row r="2653">
          <cell r="E2653" t="str">
            <v>Z26000570</v>
          </cell>
          <cell r="AP2653">
            <v>0</v>
          </cell>
          <cell r="AQ2653">
            <v>0</v>
          </cell>
          <cell r="AV2653">
            <v>14600000</v>
          </cell>
        </row>
        <row r="2654">
          <cell r="E2654" t="str">
            <v>D26003186</v>
          </cell>
          <cell r="AP2654">
            <v>0</v>
          </cell>
          <cell r="AQ2654">
            <v>0</v>
          </cell>
          <cell r="AV2654">
            <v>0</v>
          </cell>
        </row>
        <row r="2655">
          <cell r="E2655" t="str">
            <v>Z26000586</v>
          </cell>
          <cell r="AP2655">
            <v>0</v>
          </cell>
          <cell r="AQ2655">
            <v>0</v>
          </cell>
          <cell r="AV2655">
            <v>1890000</v>
          </cell>
        </row>
        <row r="2656">
          <cell r="E2656" t="str">
            <v>Z26000592</v>
          </cell>
          <cell r="AP2656">
            <v>0</v>
          </cell>
          <cell r="AQ2656">
            <v>0</v>
          </cell>
          <cell r="AV2656">
            <v>3400000</v>
          </cell>
        </row>
        <row r="2657">
          <cell r="E2657" t="str">
            <v>Z26000594</v>
          </cell>
          <cell r="AP2657">
            <v>0</v>
          </cell>
          <cell r="AQ2657">
            <v>0</v>
          </cell>
          <cell r="AV2657">
            <v>13500000</v>
          </cell>
        </row>
        <row r="2658">
          <cell r="E2658" t="str">
            <v>Z26000595</v>
          </cell>
          <cell r="AP2658">
            <v>0</v>
          </cell>
          <cell r="AQ2658">
            <v>0</v>
          </cell>
          <cell r="AV2658">
            <v>4050000</v>
          </cell>
        </row>
        <row r="2659">
          <cell r="E2659" t="str">
            <v>Z26000598</v>
          </cell>
          <cell r="AP2659">
            <v>0</v>
          </cell>
          <cell r="AQ2659">
            <v>0</v>
          </cell>
          <cell r="AV2659">
            <v>0</v>
          </cell>
        </row>
        <row r="2660">
          <cell r="E2660" t="str">
            <v>D25019317</v>
          </cell>
          <cell r="AP2660">
            <v>0</v>
          </cell>
          <cell r="AQ2660">
            <v>0</v>
          </cell>
          <cell r="AV2660">
            <v>0</v>
          </cell>
        </row>
        <row r="2661">
          <cell r="E2661" t="str">
            <v>D25019601</v>
          </cell>
          <cell r="AP2661">
            <v>0</v>
          </cell>
          <cell r="AQ2661">
            <v>0</v>
          </cell>
          <cell r="AV2661">
            <v>0</v>
          </cell>
        </row>
        <row r="2662">
          <cell r="E2662" t="str">
            <v>D26000157</v>
          </cell>
          <cell r="AP2662">
            <v>0</v>
          </cell>
          <cell r="AQ2662">
            <v>0</v>
          </cell>
          <cell r="AV2662">
            <v>0</v>
          </cell>
        </row>
        <row r="2663">
          <cell r="E2663" t="str">
            <v>D26000158</v>
          </cell>
          <cell r="AP2663">
            <v>0</v>
          </cell>
          <cell r="AQ2663">
            <v>0</v>
          </cell>
          <cell r="AV2663">
            <v>0</v>
          </cell>
        </row>
        <row r="2664">
          <cell r="E2664" t="str">
            <v>B26000947</v>
          </cell>
          <cell r="AP2664">
            <v>0</v>
          </cell>
          <cell r="AQ2664">
            <v>0</v>
          </cell>
          <cell r="AV2664">
            <v>0</v>
          </cell>
        </row>
        <row r="2665">
          <cell r="E2665" t="str">
            <v>B26000948</v>
          </cell>
          <cell r="AP2665">
            <v>0</v>
          </cell>
          <cell r="AQ2665">
            <v>0</v>
          </cell>
          <cell r="AV2665">
            <v>0</v>
          </cell>
        </row>
        <row r="2666">
          <cell r="E2666" t="str">
            <v>B26000966</v>
          </cell>
          <cell r="AP2666">
            <v>0</v>
          </cell>
          <cell r="AQ2666">
            <v>0</v>
          </cell>
          <cell r="AV2666">
            <v>0</v>
          </cell>
        </row>
        <row r="2667">
          <cell r="E2667" t="str">
            <v>B26001118</v>
          </cell>
          <cell r="AP2667">
            <v>0</v>
          </cell>
          <cell r="AQ2667">
            <v>0</v>
          </cell>
          <cell r="AV2667">
            <v>0</v>
          </cell>
        </row>
        <row r="2668">
          <cell r="E2668" t="str">
            <v>B26001119</v>
          </cell>
          <cell r="AP2668">
            <v>0</v>
          </cell>
          <cell r="AQ2668">
            <v>0</v>
          </cell>
          <cell r="AV2668">
            <v>0</v>
          </cell>
        </row>
        <row r="2669">
          <cell r="E2669" t="str">
            <v>B26001249</v>
          </cell>
          <cell r="AP2669">
            <v>0</v>
          </cell>
          <cell r="AQ2669">
            <v>0</v>
          </cell>
          <cell r="AV2669">
            <v>0</v>
          </cell>
        </row>
        <row r="2670">
          <cell r="E2670" t="str">
            <v>B26001250</v>
          </cell>
          <cell r="AP2670">
            <v>0</v>
          </cell>
          <cell r="AQ2670">
            <v>0</v>
          </cell>
          <cell r="AV2670">
            <v>0</v>
          </cell>
        </row>
        <row r="2671">
          <cell r="E2671" t="str">
            <v>B26001475</v>
          </cell>
          <cell r="AP2671">
            <v>0</v>
          </cell>
          <cell r="AQ2671">
            <v>0</v>
          </cell>
          <cell r="AV2671">
            <v>0</v>
          </cell>
        </row>
        <row r="2672">
          <cell r="E2672" t="str">
            <v>B26001478</v>
          </cell>
          <cell r="AP2672">
            <v>0</v>
          </cell>
          <cell r="AQ2672">
            <v>0</v>
          </cell>
          <cell r="AV2672">
            <v>0</v>
          </cell>
        </row>
        <row r="2673">
          <cell r="E2673" t="str">
            <v>B26001642</v>
          </cell>
          <cell r="AP2673">
            <v>0</v>
          </cell>
          <cell r="AQ2673">
            <v>0</v>
          </cell>
          <cell r="AV2673">
            <v>0</v>
          </cell>
        </row>
        <row r="2674">
          <cell r="E2674" t="str">
            <v>B26001643</v>
          </cell>
          <cell r="AP2674">
            <v>0</v>
          </cell>
          <cell r="AQ2674">
            <v>0</v>
          </cell>
          <cell r="AV2674">
            <v>0</v>
          </cell>
        </row>
        <row r="2675">
          <cell r="E2675" t="str">
            <v>D26001961</v>
          </cell>
          <cell r="AP2675">
            <v>0</v>
          </cell>
          <cell r="AQ2675">
            <v>0</v>
          </cell>
          <cell r="AV2675">
            <v>0</v>
          </cell>
        </row>
        <row r="2676">
          <cell r="E2676" t="str">
            <v>D26001962</v>
          </cell>
          <cell r="AP2676">
            <v>0</v>
          </cell>
          <cell r="AQ2676">
            <v>0</v>
          </cell>
          <cell r="AV2676">
            <v>0</v>
          </cell>
        </row>
        <row r="2677">
          <cell r="E2677" t="str">
            <v>D26002535</v>
          </cell>
          <cell r="AP2677">
            <v>0</v>
          </cell>
          <cell r="AQ2677">
            <v>0</v>
          </cell>
          <cell r="AV2677">
            <v>0</v>
          </cell>
        </row>
        <row r="2678">
          <cell r="E2678" t="str">
            <v>D25018740</v>
          </cell>
          <cell r="AP2678">
            <v>0</v>
          </cell>
          <cell r="AQ2678">
            <v>0</v>
          </cell>
          <cell r="AV2678">
            <v>0</v>
          </cell>
        </row>
        <row r="2679">
          <cell r="E2679" t="str">
            <v>B26000642</v>
          </cell>
          <cell r="AP2679">
            <v>0</v>
          </cell>
          <cell r="AQ2679">
            <v>0</v>
          </cell>
          <cell r="AV2679">
            <v>0</v>
          </cell>
        </row>
        <row r="2680">
          <cell r="E2680" t="str">
            <v>D26000695</v>
          </cell>
          <cell r="AP2680">
            <v>0</v>
          </cell>
          <cell r="AQ2680">
            <v>0</v>
          </cell>
          <cell r="AV2680">
            <v>0</v>
          </cell>
        </row>
        <row r="2681">
          <cell r="E2681" t="str">
            <v>B26000765</v>
          </cell>
          <cell r="AP2681">
            <v>0</v>
          </cell>
          <cell r="AQ2681">
            <v>0</v>
          </cell>
          <cell r="AV2681">
            <v>0</v>
          </cell>
        </row>
        <row r="2682">
          <cell r="E2682" t="str">
            <v>D26001107</v>
          </cell>
          <cell r="AP2682">
            <v>0</v>
          </cell>
          <cell r="AQ2682">
            <v>0</v>
          </cell>
          <cell r="AV2682">
            <v>0</v>
          </cell>
        </row>
        <row r="2683">
          <cell r="E2683" t="str">
            <v>D26001255</v>
          </cell>
          <cell r="AP2683">
            <v>0</v>
          </cell>
          <cell r="AQ2683">
            <v>0</v>
          </cell>
          <cell r="AV2683">
            <v>0</v>
          </cell>
        </row>
        <row r="2684">
          <cell r="E2684" t="str">
            <v>D26001507</v>
          </cell>
          <cell r="AP2684">
            <v>0</v>
          </cell>
          <cell r="AQ2684">
            <v>0</v>
          </cell>
          <cell r="AV2684">
            <v>0</v>
          </cell>
        </row>
        <row r="2685">
          <cell r="E2685" t="str">
            <v>B26001502</v>
          </cell>
          <cell r="AP2685">
            <v>0</v>
          </cell>
          <cell r="AQ2685">
            <v>0</v>
          </cell>
          <cell r="AV2685">
            <v>0</v>
          </cell>
        </row>
        <row r="2686">
          <cell r="E2686" t="str">
            <v>D26002281</v>
          </cell>
          <cell r="AP2686">
            <v>0</v>
          </cell>
          <cell r="AQ2686">
            <v>0</v>
          </cell>
          <cell r="AV2686">
            <v>0</v>
          </cell>
        </row>
        <row r="2687">
          <cell r="E2687" t="str">
            <v>D26002367</v>
          </cell>
          <cell r="AP2687">
            <v>0</v>
          </cell>
          <cell r="AQ2687">
            <v>0</v>
          </cell>
          <cell r="AV2687">
            <v>0</v>
          </cell>
        </row>
        <row r="2688">
          <cell r="E2688" t="str">
            <v>D26002420</v>
          </cell>
          <cell r="AP2688">
            <v>0</v>
          </cell>
          <cell r="AQ2688">
            <v>0</v>
          </cell>
          <cell r="AV2688">
            <v>0</v>
          </cell>
        </row>
        <row r="2689">
          <cell r="E2689" t="str">
            <v>D26002490</v>
          </cell>
          <cell r="AP2689">
            <v>0</v>
          </cell>
          <cell r="AQ2689">
            <v>0</v>
          </cell>
          <cell r="AV2689">
            <v>0</v>
          </cell>
        </row>
        <row r="2690">
          <cell r="E2690" t="str">
            <v>D26002491</v>
          </cell>
          <cell r="AP2690">
            <v>0</v>
          </cell>
          <cell r="AQ2690">
            <v>0</v>
          </cell>
          <cell r="AV2690">
            <v>0</v>
          </cell>
        </row>
        <row r="2691">
          <cell r="E2691" t="str">
            <v>B26002658</v>
          </cell>
          <cell r="AP2691">
            <v>0</v>
          </cell>
          <cell r="AQ2691">
            <v>0</v>
          </cell>
          <cell r="AV2691">
            <v>0</v>
          </cell>
        </row>
        <row r="2692">
          <cell r="E2692" t="str">
            <v>B26002700</v>
          </cell>
          <cell r="AP2692">
            <v>0</v>
          </cell>
          <cell r="AQ2692">
            <v>0</v>
          </cell>
          <cell r="AV2692">
            <v>0</v>
          </cell>
        </row>
        <row r="2693">
          <cell r="E2693" t="str">
            <v>B26002993</v>
          </cell>
          <cell r="AP2693">
            <v>0</v>
          </cell>
          <cell r="AQ2693">
            <v>0</v>
          </cell>
          <cell r="AV2693">
            <v>0</v>
          </cell>
        </row>
        <row r="2694">
          <cell r="E2694" t="str">
            <v>T26000247</v>
          </cell>
          <cell r="AP2694">
            <v>0</v>
          </cell>
          <cell r="AQ2694">
            <v>0</v>
          </cell>
          <cell r="AV2694">
            <v>0</v>
          </cell>
        </row>
        <row r="2695">
          <cell r="E2695" t="str">
            <v>B26001187</v>
          </cell>
          <cell r="AP2695">
            <v>0</v>
          </cell>
          <cell r="AQ2695">
            <v>0</v>
          </cell>
          <cell r="AV2695">
            <v>0</v>
          </cell>
        </row>
        <row r="2696">
          <cell r="E2696" t="str">
            <v>D26001270</v>
          </cell>
          <cell r="AP2696">
            <v>0</v>
          </cell>
          <cell r="AQ2696">
            <v>0</v>
          </cell>
          <cell r="AV2696">
            <v>0</v>
          </cell>
        </row>
        <row r="2697">
          <cell r="E2697" t="str">
            <v>D26001431</v>
          </cell>
          <cell r="AP2697">
            <v>0</v>
          </cell>
          <cell r="AQ2697">
            <v>0</v>
          </cell>
          <cell r="AV2697">
            <v>0</v>
          </cell>
        </row>
        <row r="2698">
          <cell r="E2698" t="str">
            <v>D26002165</v>
          </cell>
          <cell r="AP2698">
            <v>0</v>
          </cell>
          <cell r="AQ2698">
            <v>0</v>
          </cell>
          <cell r="AV2698">
            <v>0</v>
          </cell>
        </row>
        <row r="2699">
          <cell r="E2699" t="str">
            <v>B26002176</v>
          </cell>
          <cell r="AP2699">
            <v>0</v>
          </cell>
          <cell r="AQ2699">
            <v>0</v>
          </cell>
          <cell r="AV2699">
            <v>0</v>
          </cell>
        </row>
        <row r="2700">
          <cell r="E2700" t="str">
            <v>D26003320</v>
          </cell>
          <cell r="AP2700">
            <v>0</v>
          </cell>
          <cell r="AQ2700">
            <v>0</v>
          </cell>
          <cell r="AV2700">
            <v>0</v>
          </cell>
        </row>
        <row r="2701">
          <cell r="E2701" t="str">
            <v>B26000978</v>
          </cell>
          <cell r="AP2701">
            <v>0</v>
          </cell>
          <cell r="AQ2701">
            <v>0</v>
          </cell>
          <cell r="AV2701">
            <v>0</v>
          </cell>
        </row>
        <row r="2702">
          <cell r="E2702" t="str">
            <v>T26000067</v>
          </cell>
          <cell r="AP2702">
            <v>0</v>
          </cell>
          <cell r="AQ2702">
            <v>0</v>
          </cell>
          <cell r="AV2702">
            <v>0</v>
          </cell>
        </row>
        <row r="2703">
          <cell r="E2703" t="str">
            <v>T25001828</v>
          </cell>
          <cell r="AP2703">
            <v>0</v>
          </cell>
          <cell r="AQ2703">
            <v>0</v>
          </cell>
          <cell r="AV2703">
            <v>0</v>
          </cell>
        </row>
        <row r="2704">
          <cell r="E2704" t="str">
            <v>T25001833</v>
          </cell>
          <cell r="AP2704">
            <v>0</v>
          </cell>
          <cell r="AQ2704">
            <v>0</v>
          </cell>
          <cell r="AV2704">
            <v>0</v>
          </cell>
        </row>
        <row r="2705">
          <cell r="E2705" t="str">
            <v>B26000222</v>
          </cell>
          <cell r="AP2705">
            <v>0</v>
          </cell>
          <cell r="AQ2705">
            <v>0</v>
          </cell>
          <cell r="AV2705">
            <v>0</v>
          </cell>
        </row>
        <row r="2706">
          <cell r="E2706" t="str">
            <v>B26001178</v>
          </cell>
          <cell r="AP2706">
            <v>0</v>
          </cell>
          <cell r="AQ2706">
            <v>0</v>
          </cell>
          <cell r="AV2706">
            <v>0</v>
          </cell>
        </row>
        <row r="2707">
          <cell r="E2707" t="str">
            <v>B26001179</v>
          </cell>
          <cell r="AP2707">
            <v>0</v>
          </cell>
          <cell r="AQ2707">
            <v>0</v>
          </cell>
          <cell r="AV2707">
            <v>0</v>
          </cell>
        </row>
        <row r="2708">
          <cell r="E2708" t="str">
            <v>D26001703</v>
          </cell>
          <cell r="AP2708">
            <v>0</v>
          </cell>
          <cell r="AQ2708">
            <v>0</v>
          </cell>
          <cell r="AV2708">
            <v>0</v>
          </cell>
        </row>
        <row r="2709">
          <cell r="E2709" t="str">
            <v>B25017090</v>
          </cell>
          <cell r="AP2709">
            <v>0</v>
          </cell>
          <cell r="AQ2709">
            <v>0</v>
          </cell>
          <cell r="AV2709">
            <v>0</v>
          </cell>
        </row>
        <row r="2710">
          <cell r="E2710" t="str">
            <v>B26000159</v>
          </cell>
          <cell r="AP2710">
            <v>0</v>
          </cell>
          <cell r="AQ2710">
            <v>0</v>
          </cell>
          <cell r="AV2710">
            <v>0</v>
          </cell>
        </row>
        <row r="2711">
          <cell r="E2711" t="str">
            <v>D26000121</v>
          </cell>
          <cell r="AP2711">
            <v>0</v>
          </cell>
          <cell r="AQ2711">
            <v>0</v>
          </cell>
          <cell r="AV2711">
            <v>0</v>
          </cell>
        </row>
        <row r="2712">
          <cell r="E2712" t="str">
            <v>T26000008</v>
          </cell>
          <cell r="AP2712">
            <v>0</v>
          </cell>
          <cell r="AQ2712">
            <v>0</v>
          </cell>
          <cell r="AV2712">
            <v>0</v>
          </cell>
        </row>
        <row r="2713">
          <cell r="E2713" t="str">
            <v>D26000439</v>
          </cell>
          <cell r="AP2713">
            <v>0</v>
          </cell>
          <cell r="AQ2713">
            <v>0</v>
          </cell>
          <cell r="AV2713">
            <v>0</v>
          </cell>
        </row>
        <row r="2714">
          <cell r="E2714" t="str">
            <v>D26000742</v>
          </cell>
          <cell r="AP2714">
            <v>0</v>
          </cell>
          <cell r="AQ2714">
            <v>0</v>
          </cell>
          <cell r="AV2714">
            <v>0</v>
          </cell>
        </row>
        <row r="2715">
          <cell r="E2715" t="str">
            <v>T26000037K</v>
          </cell>
          <cell r="AP2715">
            <v>0</v>
          </cell>
          <cell r="AQ2715">
            <v>0</v>
          </cell>
          <cell r="AV2715">
            <v>0</v>
          </cell>
        </row>
        <row r="2716">
          <cell r="E2716" t="str">
            <v>T26000087</v>
          </cell>
          <cell r="AP2716">
            <v>0</v>
          </cell>
          <cell r="AQ2716">
            <v>0</v>
          </cell>
          <cell r="AV2716">
            <v>0</v>
          </cell>
        </row>
        <row r="2717">
          <cell r="E2717" t="str">
            <v>D26001362</v>
          </cell>
          <cell r="AP2717">
            <v>0</v>
          </cell>
          <cell r="AQ2717">
            <v>0</v>
          </cell>
          <cell r="AV2717">
            <v>0</v>
          </cell>
        </row>
        <row r="2718">
          <cell r="E2718" t="str">
            <v>T26000111</v>
          </cell>
          <cell r="AP2718">
            <v>0</v>
          </cell>
          <cell r="AQ2718">
            <v>0</v>
          </cell>
          <cell r="AV2718">
            <v>0</v>
          </cell>
        </row>
        <row r="2719">
          <cell r="E2719" t="str">
            <v>B26002145</v>
          </cell>
          <cell r="AP2719">
            <v>0</v>
          </cell>
          <cell r="AQ2719">
            <v>0</v>
          </cell>
          <cell r="AV2719">
            <v>0</v>
          </cell>
        </row>
        <row r="2720">
          <cell r="E2720" t="str">
            <v>D26002235</v>
          </cell>
          <cell r="AP2720">
            <v>0</v>
          </cell>
          <cell r="AQ2720">
            <v>0</v>
          </cell>
          <cell r="AV2720">
            <v>0</v>
          </cell>
        </row>
        <row r="2721">
          <cell r="E2721" t="str">
            <v>T26000154</v>
          </cell>
          <cell r="AP2721">
            <v>0</v>
          </cell>
          <cell r="AQ2721">
            <v>0</v>
          </cell>
          <cell r="AV2721">
            <v>0</v>
          </cell>
        </row>
        <row r="2722">
          <cell r="E2722" t="str">
            <v>B26002224</v>
          </cell>
          <cell r="AP2722">
            <v>0</v>
          </cell>
          <cell r="AQ2722">
            <v>0</v>
          </cell>
          <cell r="AV2722">
            <v>0</v>
          </cell>
        </row>
        <row r="2723">
          <cell r="E2723" t="str">
            <v>B26002286</v>
          </cell>
          <cell r="AP2723">
            <v>0</v>
          </cell>
          <cell r="AQ2723">
            <v>0</v>
          </cell>
          <cell r="AV2723">
            <v>0</v>
          </cell>
        </row>
        <row r="2724">
          <cell r="E2724" t="str">
            <v>B26002287</v>
          </cell>
          <cell r="AP2724">
            <v>0</v>
          </cell>
          <cell r="AQ2724">
            <v>0</v>
          </cell>
          <cell r="AV2724">
            <v>0</v>
          </cell>
        </row>
        <row r="2725">
          <cell r="E2725" t="str">
            <v>D26002905</v>
          </cell>
          <cell r="AP2725">
            <v>0</v>
          </cell>
          <cell r="AQ2725">
            <v>0</v>
          </cell>
          <cell r="AV2725">
            <v>0</v>
          </cell>
        </row>
        <row r="2726">
          <cell r="E2726" t="str">
            <v>T26000212</v>
          </cell>
          <cell r="AP2726">
            <v>0</v>
          </cell>
          <cell r="AQ2726">
            <v>0</v>
          </cell>
          <cell r="AV2726">
            <v>0</v>
          </cell>
        </row>
        <row r="2727">
          <cell r="E2727" t="str">
            <v>B25016191</v>
          </cell>
          <cell r="AP2727">
            <v>0</v>
          </cell>
          <cell r="AQ2727">
            <v>0</v>
          </cell>
          <cell r="AV2727">
            <v>0</v>
          </cell>
        </row>
        <row r="2728">
          <cell r="E2728" t="str">
            <v>B25016709</v>
          </cell>
          <cell r="AP2728">
            <v>0</v>
          </cell>
          <cell r="AQ2728">
            <v>0</v>
          </cell>
          <cell r="AV2728">
            <v>0</v>
          </cell>
        </row>
        <row r="2729">
          <cell r="E2729" t="str">
            <v>D26000546</v>
          </cell>
          <cell r="AP2729">
            <v>0</v>
          </cell>
          <cell r="AQ2729">
            <v>0</v>
          </cell>
          <cell r="AV2729">
            <v>0</v>
          </cell>
        </row>
        <row r="2730">
          <cell r="E2730" t="str">
            <v>D26000623</v>
          </cell>
          <cell r="AP2730">
            <v>0</v>
          </cell>
          <cell r="AQ2730">
            <v>0</v>
          </cell>
          <cell r="AV2730">
            <v>0</v>
          </cell>
        </row>
        <row r="2731">
          <cell r="E2731" t="str">
            <v>D26001522</v>
          </cell>
          <cell r="AP2731">
            <v>0</v>
          </cell>
          <cell r="AQ2731">
            <v>0</v>
          </cell>
          <cell r="AV2731">
            <v>0</v>
          </cell>
        </row>
        <row r="2732">
          <cell r="E2732" t="str">
            <v>D26002825</v>
          </cell>
          <cell r="AP2732">
            <v>0</v>
          </cell>
          <cell r="AQ2732">
            <v>0</v>
          </cell>
          <cell r="AV2732">
            <v>0</v>
          </cell>
        </row>
        <row r="2733">
          <cell r="E2733" t="str">
            <v>R26000001</v>
          </cell>
          <cell r="AP2733">
            <v>0</v>
          </cell>
          <cell r="AQ2733">
            <v>0</v>
          </cell>
          <cell r="AV2733">
            <v>0</v>
          </cell>
        </row>
        <row r="2734">
          <cell r="E2734" t="str">
            <v>B25014771</v>
          </cell>
          <cell r="AP2734">
            <v>0</v>
          </cell>
          <cell r="AQ2734">
            <v>0</v>
          </cell>
          <cell r="AV2734">
            <v>0</v>
          </cell>
        </row>
        <row r="2735">
          <cell r="E2735" t="str">
            <v>B25015904</v>
          </cell>
          <cell r="AP2735">
            <v>0</v>
          </cell>
          <cell r="AQ2735">
            <v>0</v>
          </cell>
          <cell r="AV2735">
            <v>0</v>
          </cell>
        </row>
        <row r="2736">
          <cell r="E2736" t="str">
            <v>D25019221</v>
          </cell>
          <cell r="AP2736">
            <v>0</v>
          </cell>
          <cell r="AQ2736">
            <v>0</v>
          </cell>
          <cell r="AV2736">
            <v>0</v>
          </cell>
        </row>
        <row r="2737">
          <cell r="E2737" t="str">
            <v>T26000072</v>
          </cell>
          <cell r="AP2737">
            <v>0</v>
          </cell>
          <cell r="AQ2737">
            <v>0</v>
          </cell>
          <cell r="AV2737">
            <v>0</v>
          </cell>
        </row>
        <row r="2738">
          <cell r="E2738" t="str">
            <v>T26000075</v>
          </cell>
          <cell r="AP2738">
            <v>0</v>
          </cell>
          <cell r="AQ2738">
            <v>0</v>
          </cell>
          <cell r="AV2738">
            <v>0</v>
          </cell>
        </row>
        <row r="2739">
          <cell r="E2739" t="str">
            <v>B26002165</v>
          </cell>
          <cell r="AP2739">
            <v>0</v>
          </cell>
          <cell r="AQ2739">
            <v>0</v>
          </cell>
          <cell r="AV2739">
            <v>0</v>
          </cell>
        </row>
        <row r="2740">
          <cell r="E2740" t="str">
            <v>T26000159</v>
          </cell>
          <cell r="AP2740">
            <v>0</v>
          </cell>
          <cell r="AQ2740">
            <v>0</v>
          </cell>
          <cell r="AV2740">
            <v>0</v>
          </cell>
        </row>
        <row r="2741">
          <cell r="E2741" t="str">
            <v>B26003054</v>
          </cell>
          <cell r="AP2741">
            <v>0</v>
          </cell>
          <cell r="AQ2741">
            <v>0</v>
          </cell>
          <cell r="AV2741">
            <v>0</v>
          </cell>
        </row>
        <row r="2742">
          <cell r="E2742" t="str">
            <v>B26003069</v>
          </cell>
          <cell r="AP2742">
            <v>0</v>
          </cell>
          <cell r="AQ2742">
            <v>0</v>
          </cell>
          <cell r="AV2742">
            <v>0</v>
          </cell>
        </row>
        <row r="2743">
          <cell r="E2743" t="str">
            <v>B26002343</v>
          </cell>
          <cell r="AP2743">
            <v>0</v>
          </cell>
          <cell r="AQ2743">
            <v>0</v>
          </cell>
          <cell r="AV2743">
            <v>0</v>
          </cell>
        </row>
        <row r="2744">
          <cell r="E2744" t="str">
            <v>B25014405</v>
          </cell>
          <cell r="AP2744">
            <v>0</v>
          </cell>
          <cell r="AQ2744">
            <v>0</v>
          </cell>
          <cell r="AV2744">
            <v>0</v>
          </cell>
        </row>
        <row r="2745">
          <cell r="E2745" t="str">
            <v>D25018762</v>
          </cell>
          <cell r="AP2745">
            <v>0</v>
          </cell>
          <cell r="AQ2745">
            <v>0</v>
          </cell>
          <cell r="AV2745">
            <v>0</v>
          </cell>
        </row>
        <row r="2746">
          <cell r="E2746" t="str">
            <v>D25018851</v>
          </cell>
          <cell r="AP2746">
            <v>0</v>
          </cell>
          <cell r="AQ2746">
            <v>0</v>
          </cell>
          <cell r="AV2746">
            <v>0</v>
          </cell>
        </row>
        <row r="2747">
          <cell r="E2747" t="str">
            <v>B25016978</v>
          </cell>
          <cell r="AP2747">
            <v>0</v>
          </cell>
          <cell r="AQ2747">
            <v>0</v>
          </cell>
          <cell r="AV2747">
            <v>0</v>
          </cell>
        </row>
        <row r="2748">
          <cell r="E2748" t="str">
            <v>B25017020</v>
          </cell>
          <cell r="AP2748">
            <v>0</v>
          </cell>
          <cell r="AQ2748">
            <v>0</v>
          </cell>
          <cell r="AV2748">
            <v>0</v>
          </cell>
        </row>
        <row r="2749">
          <cell r="E2749" t="str">
            <v>D25019626</v>
          </cell>
          <cell r="AP2749">
            <v>0</v>
          </cell>
          <cell r="AQ2749">
            <v>0</v>
          </cell>
          <cell r="AV2749">
            <v>0</v>
          </cell>
        </row>
        <row r="2750">
          <cell r="E2750" t="str">
            <v>B26000278</v>
          </cell>
          <cell r="AP2750">
            <v>0</v>
          </cell>
          <cell r="AQ2750">
            <v>0</v>
          </cell>
          <cell r="AV2750">
            <v>0</v>
          </cell>
        </row>
        <row r="2751">
          <cell r="E2751" t="str">
            <v>B26000628</v>
          </cell>
          <cell r="AP2751">
            <v>0</v>
          </cell>
          <cell r="AQ2751">
            <v>0</v>
          </cell>
          <cell r="AV2751">
            <v>0</v>
          </cell>
        </row>
        <row r="2752">
          <cell r="E2752" t="str">
            <v>D26001597</v>
          </cell>
          <cell r="AP2752">
            <v>0</v>
          </cell>
          <cell r="AQ2752">
            <v>0</v>
          </cell>
          <cell r="AV2752">
            <v>1720000</v>
          </cell>
        </row>
        <row r="2753">
          <cell r="E2753" t="str">
            <v>D26002359</v>
          </cell>
          <cell r="AP2753">
            <v>0</v>
          </cell>
          <cell r="AQ2753">
            <v>0</v>
          </cell>
          <cell r="AV2753">
            <v>0</v>
          </cell>
        </row>
        <row r="2754">
          <cell r="E2754" t="str">
            <v>B26003092</v>
          </cell>
          <cell r="AP2754">
            <v>0</v>
          </cell>
          <cell r="AQ2754">
            <v>0</v>
          </cell>
          <cell r="AV2754">
            <v>0</v>
          </cell>
        </row>
        <row r="2755">
          <cell r="E2755" t="str">
            <v>B26003093</v>
          </cell>
          <cell r="AP2755">
            <v>0</v>
          </cell>
          <cell r="AQ2755">
            <v>0</v>
          </cell>
          <cell r="AV2755">
            <v>0</v>
          </cell>
        </row>
        <row r="2756">
          <cell r="E2756" t="str">
            <v>B26003094</v>
          </cell>
          <cell r="AP2756">
            <v>0</v>
          </cell>
          <cell r="AQ2756">
            <v>0</v>
          </cell>
          <cell r="AV2756">
            <v>0</v>
          </cell>
        </row>
        <row r="2757">
          <cell r="E2757" t="str">
            <v>D26003325</v>
          </cell>
          <cell r="AP2757">
            <v>0</v>
          </cell>
          <cell r="AQ2757">
            <v>0</v>
          </cell>
          <cell r="AV2757">
            <v>0</v>
          </cell>
        </row>
        <row r="2758">
          <cell r="E2758" t="str">
            <v>T25001873</v>
          </cell>
          <cell r="AP2758">
            <v>0</v>
          </cell>
          <cell r="AQ2758">
            <v>0</v>
          </cell>
          <cell r="AV2758">
            <v>0</v>
          </cell>
        </row>
        <row r="2759">
          <cell r="E2759" t="str">
            <v>D25019628</v>
          </cell>
          <cell r="AP2759">
            <v>0</v>
          </cell>
          <cell r="AQ2759">
            <v>0</v>
          </cell>
          <cell r="AV2759">
            <v>0</v>
          </cell>
        </row>
        <row r="2760">
          <cell r="E2760" t="str">
            <v>D25019721</v>
          </cell>
          <cell r="AP2760">
            <v>0</v>
          </cell>
          <cell r="AQ2760">
            <v>0</v>
          </cell>
          <cell r="AV2760">
            <v>0</v>
          </cell>
        </row>
        <row r="2761">
          <cell r="E2761" t="str">
            <v>B26000452</v>
          </cell>
          <cell r="AP2761">
            <v>0</v>
          </cell>
          <cell r="AQ2761">
            <v>0</v>
          </cell>
          <cell r="AV2761">
            <v>0</v>
          </cell>
        </row>
        <row r="2762">
          <cell r="E2762" t="str">
            <v>D26001889</v>
          </cell>
          <cell r="AP2762">
            <v>0</v>
          </cell>
          <cell r="AQ2762">
            <v>0</v>
          </cell>
          <cell r="AV2762">
            <v>0</v>
          </cell>
        </row>
        <row r="2763">
          <cell r="E2763" t="str">
            <v>T25001857</v>
          </cell>
          <cell r="AP2763">
            <v>0</v>
          </cell>
          <cell r="AQ2763">
            <v>0</v>
          </cell>
          <cell r="AV2763">
            <v>0</v>
          </cell>
        </row>
        <row r="2764">
          <cell r="E2764" t="str">
            <v>D26002005</v>
          </cell>
          <cell r="AP2764">
            <v>0</v>
          </cell>
          <cell r="AQ2764">
            <v>0</v>
          </cell>
          <cell r="AV2764">
            <v>0</v>
          </cell>
        </row>
        <row r="2765">
          <cell r="E2765" t="str">
            <v>B26002546</v>
          </cell>
          <cell r="AP2765">
            <v>0</v>
          </cell>
          <cell r="AQ2765">
            <v>0</v>
          </cell>
          <cell r="AV2765">
            <v>0</v>
          </cell>
        </row>
        <row r="2766">
          <cell r="E2766" t="str">
            <v>D26000881</v>
          </cell>
          <cell r="AP2766">
            <v>0</v>
          </cell>
          <cell r="AQ2766">
            <v>0</v>
          </cell>
          <cell r="AV2766">
            <v>0</v>
          </cell>
        </row>
        <row r="2767">
          <cell r="E2767" t="str">
            <v>D26000954</v>
          </cell>
          <cell r="AP2767">
            <v>0</v>
          </cell>
          <cell r="AQ2767">
            <v>0</v>
          </cell>
          <cell r="AV2767">
            <v>0</v>
          </cell>
        </row>
        <row r="2768">
          <cell r="E2768" t="str">
            <v>D26000956</v>
          </cell>
          <cell r="AP2768">
            <v>0</v>
          </cell>
          <cell r="AQ2768">
            <v>0</v>
          </cell>
          <cell r="AV2768">
            <v>0</v>
          </cell>
        </row>
        <row r="2769">
          <cell r="E2769" t="str">
            <v>B26001363</v>
          </cell>
          <cell r="AP2769">
            <v>0</v>
          </cell>
          <cell r="AQ2769">
            <v>0</v>
          </cell>
          <cell r="AV2769">
            <v>0</v>
          </cell>
        </row>
        <row r="2770">
          <cell r="E2770" t="str">
            <v>B26002106</v>
          </cell>
          <cell r="AP2770">
            <v>0</v>
          </cell>
          <cell r="AQ2770">
            <v>0</v>
          </cell>
          <cell r="AV2770">
            <v>0</v>
          </cell>
        </row>
        <row r="2771">
          <cell r="E2771" t="str">
            <v>B26002108</v>
          </cell>
          <cell r="AP2771">
            <v>0</v>
          </cell>
          <cell r="AQ2771">
            <v>0</v>
          </cell>
          <cell r="AV2771">
            <v>0</v>
          </cell>
        </row>
        <row r="2772">
          <cell r="E2772" t="str">
            <v>B26002109</v>
          </cell>
          <cell r="AP2772">
            <v>0</v>
          </cell>
          <cell r="AQ2772">
            <v>0</v>
          </cell>
          <cell r="AV2772">
            <v>0</v>
          </cell>
        </row>
        <row r="2773">
          <cell r="E2773" t="str">
            <v>B26003090</v>
          </cell>
          <cell r="AP2773">
            <v>0</v>
          </cell>
          <cell r="AQ2773">
            <v>0</v>
          </cell>
          <cell r="AV2773">
            <v>0</v>
          </cell>
        </row>
        <row r="2774">
          <cell r="E2774" t="str">
            <v>B26003091</v>
          </cell>
          <cell r="AP2774">
            <v>0</v>
          </cell>
          <cell r="AQ2774">
            <v>0</v>
          </cell>
          <cell r="AV2774">
            <v>0</v>
          </cell>
        </row>
        <row r="2775">
          <cell r="E2775" t="str">
            <v>L26000009</v>
          </cell>
          <cell r="AP2775">
            <v>0</v>
          </cell>
          <cell r="AQ2775">
            <v>0</v>
          </cell>
          <cell r="AV2775">
            <v>0</v>
          </cell>
        </row>
        <row r="2776">
          <cell r="E2776" t="str">
            <v>D26001734</v>
          </cell>
          <cell r="AP2776">
            <v>0</v>
          </cell>
          <cell r="AQ2776">
            <v>0</v>
          </cell>
          <cell r="AV2776">
            <v>0</v>
          </cell>
        </row>
        <row r="2777">
          <cell r="E2777" t="str">
            <v>D26001735</v>
          </cell>
          <cell r="AP2777">
            <v>0</v>
          </cell>
          <cell r="AQ2777">
            <v>0</v>
          </cell>
          <cell r="AV2777">
            <v>0</v>
          </cell>
        </row>
        <row r="2778">
          <cell r="E2778" t="str">
            <v>D26001525</v>
          </cell>
          <cell r="AP2778">
            <v>0</v>
          </cell>
          <cell r="AQ2778">
            <v>0</v>
          </cell>
          <cell r="AV2778">
            <v>0</v>
          </cell>
        </row>
        <row r="2779">
          <cell r="E2779" t="str">
            <v>D26001590</v>
          </cell>
          <cell r="AP2779">
            <v>0</v>
          </cell>
          <cell r="AQ2779">
            <v>0</v>
          </cell>
          <cell r="AV2779">
            <v>0</v>
          </cell>
        </row>
        <row r="2780">
          <cell r="E2780" t="str">
            <v>B26001732</v>
          </cell>
          <cell r="AP2780">
            <v>0</v>
          </cell>
          <cell r="AQ2780">
            <v>0</v>
          </cell>
          <cell r="AV2780">
            <v>0</v>
          </cell>
        </row>
        <row r="2781">
          <cell r="E2781" t="str">
            <v>B26002038</v>
          </cell>
          <cell r="AP2781">
            <v>0</v>
          </cell>
          <cell r="AQ2781">
            <v>0</v>
          </cell>
          <cell r="AV2781">
            <v>0</v>
          </cell>
        </row>
        <row r="2782">
          <cell r="E2782" t="str">
            <v>D26002717</v>
          </cell>
          <cell r="AP2782">
            <v>0</v>
          </cell>
          <cell r="AQ2782">
            <v>0</v>
          </cell>
          <cell r="AV2782">
            <v>0</v>
          </cell>
        </row>
        <row r="2783">
          <cell r="E2783" t="str">
            <v>D26002718</v>
          </cell>
          <cell r="AP2783">
            <v>0</v>
          </cell>
          <cell r="AQ2783">
            <v>0</v>
          </cell>
          <cell r="AV2783">
            <v>0</v>
          </cell>
        </row>
        <row r="2784">
          <cell r="E2784" t="str">
            <v>D26003207</v>
          </cell>
          <cell r="AP2784">
            <v>0</v>
          </cell>
          <cell r="AQ2784">
            <v>0</v>
          </cell>
          <cell r="AV2784">
            <v>0</v>
          </cell>
        </row>
        <row r="2785">
          <cell r="E2785" t="str">
            <v>B26001832</v>
          </cell>
          <cell r="AP2785">
            <v>0</v>
          </cell>
          <cell r="AQ2785">
            <v>0</v>
          </cell>
          <cell r="AV2785">
            <v>0</v>
          </cell>
        </row>
        <row r="2786">
          <cell r="E2786" t="str">
            <v>D26001937</v>
          </cell>
          <cell r="AP2786">
            <v>0</v>
          </cell>
          <cell r="AQ2786">
            <v>0</v>
          </cell>
          <cell r="AV2786">
            <v>0</v>
          </cell>
        </row>
        <row r="2787">
          <cell r="E2787" t="str">
            <v>B26001877</v>
          </cell>
          <cell r="AP2787">
            <v>0</v>
          </cell>
          <cell r="AQ2787">
            <v>0</v>
          </cell>
          <cell r="AV2787">
            <v>0</v>
          </cell>
        </row>
        <row r="2788">
          <cell r="E2788" t="str">
            <v>B25016334</v>
          </cell>
          <cell r="AP2788">
            <v>0</v>
          </cell>
          <cell r="AQ2788">
            <v>0</v>
          </cell>
          <cell r="AV2788">
            <v>0</v>
          </cell>
        </row>
        <row r="2789">
          <cell r="E2789" t="str">
            <v>B26000414</v>
          </cell>
          <cell r="AP2789">
            <v>0</v>
          </cell>
          <cell r="AQ2789">
            <v>0</v>
          </cell>
          <cell r="AV2789">
            <v>0</v>
          </cell>
        </row>
        <row r="2790">
          <cell r="E2790" t="str">
            <v>B26001424</v>
          </cell>
          <cell r="AP2790">
            <v>0</v>
          </cell>
          <cell r="AQ2790">
            <v>0</v>
          </cell>
          <cell r="AV2790">
            <v>0</v>
          </cell>
        </row>
        <row r="2791">
          <cell r="E2791" t="str">
            <v>B26002026</v>
          </cell>
          <cell r="AP2791">
            <v>0</v>
          </cell>
          <cell r="AQ2791">
            <v>0</v>
          </cell>
          <cell r="AV2791">
            <v>0</v>
          </cell>
        </row>
        <row r="2792">
          <cell r="E2792" t="str">
            <v>B26002098</v>
          </cell>
          <cell r="AP2792">
            <v>0</v>
          </cell>
          <cell r="AQ2792">
            <v>0</v>
          </cell>
          <cell r="AV2792">
            <v>0</v>
          </cell>
        </row>
        <row r="2793">
          <cell r="E2793" t="str">
            <v>B26002493</v>
          </cell>
          <cell r="AP2793">
            <v>0</v>
          </cell>
          <cell r="AQ2793">
            <v>0</v>
          </cell>
          <cell r="AV2793">
            <v>0</v>
          </cell>
        </row>
        <row r="2794">
          <cell r="E2794" t="str">
            <v>B26002718</v>
          </cell>
          <cell r="AP2794">
            <v>0</v>
          </cell>
          <cell r="AQ2794">
            <v>0</v>
          </cell>
          <cell r="AV2794">
            <v>0</v>
          </cell>
        </row>
        <row r="2795">
          <cell r="E2795" t="str">
            <v>B26003045</v>
          </cell>
          <cell r="AP2795">
            <v>0</v>
          </cell>
          <cell r="AQ2795">
            <v>0</v>
          </cell>
          <cell r="AV2795">
            <v>0</v>
          </cell>
        </row>
        <row r="2796">
          <cell r="E2796" t="str">
            <v>D26000410</v>
          </cell>
          <cell r="AP2796">
            <v>0</v>
          </cell>
          <cell r="AQ2796">
            <v>0</v>
          </cell>
          <cell r="AV2796">
            <v>0</v>
          </cell>
        </row>
        <row r="2797">
          <cell r="E2797" t="str">
            <v>B26001140</v>
          </cell>
          <cell r="AP2797">
            <v>0</v>
          </cell>
          <cell r="AQ2797">
            <v>0</v>
          </cell>
          <cell r="AV2797">
            <v>0</v>
          </cell>
        </row>
        <row r="2798">
          <cell r="E2798" t="str">
            <v>B26001505</v>
          </cell>
          <cell r="AP2798">
            <v>0</v>
          </cell>
          <cell r="AQ2798">
            <v>0</v>
          </cell>
          <cell r="AV2798">
            <v>0</v>
          </cell>
        </row>
        <row r="2799">
          <cell r="E2799" t="str">
            <v>B26002099</v>
          </cell>
          <cell r="AP2799">
            <v>0</v>
          </cell>
          <cell r="AQ2799">
            <v>0</v>
          </cell>
          <cell r="AV2799">
            <v>0</v>
          </cell>
        </row>
        <row r="2800">
          <cell r="E2800" t="str">
            <v>B26002119</v>
          </cell>
          <cell r="AP2800">
            <v>0</v>
          </cell>
          <cell r="AQ2800">
            <v>0</v>
          </cell>
          <cell r="AV2800">
            <v>0</v>
          </cell>
        </row>
        <row r="2801">
          <cell r="E2801" t="str">
            <v>B26002501</v>
          </cell>
          <cell r="AP2801">
            <v>0</v>
          </cell>
          <cell r="AQ2801">
            <v>0</v>
          </cell>
          <cell r="AV2801">
            <v>0</v>
          </cell>
        </row>
        <row r="2802">
          <cell r="E2802" t="str">
            <v>D26003260</v>
          </cell>
          <cell r="AP2802">
            <v>0</v>
          </cell>
          <cell r="AQ2802">
            <v>0</v>
          </cell>
          <cell r="AV2802">
            <v>0</v>
          </cell>
        </row>
        <row r="2803">
          <cell r="E2803" t="str">
            <v>D25019693</v>
          </cell>
          <cell r="AP2803">
            <v>0</v>
          </cell>
          <cell r="AQ2803">
            <v>0</v>
          </cell>
          <cell r="AV2803">
            <v>0</v>
          </cell>
        </row>
        <row r="2804">
          <cell r="E2804" t="str">
            <v>D26000787</v>
          </cell>
          <cell r="AP2804">
            <v>0</v>
          </cell>
          <cell r="AQ2804">
            <v>0</v>
          </cell>
          <cell r="AV2804">
            <v>0</v>
          </cell>
        </row>
        <row r="2805">
          <cell r="E2805" t="str">
            <v>B26001474</v>
          </cell>
          <cell r="AP2805">
            <v>0</v>
          </cell>
          <cell r="AQ2805">
            <v>0</v>
          </cell>
          <cell r="AV2805">
            <v>0</v>
          </cell>
        </row>
        <row r="2806">
          <cell r="E2806" t="str">
            <v>B26002102</v>
          </cell>
          <cell r="AP2806">
            <v>0</v>
          </cell>
          <cell r="AQ2806">
            <v>0</v>
          </cell>
          <cell r="AV2806">
            <v>0</v>
          </cell>
        </row>
        <row r="2807">
          <cell r="E2807" t="str">
            <v>B26001085</v>
          </cell>
          <cell r="AP2807">
            <v>0</v>
          </cell>
          <cell r="AQ2807">
            <v>0</v>
          </cell>
          <cell r="AV2807">
            <v>0</v>
          </cell>
        </row>
        <row r="2808">
          <cell r="E2808" t="str">
            <v>B26001133</v>
          </cell>
          <cell r="AP2808">
            <v>0</v>
          </cell>
          <cell r="AQ2808">
            <v>0</v>
          </cell>
          <cell r="AV2808">
            <v>0</v>
          </cell>
        </row>
        <row r="2809">
          <cell r="E2809" t="str">
            <v>B26002393</v>
          </cell>
          <cell r="AP2809">
            <v>0</v>
          </cell>
          <cell r="AQ2809">
            <v>0</v>
          </cell>
          <cell r="AV2809">
            <v>0</v>
          </cell>
        </row>
        <row r="2810">
          <cell r="E2810" t="str">
            <v>D26002554</v>
          </cell>
          <cell r="AP2810">
            <v>0</v>
          </cell>
          <cell r="AQ2810">
            <v>0</v>
          </cell>
          <cell r="AV2810">
            <v>0</v>
          </cell>
        </row>
        <row r="2811">
          <cell r="E2811" t="str">
            <v>D26002578</v>
          </cell>
          <cell r="AP2811">
            <v>0</v>
          </cell>
          <cell r="AQ2811">
            <v>0</v>
          </cell>
          <cell r="AV2811">
            <v>0</v>
          </cell>
        </row>
        <row r="2812">
          <cell r="E2812" t="str">
            <v>B26002865</v>
          </cell>
          <cell r="AP2812">
            <v>0</v>
          </cell>
          <cell r="AQ2812">
            <v>0</v>
          </cell>
          <cell r="AV2812">
            <v>0</v>
          </cell>
        </row>
        <row r="2813">
          <cell r="E2813" t="str">
            <v>B26002889</v>
          </cell>
          <cell r="AP2813">
            <v>0</v>
          </cell>
          <cell r="AQ2813">
            <v>0</v>
          </cell>
          <cell r="AV2813">
            <v>0</v>
          </cell>
        </row>
        <row r="2814">
          <cell r="E2814" t="str">
            <v>D26001335</v>
          </cell>
          <cell r="AP2814">
            <v>0</v>
          </cell>
          <cell r="AQ2814">
            <v>0</v>
          </cell>
          <cell r="AV2814">
            <v>0</v>
          </cell>
        </row>
        <row r="2815">
          <cell r="E2815" t="str">
            <v>D26002318</v>
          </cell>
          <cell r="AP2815">
            <v>0</v>
          </cell>
          <cell r="AQ2815">
            <v>0</v>
          </cell>
          <cell r="AV2815">
            <v>0</v>
          </cell>
        </row>
        <row r="2816">
          <cell r="E2816" t="str">
            <v>B26002644</v>
          </cell>
          <cell r="AP2816">
            <v>0</v>
          </cell>
          <cell r="AQ2816">
            <v>0</v>
          </cell>
          <cell r="AV2816">
            <v>0</v>
          </cell>
        </row>
        <row r="2817">
          <cell r="E2817" t="str">
            <v>B26002824</v>
          </cell>
          <cell r="AP2817">
            <v>0</v>
          </cell>
          <cell r="AQ2817">
            <v>0</v>
          </cell>
          <cell r="AV2817">
            <v>0</v>
          </cell>
        </row>
        <row r="2818">
          <cell r="E2818" t="str">
            <v>B26002825</v>
          </cell>
          <cell r="AP2818">
            <v>0</v>
          </cell>
          <cell r="AQ2818">
            <v>0</v>
          </cell>
          <cell r="AV2818">
            <v>0</v>
          </cell>
        </row>
        <row r="2819">
          <cell r="E2819" t="str">
            <v>B25016635</v>
          </cell>
          <cell r="AP2819">
            <v>0</v>
          </cell>
          <cell r="AQ2819">
            <v>0</v>
          </cell>
          <cell r="AV2819">
            <v>650000</v>
          </cell>
        </row>
        <row r="2820">
          <cell r="E2820" t="str">
            <v>T25001862</v>
          </cell>
          <cell r="AP2820">
            <v>0</v>
          </cell>
          <cell r="AQ2820">
            <v>0</v>
          </cell>
          <cell r="AV2820">
            <v>2080000</v>
          </cell>
        </row>
        <row r="2821">
          <cell r="E2821" t="str">
            <v>T26000045k</v>
          </cell>
          <cell r="AP2821">
            <v>0</v>
          </cell>
          <cell r="AQ2821">
            <v>0</v>
          </cell>
          <cell r="AV2821">
            <v>0</v>
          </cell>
        </row>
        <row r="2822">
          <cell r="E2822" t="str">
            <v>D26001958</v>
          </cell>
          <cell r="AP2822">
            <v>0</v>
          </cell>
          <cell r="AQ2822">
            <v>0</v>
          </cell>
          <cell r="AV2822">
            <v>0</v>
          </cell>
        </row>
        <row r="2823">
          <cell r="E2823" t="str">
            <v>D26001959</v>
          </cell>
          <cell r="AP2823">
            <v>0</v>
          </cell>
          <cell r="AQ2823">
            <v>0</v>
          </cell>
          <cell r="AV2823">
            <v>0</v>
          </cell>
        </row>
        <row r="2824">
          <cell r="E2824" t="str">
            <v>D21000994</v>
          </cell>
          <cell r="AP2824">
            <v>0</v>
          </cell>
          <cell r="AQ2824">
            <v>0</v>
          </cell>
          <cell r="AV2824">
            <v>0</v>
          </cell>
        </row>
        <row r="2825">
          <cell r="E2825" t="str">
            <v>B25015409</v>
          </cell>
          <cell r="AP2825">
            <v>0</v>
          </cell>
          <cell r="AQ2825">
            <v>0</v>
          </cell>
          <cell r="AV2825">
            <v>0</v>
          </cell>
        </row>
        <row r="2826">
          <cell r="E2826" t="str">
            <v>D25018472</v>
          </cell>
          <cell r="AP2826">
            <v>0</v>
          </cell>
          <cell r="AQ2826">
            <v>0</v>
          </cell>
          <cell r="AV2826">
            <v>29200000</v>
          </cell>
        </row>
        <row r="2827">
          <cell r="E2827" t="str">
            <v>D25018888</v>
          </cell>
          <cell r="AP2827">
            <v>0</v>
          </cell>
          <cell r="AQ2827">
            <v>0</v>
          </cell>
          <cell r="AV2827">
            <v>0</v>
          </cell>
        </row>
        <row r="2828">
          <cell r="E2828" t="str">
            <v>B25016767</v>
          </cell>
          <cell r="AP2828">
            <v>0</v>
          </cell>
          <cell r="AQ2828">
            <v>0</v>
          </cell>
          <cell r="AV2828">
            <v>0</v>
          </cell>
        </row>
        <row r="2829">
          <cell r="E2829" t="str">
            <v>B25016768</v>
          </cell>
          <cell r="AP2829">
            <v>0</v>
          </cell>
          <cell r="AQ2829">
            <v>0</v>
          </cell>
          <cell r="AV2829">
            <v>0</v>
          </cell>
        </row>
        <row r="2830">
          <cell r="E2830" t="str">
            <v>B25016769</v>
          </cell>
          <cell r="AP2830">
            <v>0</v>
          </cell>
          <cell r="AQ2830">
            <v>0</v>
          </cell>
          <cell r="AV2830">
            <v>0</v>
          </cell>
        </row>
        <row r="2831">
          <cell r="E2831" t="str">
            <v>T25001878</v>
          </cell>
          <cell r="AP2831">
            <v>0</v>
          </cell>
          <cell r="AQ2831">
            <v>0</v>
          </cell>
          <cell r="AV2831">
            <v>0</v>
          </cell>
        </row>
        <row r="2832">
          <cell r="E2832" t="str">
            <v>D25019426</v>
          </cell>
          <cell r="AP2832">
            <v>0</v>
          </cell>
          <cell r="AQ2832">
            <v>0</v>
          </cell>
          <cell r="AV2832">
            <v>0</v>
          </cell>
        </row>
        <row r="2833">
          <cell r="E2833" t="str">
            <v>D25019525</v>
          </cell>
          <cell r="AP2833">
            <v>0</v>
          </cell>
          <cell r="AQ2833">
            <v>0</v>
          </cell>
          <cell r="AV2833">
            <v>0</v>
          </cell>
        </row>
        <row r="2834">
          <cell r="E2834" t="str">
            <v>B26000135</v>
          </cell>
          <cell r="AP2834">
            <v>0</v>
          </cell>
          <cell r="AQ2834">
            <v>0</v>
          </cell>
          <cell r="AV2834">
            <v>0</v>
          </cell>
        </row>
        <row r="2835">
          <cell r="E2835" t="str">
            <v>D26000138</v>
          </cell>
          <cell r="AP2835">
            <v>0</v>
          </cell>
          <cell r="AQ2835">
            <v>0</v>
          </cell>
          <cell r="AV2835">
            <v>0</v>
          </cell>
        </row>
        <row r="2836">
          <cell r="E2836" t="str">
            <v>D26000258</v>
          </cell>
          <cell r="AP2836">
            <v>0</v>
          </cell>
          <cell r="AQ2836">
            <v>0</v>
          </cell>
          <cell r="AV2836">
            <v>0</v>
          </cell>
        </row>
        <row r="2837">
          <cell r="E2837" t="str">
            <v>D26000379</v>
          </cell>
          <cell r="AP2837">
            <v>0</v>
          </cell>
          <cell r="AQ2837">
            <v>0</v>
          </cell>
          <cell r="AV2837">
            <v>0</v>
          </cell>
        </row>
        <row r="2838">
          <cell r="E2838" t="str">
            <v>D26000443</v>
          </cell>
          <cell r="AP2838">
            <v>0</v>
          </cell>
          <cell r="AQ2838">
            <v>0</v>
          </cell>
          <cell r="AV2838">
            <v>0</v>
          </cell>
        </row>
        <row r="2839">
          <cell r="E2839" t="str">
            <v>T26000091</v>
          </cell>
          <cell r="AP2839">
            <v>0</v>
          </cell>
          <cell r="AQ2839">
            <v>0</v>
          </cell>
          <cell r="AV2839">
            <v>0</v>
          </cell>
        </row>
        <row r="2840">
          <cell r="E2840" t="str">
            <v>D26001793</v>
          </cell>
          <cell r="AP2840">
            <v>0</v>
          </cell>
          <cell r="AQ2840">
            <v>0</v>
          </cell>
          <cell r="AV2840">
            <v>0</v>
          </cell>
        </row>
        <row r="2841">
          <cell r="E2841" t="str">
            <v>D26001799</v>
          </cell>
          <cell r="AP2841">
            <v>0</v>
          </cell>
          <cell r="AQ2841">
            <v>0</v>
          </cell>
          <cell r="AV2841">
            <v>0</v>
          </cell>
        </row>
        <row r="2842">
          <cell r="E2842" t="str">
            <v>B26002045</v>
          </cell>
          <cell r="AP2842">
            <v>0</v>
          </cell>
          <cell r="AQ2842">
            <v>0</v>
          </cell>
          <cell r="AV2842">
            <v>0</v>
          </cell>
        </row>
        <row r="2843">
          <cell r="E2843" t="str">
            <v>B26002046</v>
          </cell>
          <cell r="AP2843">
            <v>0</v>
          </cell>
          <cell r="AQ2843">
            <v>0</v>
          </cell>
          <cell r="AV2843">
            <v>0</v>
          </cell>
        </row>
        <row r="2844">
          <cell r="E2844" t="str">
            <v>D26002265</v>
          </cell>
          <cell r="AP2844">
            <v>0</v>
          </cell>
          <cell r="AQ2844">
            <v>0</v>
          </cell>
          <cell r="AV2844">
            <v>0</v>
          </cell>
        </row>
        <row r="2845">
          <cell r="E2845" t="str">
            <v>D26002568</v>
          </cell>
          <cell r="AP2845">
            <v>0</v>
          </cell>
          <cell r="AQ2845">
            <v>0</v>
          </cell>
          <cell r="AV2845">
            <v>0</v>
          </cell>
        </row>
        <row r="2846">
          <cell r="E2846" t="str">
            <v>B26002666</v>
          </cell>
          <cell r="AP2846">
            <v>0</v>
          </cell>
          <cell r="AQ2846">
            <v>0</v>
          </cell>
          <cell r="AV2846">
            <v>0</v>
          </cell>
        </row>
        <row r="2847">
          <cell r="E2847" t="str">
            <v>B26002686</v>
          </cell>
          <cell r="AP2847">
            <v>0</v>
          </cell>
          <cell r="AQ2847">
            <v>0</v>
          </cell>
          <cell r="AV2847">
            <v>0</v>
          </cell>
        </row>
        <row r="2848">
          <cell r="E2848" t="str">
            <v>T26000193</v>
          </cell>
          <cell r="AP2848">
            <v>0</v>
          </cell>
          <cell r="AQ2848">
            <v>0</v>
          </cell>
          <cell r="AV2848">
            <v>0</v>
          </cell>
        </row>
        <row r="2849">
          <cell r="E2849" t="str">
            <v>B26002708</v>
          </cell>
          <cell r="AP2849">
            <v>0</v>
          </cell>
          <cell r="AQ2849">
            <v>0</v>
          </cell>
          <cell r="AV2849">
            <v>0</v>
          </cell>
        </row>
        <row r="2850">
          <cell r="E2850" t="str">
            <v>D26003021</v>
          </cell>
          <cell r="AP2850">
            <v>0</v>
          </cell>
          <cell r="AQ2850">
            <v>0</v>
          </cell>
          <cell r="AV2850">
            <v>0</v>
          </cell>
        </row>
        <row r="2851">
          <cell r="E2851" t="str">
            <v>B26002878</v>
          </cell>
          <cell r="AP2851">
            <v>0</v>
          </cell>
          <cell r="AQ2851">
            <v>0</v>
          </cell>
          <cell r="AV2851">
            <v>0</v>
          </cell>
        </row>
        <row r="2852">
          <cell r="E2852" t="str">
            <v>D26001260</v>
          </cell>
          <cell r="AP2852">
            <v>0</v>
          </cell>
          <cell r="AQ2852">
            <v>0</v>
          </cell>
          <cell r="AV2852">
            <v>28000000</v>
          </cell>
        </row>
        <row r="2853">
          <cell r="E2853" t="str">
            <v>B26001673</v>
          </cell>
          <cell r="AP2853">
            <v>0</v>
          </cell>
          <cell r="AQ2853">
            <v>0</v>
          </cell>
          <cell r="AV2853">
            <v>0</v>
          </cell>
        </row>
        <row r="2854">
          <cell r="E2854" t="str">
            <v>D26001812</v>
          </cell>
          <cell r="AP2854">
            <v>0</v>
          </cell>
          <cell r="AQ2854">
            <v>0</v>
          </cell>
          <cell r="AV2854">
            <v>0</v>
          </cell>
        </row>
        <row r="2855">
          <cell r="E2855" t="str">
            <v>B26002382</v>
          </cell>
          <cell r="AP2855">
            <v>0</v>
          </cell>
          <cell r="AQ2855">
            <v>0</v>
          </cell>
          <cell r="AV2855">
            <v>0</v>
          </cell>
        </row>
        <row r="2856">
          <cell r="E2856" t="str">
            <v>D26000907</v>
          </cell>
          <cell r="AP2856">
            <v>0</v>
          </cell>
          <cell r="AQ2856">
            <v>0</v>
          </cell>
          <cell r="AV2856">
            <v>0</v>
          </cell>
        </row>
        <row r="2857">
          <cell r="E2857" t="str">
            <v>B26002609</v>
          </cell>
          <cell r="AP2857">
            <v>0</v>
          </cell>
          <cell r="AQ2857">
            <v>0</v>
          </cell>
          <cell r="AV2857">
            <v>0</v>
          </cell>
        </row>
        <row r="2858">
          <cell r="E2858" t="str">
            <v>B26000855</v>
          </cell>
          <cell r="AP2858">
            <v>0</v>
          </cell>
          <cell r="AQ2858">
            <v>0</v>
          </cell>
          <cell r="AV2858">
            <v>0</v>
          </cell>
        </row>
        <row r="2859">
          <cell r="E2859" t="str">
            <v>D26001047</v>
          </cell>
          <cell r="AP2859">
            <v>0</v>
          </cell>
          <cell r="AQ2859">
            <v>0</v>
          </cell>
          <cell r="AV2859">
            <v>0</v>
          </cell>
        </row>
        <row r="2860">
          <cell r="E2860" t="str">
            <v>B26001565</v>
          </cell>
          <cell r="AP2860">
            <v>0</v>
          </cell>
          <cell r="AQ2860">
            <v>0</v>
          </cell>
          <cell r="AV2860">
            <v>0</v>
          </cell>
        </row>
        <row r="2861">
          <cell r="E2861" t="str">
            <v>D26002654</v>
          </cell>
          <cell r="AP2861">
            <v>0</v>
          </cell>
          <cell r="AQ2861">
            <v>0</v>
          </cell>
          <cell r="AV2861">
            <v>0</v>
          </cell>
        </row>
        <row r="2862">
          <cell r="E2862" t="str">
            <v>D26002655</v>
          </cell>
          <cell r="AP2862">
            <v>0</v>
          </cell>
          <cell r="AQ2862">
            <v>0</v>
          </cell>
          <cell r="AV2862">
            <v>0</v>
          </cell>
        </row>
        <row r="2863">
          <cell r="E2863" t="str">
            <v>D25017496</v>
          </cell>
          <cell r="AP2863">
            <v>0</v>
          </cell>
          <cell r="AQ2863">
            <v>0</v>
          </cell>
          <cell r="AV2863">
            <v>1840000</v>
          </cell>
        </row>
        <row r="2864">
          <cell r="E2864" t="str">
            <v>D25017925</v>
          </cell>
          <cell r="AP2864">
            <v>0</v>
          </cell>
          <cell r="AQ2864">
            <v>0</v>
          </cell>
          <cell r="AV2864">
            <v>0</v>
          </cell>
        </row>
        <row r="2865">
          <cell r="E2865" t="str">
            <v>B25016043</v>
          </cell>
          <cell r="AP2865">
            <v>0</v>
          </cell>
          <cell r="AQ2865">
            <v>0</v>
          </cell>
          <cell r="AV2865">
            <v>0</v>
          </cell>
        </row>
        <row r="2866">
          <cell r="E2866" t="str">
            <v>B25016744</v>
          </cell>
          <cell r="AP2866">
            <v>0</v>
          </cell>
          <cell r="AQ2866">
            <v>0</v>
          </cell>
          <cell r="AV2866">
            <v>8160000</v>
          </cell>
        </row>
        <row r="2867">
          <cell r="E2867" t="str">
            <v>T25001872</v>
          </cell>
          <cell r="AP2867">
            <v>0</v>
          </cell>
          <cell r="AQ2867">
            <v>0</v>
          </cell>
          <cell r="AV2867">
            <v>0</v>
          </cell>
        </row>
        <row r="2868">
          <cell r="E2868" t="str">
            <v>D26000340</v>
          </cell>
          <cell r="AP2868">
            <v>0</v>
          </cell>
          <cell r="AQ2868">
            <v>0</v>
          </cell>
          <cell r="AV2868">
            <v>0</v>
          </cell>
        </row>
        <row r="2869">
          <cell r="E2869" t="str">
            <v>B26000589</v>
          </cell>
          <cell r="AP2869">
            <v>0</v>
          </cell>
          <cell r="AQ2869">
            <v>0</v>
          </cell>
          <cell r="AV2869">
            <v>0</v>
          </cell>
        </row>
        <row r="2870">
          <cell r="E2870" t="str">
            <v>B26000664</v>
          </cell>
          <cell r="AP2870">
            <v>0</v>
          </cell>
          <cell r="AQ2870">
            <v>0</v>
          </cell>
          <cell r="AV2870">
            <v>0</v>
          </cell>
        </row>
        <row r="2871">
          <cell r="E2871" t="str">
            <v>D26000767</v>
          </cell>
          <cell r="AP2871">
            <v>0</v>
          </cell>
          <cell r="AQ2871">
            <v>0</v>
          </cell>
          <cell r="AV2871">
            <v>0</v>
          </cell>
        </row>
        <row r="2872">
          <cell r="E2872" t="str">
            <v>D26001109</v>
          </cell>
          <cell r="AP2872">
            <v>0</v>
          </cell>
          <cell r="AQ2872">
            <v>0</v>
          </cell>
          <cell r="AV2872">
            <v>0</v>
          </cell>
        </row>
        <row r="2873">
          <cell r="E2873" t="str">
            <v>D26001346</v>
          </cell>
          <cell r="AP2873">
            <v>0</v>
          </cell>
          <cell r="AQ2873">
            <v>0</v>
          </cell>
          <cell r="AV2873">
            <v>0</v>
          </cell>
        </row>
        <row r="2874">
          <cell r="E2874" t="str">
            <v>B26001518</v>
          </cell>
          <cell r="AP2874">
            <v>0</v>
          </cell>
          <cell r="AQ2874">
            <v>0</v>
          </cell>
          <cell r="AV2874">
            <v>0</v>
          </cell>
        </row>
        <row r="2875">
          <cell r="E2875" t="str">
            <v>B26001871</v>
          </cell>
          <cell r="AP2875">
            <v>0</v>
          </cell>
          <cell r="AQ2875">
            <v>0</v>
          </cell>
          <cell r="AV2875">
            <v>0</v>
          </cell>
        </row>
        <row r="2876">
          <cell r="E2876" t="str">
            <v>B26002436</v>
          </cell>
          <cell r="AP2876">
            <v>0</v>
          </cell>
          <cell r="AQ2876">
            <v>0</v>
          </cell>
          <cell r="AV2876">
            <v>0</v>
          </cell>
        </row>
        <row r="2877">
          <cell r="E2877" t="str">
            <v>B26002586</v>
          </cell>
          <cell r="AP2877">
            <v>0</v>
          </cell>
          <cell r="AQ2877">
            <v>0</v>
          </cell>
          <cell r="AV2877">
            <v>0</v>
          </cell>
        </row>
        <row r="2878">
          <cell r="E2878" t="str">
            <v>B26002587</v>
          </cell>
          <cell r="AP2878">
            <v>0</v>
          </cell>
          <cell r="AQ2878">
            <v>0</v>
          </cell>
          <cell r="AV2878">
            <v>0</v>
          </cell>
        </row>
        <row r="2879">
          <cell r="E2879" t="str">
            <v>D26003064</v>
          </cell>
          <cell r="AP2879">
            <v>0</v>
          </cell>
          <cell r="AQ2879">
            <v>0</v>
          </cell>
          <cell r="AV2879">
            <v>0</v>
          </cell>
        </row>
        <row r="2880">
          <cell r="E2880" t="str">
            <v>B26002902</v>
          </cell>
          <cell r="AP2880">
            <v>0</v>
          </cell>
          <cell r="AQ2880">
            <v>0</v>
          </cell>
          <cell r="AV2880">
            <v>0</v>
          </cell>
        </row>
        <row r="2881">
          <cell r="E2881" t="str">
            <v>B26002947</v>
          </cell>
          <cell r="AP2881">
            <v>0</v>
          </cell>
          <cell r="AQ2881">
            <v>0</v>
          </cell>
          <cell r="AV2881">
            <v>0</v>
          </cell>
        </row>
        <row r="2882">
          <cell r="E2882" t="str">
            <v>B26002995</v>
          </cell>
          <cell r="AP2882">
            <v>0</v>
          </cell>
          <cell r="AQ2882">
            <v>0</v>
          </cell>
          <cell r="AV2882">
            <v>0</v>
          </cell>
        </row>
        <row r="2883">
          <cell r="E2883" t="str">
            <v>Z26000075</v>
          </cell>
          <cell r="AP2883">
            <v>0</v>
          </cell>
          <cell r="AQ2883">
            <v>0</v>
          </cell>
          <cell r="AV2883">
            <v>0</v>
          </cell>
        </row>
        <row r="2884">
          <cell r="E2884" t="str">
            <v>Z26000099</v>
          </cell>
          <cell r="AP2884">
            <v>0</v>
          </cell>
          <cell r="AQ2884">
            <v>0</v>
          </cell>
          <cell r="AV2884">
            <v>0</v>
          </cell>
        </row>
        <row r="2885">
          <cell r="E2885" t="str">
            <v>Z26000185</v>
          </cell>
          <cell r="AP2885">
            <v>0</v>
          </cell>
          <cell r="AQ2885">
            <v>0</v>
          </cell>
          <cell r="AV2885">
            <v>0</v>
          </cell>
        </row>
        <row r="2886">
          <cell r="E2886" t="str">
            <v>Z26000190</v>
          </cell>
          <cell r="AP2886">
            <v>0</v>
          </cell>
          <cell r="AQ2886">
            <v>0</v>
          </cell>
          <cell r="AV2886">
            <v>0</v>
          </cell>
        </row>
        <row r="2887">
          <cell r="E2887" t="str">
            <v>Z26000196</v>
          </cell>
          <cell r="AP2887">
            <v>0</v>
          </cell>
          <cell r="AQ2887">
            <v>0</v>
          </cell>
          <cell r="AV2887">
            <v>0</v>
          </cell>
        </row>
        <row r="2888">
          <cell r="E2888" t="str">
            <v>Z26000223</v>
          </cell>
          <cell r="AP2888">
            <v>0</v>
          </cell>
          <cell r="AQ2888">
            <v>0</v>
          </cell>
          <cell r="AV2888">
            <v>0</v>
          </cell>
        </row>
        <row r="2889">
          <cell r="E2889" t="str">
            <v>Z26000224</v>
          </cell>
          <cell r="AP2889">
            <v>0</v>
          </cell>
          <cell r="AQ2889">
            <v>0</v>
          </cell>
          <cell r="AV2889">
            <v>0</v>
          </cell>
        </row>
        <row r="2890">
          <cell r="E2890" t="str">
            <v>Z26000248</v>
          </cell>
          <cell r="AP2890">
            <v>0</v>
          </cell>
          <cell r="AQ2890">
            <v>0</v>
          </cell>
          <cell r="AV2890">
            <v>0</v>
          </cell>
        </row>
        <row r="2891">
          <cell r="E2891" t="str">
            <v>Z26000251</v>
          </cell>
          <cell r="AP2891">
            <v>0</v>
          </cell>
          <cell r="AQ2891">
            <v>0</v>
          </cell>
          <cell r="AV2891">
            <v>0</v>
          </cell>
        </row>
        <row r="2892">
          <cell r="E2892" t="str">
            <v>Z26000253</v>
          </cell>
          <cell r="AP2892">
            <v>0</v>
          </cell>
          <cell r="AQ2892">
            <v>0</v>
          </cell>
          <cell r="AV2892">
            <v>0</v>
          </cell>
        </row>
        <row r="2893">
          <cell r="E2893" t="str">
            <v>Z26000254</v>
          </cell>
          <cell r="AP2893">
            <v>0</v>
          </cell>
          <cell r="AQ2893">
            <v>0</v>
          </cell>
          <cell r="AV2893">
            <v>0</v>
          </cell>
        </row>
        <row r="2894">
          <cell r="E2894" t="str">
            <v>Z26000289</v>
          </cell>
          <cell r="AP2894">
            <v>0</v>
          </cell>
          <cell r="AQ2894">
            <v>0</v>
          </cell>
          <cell r="AV2894">
            <v>0</v>
          </cell>
        </row>
        <row r="2895">
          <cell r="E2895" t="str">
            <v>Z26000294</v>
          </cell>
          <cell r="AP2895">
            <v>0</v>
          </cell>
          <cell r="AQ2895">
            <v>0</v>
          </cell>
          <cell r="AV2895">
            <v>0</v>
          </cell>
        </row>
        <row r="2896">
          <cell r="E2896" t="str">
            <v>Z26000301</v>
          </cell>
          <cell r="AP2896">
            <v>0</v>
          </cell>
          <cell r="AQ2896">
            <v>0</v>
          </cell>
          <cell r="AV2896">
            <v>0</v>
          </cell>
        </row>
        <row r="2897">
          <cell r="E2897" t="str">
            <v>Z26000327</v>
          </cell>
          <cell r="AP2897">
            <v>0</v>
          </cell>
          <cell r="AQ2897">
            <v>0</v>
          </cell>
          <cell r="AV2897">
            <v>0</v>
          </cell>
        </row>
        <row r="2898">
          <cell r="E2898" t="str">
            <v>Z26000328</v>
          </cell>
          <cell r="AP2898">
            <v>0</v>
          </cell>
          <cell r="AQ2898">
            <v>0</v>
          </cell>
          <cell r="AV2898">
            <v>0</v>
          </cell>
        </row>
        <row r="2899">
          <cell r="E2899" t="str">
            <v>Z26000344</v>
          </cell>
          <cell r="AP2899">
            <v>0</v>
          </cell>
          <cell r="AQ2899">
            <v>0</v>
          </cell>
          <cell r="AV2899">
            <v>0</v>
          </cell>
        </row>
        <row r="2900">
          <cell r="E2900" t="str">
            <v>Z26000354</v>
          </cell>
          <cell r="AP2900">
            <v>0</v>
          </cell>
          <cell r="AQ2900">
            <v>0</v>
          </cell>
          <cell r="AV2900">
            <v>0</v>
          </cell>
        </row>
        <row r="2901">
          <cell r="E2901" t="str">
            <v>Z26000367</v>
          </cell>
          <cell r="AP2901">
            <v>0</v>
          </cell>
          <cell r="AQ2901">
            <v>0</v>
          </cell>
          <cell r="AV2901">
            <v>0</v>
          </cell>
        </row>
        <row r="2902">
          <cell r="E2902" t="str">
            <v>Z26000376</v>
          </cell>
          <cell r="AP2902">
            <v>0</v>
          </cell>
          <cell r="AQ2902">
            <v>0</v>
          </cell>
          <cell r="AV2902">
            <v>0</v>
          </cell>
        </row>
        <row r="2903">
          <cell r="E2903" t="str">
            <v>Z26000394</v>
          </cell>
          <cell r="AP2903">
            <v>0</v>
          </cell>
          <cell r="AQ2903">
            <v>0</v>
          </cell>
          <cell r="AV2903">
            <v>0</v>
          </cell>
        </row>
        <row r="2904">
          <cell r="E2904" t="str">
            <v>Z26000398</v>
          </cell>
          <cell r="AP2904">
            <v>0</v>
          </cell>
          <cell r="AQ2904">
            <v>0</v>
          </cell>
          <cell r="AV2904">
            <v>0</v>
          </cell>
        </row>
        <row r="2905">
          <cell r="E2905" t="str">
            <v>Z26000399</v>
          </cell>
          <cell r="AP2905">
            <v>0</v>
          </cell>
          <cell r="AQ2905">
            <v>0</v>
          </cell>
          <cell r="AV2905">
            <v>0</v>
          </cell>
        </row>
        <row r="2906">
          <cell r="E2906" t="str">
            <v>Z26000428</v>
          </cell>
          <cell r="AP2906">
            <v>0</v>
          </cell>
          <cell r="AQ2906">
            <v>0</v>
          </cell>
          <cell r="AV2906">
            <v>0</v>
          </cell>
        </row>
        <row r="2907">
          <cell r="E2907" t="str">
            <v>Z26000429</v>
          </cell>
          <cell r="AP2907">
            <v>0</v>
          </cell>
          <cell r="AQ2907">
            <v>0</v>
          </cell>
          <cell r="AV2907">
            <v>0</v>
          </cell>
        </row>
        <row r="2908">
          <cell r="E2908" t="str">
            <v>Z26000432</v>
          </cell>
          <cell r="AP2908">
            <v>0</v>
          </cell>
          <cell r="AQ2908">
            <v>0</v>
          </cell>
          <cell r="AV2908">
            <v>0</v>
          </cell>
        </row>
        <row r="2909">
          <cell r="E2909" t="str">
            <v>Z26000461</v>
          </cell>
          <cell r="AP2909">
            <v>0</v>
          </cell>
          <cell r="AQ2909">
            <v>0</v>
          </cell>
          <cell r="AV2909">
            <v>0</v>
          </cell>
        </row>
        <row r="2910">
          <cell r="E2910" t="str">
            <v>Z26000462</v>
          </cell>
          <cell r="AP2910">
            <v>0</v>
          </cell>
          <cell r="AQ2910">
            <v>0</v>
          </cell>
          <cell r="AV2910">
            <v>0</v>
          </cell>
        </row>
        <row r="2911">
          <cell r="E2911" t="str">
            <v>Z26000474</v>
          </cell>
          <cell r="AP2911">
            <v>0</v>
          </cell>
          <cell r="AQ2911">
            <v>0</v>
          </cell>
          <cell r="AV2911">
            <v>0</v>
          </cell>
        </row>
        <row r="2912">
          <cell r="E2912" t="str">
            <v>Z26000486</v>
          </cell>
          <cell r="AP2912">
            <v>0</v>
          </cell>
          <cell r="AQ2912">
            <v>0</v>
          </cell>
          <cell r="AV2912">
            <v>0</v>
          </cell>
        </row>
        <row r="2913">
          <cell r="E2913" t="str">
            <v>Z26000502</v>
          </cell>
          <cell r="AP2913">
            <v>0</v>
          </cell>
          <cell r="AQ2913">
            <v>0</v>
          </cell>
          <cell r="AV2913">
            <v>0</v>
          </cell>
        </row>
        <row r="2914">
          <cell r="E2914" t="str">
            <v>Z26000503</v>
          </cell>
          <cell r="AP2914">
            <v>0</v>
          </cell>
          <cell r="AQ2914">
            <v>0</v>
          </cell>
          <cell r="AV2914">
            <v>0</v>
          </cell>
        </row>
        <row r="2915">
          <cell r="E2915" t="str">
            <v>Z26000506</v>
          </cell>
          <cell r="AP2915">
            <v>0</v>
          </cell>
          <cell r="AQ2915">
            <v>0</v>
          </cell>
          <cell r="AV2915">
            <v>0</v>
          </cell>
        </row>
        <row r="2916">
          <cell r="E2916" t="str">
            <v>Z26000510</v>
          </cell>
          <cell r="AP2916">
            <v>0</v>
          </cell>
          <cell r="AQ2916">
            <v>0</v>
          </cell>
          <cell r="AV2916">
            <v>0</v>
          </cell>
        </row>
        <row r="2917">
          <cell r="E2917" t="str">
            <v>Z26000515</v>
          </cell>
          <cell r="AP2917">
            <v>0</v>
          </cell>
          <cell r="AQ2917">
            <v>0</v>
          </cell>
          <cell r="AV2917">
            <v>0</v>
          </cell>
        </row>
        <row r="2918">
          <cell r="E2918" t="str">
            <v>Z26000528</v>
          </cell>
          <cell r="AP2918">
            <v>0</v>
          </cell>
          <cell r="AQ2918">
            <v>0</v>
          </cell>
          <cell r="AV2918">
            <v>0</v>
          </cell>
        </row>
        <row r="2919">
          <cell r="E2919" t="str">
            <v>Z26000532</v>
          </cell>
          <cell r="AP2919">
            <v>0</v>
          </cell>
          <cell r="AQ2919">
            <v>0</v>
          </cell>
          <cell r="AV2919">
            <v>0</v>
          </cell>
        </row>
        <row r="2920">
          <cell r="E2920" t="str">
            <v>Z26000533</v>
          </cell>
          <cell r="AP2920">
            <v>0</v>
          </cell>
          <cell r="AQ2920">
            <v>0</v>
          </cell>
          <cell r="AV2920">
            <v>0</v>
          </cell>
        </row>
        <row r="2921">
          <cell r="E2921" t="str">
            <v>Z26000534</v>
          </cell>
          <cell r="AP2921">
            <v>0</v>
          </cell>
          <cell r="AQ2921">
            <v>0</v>
          </cell>
          <cell r="AV2921">
            <v>0</v>
          </cell>
        </row>
        <row r="2922">
          <cell r="E2922" t="str">
            <v>Z26000541</v>
          </cell>
          <cell r="AP2922">
            <v>0</v>
          </cell>
          <cell r="AQ2922">
            <v>0</v>
          </cell>
          <cell r="AV2922">
            <v>0</v>
          </cell>
        </row>
        <row r="2923">
          <cell r="E2923" t="str">
            <v>Z26000553</v>
          </cell>
          <cell r="AP2923">
            <v>0</v>
          </cell>
          <cell r="AQ2923">
            <v>0</v>
          </cell>
          <cell r="AV2923">
            <v>0</v>
          </cell>
        </row>
        <row r="2924">
          <cell r="E2924" t="str">
            <v>Z26000554</v>
          </cell>
          <cell r="AP2924">
            <v>0</v>
          </cell>
          <cell r="AQ2924">
            <v>0</v>
          </cell>
          <cell r="AV2924">
            <v>0</v>
          </cell>
        </row>
        <row r="2925">
          <cell r="E2925" t="str">
            <v>Z26000564</v>
          </cell>
          <cell r="AP2925">
            <v>0</v>
          </cell>
          <cell r="AQ2925">
            <v>0</v>
          </cell>
          <cell r="AV2925">
            <v>0</v>
          </cell>
        </row>
        <row r="2926">
          <cell r="E2926" t="str">
            <v>Z26000566</v>
          </cell>
          <cell r="AP2926">
            <v>0</v>
          </cell>
          <cell r="AQ2926">
            <v>0</v>
          </cell>
          <cell r="AV2926">
            <v>0</v>
          </cell>
        </row>
        <row r="2927">
          <cell r="E2927" t="str">
            <v>Z26000572</v>
          </cell>
          <cell r="AP2927">
            <v>0</v>
          </cell>
          <cell r="AQ2927">
            <v>0</v>
          </cell>
          <cell r="AV2927">
            <v>0</v>
          </cell>
        </row>
        <row r="2928">
          <cell r="E2928" t="str">
            <v>Z26000573</v>
          </cell>
          <cell r="AP2928">
            <v>0</v>
          </cell>
          <cell r="AQ2928">
            <v>0</v>
          </cell>
          <cell r="AV2928">
            <v>0</v>
          </cell>
        </row>
        <row r="2929">
          <cell r="E2929" t="str">
            <v>Z26000580</v>
          </cell>
          <cell r="AP2929">
            <v>0</v>
          </cell>
          <cell r="AQ2929">
            <v>0</v>
          </cell>
          <cell r="AV2929">
            <v>0</v>
          </cell>
        </row>
        <row r="2930">
          <cell r="E2930" t="str">
            <v>Z26000582</v>
          </cell>
          <cell r="AP2930">
            <v>0</v>
          </cell>
          <cell r="AQ2930">
            <v>0</v>
          </cell>
          <cell r="AV2930">
            <v>0</v>
          </cell>
        </row>
        <row r="2931">
          <cell r="E2931" t="str">
            <v>Z26000603</v>
          </cell>
          <cell r="AP2931">
            <v>0</v>
          </cell>
          <cell r="AQ2931">
            <v>0</v>
          </cell>
          <cell r="AV2931">
            <v>0</v>
          </cell>
        </row>
        <row r="2932">
          <cell r="E2932" t="str">
            <v>Z26000608</v>
          </cell>
          <cell r="AP2932">
            <v>0</v>
          </cell>
          <cell r="AQ2932">
            <v>0</v>
          </cell>
          <cell r="AV2932">
            <v>0</v>
          </cell>
        </row>
        <row r="2933">
          <cell r="E2933" t="str">
            <v>Z26000610</v>
          </cell>
          <cell r="AP2933">
            <v>0</v>
          </cell>
          <cell r="AQ2933">
            <v>0</v>
          </cell>
          <cell r="AV2933">
            <v>0</v>
          </cell>
        </row>
        <row r="2934">
          <cell r="E2934" t="str">
            <v>Z26000611</v>
          </cell>
          <cell r="AP2934">
            <v>0</v>
          </cell>
          <cell r="AQ2934">
            <v>0</v>
          </cell>
          <cell r="AV2934">
            <v>0</v>
          </cell>
        </row>
        <row r="2935">
          <cell r="E2935" t="str">
            <v>Z26000622</v>
          </cell>
          <cell r="AP2935">
            <v>0</v>
          </cell>
          <cell r="AQ2935">
            <v>0</v>
          </cell>
          <cell r="AV2935">
            <v>0</v>
          </cell>
        </row>
        <row r="2936">
          <cell r="E2936" t="str">
            <v>Z26000625</v>
          </cell>
          <cell r="AP2936">
            <v>0</v>
          </cell>
          <cell r="AQ2936">
            <v>0</v>
          </cell>
          <cell r="AV2936">
            <v>0</v>
          </cell>
        </row>
        <row r="2937">
          <cell r="E2937" t="str">
            <v>Z26000626</v>
          </cell>
          <cell r="AP2937">
            <v>0</v>
          </cell>
          <cell r="AQ2937">
            <v>0</v>
          </cell>
          <cell r="AV2937">
            <v>0</v>
          </cell>
        </row>
        <row r="2938">
          <cell r="E2938" t="str">
            <v>Z26000627</v>
          </cell>
          <cell r="AP2938">
            <v>0</v>
          </cell>
          <cell r="AQ2938">
            <v>0</v>
          </cell>
          <cell r="AV2938">
            <v>0</v>
          </cell>
        </row>
        <row r="2939">
          <cell r="E2939" t="str">
            <v>D26001531</v>
          </cell>
          <cell r="AP2939">
            <v>0</v>
          </cell>
          <cell r="AQ2939">
            <v>0</v>
          </cell>
          <cell r="AV2939">
            <v>0</v>
          </cell>
        </row>
        <row r="2940">
          <cell r="E2940" t="str">
            <v>B26001523</v>
          </cell>
          <cell r="AP2940">
            <v>0</v>
          </cell>
          <cell r="AQ2940">
            <v>0</v>
          </cell>
          <cell r="AV2940">
            <v>0</v>
          </cell>
        </row>
        <row r="2941">
          <cell r="E2941" t="str">
            <v>D26002891</v>
          </cell>
          <cell r="AP2941">
            <v>0</v>
          </cell>
          <cell r="AQ2941">
            <v>0</v>
          </cell>
          <cell r="AV2941">
            <v>0</v>
          </cell>
        </row>
        <row r="2942">
          <cell r="E2942" t="str">
            <v>D26003093</v>
          </cell>
          <cell r="AP2942">
            <v>0</v>
          </cell>
          <cell r="AQ2942">
            <v>0</v>
          </cell>
          <cell r="AV2942">
            <v>0</v>
          </cell>
        </row>
        <row r="2943">
          <cell r="E2943" t="str">
            <v>B26000797</v>
          </cell>
          <cell r="AP2943">
            <v>0</v>
          </cell>
          <cell r="AQ2943">
            <v>0</v>
          </cell>
          <cell r="AV2943">
            <v>0</v>
          </cell>
        </row>
        <row r="2944">
          <cell r="E2944" t="str">
            <v>B26002984</v>
          </cell>
          <cell r="AP2944">
            <v>0</v>
          </cell>
          <cell r="AQ2944">
            <v>0</v>
          </cell>
          <cell r="AV2944">
            <v>0</v>
          </cell>
        </row>
        <row r="2945">
          <cell r="E2945" t="str">
            <v>B26001396</v>
          </cell>
          <cell r="AP2945">
            <v>0</v>
          </cell>
          <cell r="AQ2945">
            <v>0</v>
          </cell>
          <cell r="AV2945">
            <v>0</v>
          </cell>
        </row>
        <row r="2946">
          <cell r="E2946" t="str">
            <v>D26002498</v>
          </cell>
          <cell r="AP2946">
            <v>0</v>
          </cell>
          <cell r="AQ2946">
            <v>0</v>
          </cell>
          <cell r="AV2946">
            <v>0</v>
          </cell>
        </row>
        <row r="2947">
          <cell r="E2947" t="str">
            <v>D26003168</v>
          </cell>
          <cell r="AP2947">
            <v>0</v>
          </cell>
          <cell r="AQ2947">
            <v>0</v>
          </cell>
          <cell r="AV2947">
            <v>0</v>
          </cell>
        </row>
        <row r="2948">
          <cell r="E2948" t="str">
            <v>D26002444</v>
          </cell>
          <cell r="AP2948">
            <v>0</v>
          </cell>
          <cell r="AQ2948">
            <v>0</v>
          </cell>
          <cell r="AV2948">
            <v>0</v>
          </cell>
        </row>
        <row r="2949">
          <cell r="E2949" t="str">
            <v>D26001903</v>
          </cell>
          <cell r="AP2949">
            <v>0</v>
          </cell>
          <cell r="AQ2949">
            <v>0</v>
          </cell>
          <cell r="AV2949">
            <v>0</v>
          </cell>
        </row>
        <row r="2950">
          <cell r="E2950" t="str">
            <v>D26002727</v>
          </cell>
          <cell r="AP2950">
            <v>0</v>
          </cell>
          <cell r="AQ2950">
            <v>0</v>
          </cell>
          <cell r="AV2950">
            <v>0</v>
          </cell>
        </row>
        <row r="2951">
          <cell r="E2951" t="str">
            <v>D26000368</v>
          </cell>
          <cell r="AP2951">
            <v>0</v>
          </cell>
          <cell r="AQ2951">
            <v>0</v>
          </cell>
          <cell r="AV2951">
            <v>0</v>
          </cell>
        </row>
        <row r="2952">
          <cell r="E2952" t="str">
            <v>B26001617</v>
          </cell>
          <cell r="AP2952">
            <v>0</v>
          </cell>
          <cell r="AQ2952">
            <v>0</v>
          </cell>
          <cell r="AV2952">
            <v>0</v>
          </cell>
        </row>
        <row r="2953">
          <cell r="E2953" t="str">
            <v>D26002275</v>
          </cell>
          <cell r="AP2953">
            <v>0</v>
          </cell>
          <cell r="AQ2953">
            <v>0</v>
          </cell>
          <cell r="AV2953">
            <v>0</v>
          </cell>
        </row>
        <row r="2954">
          <cell r="E2954" t="str">
            <v>D26002319</v>
          </cell>
          <cell r="AP2954">
            <v>0</v>
          </cell>
          <cell r="AQ2954">
            <v>0</v>
          </cell>
          <cell r="AV2954">
            <v>0</v>
          </cell>
        </row>
        <row r="2955">
          <cell r="E2955" t="str">
            <v>B26001933</v>
          </cell>
          <cell r="AP2955">
            <v>0</v>
          </cell>
          <cell r="AQ2955">
            <v>0</v>
          </cell>
          <cell r="AV2955">
            <v>0</v>
          </cell>
        </row>
        <row r="2956">
          <cell r="E2956" t="str">
            <v>B26001934</v>
          </cell>
          <cell r="AP2956">
            <v>0</v>
          </cell>
          <cell r="AQ2956">
            <v>0</v>
          </cell>
          <cell r="AV2956">
            <v>0</v>
          </cell>
        </row>
        <row r="2957">
          <cell r="E2957" t="str">
            <v>D26002758</v>
          </cell>
          <cell r="AP2957">
            <v>0</v>
          </cell>
          <cell r="AQ2957">
            <v>0</v>
          </cell>
          <cell r="AV2957">
            <v>0</v>
          </cell>
        </row>
        <row r="2958">
          <cell r="E2958" t="str">
            <v>D26002764</v>
          </cell>
          <cell r="AP2958">
            <v>0</v>
          </cell>
          <cell r="AQ2958">
            <v>0</v>
          </cell>
          <cell r="AV2958">
            <v>0</v>
          </cell>
        </row>
        <row r="2959">
          <cell r="E2959" t="str">
            <v>B26002679</v>
          </cell>
          <cell r="AP2959">
            <v>0</v>
          </cell>
          <cell r="AQ2959">
            <v>0</v>
          </cell>
          <cell r="AV2959">
            <v>0</v>
          </cell>
        </row>
        <row r="2960">
          <cell r="E2960" t="str">
            <v>B26000236</v>
          </cell>
          <cell r="AP2960">
            <v>0</v>
          </cell>
          <cell r="AQ2960">
            <v>0</v>
          </cell>
          <cell r="AV2960">
            <v>0</v>
          </cell>
        </row>
        <row r="2961">
          <cell r="E2961" t="str">
            <v>D26001423</v>
          </cell>
          <cell r="AP2961">
            <v>0</v>
          </cell>
          <cell r="AQ2961">
            <v>0</v>
          </cell>
          <cell r="AV2961">
            <v>0</v>
          </cell>
        </row>
        <row r="2962">
          <cell r="E2962" t="str">
            <v>D26001424</v>
          </cell>
          <cell r="AP2962">
            <v>0</v>
          </cell>
          <cell r="AQ2962">
            <v>0</v>
          </cell>
          <cell r="AV2962">
            <v>0</v>
          </cell>
        </row>
        <row r="2963">
          <cell r="E2963" t="str">
            <v>B26001393</v>
          </cell>
          <cell r="AP2963">
            <v>0</v>
          </cell>
          <cell r="AQ2963">
            <v>0</v>
          </cell>
          <cell r="AV2963">
            <v>0</v>
          </cell>
        </row>
        <row r="2964">
          <cell r="E2964" t="str">
            <v>D26001847</v>
          </cell>
          <cell r="AP2964">
            <v>0</v>
          </cell>
          <cell r="AQ2964">
            <v>0</v>
          </cell>
          <cell r="AV2964">
            <v>0</v>
          </cell>
        </row>
        <row r="2965">
          <cell r="E2965" t="str">
            <v>D26001871</v>
          </cell>
          <cell r="AP2965">
            <v>0</v>
          </cell>
          <cell r="AQ2965">
            <v>0</v>
          </cell>
          <cell r="AV2965">
            <v>0</v>
          </cell>
        </row>
        <row r="2966">
          <cell r="E2966" t="str">
            <v>D26001906</v>
          </cell>
          <cell r="AP2966">
            <v>0</v>
          </cell>
          <cell r="AQ2966">
            <v>0</v>
          </cell>
          <cell r="AV2966">
            <v>0</v>
          </cell>
        </row>
        <row r="2967">
          <cell r="E2967" t="str">
            <v>D26001915</v>
          </cell>
          <cell r="AP2967">
            <v>0</v>
          </cell>
          <cell r="AQ2967">
            <v>0</v>
          </cell>
          <cell r="AV2967">
            <v>0</v>
          </cell>
        </row>
        <row r="2968">
          <cell r="E2968" t="str">
            <v>B26002073</v>
          </cell>
          <cell r="AP2968">
            <v>0</v>
          </cell>
          <cell r="AQ2968">
            <v>0</v>
          </cell>
          <cell r="AV2968">
            <v>0</v>
          </cell>
        </row>
        <row r="2969">
          <cell r="E2969" t="str">
            <v>B26002074</v>
          </cell>
          <cell r="AP2969">
            <v>0</v>
          </cell>
          <cell r="AQ2969">
            <v>0</v>
          </cell>
          <cell r="AV2969">
            <v>0</v>
          </cell>
        </row>
        <row r="2970">
          <cell r="E2970" t="str">
            <v>B26002076</v>
          </cell>
          <cell r="AP2970">
            <v>0</v>
          </cell>
          <cell r="AQ2970">
            <v>0</v>
          </cell>
          <cell r="AV2970">
            <v>0</v>
          </cell>
        </row>
        <row r="2971">
          <cell r="E2971" t="str">
            <v>B26002077</v>
          </cell>
          <cell r="AP2971">
            <v>0</v>
          </cell>
          <cell r="AQ2971">
            <v>0</v>
          </cell>
          <cell r="AV2971">
            <v>0</v>
          </cell>
        </row>
        <row r="2972">
          <cell r="E2972">
            <v>260016</v>
          </cell>
          <cell r="AP2972">
            <v>0</v>
          </cell>
          <cell r="AQ2972">
            <v>0</v>
          </cell>
          <cell r="AV2972">
            <v>0</v>
          </cell>
        </row>
        <row r="2973">
          <cell r="E2973" t="str">
            <v>B26002415</v>
          </cell>
          <cell r="AP2973">
            <v>0</v>
          </cell>
          <cell r="AQ2973">
            <v>0</v>
          </cell>
          <cell r="AV2973">
            <v>0</v>
          </cell>
        </row>
        <row r="2974">
          <cell r="E2974" t="str">
            <v>D26002594</v>
          </cell>
          <cell r="AP2974">
            <v>0</v>
          </cell>
          <cell r="AQ2974">
            <v>0</v>
          </cell>
          <cell r="AV2974">
            <v>0</v>
          </cell>
        </row>
        <row r="2975">
          <cell r="E2975" t="str">
            <v>D26002595</v>
          </cell>
          <cell r="AP2975">
            <v>0</v>
          </cell>
          <cell r="AQ2975">
            <v>0</v>
          </cell>
          <cell r="AV2975">
            <v>0</v>
          </cell>
        </row>
        <row r="2976">
          <cell r="E2976" t="str">
            <v>T26000179</v>
          </cell>
          <cell r="AP2976">
            <v>0</v>
          </cell>
          <cell r="AQ2976">
            <v>0</v>
          </cell>
          <cell r="AV2976">
            <v>0</v>
          </cell>
        </row>
        <row r="2977">
          <cell r="E2977" t="str">
            <v>B26002754</v>
          </cell>
          <cell r="AP2977">
            <v>0</v>
          </cell>
          <cell r="AQ2977">
            <v>0</v>
          </cell>
          <cell r="AV2977">
            <v>0</v>
          </cell>
        </row>
        <row r="2978">
          <cell r="E2978" t="str">
            <v>B26002755</v>
          </cell>
          <cell r="AP2978">
            <v>0</v>
          </cell>
          <cell r="AQ2978">
            <v>0</v>
          </cell>
          <cell r="AV2978">
            <v>0</v>
          </cell>
        </row>
        <row r="2979">
          <cell r="E2979" t="str">
            <v>B26002756</v>
          </cell>
          <cell r="AP2979">
            <v>0</v>
          </cell>
          <cell r="AQ2979">
            <v>0</v>
          </cell>
          <cell r="AV2979">
            <v>0</v>
          </cell>
        </row>
        <row r="2980">
          <cell r="E2980" t="str">
            <v>B26002757</v>
          </cell>
          <cell r="AP2980">
            <v>0</v>
          </cell>
          <cell r="AQ2980">
            <v>0</v>
          </cell>
          <cell r="AV2980">
            <v>0</v>
          </cell>
        </row>
        <row r="2981">
          <cell r="E2981" t="str">
            <v>B26002883</v>
          </cell>
          <cell r="AP2981">
            <v>0</v>
          </cell>
          <cell r="AQ2981">
            <v>0</v>
          </cell>
          <cell r="AV2981">
            <v>0</v>
          </cell>
        </row>
        <row r="2982">
          <cell r="E2982" t="str">
            <v>B26003075</v>
          </cell>
          <cell r="AP2982">
            <v>0</v>
          </cell>
          <cell r="AQ2982">
            <v>0</v>
          </cell>
          <cell r="AV2982">
            <v>0</v>
          </cell>
        </row>
        <row r="2983">
          <cell r="E2983" t="str">
            <v>B26003076</v>
          </cell>
          <cell r="AP2983">
            <v>0</v>
          </cell>
          <cell r="AQ2983">
            <v>0</v>
          </cell>
          <cell r="AV2983">
            <v>0</v>
          </cell>
        </row>
        <row r="2984">
          <cell r="E2984" t="str">
            <v>T25001810</v>
          </cell>
          <cell r="AP2984">
            <v>0</v>
          </cell>
          <cell r="AQ2984">
            <v>0</v>
          </cell>
          <cell r="AV2984">
            <v>0</v>
          </cell>
        </row>
        <row r="2985">
          <cell r="E2985" t="str">
            <v>T25001813</v>
          </cell>
          <cell r="AP2985">
            <v>0</v>
          </cell>
          <cell r="AQ2985">
            <v>0</v>
          </cell>
          <cell r="AV2985">
            <v>0</v>
          </cell>
        </row>
        <row r="2986">
          <cell r="E2986" t="str">
            <v>T26000127</v>
          </cell>
          <cell r="AP2986">
            <v>0</v>
          </cell>
          <cell r="AQ2986">
            <v>0</v>
          </cell>
          <cell r="AV2986">
            <v>0</v>
          </cell>
        </row>
        <row r="2987">
          <cell r="E2987" t="str">
            <v>T26000128</v>
          </cell>
          <cell r="AP2987">
            <v>0</v>
          </cell>
          <cell r="AQ2987">
            <v>0</v>
          </cell>
          <cell r="AV2987">
            <v>0</v>
          </cell>
        </row>
        <row r="2988">
          <cell r="E2988" t="str">
            <v>D26003082</v>
          </cell>
          <cell r="AP2988">
            <v>0</v>
          </cell>
          <cell r="AQ2988">
            <v>0</v>
          </cell>
          <cell r="AV2988">
            <v>0</v>
          </cell>
        </row>
        <row r="2989">
          <cell r="E2989" t="str">
            <v>Z25003090</v>
          </cell>
          <cell r="AP2989">
            <v>0</v>
          </cell>
          <cell r="AQ2989">
            <v>0</v>
          </cell>
          <cell r="AV2989">
            <v>0</v>
          </cell>
        </row>
        <row r="2990">
          <cell r="E2990" t="str">
            <v>Z25003155</v>
          </cell>
          <cell r="AP2990">
            <v>0</v>
          </cell>
          <cell r="AQ2990">
            <v>0</v>
          </cell>
          <cell r="AV2990">
            <v>0</v>
          </cell>
        </row>
        <row r="2991">
          <cell r="E2991" t="str">
            <v>Z25003160</v>
          </cell>
          <cell r="AP2991">
            <v>0</v>
          </cell>
          <cell r="AQ2991">
            <v>0</v>
          </cell>
          <cell r="AV2991">
            <v>0</v>
          </cell>
        </row>
        <row r="2992">
          <cell r="E2992" t="str">
            <v>Z25003231</v>
          </cell>
          <cell r="AP2992">
            <v>0</v>
          </cell>
          <cell r="AQ2992">
            <v>0</v>
          </cell>
          <cell r="AV2992">
            <v>0</v>
          </cell>
        </row>
        <row r="2993">
          <cell r="E2993" t="str">
            <v>Z26000132</v>
          </cell>
          <cell r="AP2993">
            <v>0</v>
          </cell>
          <cell r="AQ2993">
            <v>0</v>
          </cell>
          <cell r="AV2993">
            <v>0</v>
          </cell>
        </row>
        <row r="2994">
          <cell r="E2994" t="str">
            <v>Z26000165</v>
          </cell>
          <cell r="AP2994">
            <v>0</v>
          </cell>
          <cell r="AQ2994">
            <v>0</v>
          </cell>
          <cell r="AV2994">
            <v>0</v>
          </cell>
        </row>
        <row r="2995">
          <cell r="E2995" t="str">
            <v>Z26000295</v>
          </cell>
          <cell r="AP2995">
            <v>0</v>
          </cell>
          <cell r="AQ2995">
            <v>0</v>
          </cell>
          <cell r="AV2995">
            <v>0</v>
          </cell>
        </row>
        <row r="2996">
          <cell r="E2996" t="str">
            <v>D26002520</v>
          </cell>
          <cell r="AP2996">
            <v>0</v>
          </cell>
          <cell r="AQ2996">
            <v>0</v>
          </cell>
          <cell r="AV2996">
            <v>0</v>
          </cell>
        </row>
        <row r="2997">
          <cell r="E2997" t="str">
            <v>B26002454</v>
          </cell>
          <cell r="AP2997">
            <v>0</v>
          </cell>
          <cell r="AQ2997">
            <v>0</v>
          </cell>
          <cell r="AV2997">
            <v>0</v>
          </cell>
        </row>
        <row r="2998">
          <cell r="E2998" t="str">
            <v>D26002624</v>
          </cell>
          <cell r="AP2998">
            <v>0</v>
          </cell>
          <cell r="AQ2998">
            <v>0</v>
          </cell>
          <cell r="AV2998">
            <v>0</v>
          </cell>
        </row>
        <row r="2999">
          <cell r="E2999" t="str">
            <v>D26002951</v>
          </cell>
          <cell r="AP2999">
            <v>0</v>
          </cell>
          <cell r="AQ2999">
            <v>0</v>
          </cell>
          <cell r="AV2999">
            <v>0</v>
          </cell>
        </row>
        <row r="3000">
          <cell r="E3000" t="str">
            <v>D26002952</v>
          </cell>
          <cell r="AP3000">
            <v>0</v>
          </cell>
          <cell r="AQ3000">
            <v>0</v>
          </cell>
          <cell r="AV3000">
            <v>0</v>
          </cell>
        </row>
        <row r="3001">
          <cell r="E3001" t="str">
            <v>T26000204</v>
          </cell>
          <cell r="AP3001">
            <v>0</v>
          </cell>
          <cell r="AQ3001">
            <v>0</v>
          </cell>
          <cell r="AV3001">
            <v>0</v>
          </cell>
        </row>
        <row r="3002">
          <cell r="E3002" t="str">
            <v>B26001151</v>
          </cell>
          <cell r="AP3002">
            <v>0</v>
          </cell>
          <cell r="AQ3002">
            <v>0</v>
          </cell>
          <cell r="AV3002">
            <v>0</v>
          </cell>
        </row>
        <row r="3003">
          <cell r="E3003" t="str">
            <v>B26001152</v>
          </cell>
          <cell r="AP3003">
            <v>0</v>
          </cell>
          <cell r="AQ3003">
            <v>0</v>
          </cell>
          <cell r="AV3003">
            <v>0</v>
          </cell>
        </row>
        <row r="3004">
          <cell r="E3004" t="str">
            <v>T26000039</v>
          </cell>
          <cell r="AP3004">
            <v>0</v>
          </cell>
          <cell r="AQ3004">
            <v>0</v>
          </cell>
          <cell r="AV3004">
            <v>0</v>
          </cell>
        </row>
        <row r="3005">
          <cell r="E3005" t="str">
            <v>B26000251</v>
          </cell>
          <cell r="AP3005">
            <v>0</v>
          </cell>
          <cell r="AQ3005">
            <v>0</v>
          </cell>
          <cell r="AV3005">
            <v>0</v>
          </cell>
        </row>
        <row r="3006">
          <cell r="E3006" t="str">
            <v>B26003043</v>
          </cell>
          <cell r="AP3006">
            <v>0</v>
          </cell>
          <cell r="AQ3006">
            <v>0</v>
          </cell>
          <cell r="AV3006">
            <v>0</v>
          </cell>
        </row>
        <row r="3007">
          <cell r="E3007" t="str">
            <v>B26003088</v>
          </cell>
          <cell r="AP3007">
            <v>0</v>
          </cell>
          <cell r="AQ3007">
            <v>0</v>
          </cell>
          <cell r="AV3007">
            <v>0</v>
          </cell>
        </row>
        <row r="3008">
          <cell r="E3008" t="str">
            <v>D25017355</v>
          </cell>
          <cell r="AP3008">
            <v>0</v>
          </cell>
          <cell r="AQ3008">
            <v>0</v>
          </cell>
          <cell r="AV3008">
            <v>0</v>
          </cell>
        </row>
        <row r="3009">
          <cell r="E3009" t="str">
            <v>D25017877</v>
          </cell>
          <cell r="AP3009">
            <v>0</v>
          </cell>
          <cell r="AQ3009">
            <v>0</v>
          </cell>
          <cell r="AV3009">
            <v>0</v>
          </cell>
        </row>
        <row r="3010">
          <cell r="E3010" t="str">
            <v>D26001992</v>
          </cell>
          <cell r="AP3010">
            <v>0</v>
          </cell>
          <cell r="AQ3010">
            <v>0</v>
          </cell>
          <cell r="AV3010">
            <v>0</v>
          </cell>
        </row>
        <row r="3011">
          <cell r="E3011" t="str">
            <v>B26002034</v>
          </cell>
          <cell r="AP3011">
            <v>0</v>
          </cell>
          <cell r="AQ3011">
            <v>0</v>
          </cell>
          <cell r="AV3011">
            <v>0</v>
          </cell>
        </row>
        <row r="3012">
          <cell r="E3012" t="str">
            <v>B26002035</v>
          </cell>
          <cell r="AP3012">
            <v>0</v>
          </cell>
          <cell r="AQ3012">
            <v>0</v>
          </cell>
          <cell r="AV3012">
            <v>0</v>
          </cell>
        </row>
        <row r="3013">
          <cell r="E3013" t="str">
            <v>B26002122</v>
          </cell>
          <cell r="AP3013">
            <v>0</v>
          </cell>
          <cell r="AQ3013">
            <v>0</v>
          </cell>
          <cell r="AV3013">
            <v>0</v>
          </cell>
        </row>
        <row r="3014">
          <cell r="E3014" t="str">
            <v>D26002338</v>
          </cell>
          <cell r="AP3014">
            <v>0</v>
          </cell>
          <cell r="AQ3014">
            <v>0</v>
          </cell>
          <cell r="AV3014">
            <v>0</v>
          </cell>
        </row>
        <row r="3015">
          <cell r="E3015" t="str">
            <v>D26002352</v>
          </cell>
          <cell r="AP3015">
            <v>0</v>
          </cell>
          <cell r="AQ3015">
            <v>0</v>
          </cell>
          <cell r="AV3015">
            <v>0</v>
          </cell>
        </row>
        <row r="3016">
          <cell r="E3016" t="str">
            <v>D26002843</v>
          </cell>
          <cell r="AP3016">
            <v>0</v>
          </cell>
          <cell r="AQ3016">
            <v>0</v>
          </cell>
          <cell r="AV3016">
            <v>0</v>
          </cell>
        </row>
        <row r="3017">
          <cell r="E3017" t="str">
            <v>D26002844</v>
          </cell>
          <cell r="AP3017">
            <v>0</v>
          </cell>
          <cell r="AQ3017">
            <v>0</v>
          </cell>
          <cell r="AV3017">
            <v>0</v>
          </cell>
        </row>
        <row r="3018">
          <cell r="E3018" t="str">
            <v>B26002742</v>
          </cell>
          <cell r="AP3018">
            <v>0</v>
          </cell>
          <cell r="AQ3018">
            <v>0</v>
          </cell>
          <cell r="AV3018">
            <v>0</v>
          </cell>
        </row>
        <row r="3019">
          <cell r="E3019" t="str">
            <v>B26002768</v>
          </cell>
          <cell r="AP3019">
            <v>0</v>
          </cell>
          <cell r="AQ3019">
            <v>0</v>
          </cell>
          <cell r="AV3019">
            <v>0</v>
          </cell>
        </row>
        <row r="3020">
          <cell r="E3020" t="str">
            <v>B26002779</v>
          </cell>
          <cell r="AP3020">
            <v>0</v>
          </cell>
          <cell r="AQ3020">
            <v>0</v>
          </cell>
          <cell r="AV3020">
            <v>0</v>
          </cell>
        </row>
        <row r="3021">
          <cell r="E3021" t="str">
            <v>B26002829</v>
          </cell>
          <cell r="AP3021">
            <v>0</v>
          </cell>
          <cell r="AQ3021">
            <v>0</v>
          </cell>
          <cell r="AV3021">
            <v>0</v>
          </cell>
        </row>
        <row r="3022">
          <cell r="E3022" t="str">
            <v>T26000239</v>
          </cell>
          <cell r="AP3022">
            <v>0</v>
          </cell>
          <cell r="AQ3022">
            <v>0</v>
          </cell>
          <cell r="AV3022">
            <v>0</v>
          </cell>
        </row>
        <row r="3023">
          <cell r="E3023" t="str">
            <v>B26003015</v>
          </cell>
          <cell r="AP3023">
            <v>0</v>
          </cell>
          <cell r="AQ3023">
            <v>0</v>
          </cell>
          <cell r="AV3023">
            <v>0</v>
          </cell>
        </row>
        <row r="3024">
          <cell r="E3024" t="str">
            <v>B26003041</v>
          </cell>
          <cell r="AP3024">
            <v>0</v>
          </cell>
          <cell r="AQ3024">
            <v>0</v>
          </cell>
          <cell r="AV3024">
            <v>0</v>
          </cell>
        </row>
        <row r="3025">
          <cell r="E3025" t="str">
            <v>D26003244</v>
          </cell>
          <cell r="AP3025">
            <v>0</v>
          </cell>
          <cell r="AQ3025">
            <v>0</v>
          </cell>
          <cell r="AV3025">
            <v>0</v>
          </cell>
        </row>
        <row r="3026">
          <cell r="E3026" t="str">
            <v>D26003245</v>
          </cell>
          <cell r="AP3026">
            <v>0</v>
          </cell>
          <cell r="AQ3026">
            <v>0</v>
          </cell>
          <cell r="AV3026">
            <v>0</v>
          </cell>
        </row>
        <row r="3027">
          <cell r="E3027" t="str">
            <v>D26003289</v>
          </cell>
          <cell r="AP3027">
            <v>0</v>
          </cell>
          <cell r="AQ3027">
            <v>0</v>
          </cell>
          <cell r="AV3027">
            <v>0</v>
          </cell>
        </row>
        <row r="3028">
          <cell r="E3028" t="str">
            <v>B26002018</v>
          </cell>
          <cell r="AP3028">
            <v>0</v>
          </cell>
          <cell r="AQ3028">
            <v>0</v>
          </cell>
          <cell r="AV3028">
            <v>0</v>
          </cell>
        </row>
        <row r="3029">
          <cell r="E3029" t="str">
            <v>B26002161</v>
          </cell>
          <cell r="AP3029">
            <v>0</v>
          </cell>
          <cell r="AQ3029">
            <v>0</v>
          </cell>
          <cell r="AV3029">
            <v>0</v>
          </cell>
        </row>
        <row r="3030">
          <cell r="E3030" t="str">
            <v>B26002162</v>
          </cell>
          <cell r="AP3030">
            <v>0</v>
          </cell>
          <cell r="AQ3030">
            <v>0</v>
          </cell>
          <cell r="AV3030">
            <v>0</v>
          </cell>
        </row>
        <row r="3031">
          <cell r="E3031" t="str">
            <v>B26002169</v>
          </cell>
          <cell r="AP3031">
            <v>0</v>
          </cell>
          <cell r="AQ3031">
            <v>0</v>
          </cell>
          <cell r="AV3031">
            <v>0</v>
          </cell>
        </row>
        <row r="3032">
          <cell r="E3032" t="str">
            <v>D26002803</v>
          </cell>
          <cell r="AP3032">
            <v>0</v>
          </cell>
          <cell r="AQ3032">
            <v>0</v>
          </cell>
          <cell r="AV3032">
            <v>0</v>
          </cell>
        </row>
        <row r="3033">
          <cell r="E3033" t="str">
            <v>D26002804</v>
          </cell>
          <cell r="AP3033">
            <v>0</v>
          </cell>
          <cell r="AQ3033">
            <v>0</v>
          </cell>
          <cell r="AV3033">
            <v>0</v>
          </cell>
        </row>
        <row r="3034">
          <cell r="E3034" t="str">
            <v>D26002805</v>
          </cell>
          <cell r="AP3034">
            <v>0</v>
          </cell>
          <cell r="AQ3034">
            <v>0</v>
          </cell>
          <cell r="AV3034">
            <v>0</v>
          </cell>
        </row>
        <row r="3035">
          <cell r="E3035" t="str">
            <v>Z26000252</v>
          </cell>
          <cell r="AP3035">
            <v>0</v>
          </cell>
          <cell r="AQ3035">
            <v>0</v>
          </cell>
          <cell r="AV3035">
            <v>0</v>
          </cell>
        </row>
        <row r="3036">
          <cell r="E3036" t="str">
            <v>D25017479</v>
          </cell>
          <cell r="AP3036">
            <v>0</v>
          </cell>
          <cell r="AQ3036">
            <v>0</v>
          </cell>
          <cell r="AV3036">
            <v>0</v>
          </cell>
        </row>
        <row r="3037">
          <cell r="E3037" t="str">
            <v>D25018022</v>
          </cell>
          <cell r="AP3037">
            <v>0</v>
          </cell>
          <cell r="AQ3037">
            <v>0</v>
          </cell>
          <cell r="AV3037">
            <v>0</v>
          </cell>
        </row>
        <row r="3038">
          <cell r="E3038" t="str">
            <v>B25015919</v>
          </cell>
          <cell r="AP3038">
            <v>0</v>
          </cell>
          <cell r="AQ3038">
            <v>0</v>
          </cell>
          <cell r="AV3038">
            <v>0</v>
          </cell>
        </row>
        <row r="3039">
          <cell r="E3039" t="str">
            <v>B25016719</v>
          </cell>
          <cell r="AP3039">
            <v>0</v>
          </cell>
          <cell r="AQ3039">
            <v>0</v>
          </cell>
          <cell r="AV3039">
            <v>0</v>
          </cell>
        </row>
        <row r="3040">
          <cell r="E3040" t="str">
            <v>T25001870</v>
          </cell>
          <cell r="AP3040">
            <v>0</v>
          </cell>
          <cell r="AQ3040">
            <v>0</v>
          </cell>
          <cell r="AV3040">
            <v>0</v>
          </cell>
        </row>
        <row r="3041">
          <cell r="E3041" t="str">
            <v>B25016949</v>
          </cell>
          <cell r="AP3041">
            <v>0</v>
          </cell>
          <cell r="AQ3041">
            <v>0</v>
          </cell>
          <cell r="AV3041">
            <v>0</v>
          </cell>
        </row>
        <row r="3042">
          <cell r="E3042" t="str">
            <v>D25019456</v>
          </cell>
          <cell r="AP3042">
            <v>0</v>
          </cell>
          <cell r="AQ3042">
            <v>0</v>
          </cell>
          <cell r="AV3042">
            <v>0</v>
          </cell>
        </row>
        <row r="3043">
          <cell r="E3043" t="str">
            <v>B25017120</v>
          </cell>
          <cell r="AP3043">
            <v>0</v>
          </cell>
          <cell r="AQ3043">
            <v>0</v>
          </cell>
          <cell r="AV3043">
            <v>0</v>
          </cell>
        </row>
        <row r="3044">
          <cell r="E3044" t="str">
            <v>D25019687</v>
          </cell>
          <cell r="AP3044">
            <v>0</v>
          </cell>
          <cell r="AQ3044">
            <v>0</v>
          </cell>
          <cell r="AV3044">
            <v>0</v>
          </cell>
        </row>
        <row r="3045">
          <cell r="E3045" t="str">
            <v>D26000526</v>
          </cell>
          <cell r="AP3045">
            <v>0</v>
          </cell>
          <cell r="AQ3045">
            <v>0</v>
          </cell>
          <cell r="AV3045">
            <v>0</v>
          </cell>
        </row>
        <row r="3046">
          <cell r="E3046" t="str">
            <v>D26000793</v>
          </cell>
          <cell r="AP3046">
            <v>0</v>
          </cell>
          <cell r="AQ3046">
            <v>0</v>
          </cell>
          <cell r="AV3046">
            <v>0</v>
          </cell>
        </row>
        <row r="3047">
          <cell r="E3047" t="str">
            <v>D26000794</v>
          </cell>
          <cell r="AP3047">
            <v>0</v>
          </cell>
          <cell r="AQ3047">
            <v>0</v>
          </cell>
          <cell r="AV3047">
            <v>0</v>
          </cell>
        </row>
        <row r="3048">
          <cell r="E3048" t="str">
            <v>B26000762</v>
          </cell>
          <cell r="AP3048">
            <v>0</v>
          </cell>
          <cell r="AQ3048">
            <v>0</v>
          </cell>
          <cell r="AV3048">
            <v>0</v>
          </cell>
        </row>
        <row r="3049">
          <cell r="E3049" t="str">
            <v>B26000763</v>
          </cell>
          <cell r="AP3049">
            <v>0</v>
          </cell>
          <cell r="AQ3049">
            <v>0</v>
          </cell>
          <cell r="AV3049">
            <v>0</v>
          </cell>
        </row>
        <row r="3050">
          <cell r="E3050" t="str">
            <v>B26000789</v>
          </cell>
          <cell r="AP3050">
            <v>0</v>
          </cell>
          <cell r="AQ3050">
            <v>0</v>
          </cell>
          <cell r="AV3050">
            <v>0</v>
          </cell>
        </row>
        <row r="3051">
          <cell r="E3051" t="str">
            <v>B26001310</v>
          </cell>
          <cell r="AP3051">
            <v>0</v>
          </cell>
          <cell r="AQ3051">
            <v>0</v>
          </cell>
          <cell r="AV3051">
            <v>0</v>
          </cell>
        </row>
        <row r="3052">
          <cell r="E3052" t="str">
            <v>B26001316</v>
          </cell>
          <cell r="AP3052">
            <v>0</v>
          </cell>
          <cell r="AQ3052">
            <v>0</v>
          </cell>
          <cell r="AV3052">
            <v>0</v>
          </cell>
        </row>
        <row r="3053">
          <cell r="E3053" t="str">
            <v>D26001513</v>
          </cell>
          <cell r="AP3053">
            <v>0</v>
          </cell>
          <cell r="AQ3053">
            <v>0</v>
          </cell>
          <cell r="AV3053">
            <v>0</v>
          </cell>
        </row>
        <row r="3054">
          <cell r="E3054" t="str">
            <v>B26001625</v>
          </cell>
          <cell r="AP3054">
            <v>0</v>
          </cell>
          <cell r="AQ3054">
            <v>0</v>
          </cell>
          <cell r="AV3054">
            <v>0</v>
          </cell>
        </row>
        <row r="3055">
          <cell r="E3055" t="str">
            <v>B26001648</v>
          </cell>
          <cell r="AP3055">
            <v>0</v>
          </cell>
          <cell r="AQ3055">
            <v>0</v>
          </cell>
          <cell r="AV3055">
            <v>0</v>
          </cell>
        </row>
        <row r="3056">
          <cell r="E3056" t="str">
            <v>D26001764</v>
          </cell>
          <cell r="AP3056">
            <v>0</v>
          </cell>
          <cell r="AQ3056">
            <v>0</v>
          </cell>
          <cell r="AV3056">
            <v>0</v>
          </cell>
        </row>
        <row r="3057">
          <cell r="E3057" t="str">
            <v>D26001893</v>
          </cell>
          <cell r="AP3057">
            <v>0</v>
          </cell>
          <cell r="AQ3057">
            <v>0</v>
          </cell>
          <cell r="AV3057">
            <v>0</v>
          </cell>
        </row>
        <row r="3058">
          <cell r="E3058" t="str">
            <v>D26002056</v>
          </cell>
          <cell r="AP3058">
            <v>0</v>
          </cell>
          <cell r="AQ3058">
            <v>0</v>
          </cell>
          <cell r="AV3058">
            <v>0</v>
          </cell>
        </row>
        <row r="3059">
          <cell r="E3059" t="str">
            <v>D26002258</v>
          </cell>
          <cell r="AP3059">
            <v>0</v>
          </cell>
          <cell r="AQ3059">
            <v>0</v>
          </cell>
          <cell r="AV3059">
            <v>0</v>
          </cell>
        </row>
        <row r="3060">
          <cell r="E3060" t="str">
            <v>B26002199</v>
          </cell>
          <cell r="AP3060">
            <v>0</v>
          </cell>
          <cell r="AQ3060">
            <v>0</v>
          </cell>
          <cell r="AV3060">
            <v>0</v>
          </cell>
        </row>
        <row r="3061">
          <cell r="E3061" t="str">
            <v>B26002241</v>
          </cell>
          <cell r="AP3061">
            <v>0</v>
          </cell>
          <cell r="AQ3061">
            <v>0</v>
          </cell>
          <cell r="AV3061">
            <v>0</v>
          </cell>
        </row>
        <row r="3062">
          <cell r="E3062" t="str">
            <v>D26002635</v>
          </cell>
          <cell r="AP3062">
            <v>0</v>
          </cell>
          <cell r="AQ3062">
            <v>0</v>
          </cell>
          <cell r="AV3062">
            <v>0</v>
          </cell>
        </row>
        <row r="3063">
          <cell r="E3063" t="str">
            <v>B26002574</v>
          </cell>
          <cell r="AP3063">
            <v>0</v>
          </cell>
          <cell r="AQ3063">
            <v>0</v>
          </cell>
          <cell r="AV3063">
            <v>0</v>
          </cell>
        </row>
        <row r="3064">
          <cell r="E3064" t="str">
            <v>B26002575</v>
          </cell>
          <cell r="AP3064">
            <v>0</v>
          </cell>
          <cell r="AQ3064">
            <v>0</v>
          </cell>
          <cell r="AV3064">
            <v>0</v>
          </cell>
        </row>
        <row r="3065">
          <cell r="E3065" t="str">
            <v>B26002922</v>
          </cell>
          <cell r="AP3065">
            <v>0</v>
          </cell>
          <cell r="AQ3065">
            <v>0</v>
          </cell>
          <cell r="AV3065">
            <v>0</v>
          </cell>
        </row>
        <row r="3066">
          <cell r="E3066" t="str">
            <v>B26002923</v>
          </cell>
          <cell r="AP3066">
            <v>0</v>
          </cell>
          <cell r="AQ3066">
            <v>0</v>
          </cell>
          <cell r="AV3066">
            <v>0</v>
          </cell>
        </row>
        <row r="3067">
          <cell r="E3067" t="str">
            <v>B26002940</v>
          </cell>
          <cell r="AP3067">
            <v>0</v>
          </cell>
          <cell r="AQ3067">
            <v>0</v>
          </cell>
          <cell r="AV3067">
            <v>0</v>
          </cell>
        </row>
        <row r="3068">
          <cell r="E3068" t="str">
            <v>Z26000584</v>
          </cell>
          <cell r="AP3068">
            <v>0</v>
          </cell>
          <cell r="AQ3068">
            <v>0</v>
          </cell>
          <cell r="AV3068">
            <v>0</v>
          </cell>
        </row>
        <row r="3069">
          <cell r="E3069" t="str">
            <v>T26000085</v>
          </cell>
          <cell r="AP3069">
            <v>0</v>
          </cell>
          <cell r="AQ3069">
            <v>0</v>
          </cell>
          <cell r="AV3069">
            <v>0</v>
          </cell>
        </row>
        <row r="3070">
          <cell r="E3070" t="str">
            <v>B26002044</v>
          </cell>
          <cell r="AP3070">
            <v>0</v>
          </cell>
          <cell r="AQ3070">
            <v>0</v>
          </cell>
          <cell r="AV3070">
            <v>0</v>
          </cell>
        </row>
        <row r="3071">
          <cell r="E3071" t="str">
            <v>D25018352</v>
          </cell>
          <cell r="AP3071">
            <v>0</v>
          </cell>
          <cell r="AQ3071">
            <v>0</v>
          </cell>
          <cell r="AV3071">
            <v>8000000</v>
          </cell>
        </row>
        <row r="3072">
          <cell r="E3072" t="str">
            <v>D26000433</v>
          </cell>
          <cell r="AP3072">
            <v>0</v>
          </cell>
          <cell r="AQ3072">
            <v>0</v>
          </cell>
          <cell r="AV3072">
            <v>0</v>
          </cell>
        </row>
        <row r="3073">
          <cell r="E3073" t="str">
            <v>B26001108</v>
          </cell>
          <cell r="AP3073">
            <v>0</v>
          </cell>
          <cell r="AQ3073">
            <v>0</v>
          </cell>
          <cell r="AV3073">
            <v>0</v>
          </cell>
        </row>
        <row r="3074">
          <cell r="E3074" t="str">
            <v>D26001725</v>
          </cell>
          <cell r="AP3074">
            <v>0</v>
          </cell>
          <cell r="AQ3074">
            <v>0</v>
          </cell>
          <cell r="AV3074">
            <v>73660000</v>
          </cell>
        </row>
        <row r="3075">
          <cell r="E3075" t="str">
            <v>D26001726</v>
          </cell>
          <cell r="AP3075">
            <v>0</v>
          </cell>
          <cell r="AQ3075">
            <v>0</v>
          </cell>
          <cell r="AV3075">
            <v>15580000</v>
          </cell>
        </row>
        <row r="3076">
          <cell r="E3076" t="str">
            <v>D26001728</v>
          </cell>
          <cell r="AP3076">
            <v>0</v>
          </cell>
          <cell r="AQ3076">
            <v>0</v>
          </cell>
          <cell r="AV3076">
            <v>6125000</v>
          </cell>
        </row>
        <row r="3077">
          <cell r="E3077" t="str">
            <v>B26001713</v>
          </cell>
          <cell r="AP3077">
            <v>0</v>
          </cell>
          <cell r="AQ3077">
            <v>0</v>
          </cell>
          <cell r="AV3077">
            <v>0</v>
          </cell>
        </row>
        <row r="3078">
          <cell r="E3078" t="str">
            <v>D26001891</v>
          </cell>
          <cell r="AP3078">
            <v>0</v>
          </cell>
          <cell r="AQ3078">
            <v>0</v>
          </cell>
          <cell r="AV3078">
            <v>0</v>
          </cell>
        </row>
        <row r="3079">
          <cell r="E3079" t="str">
            <v>B26001884</v>
          </cell>
          <cell r="AP3079">
            <v>0</v>
          </cell>
          <cell r="AQ3079">
            <v>0</v>
          </cell>
          <cell r="AV3079">
            <v>0</v>
          </cell>
        </row>
        <row r="3080">
          <cell r="E3080" t="str">
            <v>D26002178</v>
          </cell>
          <cell r="AP3080">
            <v>0</v>
          </cell>
          <cell r="AQ3080">
            <v>0</v>
          </cell>
          <cell r="AV3080">
            <v>0</v>
          </cell>
        </row>
        <row r="3081">
          <cell r="E3081" t="str">
            <v>B26002273</v>
          </cell>
          <cell r="AP3081">
            <v>0</v>
          </cell>
          <cell r="AQ3081">
            <v>0</v>
          </cell>
          <cell r="AV3081">
            <v>0</v>
          </cell>
        </row>
        <row r="3082">
          <cell r="E3082" t="str">
            <v>B26002466</v>
          </cell>
          <cell r="AP3082">
            <v>0</v>
          </cell>
          <cell r="AQ3082">
            <v>0</v>
          </cell>
          <cell r="AV3082">
            <v>0</v>
          </cell>
        </row>
        <row r="3083">
          <cell r="E3083" t="str">
            <v>B26002508</v>
          </cell>
          <cell r="AP3083">
            <v>0</v>
          </cell>
          <cell r="AQ3083">
            <v>0</v>
          </cell>
          <cell r="AV3083">
            <v>0</v>
          </cell>
        </row>
        <row r="3084">
          <cell r="E3084" t="str">
            <v>D26002862</v>
          </cell>
          <cell r="AP3084">
            <v>0</v>
          </cell>
          <cell r="AQ3084">
            <v>0</v>
          </cell>
          <cell r="AV3084">
            <v>0</v>
          </cell>
        </row>
        <row r="3085">
          <cell r="E3085" t="str">
            <v>D26003009</v>
          </cell>
          <cell r="AP3085">
            <v>0</v>
          </cell>
          <cell r="AQ3085">
            <v>0</v>
          </cell>
          <cell r="AV3085">
            <v>0</v>
          </cell>
        </row>
        <row r="3086">
          <cell r="E3086" t="str">
            <v>D26003022</v>
          </cell>
          <cell r="AP3086">
            <v>0</v>
          </cell>
          <cell r="AQ3086">
            <v>0</v>
          </cell>
          <cell r="AV3086">
            <v>0</v>
          </cell>
        </row>
        <row r="3087">
          <cell r="E3087" t="str">
            <v>D26003038</v>
          </cell>
          <cell r="AP3087">
            <v>0</v>
          </cell>
          <cell r="AQ3087">
            <v>0</v>
          </cell>
          <cell r="AV3087">
            <v>0</v>
          </cell>
        </row>
        <row r="3088">
          <cell r="E3088" t="str">
            <v>T26000246</v>
          </cell>
          <cell r="AP3088">
            <v>0</v>
          </cell>
          <cell r="AQ3088">
            <v>0</v>
          </cell>
          <cell r="AV3088">
            <v>0</v>
          </cell>
        </row>
        <row r="3089">
          <cell r="E3089" t="str">
            <v>B26003044</v>
          </cell>
          <cell r="AP3089">
            <v>0</v>
          </cell>
          <cell r="AQ3089">
            <v>0</v>
          </cell>
          <cell r="AV3089">
            <v>0</v>
          </cell>
        </row>
        <row r="3090">
          <cell r="E3090" t="str">
            <v>B26003046</v>
          </cell>
          <cell r="AP3090">
            <v>0</v>
          </cell>
          <cell r="AQ3090">
            <v>0</v>
          </cell>
          <cell r="AV3090">
            <v>0</v>
          </cell>
        </row>
        <row r="3091">
          <cell r="E3091" t="str">
            <v>D26000001</v>
          </cell>
          <cell r="AP3091">
            <v>0</v>
          </cell>
          <cell r="AQ3091">
            <v>0</v>
          </cell>
          <cell r="AV3091">
            <v>3080000</v>
          </cell>
        </row>
        <row r="3092">
          <cell r="E3092" t="str">
            <v>B26000904</v>
          </cell>
          <cell r="AP3092">
            <v>0</v>
          </cell>
          <cell r="AQ3092">
            <v>0</v>
          </cell>
          <cell r="AV3092">
            <v>0</v>
          </cell>
        </row>
        <row r="3093">
          <cell r="E3093" t="str">
            <v>B26002696</v>
          </cell>
          <cell r="AP3093">
            <v>0</v>
          </cell>
          <cell r="AQ3093">
            <v>0</v>
          </cell>
          <cell r="AV3093">
            <v>0</v>
          </cell>
        </row>
        <row r="3094">
          <cell r="E3094" t="str">
            <v>B26002638</v>
          </cell>
          <cell r="AP3094">
            <v>0</v>
          </cell>
          <cell r="AQ3094">
            <v>0</v>
          </cell>
          <cell r="AV3094">
            <v>0</v>
          </cell>
        </row>
        <row r="3095">
          <cell r="E3095" t="str">
            <v>T26000188</v>
          </cell>
          <cell r="AP3095">
            <v>0</v>
          </cell>
          <cell r="AQ3095">
            <v>0</v>
          </cell>
          <cell r="AV3095">
            <v>0</v>
          </cell>
        </row>
        <row r="3096">
          <cell r="E3096" t="str">
            <v>D26003057</v>
          </cell>
          <cell r="AP3096">
            <v>0</v>
          </cell>
          <cell r="AQ3096">
            <v>0</v>
          </cell>
          <cell r="AV3096">
            <v>0</v>
          </cell>
        </row>
        <row r="3097">
          <cell r="E3097" t="str">
            <v>B26002615</v>
          </cell>
          <cell r="AP3097">
            <v>0</v>
          </cell>
          <cell r="AQ3097">
            <v>0</v>
          </cell>
          <cell r="AV3097">
            <v>0</v>
          </cell>
        </row>
        <row r="3098">
          <cell r="E3098" t="str">
            <v>D26000841</v>
          </cell>
          <cell r="AP3098">
            <v>0</v>
          </cell>
          <cell r="AQ3098">
            <v>0</v>
          </cell>
          <cell r="AV3098">
            <v>0</v>
          </cell>
        </row>
        <row r="3099">
          <cell r="E3099" t="str">
            <v>B26002220</v>
          </cell>
          <cell r="AP3099">
            <v>0</v>
          </cell>
          <cell r="AQ3099">
            <v>0</v>
          </cell>
          <cell r="AV3099">
            <v>0</v>
          </cell>
        </row>
        <row r="3100">
          <cell r="E3100" t="str">
            <v>D25017225</v>
          </cell>
          <cell r="AP3100">
            <v>0</v>
          </cell>
          <cell r="AQ3100">
            <v>0</v>
          </cell>
          <cell r="AV3100">
            <v>0</v>
          </cell>
        </row>
        <row r="3101">
          <cell r="E3101" t="str">
            <v>B25015513</v>
          </cell>
          <cell r="AP3101">
            <v>0</v>
          </cell>
          <cell r="AQ3101">
            <v>0</v>
          </cell>
          <cell r="AV3101">
            <v>0</v>
          </cell>
        </row>
        <row r="3102">
          <cell r="E3102" t="str">
            <v>B25015514</v>
          </cell>
          <cell r="AP3102">
            <v>0</v>
          </cell>
          <cell r="AQ3102">
            <v>0</v>
          </cell>
          <cell r="AV3102">
            <v>0</v>
          </cell>
        </row>
        <row r="3103">
          <cell r="E3103" t="str">
            <v>B25015515</v>
          </cell>
          <cell r="AP3103">
            <v>0</v>
          </cell>
          <cell r="AQ3103">
            <v>0</v>
          </cell>
          <cell r="AV3103">
            <v>0</v>
          </cell>
        </row>
        <row r="3104">
          <cell r="E3104" t="str">
            <v>B25015835</v>
          </cell>
          <cell r="AP3104">
            <v>0</v>
          </cell>
          <cell r="AQ3104">
            <v>0</v>
          </cell>
          <cell r="AV3104">
            <v>0</v>
          </cell>
        </row>
        <row r="3105">
          <cell r="E3105" t="str">
            <v>D25018981</v>
          </cell>
          <cell r="AP3105">
            <v>0</v>
          </cell>
          <cell r="AQ3105">
            <v>0</v>
          </cell>
          <cell r="AV3105">
            <v>0</v>
          </cell>
        </row>
        <row r="3106">
          <cell r="E3106" t="str">
            <v>D25018982</v>
          </cell>
          <cell r="AP3106">
            <v>0</v>
          </cell>
          <cell r="AQ3106">
            <v>0</v>
          </cell>
          <cell r="AV3106">
            <v>0</v>
          </cell>
        </row>
        <row r="3107">
          <cell r="E3107" t="str">
            <v>B25016652</v>
          </cell>
          <cell r="AP3107">
            <v>0</v>
          </cell>
          <cell r="AQ3107">
            <v>0</v>
          </cell>
          <cell r="AV3107">
            <v>0</v>
          </cell>
        </row>
        <row r="3108">
          <cell r="E3108" t="str">
            <v>D25019412</v>
          </cell>
          <cell r="AP3108">
            <v>0</v>
          </cell>
          <cell r="AQ3108">
            <v>0</v>
          </cell>
          <cell r="AV3108">
            <v>0</v>
          </cell>
        </row>
        <row r="3109">
          <cell r="E3109" t="str">
            <v>B26002130</v>
          </cell>
          <cell r="AP3109">
            <v>0</v>
          </cell>
          <cell r="AQ3109">
            <v>0</v>
          </cell>
          <cell r="AV3109">
            <v>0</v>
          </cell>
        </row>
        <row r="3110">
          <cell r="E3110" t="str">
            <v>B26002131</v>
          </cell>
          <cell r="AP3110">
            <v>0</v>
          </cell>
          <cell r="AQ3110">
            <v>0</v>
          </cell>
          <cell r="AV3110">
            <v>0</v>
          </cell>
        </row>
        <row r="3111">
          <cell r="E3111" t="str">
            <v>D26002290</v>
          </cell>
          <cell r="AP3111">
            <v>0</v>
          </cell>
          <cell r="AQ3111">
            <v>0</v>
          </cell>
          <cell r="AV3111">
            <v>0</v>
          </cell>
        </row>
        <row r="3112">
          <cell r="E3112" t="str">
            <v>B26002175</v>
          </cell>
          <cell r="AP3112">
            <v>0</v>
          </cell>
          <cell r="AQ3112">
            <v>0</v>
          </cell>
          <cell r="AV3112">
            <v>0</v>
          </cell>
        </row>
        <row r="3113">
          <cell r="E3113" t="str">
            <v>D26002298</v>
          </cell>
          <cell r="AP3113">
            <v>0</v>
          </cell>
          <cell r="AQ3113">
            <v>0</v>
          </cell>
          <cell r="AV3113">
            <v>0</v>
          </cell>
        </row>
        <row r="3114">
          <cell r="E3114" t="str">
            <v>D26002306</v>
          </cell>
          <cell r="AP3114">
            <v>0</v>
          </cell>
          <cell r="AQ3114">
            <v>0</v>
          </cell>
          <cell r="AV3114">
            <v>0</v>
          </cell>
        </row>
        <row r="3115">
          <cell r="E3115" t="str">
            <v>B26002265</v>
          </cell>
          <cell r="AP3115">
            <v>0</v>
          </cell>
          <cell r="AQ3115">
            <v>0</v>
          </cell>
          <cell r="AV3115">
            <v>0</v>
          </cell>
        </row>
        <row r="3116">
          <cell r="E3116" t="str">
            <v>B26002266</v>
          </cell>
          <cell r="AP3116">
            <v>0</v>
          </cell>
          <cell r="AQ3116">
            <v>0</v>
          </cell>
          <cell r="AV3116">
            <v>0</v>
          </cell>
        </row>
        <row r="3117">
          <cell r="E3117" t="str">
            <v>D26002471</v>
          </cell>
          <cell r="AP3117">
            <v>0</v>
          </cell>
          <cell r="AQ3117">
            <v>0</v>
          </cell>
          <cell r="AV3117">
            <v>0</v>
          </cell>
        </row>
        <row r="3118">
          <cell r="E3118" t="str">
            <v>T26000166</v>
          </cell>
          <cell r="AP3118">
            <v>0</v>
          </cell>
          <cell r="AQ3118">
            <v>0</v>
          </cell>
          <cell r="AV3118">
            <v>0</v>
          </cell>
        </row>
        <row r="3119">
          <cell r="E3119" t="str">
            <v>D26002518</v>
          </cell>
          <cell r="AP3119">
            <v>0</v>
          </cell>
          <cell r="AQ3119">
            <v>0</v>
          </cell>
          <cell r="AV3119">
            <v>0</v>
          </cell>
        </row>
        <row r="3120">
          <cell r="E3120" t="str">
            <v>T26000177K</v>
          </cell>
          <cell r="AP3120">
            <v>0</v>
          </cell>
          <cell r="AQ3120">
            <v>0</v>
          </cell>
          <cell r="AV3120">
            <v>0</v>
          </cell>
        </row>
        <row r="3121">
          <cell r="E3121" t="str">
            <v>B26002557</v>
          </cell>
          <cell r="AP3121">
            <v>0</v>
          </cell>
          <cell r="AQ3121">
            <v>0</v>
          </cell>
          <cell r="AV3121">
            <v>0</v>
          </cell>
        </row>
        <row r="3122">
          <cell r="E3122" t="str">
            <v>D26002755</v>
          </cell>
          <cell r="AP3122">
            <v>0</v>
          </cell>
          <cell r="AQ3122">
            <v>0</v>
          </cell>
          <cell r="AV3122">
            <v>0</v>
          </cell>
        </row>
        <row r="3123">
          <cell r="E3123" t="str">
            <v>D26002800</v>
          </cell>
          <cell r="AP3123">
            <v>0</v>
          </cell>
          <cell r="AQ3123">
            <v>0</v>
          </cell>
          <cell r="AV3123">
            <v>0</v>
          </cell>
        </row>
        <row r="3124">
          <cell r="E3124" t="str">
            <v>D26002806</v>
          </cell>
          <cell r="AP3124">
            <v>0</v>
          </cell>
          <cell r="AQ3124">
            <v>0</v>
          </cell>
          <cell r="AV3124">
            <v>0</v>
          </cell>
        </row>
        <row r="3125">
          <cell r="E3125" t="str">
            <v>D26002814</v>
          </cell>
          <cell r="AP3125">
            <v>0</v>
          </cell>
          <cell r="AQ3125">
            <v>0</v>
          </cell>
          <cell r="AV3125">
            <v>0</v>
          </cell>
        </row>
        <row r="3126">
          <cell r="E3126" t="str">
            <v>D26002815</v>
          </cell>
          <cell r="AP3126">
            <v>0</v>
          </cell>
          <cell r="AQ3126">
            <v>0</v>
          </cell>
          <cell r="AV3126">
            <v>0</v>
          </cell>
        </row>
        <row r="3127">
          <cell r="E3127" t="str">
            <v>B26002802</v>
          </cell>
          <cell r="AP3127">
            <v>0</v>
          </cell>
          <cell r="AQ3127">
            <v>0</v>
          </cell>
          <cell r="AV3127">
            <v>0</v>
          </cell>
        </row>
        <row r="3128">
          <cell r="E3128" t="str">
            <v>B26002803</v>
          </cell>
          <cell r="AP3128">
            <v>0</v>
          </cell>
          <cell r="AQ3128">
            <v>0</v>
          </cell>
          <cell r="AV3128">
            <v>0</v>
          </cell>
        </row>
        <row r="3129">
          <cell r="E3129" t="str">
            <v>D26003008</v>
          </cell>
          <cell r="AP3129">
            <v>0</v>
          </cell>
          <cell r="AQ3129">
            <v>0</v>
          </cell>
          <cell r="AV3129">
            <v>0</v>
          </cell>
        </row>
        <row r="3130">
          <cell r="E3130" t="str">
            <v>D26003129</v>
          </cell>
          <cell r="AP3130">
            <v>0</v>
          </cell>
          <cell r="AQ3130">
            <v>0</v>
          </cell>
          <cell r="AV3130">
            <v>0</v>
          </cell>
        </row>
        <row r="3131">
          <cell r="E3131" t="str">
            <v>B26002942</v>
          </cell>
          <cell r="AP3131">
            <v>0</v>
          </cell>
          <cell r="AQ3131">
            <v>0</v>
          </cell>
          <cell r="AV3131">
            <v>0</v>
          </cell>
        </row>
        <row r="3132">
          <cell r="E3132" t="str">
            <v>B26002943</v>
          </cell>
          <cell r="AP3132">
            <v>0</v>
          </cell>
          <cell r="AQ3132">
            <v>0</v>
          </cell>
          <cell r="AV3132">
            <v>0</v>
          </cell>
        </row>
        <row r="3133">
          <cell r="E3133" t="str">
            <v>B26002977</v>
          </cell>
          <cell r="AP3133">
            <v>0</v>
          </cell>
          <cell r="AQ3133">
            <v>0</v>
          </cell>
          <cell r="AV3133">
            <v>0</v>
          </cell>
        </row>
        <row r="3134">
          <cell r="E3134" t="str">
            <v>D26003228</v>
          </cell>
          <cell r="AP3134">
            <v>0</v>
          </cell>
          <cell r="AQ3134">
            <v>0</v>
          </cell>
          <cell r="AV3134">
            <v>0</v>
          </cell>
        </row>
        <row r="3135">
          <cell r="E3135" t="str">
            <v>D26003229</v>
          </cell>
          <cell r="AP3135">
            <v>0</v>
          </cell>
          <cell r="AQ3135">
            <v>0</v>
          </cell>
          <cell r="AV3135">
            <v>0</v>
          </cell>
        </row>
        <row r="3136">
          <cell r="E3136" t="str">
            <v>T26000051</v>
          </cell>
          <cell r="AP3136">
            <v>0</v>
          </cell>
          <cell r="AQ3136">
            <v>0</v>
          </cell>
          <cell r="AV3136">
            <v>0</v>
          </cell>
        </row>
        <row r="3137">
          <cell r="E3137" t="str">
            <v>D26001215</v>
          </cell>
          <cell r="AP3137">
            <v>0</v>
          </cell>
          <cell r="AQ3137">
            <v>0</v>
          </cell>
          <cell r="AV3137">
            <v>0</v>
          </cell>
        </row>
        <row r="3138">
          <cell r="E3138" t="str">
            <v>B26002036</v>
          </cell>
          <cell r="AP3138">
            <v>0</v>
          </cell>
          <cell r="AQ3138">
            <v>0</v>
          </cell>
          <cell r="AV3138">
            <v>0</v>
          </cell>
        </row>
        <row r="3139">
          <cell r="E3139" t="str">
            <v>B26002037</v>
          </cell>
          <cell r="AP3139">
            <v>0</v>
          </cell>
          <cell r="AQ3139">
            <v>0</v>
          </cell>
          <cell r="AV3139">
            <v>0</v>
          </cell>
        </row>
        <row r="3140">
          <cell r="E3140" t="str">
            <v>B26002408</v>
          </cell>
          <cell r="AP3140">
            <v>0</v>
          </cell>
          <cell r="AQ3140">
            <v>0</v>
          </cell>
          <cell r="AV3140">
            <v>0</v>
          </cell>
        </row>
        <row r="3141">
          <cell r="E3141" t="str">
            <v>T25001721k</v>
          </cell>
          <cell r="AP3141">
            <v>0</v>
          </cell>
          <cell r="AQ3141">
            <v>0</v>
          </cell>
          <cell r="AV3141">
            <v>0</v>
          </cell>
        </row>
        <row r="3142">
          <cell r="E3142" t="str">
            <v>T25001773</v>
          </cell>
          <cell r="AP3142">
            <v>0</v>
          </cell>
          <cell r="AQ3142">
            <v>0</v>
          </cell>
          <cell r="AV3142">
            <v>0</v>
          </cell>
        </row>
        <row r="3143">
          <cell r="E3143" t="str">
            <v>Z25003308</v>
          </cell>
          <cell r="AP3143">
            <v>0</v>
          </cell>
          <cell r="AQ3143">
            <v>0</v>
          </cell>
          <cell r="AV3143">
            <v>0</v>
          </cell>
        </row>
        <row r="3144">
          <cell r="E3144" t="str">
            <v>Z25003317</v>
          </cell>
          <cell r="AP3144">
            <v>0</v>
          </cell>
          <cell r="AQ3144">
            <v>0</v>
          </cell>
          <cell r="AV3144">
            <v>0</v>
          </cell>
        </row>
        <row r="3145">
          <cell r="E3145" t="str">
            <v>Z25003335</v>
          </cell>
          <cell r="AP3145">
            <v>0</v>
          </cell>
          <cell r="AQ3145">
            <v>0</v>
          </cell>
          <cell r="AV3145">
            <v>0</v>
          </cell>
        </row>
        <row r="3146">
          <cell r="E3146" t="str">
            <v>Z25003373</v>
          </cell>
          <cell r="AP3146">
            <v>0</v>
          </cell>
          <cell r="AQ3146">
            <v>0</v>
          </cell>
          <cell r="AV3146">
            <v>0</v>
          </cell>
        </row>
        <row r="3147">
          <cell r="E3147" t="str">
            <v>Z25003389</v>
          </cell>
          <cell r="AP3147">
            <v>0</v>
          </cell>
          <cell r="AQ3147">
            <v>0</v>
          </cell>
          <cell r="AV3147">
            <v>0</v>
          </cell>
        </row>
        <row r="3148">
          <cell r="E3148" t="str">
            <v>Z25003390</v>
          </cell>
          <cell r="AP3148">
            <v>0</v>
          </cell>
          <cell r="AQ3148">
            <v>0</v>
          </cell>
          <cell r="AV3148">
            <v>0</v>
          </cell>
        </row>
        <row r="3149">
          <cell r="E3149" t="str">
            <v>Z25003391</v>
          </cell>
          <cell r="AP3149">
            <v>0</v>
          </cell>
          <cell r="AQ3149">
            <v>0</v>
          </cell>
          <cell r="AV3149">
            <v>0</v>
          </cell>
        </row>
        <row r="3150">
          <cell r="E3150" t="str">
            <v>Z26000120</v>
          </cell>
          <cell r="AP3150">
            <v>0</v>
          </cell>
          <cell r="AQ3150">
            <v>0</v>
          </cell>
          <cell r="AV3150">
            <v>0</v>
          </cell>
        </row>
        <row r="3151">
          <cell r="E3151" t="str">
            <v>Z26000271</v>
          </cell>
          <cell r="AP3151">
            <v>0</v>
          </cell>
          <cell r="AQ3151">
            <v>0</v>
          </cell>
          <cell r="AV3151">
            <v>0</v>
          </cell>
        </row>
        <row r="3152">
          <cell r="E3152" t="str">
            <v>Z26000310</v>
          </cell>
          <cell r="AP3152">
            <v>0</v>
          </cell>
          <cell r="AQ3152">
            <v>0</v>
          </cell>
          <cell r="AV3152">
            <v>0</v>
          </cell>
        </row>
        <row r="3153">
          <cell r="E3153" t="str">
            <v>Z26000319</v>
          </cell>
          <cell r="AP3153">
            <v>0</v>
          </cell>
          <cell r="AQ3153">
            <v>0</v>
          </cell>
          <cell r="AV3153">
            <v>0</v>
          </cell>
        </row>
        <row r="3154">
          <cell r="E3154" t="str">
            <v>Z26000326</v>
          </cell>
          <cell r="AP3154">
            <v>0</v>
          </cell>
          <cell r="AQ3154">
            <v>0</v>
          </cell>
          <cell r="AV3154">
            <v>0</v>
          </cell>
        </row>
        <row r="3155">
          <cell r="E3155" t="str">
            <v>Z26000371</v>
          </cell>
          <cell r="AP3155">
            <v>0</v>
          </cell>
          <cell r="AQ3155">
            <v>0</v>
          </cell>
          <cell r="AV3155">
            <v>0</v>
          </cell>
        </row>
        <row r="3156">
          <cell r="E3156" t="str">
            <v>Z26000444</v>
          </cell>
          <cell r="AP3156">
            <v>0</v>
          </cell>
          <cell r="AQ3156">
            <v>0</v>
          </cell>
          <cell r="AV3156">
            <v>0</v>
          </cell>
        </row>
        <row r="3157">
          <cell r="E3157" t="str">
            <v>Z26000445</v>
          </cell>
          <cell r="AP3157">
            <v>0</v>
          </cell>
          <cell r="AQ3157">
            <v>0</v>
          </cell>
          <cell r="AV3157">
            <v>0</v>
          </cell>
        </row>
        <row r="3158">
          <cell r="E3158" t="str">
            <v>Z26000537</v>
          </cell>
          <cell r="AP3158">
            <v>0</v>
          </cell>
          <cell r="AQ3158">
            <v>0</v>
          </cell>
          <cell r="AV3158">
            <v>0</v>
          </cell>
        </row>
        <row r="3159">
          <cell r="E3159" t="str">
            <v>Z26000538</v>
          </cell>
          <cell r="AP3159">
            <v>0</v>
          </cell>
          <cell r="AQ3159">
            <v>0</v>
          </cell>
          <cell r="AV3159">
            <v>0</v>
          </cell>
        </row>
        <row r="3160">
          <cell r="E3160" t="str">
            <v>Z26000539</v>
          </cell>
          <cell r="AP3160">
            <v>0</v>
          </cell>
          <cell r="AQ3160">
            <v>0</v>
          </cell>
          <cell r="AV3160">
            <v>0</v>
          </cell>
        </row>
        <row r="3161">
          <cell r="E3161" t="str">
            <v>Z26000551</v>
          </cell>
          <cell r="AP3161">
            <v>0</v>
          </cell>
          <cell r="AQ3161">
            <v>0</v>
          </cell>
          <cell r="AV3161">
            <v>0</v>
          </cell>
        </row>
        <row r="3162">
          <cell r="E3162" t="str">
            <v>Z26000552</v>
          </cell>
          <cell r="AP3162">
            <v>0</v>
          </cell>
          <cell r="AQ3162">
            <v>0</v>
          </cell>
          <cell r="AV3162">
            <v>0</v>
          </cell>
        </row>
        <row r="3163">
          <cell r="E3163" t="str">
            <v>Z26000563</v>
          </cell>
          <cell r="AP3163">
            <v>0</v>
          </cell>
          <cell r="AQ3163">
            <v>0</v>
          </cell>
          <cell r="AV3163">
            <v>0</v>
          </cell>
        </row>
        <row r="3164">
          <cell r="E3164" t="str">
            <v>Z26000574</v>
          </cell>
          <cell r="AP3164">
            <v>0</v>
          </cell>
          <cell r="AQ3164">
            <v>0</v>
          </cell>
          <cell r="AV3164">
            <v>0</v>
          </cell>
        </row>
        <row r="3165">
          <cell r="E3165" t="str">
            <v>Z26000575</v>
          </cell>
          <cell r="AP3165">
            <v>0</v>
          </cell>
          <cell r="AQ3165">
            <v>0</v>
          </cell>
          <cell r="AV3165">
            <v>0</v>
          </cell>
        </row>
        <row r="3166">
          <cell r="E3166" t="str">
            <v>Z26000588</v>
          </cell>
          <cell r="AP3166">
            <v>0</v>
          </cell>
          <cell r="AQ3166">
            <v>0</v>
          </cell>
          <cell r="AV3166">
            <v>0</v>
          </cell>
        </row>
        <row r="3167">
          <cell r="E3167" t="str">
            <v>Z26000589</v>
          </cell>
          <cell r="AP3167">
            <v>0</v>
          </cell>
          <cell r="AQ3167">
            <v>0</v>
          </cell>
          <cell r="AV3167">
            <v>0</v>
          </cell>
        </row>
        <row r="3168">
          <cell r="E3168" t="str">
            <v>Z26000599</v>
          </cell>
          <cell r="AP3168">
            <v>0</v>
          </cell>
          <cell r="AQ3168">
            <v>0</v>
          </cell>
          <cell r="AV3168">
            <v>0</v>
          </cell>
        </row>
        <row r="3169">
          <cell r="E3169" t="str">
            <v>Z26000601</v>
          </cell>
          <cell r="AP3169">
            <v>0</v>
          </cell>
          <cell r="AQ3169">
            <v>0</v>
          </cell>
          <cell r="AV3169">
            <v>0</v>
          </cell>
        </row>
        <row r="3170">
          <cell r="E3170" t="str">
            <v>B26001441</v>
          </cell>
          <cell r="AP3170">
            <v>0</v>
          </cell>
          <cell r="AQ3170">
            <v>0</v>
          </cell>
          <cell r="AV3170">
            <v>0</v>
          </cell>
        </row>
        <row r="3171">
          <cell r="E3171" t="str">
            <v>B26001442</v>
          </cell>
          <cell r="AP3171">
            <v>0</v>
          </cell>
          <cell r="AQ3171">
            <v>0</v>
          </cell>
          <cell r="AV3171">
            <v>0</v>
          </cell>
        </row>
        <row r="3172">
          <cell r="E3172" t="str">
            <v>D26001593</v>
          </cell>
          <cell r="AP3172">
            <v>0</v>
          </cell>
          <cell r="AQ3172">
            <v>0</v>
          </cell>
          <cell r="AV3172">
            <v>0</v>
          </cell>
        </row>
        <row r="3173">
          <cell r="E3173" t="str">
            <v>D26001729</v>
          </cell>
          <cell r="AP3173">
            <v>0</v>
          </cell>
          <cell r="AQ3173">
            <v>0</v>
          </cell>
          <cell r="AV3173">
            <v>0</v>
          </cell>
        </row>
        <row r="3174">
          <cell r="E3174" t="str">
            <v>B26001739</v>
          </cell>
          <cell r="AP3174">
            <v>0</v>
          </cell>
          <cell r="AQ3174">
            <v>0</v>
          </cell>
          <cell r="AV3174">
            <v>0</v>
          </cell>
        </row>
        <row r="3175">
          <cell r="E3175" t="str">
            <v>D26002046</v>
          </cell>
          <cell r="AP3175">
            <v>0</v>
          </cell>
          <cell r="AQ3175">
            <v>0</v>
          </cell>
          <cell r="AV3175">
            <v>0</v>
          </cell>
        </row>
        <row r="3176">
          <cell r="E3176" t="str">
            <v>D26002068</v>
          </cell>
          <cell r="AP3176">
            <v>0</v>
          </cell>
          <cell r="AQ3176">
            <v>0</v>
          </cell>
          <cell r="AV3176">
            <v>0</v>
          </cell>
        </row>
        <row r="3177">
          <cell r="E3177" t="str">
            <v>D26002434</v>
          </cell>
          <cell r="AP3177">
            <v>0</v>
          </cell>
          <cell r="AQ3177">
            <v>0</v>
          </cell>
          <cell r="AV3177">
            <v>0</v>
          </cell>
        </row>
        <row r="3178">
          <cell r="E3178" t="str">
            <v>D26002439</v>
          </cell>
          <cell r="AP3178">
            <v>0</v>
          </cell>
          <cell r="AQ3178">
            <v>0</v>
          </cell>
          <cell r="AV3178">
            <v>0</v>
          </cell>
        </row>
        <row r="3179">
          <cell r="E3179" t="str">
            <v>D26002785</v>
          </cell>
          <cell r="AP3179">
            <v>0</v>
          </cell>
          <cell r="AQ3179">
            <v>0</v>
          </cell>
          <cell r="AV3179">
            <v>0</v>
          </cell>
        </row>
        <row r="3180">
          <cell r="E3180" t="str">
            <v>B26002826</v>
          </cell>
          <cell r="AP3180">
            <v>0</v>
          </cell>
          <cell r="AQ3180">
            <v>0</v>
          </cell>
          <cell r="AV3180">
            <v>0</v>
          </cell>
        </row>
        <row r="3181">
          <cell r="E3181" t="str">
            <v>D26003042</v>
          </cell>
          <cell r="AP3181">
            <v>0</v>
          </cell>
          <cell r="AQ3181">
            <v>0</v>
          </cell>
          <cell r="AV3181">
            <v>0</v>
          </cell>
        </row>
        <row r="3182">
          <cell r="E3182" t="str">
            <v>D26003074</v>
          </cell>
          <cell r="AP3182">
            <v>0</v>
          </cell>
          <cell r="AQ3182">
            <v>0</v>
          </cell>
          <cell r="AV3182">
            <v>0</v>
          </cell>
        </row>
        <row r="3183">
          <cell r="E3183" t="str">
            <v>D25018111</v>
          </cell>
          <cell r="AP3183">
            <v>0</v>
          </cell>
          <cell r="AQ3183">
            <v>0</v>
          </cell>
          <cell r="AV3183">
            <v>0</v>
          </cell>
        </row>
        <row r="3184">
          <cell r="E3184" t="str">
            <v>D26002343</v>
          </cell>
          <cell r="AP3184">
            <v>0</v>
          </cell>
          <cell r="AQ3184">
            <v>0</v>
          </cell>
          <cell r="AV3184">
            <v>0</v>
          </cell>
        </row>
        <row r="3185">
          <cell r="E3185" t="str">
            <v>D26002344</v>
          </cell>
          <cell r="AP3185">
            <v>0</v>
          </cell>
          <cell r="AQ3185">
            <v>0</v>
          </cell>
          <cell r="AV3185">
            <v>0</v>
          </cell>
        </row>
        <row r="3186">
          <cell r="E3186" t="str">
            <v>D26002345</v>
          </cell>
          <cell r="AP3186">
            <v>0</v>
          </cell>
          <cell r="AQ3186">
            <v>0</v>
          </cell>
          <cell r="AV3186">
            <v>0</v>
          </cell>
        </row>
        <row r="3187">
          <cell r="E3187" t="str">
            <v>B25016387</v>
          </cell>
          <cell r="AP3187">
            <v>0</v>
          </cell>
          <cell r="AQ3187">
            <v>0</v>
          </cell>
          <cell r="AV3187">
            <v>0</v>
          </cell>
        </row>
        <row r="3188">
          <cell r="E3188" t="str">
            <v>B25016784</v>
          </cell>
          <cell r="AP3188">
            <v>0</v>
          </cell>
          <cell r="AQ3188">
            <v>0</v>
          </cell>
          <cell r="AV3188">
            <v>0</v>
          </cell>
        </row>
        <row r="3189">
          <cell r="E3189" t="str">
            <v>B26000121</v>
          </cell>
          <cell r="AP3189">
            <v>0</v>
          </cell>
          <cell r="AQ3189">
            <v>0</v>
          </cell>
          <cell r="AV3189">
            <v>0</v>
          </cell>
        </row>
        <row r="3190">
          <cell r="E3190" t="str">
            <v>T26000009</v>
          </cell>
          <cell r="AP3190">
            <v>0</v>
          </cell>
          <cell r="AQ3190">
            <v>0</v>
          </cell>
          <cell r="AV3190">
            <v>0</v>
          </cell>
        </row>
        <row r="3191">
          <cell r="E3191" t="str">
            <v>B26001639</v>
          </cell>
          <cell r="AP3191">
            <v>0</v>
          </cell>
          <cell r="AQ3191">
            <v>0</v>
          </cell>
          <cell r="AV3191">
            <v>0</v>
          </cell>
        </row>
        <row r="3192">
          <cell r="E3192" t="str">
            <v>D26002196</v>
          </cell>
          <cell r="AP3192">
            <v>0</v>
          </cell>
          <cell r="AQ3192">
            <v>0</v>
          </cell>
          <cell r="AV3192">
            <v>0</v>
          </cell>
        </row>
        <row r="3193">
          <cell r="E3193" t="str">
            <v>T26000151</v>
          </cell>
          <cell r="AP3193">
            <v>0</v>
          </cell>
          <cell r="AQ3193">
            <v>0</v>
          </cell>
          <cell r="AV3193">
            <v>0</v>
          </cell>
        </row>
        <row r="3194">
          <cell r="E3194" t="str">
            <v>Z25001658</v>
          </cell>
          <cell r="AP3194">
            <v>0</v>
          </cell>
          <cell r="AQ3194">
            <v>0</v>
          </cell>
          <cell r="AV3194">
            <v>0</v>
          </cell>
        </row>
        <row r="3195">
          <cell r="E3195" t="str">
            <v>D25017735</v>
          </cell>
          <cell r="AP3195">
            <v>0</v>
          </cell>
          <cell r="AQ3195">
            <v>0</v>
          </cell>
          <cell r="AV3195">
            <v>0</v>
          </cell>
        </row>
        <row r="3196">
          <cell r="E3196" t="str">
            <v>D25017752</v>
          </cell>
          <cell r="AP3196">
            <v>0</v>
          </cell>
          <cell r="AQ3196">
            <v>0</v>
          </cell>
          <cell r="AV3196">
            <v>0</v>
          </cell>
        </row>
        <row r="3197">
          <cell r="E3197" t="str">
            <v>D25017752</v>
          </cell>
          <cell r="AP3197">
            <v>0</v>
          </cell>
          <cell r="AQ3197">
            <v>0</v>
          </cell>
          <cell r="AV3197">
            <v>0</v>
          </cell>
        </row>
        <row r="3198">
          <cell r="E3198" t="str">
            <v>B25015422</v>
          </cell>
          <cell r="AP3198">
            <v>0</v>
          </cell>
          <cell r="AQ3198">
            <v>0</v>
          </cell>
          <cell r="AV3198">
            <v>0</v>
          </cell>
        </row>
        <row r="3199">
          <cell r="E3199" t="str">
            <v>B25015422</v>
          </cell>
          <cell r="AP3199">
            <v>0</v>
          </cell>
          <cell r="AQ3199">
            <v>0</v>
          </cell>
          <cell r="AV3199">
            <v>0</v>
          </cell>
        </row>
        <row r="3200">
          <cell r="E3200" t="str">
            <v>B25015422</v>
          </cell>
          <cell r="AP3200">
            <v>0</v>
          </cell>
          <cell r="AQ3200">
            <v>0</v>
          </cell>
          <cell r="AV3200">
            <v>0</v>
          </cell>
        </row>
        <row r="3201">
          <cell r="E3201" t="str">
            <v>B25015422</v>
          </cell>
          <cell r="AP3201">
            <v>0</v>
          </cell>
          <cell r="AQ3201">
            <v>0</v>
          </cell>
          <cell r="AV3201">
            <v>0</v>
          </cell>
        </row>
        <row r="3202">
          <cell r="E3202" t="str">
            <v>B25015422</v>
          </cell>
          <cell r="AP3202">
            <v>0</v>
          </cell>
          <cell r="AQ3202">
            <v>0</v>
          </cell>
          <cell r="AV3202">
            <v>0</v>
          </cell>
        </row>
        <row r="3203">
          <cell r="E3203" t="str">
            <v>B25015422</v>
          </cell>
          <cell r="AP3203">
            <v>0</v>
          </cell>
          <cell r="AQ3203">
            <v>0</v>
          </cell>
          <cell r="AV3203">
            <v>0</v>
          </cell>
        </row>
        <row r="3204">
          <cell r="E3204" t="str">
            <v>B25015561</v>
          </cell>
          <cell r="AP3204">
            <v>0</v>
          </cell>
          <cell r="AQ3204">
            <v>0</v>
          </cell>
          <cell r="AV3204">
            <v>0</v>
          </cell>
        </row>
        <row r="3205">
          <cell r="E3205" t="str">
            <v>D25018029</v>
          </cell>
          <cell r="AP3205">
            <v>0</v>
          </cell>
          <cell r="AQ3205">
            <v>0</v>
          </cell>
          <cell r="AV3205">
            <v>0</v>
          </cell>
        </row>
        <row r="3206">
          <cell r="E3206" t="str">
            <v>D25018029</v>
          </cell>
          <cell r="AP3206">
            <v>0</v>
          </cell>
          <cell r="AQ3206">
            <v>0</v>
          </cell>
          <cell r="AV3206">
            <v>0</v>
          </cell>
        </row>
        <row r="3207">
          <cell r="E3207" t="str">
            <v>D25018029</v>
          </cell>
          <cell r="AP3207">
            <v>0</v>
          </cell>
          <cell r="AQ3207">
            <v>0</v>
          </cell>
          <cell r="AV3207">
            <v>0</v>
          </cell>
        </row>
        <row r="3208">
          <cell r="E3208" t="str">
            <v>D25018065</v>
          </cell>
          <cell r="AP3208">
            <v>0</v>
          </cell>
          <cell r="AQ3208">
            <v>0</v>
          </cell>
          <cell r="AV3208">
            <v>0</v>
          </cell>
        </row>
        <row r="3209">
          <cell r="E3209" t="str">
            <v>D25018103</v>
          </cell>
          <cell r="AP3209">
            <v>0</v>
          </cell>
          <cell r="AQ3209">
            <v>0</v>
          </cell>
          <cell r="AV3209">
            <v>0</v>
          </cell>
        </row>
        <row r="3210">
          <cell r="E3210" t="str">
            <v>D25018268</v>
          </cell>
          <cell r="AP3210">
            <v>0</v>
          </cell>
          <cell r="AQ3210">
            <v>0</v>
          </cell>
          <cell r="AV3210">
            <v>0</v>
          </cell>
        </row>
        <row r="3211">
          <cell r="E3211" t="str">
            <v>D25018268</v>
          </cell>
          <cell r="AP3211">
            <v>0</v>
          </cell>
          <cell r="AQ3211">
            <v>0</v>
          </cell>
          <cell r="AV3211">
            <v>0</v>
          </cell>
        </row>
        <row r="3212">
          <cell r="E3212" t="str">
            <v>D25018268</v>
          </cell>
          <cell r="AP3212">
            <v>0</v>
          </cell>
          <cell r="AQ3212">
            <v>0</v>
          </cell>
          <cell r="AV3212">
            <v>0</v>
          </cell>
        </row>
        <row r="3213">
          <cell r="E3213" t="str">
            <v>D25018268</v>
          </cell>
          <cell r="AP3213">
            <v>0</v>
          </cell>
          <cell r="AQ3213">
            <v>0</v>
          </cell>
          <cell r="AV3213">
            <v>0</v>
          </cell>
        </row>
        <row r="3214">
          <cell r="E3214" t="str">
            <v>D25018268</v>
          </cell>
          <cell r="AP3214">
            <v>0</v>
          </cell>
          <cell r="AQ3214">
            <v>0</v>
          </cell>
          <cell r="AV3214">
            <v>0</v>
          </cell>
        </row>
        <row r="3215">
          <cell r="E3215" t="str">
            <v>B25015876</v>
          </cell>
          <cell r="AP3215">
            <v>0</v>
          </cell>
          <cell r="AQ3215">
            <v>0</v>
          </cell>
          <cell r="AV3215">
            <v>0</v>
          </cell>
        </row>
        <row r="3216">
          <cell r="E3216" t="str">
            <v>B25016042</v>
          </cell>
          <cell r="AP3216">
            <v>0</v>
          </cell>
          <cell r="AQ3216">
            <v>0</v>
          </cell>
          <cell r="AV3216">
            <v>0</v>
          </cell>
        </row>
        <row r="3217">
          <cell r="E3217" t="str">
            <v>B25016058</v>
          </cell>
          <cell r="AP3217">
            <v>0</v>
          </cell>
          <cell r="AQ3217">
            <v>0</v>
          </cell>
          <cell r="AV3217">
            <v>0</v>
          </cell>
        </row>
        <row r="3218">
          <cell r="E3218" t="str">
            <v>B25016058</v>
          </cell>
          <cell r="AP3218">
            <v>0</v>
          </cell>
          <cell r="AQ3218">
            <v>0</v>
          </cell>
          <cell r="AV3218">
            <v>0</v>
          </cell>
        </row>
        <row r="3219">
          <cell r="E3219" t="str">
            <v>B25016073</v>
          </cell>
          <cell r="AP3219">
            <v>0</v>
          </cell>
          <cell r="AQ3219">
            <v>0</v>
          </cell>
          <cell r="AV3219">
            <v>0</v>
          </cell>
        </row>
        <row r="3220">
          <cell r="E3220" t="str">
            <v>B25016323</v>
          </cell>
          <cell r="AP3220">
            <v>0</v>
          </cell>
          <cell r="AQ3220">
            <v>0</v>
          </cell>
          <cell r="AV3220">
            <v>0</v>
          </cell>
        </row>
        <row r="3221">
          <cell r="E3221" t="str">
            <v>B25016323</v>
          </cell>
          <cell r="AP3221">
            <v>0</v>
          </cell>
          <cell r="AQ3221">
            <v>0</v>
          </cell>
          <cell r="AV3221">
            <v>0</v>
          </cell>
        </row>
        <row r="3222">
          <cell r="E3222" t="str">
            <v>B25016323</v>
          </cell>
          <cell r="AP3222">
            <v>0</v>
          </cell>
          <cell r="AQ3222">
            <v>0</v>
          </cell>
          <cell r="AV3222">
            <v>0</v>
          </cell>
        </row>
        <row r="3223">
          <cell r="E3223" t="str">
            <v>B25016368</v>
          </cell>
          <cell r="AP3223">
            <v>0</v>
          </cell>
          <cell r="AQ3223">
            <v>0</v>
          </cell>
          <cell r="AV3223">
            <v>0</v>
          </cell>
        </row>
        <row r="3224">
          <cell r="E3224" t="str">
            <v>B25016611</v>
          </cell>
          <cell r="AP3224">
            <v>0</v>
          </cell>
          <cell r="AQ3224">
            <v>0</v>
          </cell>
          <cell r="AV3224">
            <v>0</v>
          </cell>
        </row>
        <row r="3225">
          <cell r="E3225" t="str">
            <v>D25019062</v>
          </cell>
          <cell r="AP3225">
            <v>0</v>
          </cell>
          <cell r="AQ3225">
            <v>0</v>
          </cell>
          <cell r="AV3225">
            <v>0</v>
          </cell>
        </row>
        <row r="3226">
          <cell r="E3226" t="str">
            <v>D25019062</v>
          </cell>
          <cell r="AP3226">
            <v>0</v>
          </cell>
          <cell r="AQ3226">
            <v>0</v>
          </cell>
          <cell r="AV3226">
            <v>0</v>
          </cell>
        </row>
        <row r="3227">
          <cell r="E3227" t="str">
            <v>D25019062</v>
          </cell>
          <cell r="AP3227">
            <v>0</v>
          </cell>
          <cell r="AQ3227">
            <v>0</v>
          </cell>
          <cell r="AV3227">
            <v>0</v>
          </cell>
        </row>
        <row r="3228">
          <cell r="E3228" t="str">
            <v>D25019153</v>
          </cell>
          <cell r="AP3228">
            <v>0</v>
          </cell>
          <cell r="AQ3228">
            <v>0</v>
          </cell>
          <cell r="AV3228">
            <v>0</v>
          </cell>
        </row>
        <row r="3229">
          <cell r="E3229" t="str">
            <v>D25019210</v>
          </cell>
          <cell r="AP3229">
            <v>0</v>
          </cell>
          <cell r="AQ3229">
            <v>0</v>
          </cell>
          <cell r="AV3229">
            <v>0</v>
          </cell>
        </row>
        <row r="3230">
          <cell r="E3230" t="str">
            <v>D25019264</v>
          </cell>
          <cell r="AP3230">
            <v>0</v>
          </cell>
          <cell r="AQ3230">
            <v>0</v>
          </cell>
          <cell r="AV3230">
            <v>0</v>
          </cell>
        </row>
        <row r="3231">
          <cell r="E3231" t="str">
            <v>D25019264</v>
          </cell>
          <cell r="AP3231">
            <v>0</v>
          </cell>
          <cell r="AQ3231">
            <v>0</v>
          </cell>
          <cell r="AV3231">
            <v>0</v>
          </cell>
        </row>
        <row r="3232">
          <cell r="E3232" t="str">
            <v>D25019264</v>
          </cell>
          <cell r="AP3232">
            <v>0</v>
          </cell>
          <cell r="AQ3232">
            <v>0</v>
          </cell>
          <cell r="AV3232">
            <v>0</v>
          </cell>
        </row>
        <row r="3233">
          <cell r="E3233" t="str">
            <v>D25019268</v>
          </cell>
          <cell r="AP3233">
            <v>0</v>
          </cell>
          <cell r="AQ3233">
            <v>0</v>
          </cell>
          <cell r="AV3233">
            <v>0</v>
          </cell>
        </row>
        <row r="3234">
          <cell r="E3234" t="str">
            <v>D25019268</v>
          </cell>
          <cell r="AP3234">
            <v>0</v>
          </cell>
          <cell r="AQ3234">
            <v>0</v>
          </cell>
          <cell r="AV3234">
            <v>0</v>
          </cell>
        </row>
        <row r="3235">
          <cell r="E3235" t="str">
            <v>D25019269</v>
          </cell>
          <cell r="AP3235">
            <v>0</v>
          </cell>
          <cell r="AQ3235">
            <v>0</v>
          </cell>
          <cell r="AV3235">
            <v>0</v>
          </cell>
        </row>
        <row r="3236">
          <cell r="E3236" t="str">
            <v>D25019356</v>
          </cell>
          <cell r="AP3236">
            <v>0</v>
          </cell>
          <cell r="AQ3236">
            <v>0</v>
          </cell>
          <cell r="AV3236">
            <v>0</v>
          </cell>
        </row>
        <row r="3237">
          <cell r="E3237" t="str">
            <v>D25019356</v>
          </cell>
          <cell r="AP3237">
            <v>0</v>
          </cell>
          <cell r="AQ3237">
            <v>0</v>
          </cell>
          <cell r="AV3237">
            <v>0</v>
          </cell>
        </row>
        <row r="3238">
          <cell r="E3238" t="str">
            <v>D25019394</v>
          </cell>
          <cell r="AP3238">
            <v>0</v>
          </cell>
          <cell r="AQ3238">
            <v>0</v>
          </cell>
          <cell r="AV3238">
            <v>0</v>
          </cell>
        </row>
        <row r="3239">
          <cell r="E3239" t="str">
            <v>D25019394</v>
          </cell>
          <cell r="AP3239">
            <v>0</v>
          </cell>
          <cell r="AQ3239">
            <v>0</v>
          </cell>
          <cell r="AV3239">
            <v>0</v>
          </cell>
        </row>
        <row r="3240">
          <cell r="E3240" t="str">
            <v>D25019517</v>
          </cell>
          <cell r="AP3240">
            <v>0</v>
          </cell>
          <cell r="AQ3240">
            <v>0</v>
          </cell>
          <cell r="AV3240">
            <v>0</v>
          </cell>
        </row>
        <row r="3241">
          <cell r="E3241" t="str">
            <v>D25019517</v>
          </cell>
          <cell r="AP3241">
            <v>0</v>
          </cell>
          <cell r="AQ3241">
            <v>0</v>
          </cell>
          <cell r="AV3241">
            <v>0</v>
          </cell>
        </row>
        <row r="3242">
          <cell r="E3242" t="str">
            <v>D25019595</v>
          </cell>
          <cell r="AP3242">
            <v>0</v>
          </cell>
          <cell r="AQ3242">
            <v>0</v>
          </cell>
          <cell r="AV3242">
            <v>0</v>
          </cell>
        </row>
        <row r="3243">
          <cell r="E3243" t="str">
            <v>D25019595</v>
          </cell>
          <cell r="AP3243">
            <v>0</v>
          </cell>
          <cell r="AQ3243">
            <v>0</v>
          </cell>
          <cell r="AV3243">
            <v>0</v>
          </cell>
        </row>
        <row r="3244">
          <cell r="E3244" t="str">
            <v>D25019595</v>
          </cell>
          <cell r="AP3244">
            <v>0</v>
          </cell>
          <cell r="AQ3244">
            <v>0</v>
          </cell>
          <cell r="AV3244">
            <v>0</v>
          </cell>
        </row>
        <row r="3245">
          <cell r="E3245" t="str">
            <v>D25019596</v>
          </cell>
          <cell r="AP3245">
            <v>0</v>
          </cell>
          <cell r="AQ3245">
            <v>0</v>
          </cell>
          <cell r="AV3245">
            <v>0</v>
          </cell>
        </row>
        <row r="3246">
          <cell r="E3246" t="str">
            <v>D25019596</v>
          </cell>
          <cell r="AP3246">
            <v>0</v>
          </cell>
          <cell r="AQ3246">
            <v>0</v>
          </cell>
          <cell r="AV3246">
            <v>0</v>
          </cell>
        </row>
        <row r="3247">
          <cell r="E3247" t="str">
            <v>D25019596</v>
          </cell>
          <cell r="AP3247">
            <v>0</v>
          </cell>
          <cell r="AQ3247">
            <v>0</v>
          </cell>
          <cell r="AV3247">
            <v>0</v>
          </cell>
        </row>
        <row r="3248">
          <cell r="E3248" t="str">
            <v>D25019596</v>
          </cell>
          <cell r="AP3248">
            <v>0</v>
          </cell>
          <cell r="AQ3248">
            <v>0</v>
          </cell>
          <cell r="AV3248">
            <v>0</v>
          </cell>
        </row>
        <row r="3249">
          <cell r="E3249" t="str">
            <v>B25017086</v>
          </cell>
          <cell r="AP3249">
            <v>0</v>
          </cell>
          <cell r="AQ3249">
            <v>0</v>
          </cell>
          <cell r="AV3249">
            <v>0</v>
          </cell>
        </row>
        <row r="3250">
          <cell r="E3250" t="str">
            <v>B25017135</v>
          </cell>
          <cell r="AP3250">
            <v>0</v>
          </cell>
          <cell r="AQ3250">
            <v>0</v>
          </cell>
          <cell r="AV3250">
            <v>0</v>
          </cell>
        </row>
        <row r="3251">
          <cell r="E3251" t="str">
            <v>D26000080</v>
          </cell>
          <cell r="AP3251">
            <v>0</v>
          </cell>
          <cell r="AQ3251">
            <v>0</v>
          </cell>
          <cell r="AV3251">
            <v>0</v>
          </cell>
        </row>
        <row r="3252">
          <cell r="E3252" t="str">
            <v>D26000080</v>
          </cell>
          <cell r="AP3252">
            <v>0</v>
          </cell>
          <cell r="AQ3252">
            <v>0</v>
          </cell>
          <cell r="AV3252">
            <v>0</v>
          </cell>
        </row>
        <row r="3253">
          <cell r="E3253" t="str">
            <v>D26000080</v>
          </cell>
          <cell r="AP3253">
            <v>0</v>
          </cell>
          <cell r="AQ3253">
            <v>0</v>
          </cell>
          <cell r="AV3253">
            <v>0</v>
          </cell>
        </row>
        <row r="3254">
          <cell r="E3254" t="str">
            <v>D26000080</v>
          </cell>
          <cell r="AP3254">
            <v>0</v>
          </cell>
          <cell r="AQ3254">
            <v>0</v>
          </cell>
          <cell r="AV3254">
            <v>0</v>
          </cell>
        </row>
        <row r="3255">
          <cell r="E3255" t="str">
            <v>D26000080</v>
          </cell>
          <cell r="AP3255">
            <v>0</v>
          </cell>
          <cell r="AQ3255">
            <v>0</v>
          </cell>
          <cell r="AV3255">
            <v>0</v>
          </cell>
        </row>
        <row r="3256">
          <cell r="E3256" t="str">
            <v>D26000080</v>
          </cell>
          <cell r="AP3256">
            <v>0</v>
          </cell>
          <cell r="AQ3256">
            <v>0</v>
          </cell>
          <cell r="AV3256">
            <v>0</v>
          </cell>
        </row>
        <row r="3257">
          <cell r="E3257" t="str">
            <v>D26000081</v>
          </cell>
          <cell r="AP3257">
            <v>0</v>
          </cell>
          <cell r="AQ3257">
            <v>0</v>
          </cell>
          <cell r="AV3257">
            <v>0</v>
          </cell>
        </row>
        <row r="3258">
          <cell r="E3258" t="str">
            <v>D26000081</v>
          </cell>
          <cell r="AP3258">
            <v>0</v>
          </cell>
          <cell r="AQ3258">
            <v>0</v>
          </cell>
          <cell r="AV3258">
            <v>0</v>
          </cell>
        </row>
        <row r="3259">
          <cell r="E3259" t="str">
            <v>D26000083</v>
          </cell>
          <cell r="AP3259">
            <v>0</v>
          </cell>
          <cell r="AQ3259">
            <v>0</v>
          </cell>
          <cell r="AV3259">
            <v>0</v>
          </cell>
        </row>
        <row r="3260">
          <cell r="E3260" t="str">
            <v>D26000083</v>
          </cell>
          <cell r="AP3260">
            <v>0</v>
          </cell>
          <cell r="AQ3260">
            <v>0</v>
          </cell>
          <cell r="AV3260">
            <v>0</v>
          </cell>
        </row>
        <row r="3261">
          <cell r="E3261" t="str">
            <v>D26000536</v>
          </cell>
          <cell r="AP3261">
            <v>0</v>
          </cell>
          <cell r="AQ3261">
            <v>0</v>
          </cell>
          <cell r="AV3261">
            <v>0</v>
          </cell>
        </row>
        <row r="3262">
          <cell r="E3262" t="str">
            <v>D26000583</v>
          </cell>
          <cell r="AP3262">
            <v>0</v>
          </cell>
          <cell r="AQ3262">
            <v>0</v>
          </cell>
          <cell r="AV3262">
            <v>0</v>
          </cell>
        </row>
        <row r="3263">
          <cell r="E3263" t="str">
            <v>D26001285</v>
          </cell>
          <cell r="AP3263">
            <v>0</v>
          </cell>
          <cell r="AQ3263">
            <v>0</v>
          </cell>
          <cell r="AV3263">
            <v>0</v>
          </cell>
        </row>
        <row r="3264">
          <cell r="E3264" t="str">
            <v>D26001285</v>
          </cell>
          <cell r="AP3264">
            <v>0</v>
          </cell>
          <cell r="AQ3264">
            <v>0</v>
          </cell>
          <cell r="AV3264">
            <v>0</v>
          </cell>
        </row>
        <row r="3265">
          <cell r="E3265" t="str">
            <v>D26001494</v>
          </cell>
          <cell r="AP3265">
            <v>0</v>
          </cell>
          <cell r="AQ3265">
            <v>0</v>
          </cell>
          <cell r="AV3265">
            <v>0</v>
          </cell>
        </row>
        <row r="3266">
          <cell r="E3266" t="str">
            <v>D26001494</v>
          </cell>
          <cell r="AP3266">
            <v>0</v>
          </cell>
          <cell r="AQ3266">
            <v>0</v>
          </cell>
          <cell r="AV3266">
            <v>0</v>
          </cell>
        </row>
        <row r="3267">
          <cell r="E3267" t="str">
            <v>D26001494</v>
          </cell>
          <cell r="AP3267">
            <v>0</v>
          </cell>
          <cell r="AQ3267">
            <v>0</v>
          </cell>
          <cell r="AV3267">
            <v>0</v>
          </cell>
        </row>
        <row r="3268">
          <cell r="E3268" t="str">
            <v>D26001494</v>
          </cell>
          <cell r="AP3268">
            <v>0</v>
          </cell>
          <cell r="AQ3268">
            <v>0</v>
          </cell>
          <cell r="AV3268">
            <v>0</v>
          </cell>
        </row>
        <row r="3269">
          <cell r="E3269" t="str">
            <v>D26001508</v>
          </cell>
          <cell r="AP3269">
            <v>0</v>
          </cell>
          <cell r="AQ3269">
            <v>0</v>
          </cell>
          <cell r="AV3269">
            <v>0</v>
          </cell>
        </row>
        <row r="3270">
          <cell r="E3270" t="str">
            <v>D26001508</v>
          </cell>
          <cell r="AP3270">
            <v>0</v>
          </cell>
          <cell r="AQ3270">
            <v>0</v>
          </cell>
          <cell r="AV3270">
            <v>0</v>
          </cell>
        </row>
        <row r="3271">
          <cell r="E3271" t="str">
            <v>D26001675</v>
          </cell>
          <cell r="AP3271">
            <v>0</v>
          </cell>
          <cell r="AQ3271">
            <v>0</v>
          </cell>
          <cell r="AV3271">
            <v>0</v>
          </cell>
        </row>
        <row r="3272">
          <cell r="E3272" t="str">
            <v>D26001675</v>
          </cell>
          <cell r="AP3272">
            <v>0</v>
          </cell>
          <cell r="AQ3272">
            <v>0</v>
          </cell>
          <cell r="AV3272">
            <v>0</v>
          </cell>
        </row>
        <row r="3273">
          <cell r="E3273" t="str">
            <v>D26001675</v>
          </cell>
          <cell r="AP3273">
            <v>0</v>
          </cell>
          <cell r="AQ3273">
            <v>0</v>
          </cell>
          <cell r="AV3273">
            <v>0</v>
          </cell>
        </row>
        <row r="3274">
          <cell r="E3274" t="str">
            <v>D26001675</v>
          </cell>
          <cell r="AP3274">
            <v>0</v>
          </cell>
          <cell r="AQ3274">
            <v>0</v>
          </cell>
          <cell r="AV3274">
            <v>0</v>
          </cell>
        </row>
        <row r="3275">
          <cell r="E3275" t="str">
            <v>D26001675</v>
          </cell>
          <cell r="AP3275">
            <v>0</v>
          </cell>
          <cell r="AQ3275">
            <v>0</v>
          </cell>
          <cell r="AV3275">
            <v>0</v>
          </cell>
        </row>
        <row r="3276">
          <cell r="E3276" t="str">
            <v>D26001675</v>
          </cell>
          <cell r="AP3276">
            <v>0</v>
          </cell>
          <cell r="AQ3276">
            <v>0</v>
          </cell>
          <cell r="AV3276">
            <v>0</v>
          </cell>
        </row>
        <row r="3277">
          <cell r="E3277" t="str">
            <v>D26001675</v>
          </cell>
          <cell r="AP3277">
            <v>0</v>
          </cell>
          <cell r="AQ3277">
            <v>0</v>
          </cell>
          <cell r="AV3277">
            <v>0</v>
          </cell>
        </row>
        <row r="3278">
          <cell r="E3278" t="str">
            <v>D26001676</v>
          </cell>
          <cell r="AP3278">
            <v>0</v>
          </cell>
          <cell r="AQ3278">
            <v>0</v>
          </cell>
          <cell r="AV3278">
            <v>0</v>
          </cell>
        </row>
        <row r="3279">
          <cell r="E3279" t="str">
            <v>D26001770</v>
          </cell>
          <cell r="AP3279">
            <v>0</v>
          </cell>
          <cell r="AQ3279">
            <v>0</v>
          </cell>
          <cell r="AV3279">
            <v>0</v>
          </cell>
        </row>
        <row r="3280">
          <cell r="E3280" t="str">
            <v>D26001802</v>
          </cell>
          <cell r="AP3280">
            <v>0</v>
          </cell>
          <cell r="AQ3280">
            <v>0</v>
          </cell>
          <cell r="AV3280">
            <v>0</v>
          </cell>
        </row>
        <row r="3281">
          <cell r="E3281" t="str">
            <v>D26002025</v>
          </cell>
          <cell r="AP3281">
            <v>0</v>
          </cell>
          <cell r="AQ3281">
            <v>0</v>
          </cell>
          <cell r="AV3281">
            <v>0</v>
          </cell>
        </row>
        <row r="3282">
          <cell r="E3282" t="str">
            <v>D26002430</v>
          </cell>
          <cell r="AP3282">
            <v>0</v>
          </cell>
          <cell r="AQ3282">
            <v>0</v>
          </cell>
          <cell r="AV3282">
            <v>0</v>
          </cell>
        </row>
        <row r="3283">
          <cell r="E3283" t="str">
            <v>D26002443</v>
          </cell>
          <cell r="AP3283">
            <v>0</v>
          </cell>
          <cell r="AQ3283">
            <v>0</v>
          </cell>
          <cell r="AV3283">
            <v>0</v>
          </cell>
        </row>
        <row r="3284">
          <cell r="E3284" t="str">
            <v>D26002512</v>
          </cell>
          <cell r="AP3284">
            <v>0</v>
          </cell>
          <cell r="AQ3284">
            <v>0</v>
          </cell>
          <cell r="AV3284">
            <v>0</v>
          </cell>
        </row>
        <row r="3285">
          <cell r="E3285" t="str">
            <v>D26002513</v>
          </cell>
          <cell r="AP3285">
            <v>0</v>
          </cell>
          <cell r="AQ3285">
            <v>0</v>
          </cell>
          <cell r="AV3285">
            <v>0</v>
          </cell>
        </row>
        <row r="3286">
          <cell r="E3286" t="str">
            <v>D26002626</v>
          </cell>
          <cell r="AP3286">
            <v>0</v>
          </cell>
          <cell r="AQ3286">
            <v>0</v>
          </cell>
          <cell r="AV3286">
            <v>0</v>
          </cell>
        </row>
        <row r="3287">
          <cell r="E3287" t="str">
            <v>D26002627</v>
          </cell>
          <cell r="AP3287">
            <v>0</v>
          </cell>
          <cell r="AQ3287">
            <v>0</v>
          </cell>
          <cell r="AV3287">
            <v>0</v>
          </cell>
        </row>
        <row r="3288">
          <cell r="E3288" t="str">
            <v>D26002681</v>
          </cell>
          <cell r="AP3288">
            <v>0</v>
          </cell>
          <cell r="AQ3288">
            <v>0</v>
          </cell>
          <cell r="AV3288">
            <v>0</v>
          </cell>
        </row>
        <row r="3289">
          <cell r="E3289" t="str">
            <v>D26002691</v>
          </cell>
          <cell r="AP3289">
            <v>0</v>
          </cell>
          <cell r="AQ3289">
            <v>0</v>
          </cell>
          <cell r="AV3289">
            <v>0</v>
          </cell>
        </row>
        <row r="3290">
          <cell r="E3290" t="str">
            <v>B26002751</v>
          </cell>
          <cell r="AP3290">
            <v>0</v>
          </cell>
          <cell r="AQ3290">
            <v>0</v>
          </cell>
          <cell r="AV3290">
            <v>0</v>
          </cell>
        </row>
        <row r="3291">
          <cell r="E3291" t="str">
            <v>B26002775</v>
          </cell>
          <cell r="AP3291">
            <v>0</v>
          </cell>
          <cell r="AQ3291">
            <v>0</v>
          </cell>
          <cell r="AV3291">
            <v>0</v>
          </cell>
        </row>
        <row r="3292">
          <cell r="E3292" t="str">
            <v>D26002962</v>
          </cell>
          <cell r="AP3292">
            <v>0</v>
          </cell>
          <cell r="AQ3292">
            <v>0</v>
          </cell>
          <cell r="AV3292">
            <v>0</v>
          </cell>
        </row>
        <row r="3293">
          <cell r="E3293" t="str">
            <v>D26002986</v>
          </cell>
          <cell r="AP3293">
            <v>0</v>
          </cell>
          <cell r="AQ3293">
            <v>0</v>
          </cell>
          <cell r="AV3293">
            <v>0</v>
          </cell>
        </row>
        <row r="3294">
          <cell r="E3294" t="str">
            <v>D26003007</v>
          </cell>
          <cell r="AP3294">
            <v>0</v>
          </cell>
          <cell r="AQ3294">
            <v>0</v>
          </cell>
          <cell r="AV3294">
            <v>0</v>
          </cell>
        </row>
        <row r="3295">
          <cell r="E3295" t="str">
            <v>D25007908</v>
          </cell>
          <cell r="AP3295">
            <v>0</v>
          </cell>
          <cell r="AQ3295">
            <v>0</v>
          </cell>
          <cell r="AV3295">
            <v>0</v>
          </cell>
        </row>
        <row r="3296">
          <cell r="E3296" t="str">
            <v>D25015340</v>
          </cell>
          <cell r="AP3296">
            <v>0</v>
          </cell>
          <cell r="AQ3296">
            <v>0</v>
          </cell>
          <cell r="AV3296">
            <v>0</v>
          </cell>
        </row>
        <row r="3297">
          <cell r="E3297" t="str">
            <v>D25010159</v>
          </cell>
          <cell r="AP3297">
            <v>0</v>
          </cell>
          <cell r="AQ3297">
            <v>0</v>
          </cell>
          <cell r="AV3297">
            <v>0</v>
          </cell>
        </row>
        <row r="3298">
          <cell r="E3298" t="str">
            <v>B26003067</v>
          </cell>
          <cell r="AP3298">
            <v>0</v>
          </cell>
          <cell r="AQ3298">
            <v>0</v>
          </cell>
          <cell r="AV3298">
            <v>0</v>
          </cell>
        </row>
        <row r="3299">
          <cell r="E3299" t="str">
            <v>D26003306</v>
          </cell>
          <cell r="AP3299">
            <v>0</v>
          </cell>
          <cell r="AQ3299">
            <v>0</v>
          </cell>
          <cell r="AV3299">
            <v>0</v>
          </cell>
        </row>
        <row r="3300">
          <cell r="E3300" t="str">
            <v>B26001143</v>
          </cell>
          <cell r="AP3300">
            <v>0</v>
          </cell>
          <cell r="AQ3300">
            <v>0</v>
          </cell>
          <cell r="AV3300">
            <v>0</v>
          </cell>
        </row>
        <row r="3301">
          <cell r="E3301" t="str">
            <v>B26002948</v>
          </cell>
          <cell r="AP3301">
            <v>0</v>
          </cell>
          <cell r="AQ3301">
            <v>0</v>
          </cell>
          <cell r="AV3301">
            <v>0</v>
          </cell>
        </row>
        <row r="3302">
          <cell r="E3302" t="str">
            <v>D26003175</v>
          </cell>
          <cell r="AP3302">
            <v>0</v>
          </cell>
          <cell r="AQ3302">
            <v>0</v>
          </cell>
          <cell r="AV3302">
            <v>0</v>
          </cell>
        </row>
        <row r="3303">
          <cell r="E3303" t="str">
            <v>D24016641</v>
          </cell>
          <cell r="AP3303">
            <v>0</v>
          </cell>
          <cell r="AQ3303">
            <v>0</v>
          </cell>
          <cell r="AV3303">
            <v>0</v>
          </cell>
        </row>
        <row r="3304">
          <cell r="E3304" t="str">
            <v>A26000273</v>
          </cell>
          <cell r="AP3304">
            <v>0</v>
          </cell>
          <cell r="AQ3304">
            <v>0</v>
          </cell>
          <cell r="AV3304">
            <v>0</v>
          </cell>
        </row>
        <row r="3305">
          <cell r="E3305" t="str">
            <v>A26000277</v>
          </cell>
          <cell r="AP3305">
            <v>0</v>
          </cell>
          <cell r="AQ3305">
            <v>0</v>
          </cell>
          <cell r="AV3305">
            <v>0</v>
          </cell>
        </row>
        <row r="3306">
          <cell r="E3306" t="str">
            <v>A26000281</v>
          </cell>
          <cell r="AP3306">
            <v>0</v>
          </cell>
          <cell r="AQ3306">
            <v>0</v>
          </cell>
          <cell r="AV3306">
            <v>0</v>
          </cell>
        </row>
        <row r="3307">
          <cell r="E3307" t="str">
            <v>A26000291</v>
          </cell>
          <cell r="AP3307">
            <v>0</v>
          </cell>
          <cell r="AQ3307">
            <v>0</v>
          </cell>
          <cell r="AV3307">
            <v>0</v>
          </cell>
        </row>
        <row r="3308">
          <cell r="E3308" t="str">
            <v>A26000299</v>
          </cell>
          <cell r="AP3308">
            <v>0</v>
          </cell>
          <cell r="AQ3308">
            <v>0</v>
          </cell>
          <cell r="AV3308">
            <v>0</v>
          </cell>
        </row>
        <row r="3309">
          <cell r="E3309" t="str">
            <v>A26000301</v>
          </cell>
          <cell r="AP3309">
            <v>0</v>
          </cell>
          <cell r="AQ3309">
            <v>0</v>
          </cell>
          <cell r="AV3309">
            <v>0</v>
          </cell>
        </row>
        <row r="3310">
          <cell r="E3310" t="str">
            <v>A26000305</v>
          </cell>
          <cell r="AP3310">
            <v>0</v>
          </cell>
          <cell r="AQ3310">
            <v>0</v>
          </cell>
          <cell r="AV3310">
            <v>0</v>
          </cell>
        </row>
        <row r="3311">
          <cell r="E3311" t="str">
            <v>A26000310</v>
          </cell>
          <cell r="AP3311">
            <v>0</v>
          </cell>
          <cell r="AQ3311">
            <v>0</v>
          </cell>
          <cell r="AV3311">
            <v>0</v>
          </cell>
        </row>
        <row r="3312">
          <cell r="E3312" t="str">
            <v>A26000313</v>
          </cell>
          <cell r="AP3312">
            <v>0</v>
          </cell>
          <cell r="AQ3312">
            <v>0</v>
          </cell>
          <cell r="AV3312">
            <v>0</v>
          </cell>
        </row>
        <row r="3313">
          <cell r="E3313" t="str">
            <v>A26000314</v>
          </cell>
          <cell r="AP3313">
            <v>0</v>
          </cell>
          <cell r="AQ3313">
            <v>0</v>
          </cell>
          <cell r="AV3313">
            <v>0</v>
          </cell>
        </row>
        <row r="3314">
          <cell r="E3314" t="str">
            <v>A26000315</v>
          </cell>
          <cell r="AP3314">
            <v>0</v>
          </cell>
          <cell r="AQ3314">
            <v>0</v>
          </cell>
          <cell r="AV3314">
            <v>0</v>
          </cell>
        </row>
        <row r="3315">
          <cell r="E3315" t="str">
            <v>A26000316</v>
          </cell>
          <cell r="AP3315">
            <v>0</v>
          </cell>
          <cell r="AQ3315">
            <v>0</v>
          </cell>
          <cell r="AV3315">
            <v>0</v>
          </cell>
        </row>
        <row r="3316">
          <cell r="E3316" t="str">
            <v>A26000317</v>
          </cell>
          <cell r="AP3316">
            <v>0</v>
          </cell>
          <cell r="AQ3316">
            <v>0</v>
          </cell>
          <cell r="AV3316">
            <v>0</v>
          </cell>
        </row>
        <row r="3317">
          <cell r="E3317" t="str">
            <v>A26000319</v>
          </cell>
          <cell r="AP3317">
            <v>0</v>
          </cell>
          <cell r="AQ3317">
            <v>0</v>
          </cell>
          <cell r="AV3317">
            <v>0</v>
          </cell>
        </row>
        <row r="3318">
          <cell r="E3318" t="str">
            <v>A26000328</v>
          </cell>
          <cell r="AP3318">
            <v>0</v>
          </cell>
          <cell r="AQ3318">
            <v>0</v>
          </cell>
          <cell r="AV3318">
            <v>0</v>
          </cell>
        </row>
        <row r="3319">
          <cell r="E3319" t="str">
            <v>A26000331</v>
          </cell>
          <cell r="AP3319">
            <v>0</v>
          </cell>
          <cell r="AQ3319">
            <v>0</v>
          </cell>
          <cell r="AV3319">
            <v>0</v>
          </cell>
        </row>
        <row r="3320">
          <cell r="E3320" t="str">
            <v>A26000332</v>
          </cell>
          <cell r="AP3320">
            <v>0</v>
          </cell>
          <cell r="AQ3320">
            <v>0</v>
          </cell>
          <cell r="AV3320">
            <v>0</v>
          </cell>
        </row>
        <row r="3321">
          <cell r="E3321" t="str">
            <v>A26000333</v>
          </cell>
          <cell r="AP3321">
            <v>0</v>
          </cell>
          <cell r="AQ3321">
            <v>0</v>
          </cell>
          <cell r="AV3321">
            <v>0</v>
          </cell>
        </row>
        <row r="3322">
          <cell r="E3322" t="str">
            <v>A26000337</v>
          </cell>
          <cell r="AP3322">
            <v>0</v>
          </cell>
          <cell r="AQ3322">
            <v>0</v>
          </cell>
          <cell r="AV3322">
            <v>0</v>
          </cell>
        </row>
        <row r="3323">
          <cell r="E3323" t="str">
            <v>A26000338</v>
          </cell>
          <cell r="AP3323">
            <v>0</v>
          </cell>
          <cell r="AQ3323">
            <v>0</v>
          </cell>
          <cell r="AV3323">
            <v>0</v>
          </cell>
        </row>
        <row r="3324">
          <cell r="E3324" t="str">
            <v>A26000341</v>
          </cell>
          <cell r="AP3324">
            <v>0</v>
          </cell>
          <cell r="AQ3324">
            <v>0</v>
          </cell>
          <cell r="AV3324">
            <v>0</v>
          </cell>
        </row>
        <row r="3325">
          <cell r="E3325" t="str">
            <v>A26000342</v>
          </cell>
          <cell r="AP3325">
            <v>0</v>
          </cell>
          <cell r="AQ3325">
            <v>0</v>
          </cell>
          <cell r="AV3325">
            <v>0</v>
          </cell>
        </row>
        <row r="3326">
          <cell r="E3326" t="str">
            <v>A26000343</v>
          </cell>
          <cell r="AP3326">
            <v>0</v>
          </cell>
          <cell r="AQ3326">
            <v>0</v>
          </cell>
          <cell r="AV3326">
            <v>0</v>
          </cell>
        </row>
        <row r="3327">
          <cell r="E3327" t="str">
            <v>A26000344</v>
          </cell>
          <cell r="AP3327">
            <v>0</v>
          </cell>
          <cell r="AQ3327">
            <v>0</v>
          </cell>
          <cell r="AV3327">
            <v>0</v>
          </cell>
        </row>
        <row r="3328">
          <cell r="E3328" t="str">
            <v>A26000346</v>
          </cell>
          <cell r="AP3328">
            <v>0</v>
          </cell>
          <cell r="AQ3328">
            <v>0</v>
          </cell>
          <cell r="AV3328">
            <v>0</v>
          </cell>
        </row>
        <row r="3329">
          <cell r="E3329" t="str">
            <v>A26000347</v>
          </cell>
          <cell r="AP3329">
            <v>0</v>
          </cell>
          <cell r="AQ3329">
            <v>0</v>
          </cell>
          <cell r="AV3329">
            <v>0</v>
          </cell>
        </row>
        <row r="3330">
          <cell r="E3330" t="str">
            <v>A26000348</v>
          </cell>
          <cell r="AP3330">
            <v>0</v>
          </cell>
          <cell r="AQ3330">
            <v>0</v>
          </cell>
          <cell r="AV3330">
            <v>0</v>
          </cell>
        </row>
        <row r="3331">
          <cell r="E3331" t="str">
            <v>A26000349</v>
          </cell>
          <cell r="AP3331">
            <v>0</v>
          </cell>
          <cell r="AQ3331">
            <v>0</v>
          </cell>
          <cell r="AV3331">
            <v>0</v>
          </cell>
        </row>
        <row r="3332">
          <cell r="E3332" t="str">
            <v>A26000350</v>
          </cell>
          <cell r="AP3332">
            <v>0</v>
          </cell>
          <cell r="AQ3332">
            <v>0</v>
          </cell>
          <cell r="AV3332">
            <v>0</v>
          </cell>
        </row>
        <row r="3333">
          <cell r="E3333" t="str">
            <v>A26000351</v>
          </cell>
          <cell r="AP3333">
            <v>0</v>
          </cell>
          <cell r="AQ3333">
            <v>0</v>
          </cell>
          <cell r="AV3333">
            <v>0</v>
          </cell>
        </row>
        <row r="3334">
          <cell r="E3334" t="str">
            <v>A26000352</v>
          </cell>
          <cell r="AP3334">
            <v>0</v>
          </cell>
          <cell r="AQ3334">
            <v>0</v>
          </cell>
          <cell r="AV3334">
            <v>0</v>
          </cell>
        </row>
        <row r="3335">
          <cell r="E3335" t="str">
            <v>A26000356</v>
          </cell>
          <cell r="AP3335">
            <v>0</v>
          </cell>
          <cell r="AQ3335">
            <v>0</v>
          </cell>
          <cell r="AV3335">
            <v>0</v>
          </cell>
        </row>
        <row r="3336">
          <cell r="E3336" t="str">
            <v>A26000357</v>
          </cell>
          <cell r="AP3336">
            <v>0</v>
          </cell>
          <cell r="AQ3336">
            <v>0</v>
          </cell>
          <cell r="AV3336">
            <v>0</v>
          </cell>
        </row>
        <row r="3337">
          <cell r="E3337" t="str">
            <v>A26000358</v>
          </cell>
          <cell r="AP3337">
            <v>0</v>
          </cell>
          <cell r="AQ3337">
            <v>0</v>
          </cell>
          <cell r="AV3337">
            <v>0</v>
          </cell>
        </row>
        <row r="3338">
          <cell r="E3338" t="str">
            <v>A26000359</v>
          </cell>
          <cell r="AP3338">
            <v>0</v>
          </cell>
          <cell r="AQ3338">
            <v>0</v>
          </cell>
          <cell r="AV3338">
            <v>0</v>
          </cell>
        </row>
        <row r="3339">
          <cell r="E3339" t="str">
            <v>A26000361</v>
          </cell>
          <cell r="AP3339">
            <v>0</v>
          </cell>
          <cell r="AQ3339">
            <v>0</v>
          </cell>
          <cell r="AV3339">
            <v>0</v>
          </cell>
        </row>
        <row r="3340">
          <cell r="E3340" t="str">
            <v>A26000362</v>
          </cell>
          <cell r="AP3340">
            <v>0</v>
          </cell>
          <cell r="AQ3340">
            <v>0</v>
          </cell>
          <cell r="AV3340">
            <v>0</v>
          </cell>
        </row>
        <row r="3341">
          <cell r="E3341" t="str">
            <v>A26000363</v>
          </cell>
          <cell r="AP3341">
            <v>0</v>
          </cell>
          <cell r="AQ3341">
            <v>0</v>
          </cell>
          <cell r="AV3341">
            <v>0</v>
          </cell>
        </row>
        <row r="3342">
          <cell r="E3342" t="str">
            <v>A26000364</v>
          </cell>
          <cell r="AP3342">
            <v>0</v>
          </cell>
          <cell r="AQ3342">
            <v>0</v>
          </cell>
          <cell r="AV3342">
            <v>0</v>
          </cell>
        </row>
        <row r="3343">
          <cell r="E3343" t="str">
            <v>A26000365</v>
          </cell>
          <cell r="AP3343">
            <v>0</v>
          </cell>
          <cell r="AQ3343">
            <v>0</v>
          </cell>
          <cell r="AV3343">
            <v>0</v>
          </cell>
        </row>
        <row r="3344">
          <cell r="E3344" t="str">
            <v>A26000366</v>
          </cell>
          <cell r="AP3344">
            <v>0</v>
          </cell>
          <cell r="AQ3344">
            <v>0</v>
          </cell>
          <cell r="AV3344">
            <v>0</v>
          </cell>
        </row>
        <row r="3345">
          <cell r="E3345" t="str">
            <v>A26000370</v>
          </cell>
          <cell r="AP3345">
            <v>0</v>
          </cell>
          <cell r="AQ3345">
            <v>0</v>
          </cell>
          <cell r="AV3345">
            <v>0</v>
          </cell>
        </row>
        <row r="3346">
          <cell r="E3346" t="str">
            <v>A26000371</v>
          </cell>
          <cell r="AP3346">
            <v>0</v>
          </cell>
          <cell r="AQ3346">
            <v>0</v>
          </cell>
          <cell r="AV3346">
            <v>0</v>
          </cell>
        </row>
        <row r="3347">
          <cell r="E3347" t="str">
            <v>A26000372</v>
          </cell>
          <cell r="AP3347">
            <v>0</v>
          </cell>
          <cell r="AQ3347">
            <v>0</v>
          </cell>
          <cell r="AV3347">
            <v>0</v>
          </cell>
        </row>
        <row r="3348">
          <cell r="E3348" t="str">
            <v>A26000373</v>
          </cell>
          <cell r="AP3348">
            <v>0</v>
          </cell>
          <cell r="AQ3348">
            <v>0</v>
          </cell>
          <cell r="AV3348">
            <v>0</v>
          </cell>
        </row>
        <row r="3349">
          <cell r="E3349" t="str">
            <v>A26000374</v>
          </cell>
          <cell r="AP3349">
            <v>0</v>
          </cell>
          <cell r="AQ3349">
            <v>0</v>
          </cell>
          <cell r="AV3349">
            <v>0</v>
          </cell>
        </row>
        <row r="3350">
          <cell r="E3350" t="str">
            <v>A26000375</v>
          </cell>
          <cell r="AP3350">
            <v>0</v>
          </cell>
          <cell r="AQ3350">
            <v>0</v>
          </cell>
          <cell r="AV3350">
            <v>0</v>
          </cell>
        </row>
        <row r="3351">
          <cell r="E3351" t="str">
            <v>A26000376</v>
          </cell>
          <cell r="AP3351">
            <v>0</v>
          </cell>
          <cell r="AQ3351">
            <v>0</v>
          </cell>
          <cell r="AV3351">
            <v>0</v>
          </cell>
        </row>
        <row r="3352">
          <cell r="E3352" t="str">
            <v>A26000378</v>
          </cell>
          <cell r="AP3352">
            <v>0</v>
          </cell>
          <cell r="AQ3352">
            <v>0</v>
          </cell>
          <cell r="AV3352">
            <v>0</v>
          </cell>
        </row>
        <row r="3353">
          <cell r="E3353" t="str">
            <v>A26000379</v>
          </cell>
          <cell r="AP3353">
            <v>0</v>
          </cell>
          <cell r="AQ3353">
            <v>0</v>
          </cell>
          <cell r="AV3353">
            <v>0</v>
          </cell>
        </row>
        <row r="3354">
          <cell r="E3354" t="str">
            <v>A26000381</v>
          </cell>
          <cell r="AP3354">
            <v>0</v>
          </cell>
          <cell r="AQ3354">
            <v>0</v>
          </cell>
          <cell r="AV3354">
            <v>0</v>
          </cell>
        </row>
        <row r="3355">
          <cell r="E3355" t="str">
            <v>A26000382</v>
          </cell>
          <cell r="AP3355">
            <v>0</v>
          </cell>
          <cell r="AQ3355">
            <v>0</v>
          </cell>
          <cell r="AV3355">
            <v>0</v>
          </cell>
        </row>
        <row r="3356">
          <cell r="E3356" t="str">
            <v>A26000383</v>
          </cell>
          <cell r="AP3356">
            <v>0</v>
          </cell>
          <cell r="AQ3356">
            <v>0</v>
          </cell>
          <cell r="AV3356">
            <v>0</v>
          </cell>
        </row>
        <row r="3357">
          <cell r="E3357" t="str">
            <v>A26000384</v>
          </cell>
          <cell r="AP3357">
            <v>0</v>
          </cell>
          <cell r="AQ3357">
            <v>0</v>
          </cell>
          <cell r="AV3357">
            <v>0</v>
          </cell>
        </row>
        <row r="3358">
          <cell r="E3358" t="str">
            <v>A26000385</v>
          </cell>
          <cell r="AP3358">
            <v>0</v>
          </cell>
          <cell r="AQ3358">
            <v>0</v>
          </cell>
          <cell r="AV3358">
            <v>0</v>
          </cell>
        </row>
        <row r="3359">
          <cell r="E3359" t="str">
            <v>A26000386</v>
          </cell>
          <cell r="AP3359">
            <v>0</v>
          </cell>
          <cell r="AQ3359">
            <v>0</v>
          </cell>
          <cell r="AV3359">
            <v>0</v>
          </cell>
        </row>
        <row r="3360">
          <cell r="E3360" t="str">
            <v>A26000387</v>
          </cell>
          <cell r="AP3360">
            <v>0</v>
          </cell>
          <cell r="AQ3360">
            <v>0</v>
          </cell>
          <cell r="AV3360">
            <v>0</v>
          </cell>
        </row>
        <row r="3361">
          <cell r="E3361" t="str">
            <v>A26000388</v>
          </cell>
          <cell r="AP3361">
            <v>0</v>
          </cell>
          <cell r="AQ3361">
            <v>0</v>
          </cell>
          <cell r="AV3361">
            <v>0</v>
          </cell>
        </row>
        <row r="3362">
          <cell r="E3362" t="str">
            <v>A26000389</v>
          </cell>
          <cell r="AP3362">
            <v>0</v>
          </cell>
          <cell r="AQ3362">
            <v>0</v>
          </cell>
          <cell r="AV3362">
            <v>0</v>
          </cell>
        </row>
        <row r="3363">
          <cell r="E3363" t="str">
            <v>A26000390</v>
          </cell>
          <cell r="AP3363">
            <v>0</v>
          </cell>
          <cell r="AQ3363">
            <v>0</v>
          </cell>
          <cell r="AV3363">
            <v>0</v>
          </cell>
        </row>
        <row r="3364">
          <cell r="E3364" t="str">
            <v>A26000391</v>
          </cell>
          <cell r="AP3364">
            <v>0</v>
          </cell>
          <cell r="AQ3364">
            <v>0</v>
          </cell>
          <cell r="AV3364">
            <v>0</v>
          </cell>
        </row>
        <row r="3365">
          <cell r="E3365" t="str">
            <v>A26000392</v>
          </cell>
          <cell r="AP3365">
            <v>0</v>
          </cell>
          <cell r="AQ3365">
            <v>0</v>
          </cell>
          <cell r="AV3365">
            <v>0</v>
          </cell>
        </row>
        <row r="3366">
          <cell r="E3366" t="str">
            <v>A26000393</v>
          </cell>
          <cell r="AP3366">
            <v>0</v>
          </cell>
          <cell r="AQ3366">
            <v>0</v>
          </cell>
          <cell r="AV3366">
            <v>0</v>
          </cell>
        </row>
        <row r="3367">
          <cell r="E3367" t="str">
            <v>A26000394</v>
          </cell>
          <cell r="AP3367">
            <v>0</v>
          </cell>
          <cell r="AQ3367">
            <v>0</v>
          </cell>
          <cell r="AV3367">
            <v>0</v>
          </cell>
        </row>
        <row r="3368">
          <cell r="E3368" t="str">
            <v>A26000395</v>
          </cell>
          <cell r="AP3368">
            <v>0</v>
          </cell>
          <cell r="AQ3368">
            <v>0</v>
          </cell>
          <cell r="AV3368">
            <v>0</v>
          </cell>
        </row>
        <row r="3369">
          <cell r="E3369" t="str">
            <v>A26000251</v>
          </cell>
          <cell r="AP3369">
            <v>0</v>
          </cell>
          <cell r="AQ3369">
            <v>0</v>
          </cell>
          <cell r="AV3369">
            <v>80525</v>
          </cell>
        </row>
        <row r="3370">
          <cell r="E3370" t="str">
            <v>A26000251</v>
          </cell>
          <cell r="AP3370">
            <v>0</v>
          </cell>
          <cell r="AQ3370">
            <v>0</v>
          </cell>
          <cell r="AV3370">
            <v>15975</v>
          </cell>
        </row>
        <row r="3371">
          <cell r="E3371" t="str">
            <v>A26000258</v>
          </cell>
          <cell r="AP3371">
            <v>0</v>
          </cell>
          <cell r="AQ3371">
            <v>0</v>
          </cell>
          <cell r="AV3371">
            <v>170625</v>
          </cell>
        </row>
        <row r="3372">
          <cell r="E3372" t="str">
            <v>A26000258</v>
          </cell>
          <cell r="AP3372">
            <v>0</v>
          </cell>
          <cell r="AQ3372">
            <v>0</v>
          </cell>
          <cell r="AV3372">
            <v>31875</v>
          </cell>
        </row>
        <row r="3373">
          <cell r="E3373" t="str">
            <v>A26000263</v>
          </cell>
          <cell r="AP3373">
            <v>0</v>
          </cell>
          <cell r="AQ3373">
            <v>0</v>
          </cell>
          <cell r="AV3373">
            <v>39087.5</v>
          </cell>
        </row>
        <row r="3374">
          <cell r="E3374" t="str">
            <v>A26000263</v>
          </cell>
          <cell r="AP3374">
            <v>0</v>
          </cell>
          <cell r="AQ3374">
            <v>0</v>
          </cell>
          <cell r="AV3374">
            <v>8662.5</v>
          </cell>
        </row>
        <row r="3375">
          <cell r="E3375" t="str">
            <v>A26000264</v>
          </cell>
          <cell r="AP3375">
            <v>0</v>
          </cell>
          <cell r="AQ3375">
            <v>0</v>
          </cell>
          <cell r="AV3375">
            <v>79462.5</v>
          </cell>
        </row>
        <row r="3376">
          <cell r="E3376" t="str">
            <v>A26000264</v>
          </cell>
          <cell r="AP3376">
            <v>0</v>
          </cell>
          <cell r="AQ3376">
            <v>0</v>
          </cell>
          <cell r="AV3376">
            <v>15787.5</v>
          </cell>
        </row>
        <row r="3377">
          <cell r="E3377" t="str">
            <v>A26000265</v>
          </cell>
          <cell r="AP3377">
            <v>0</v>
          </cell>
          <cell r="AQ3377">
            <v>0</v>
          </cell>
          <cell r="AV3377">
            <v>45993.75</v>
          </cell>
        </row>
        <row r="3378">
          <cell r="E3378" t="str">
            <v>A26000265</v>
          </cell>
          <cell r="AP3378">
            <v>0</v>
          </cell>
          <cell r="AQ3378">
            <v>0</v>
          </cell>
          <cell r="AV3378">
            <v>9881.25</v>
          </cell>
        </row>
        <row r="3379">
          <cell r="E3379" t="str">
            <v>A26000266</v>
          </cell>
          <cell r="AP3379">
            <v>0</v>
          </cell>
          <cell r="AQ3379">
            <v>0</v>
          </cell>
          <cell r="AV3379">
            <v>66712.5</v>
          </cell>
        </row>
        <row r="3380">
          <cell r="E3380" t="str">
            <v>A26000266</v>
          </cell>
          <cell r="AP3380">
            <v>0</v>
          </cell>
          <cell r="AQ3380">
            <v>0</v>
          </cell>
          <cell r="AV3380">
            <v>13537.5</v>
          </cell>
        </row>
        <row r="3381">
          <cell r="E3381" t="str">
            <v>A26000267</v>
          </cell>
          <cell r="AP3381">
            <v>0</v>
          </cell>
          <cell r="AQ3381">
            <v>0</v>
          </cell>
          <cell r="AV3381">
            <v>49712.5</v>
          </cell>
        </row>
        <row r="3382">
          <cell r="E3382" t="str">
            <v>A26000267</v>
          </cell>
          <cell r="AP3382">
            <v>0</v>
          </cell>
          <cell r="AQ3382">
            <v>0</v>
          </cell>
          <cell r="AV3382">
            <v>10537.5</v>
          </cell>
        </row>
        <row r="3383">
          <cell r="E3383" t="str">
            <v>A26000283</v>
          </cell>
          <cell r="AP3383">
            <v>0</v>
          </cell>
          <cell r="AQ3383">
            <v>0</v>
          </cell>
          <cell r="AV3383">
            <v>44400</v>
          </cell>
        </row>
        <row r="3384">
          <cell r="E3384" t="str">
            <v>A26000283</v>
          </cell>
          <cell r="AP3384">
            <v>0</v>
          </cell>
          <cell r="AQ3384">
            <v>0</v>
          </cell>
          <cell r="AV3384">
            <v>9600</v>
          </cell>
        </row>
        <row r="3385">
          <cell r="E3385" t="str">
            <v>A26000284</v>
          </cell>
          <cell r="AP3385">
            <v>0</v>
          </cell>
          <cell r="AQ3385">
            <v>0</v>
          </cell>
          <cell r="AV3385">
            <v>95400</v>
          </cell>
        </row>
        <row r="3386">
          <cell r="E3386" t="str">
            <v>A26000284</v>
          </cell>
          <cell r="AP3386">
            <v>0</v>
          </cell>
          <cell r="AQ3386">
            <v>0</v>
          </cell>
          <cell r="AV3386">
            <v>18600</v>
          </cell>
        </row>
        <row r="3387">
          <cell r="E3387" t="str">
            <v>A26000292</v>
          </cell>
          <cell r="AP3387">
            <v>0</v>
          </cell>
          <cell r="AQ3387">
            <v>0</v>
          </cell>
          <cell r="AV3387">
            <v>91681.25</v>
          </cell>
        </row>
        <row r="3388">
          <cell r="E3388" t="str">
            <v>A26000292</v>
          </cell>
          <cell r="AP3388">
            <v>0</v>
          </cell>
          <cell r="AQ3388">
            <v>0</v>
          </cell>
          <cell r="AV3388">
            <v>17943.75</v>
          </cell>
        </row>
        <row r="3389">
          <cell r="E3389" t="str">
            <v>A26000294</v>
          </cell>
          <cell r="AP3389">
            <v>0</v>
          </cell>
          <cell r="AQ3389">
            <v>0</v>
          </cell>
          <cell r="AV3389">
            <v>0</v>
          </cell>
        </row>
        <row r="3390">
          <cell r="E3390" t="str">
            <v>A26000303</v>
          </cell>
          <cell r="AP3390">
            <v>0</v>
          </cell>
          <cell r="AQ3390">
            <v>0</v>
          </cell>
          <cell r="AV3390">
            <v>122600</v>
          </cell>
        </row>
        <row r="3391">
          <cell r="E3391" t="str">
            <v>A26000303</v>
          </cell>
          <cell r="AP3391">
            <v>0</v>
          </cell>
          <cell r="AQ3391">
            <v>0</v>
          </cell>
          <cell r="AV3391">
            <v>23400</v>
          </cell>
        </row>
        <row r="3392">
          <cell r="E3392" t="str">
            <v>A26000306</v>
          </cell>
          <cell r="AP3392">
            <v>0</v>
          </cell>
          <cell r="AQ3392">
            <v>0</v>
          </cell>
          <cell r="AV3392">
            <v>0</v>
          </cell>
        </row>
        <row r="3393">
          <cell r="E3393" t="str">
            <v>A26000307</v>
          </cell>
          <cell r="AP3393">
            <v>0</v>
          </cell>
          <cell r="AQ3393">
            <v>0</v>
          </cell>
          <cell r="AV3393">
            <v>350187.5</v>
          </cell>
        </row>
        <row r="3394">
          <cell r="E3394" t="str">
            <v>A26000307</v>
          </cell>
          <cell r="AP3394">
            <v>0</v>
          </cell>
          <cell r="AQ3394">
            <v>0</v>
          </cell>
          <cell r="AV3394">
            <v>63562.5</v>
          </cell>
        </row>
        <row r="3395">
          <cell r="E3395" t="str">
            <v>A26000339</v>
          </cell>
          <cell r="AP3395">
            <v>0</v>
          </cell>
          <cell r="AQ3395">
            <v>0</v>
          </cell>
          <cell r="AV3395">
            <v>0</v>
          </cell>
        </row>
        <row r="3396">
          <cell r="E3396" t="str">
            <v>A26000345</v>
          </cell>
          <cell r="AP3396">
            <v>0</v>
          </cell>
          <cell r="AQ3396">
            <v>0</v>
          </cell>
          <cell r="AV3396">
            <v>0</v>
          </cell>
        </row>
        <row r="3397">
          <cell r="E3397" t="str">
            <v>A26000353</v>
          </cell>
          <cell r="AP3397">
            <v>0</v>
          </cell>
          <cell r="AQ3397">
            <v>0</v>
          </cell>
          <cell r="AV3397">
            <v>0</v>
          </cell>
        </row>
        <row r="3398">
          <cell r="E3398" t="str">
            <v>A26000354</v>
          </cell>
          <cell r="AP3398">
            <v>0</v>
          </cell>
          <cell r="AQ3398">
            <v>0</v>
          </cell>
          <cell r="AV3398">
            <v>0</v>
          </cell>
        </row>
        <row r="3399">
          <cell r="E3399" t="str">
            <v>A26000355</v>
          </cell>
          <cell r="AP3399">
            <v>0</v>
          </cell>
          <cell r="AQ3399">
            <v>0</v>
          </cell>
          <cell r="AV3399">
            <v>0</v>
          </cell>
        </row>
        <row r="3400">
          <cell r="E3400" t="str">
            <v>A26000360</v>
          </cell>
          <cell r="AP3400">
            <v>0</v>
          </cell>
          <cell r="AQ3400">
            <v>0</v>
          </cell>
          <cell r="AV3400">
            <v>0</v>
          </cell>
        </row>
        <row r="3401">
          <cell r="E3401" t="str">
            <v>A26000367</v>
          </cell>
          <cell r="AP3401">
            <v>0</v>
          </cell>
          <cell r="AQ3401">
            <v>0</v>
          </cell>
          <cell r="AV3401">
            <v>0</v>
          </cell>
        </row>
        <row r="3402">
          <cell r="E3402" t="str">
            <v>A26000368</v>
          </cell>
          <cell r="AP3402">
            <v>0</v>
          </cell>
          <cell r="AQ3402">
            <v>0</v>
          </cell>
          <cell r="AV3402">
            <v>0</v>
          </cell>
        </row>
        <row r="3403">
          <cell r="E3403" t="str">
            <v>A26000369</v>
          </cell>
          <cell r="AP3403">
            <v>0</v>
          </cell>
          <cell r="AQ3403">
            <v>0</v>
          </cell>
          <cell r="AV3403">
            <v>0</v>
          </cell>
        </row>
        <row r="3404">
          <cell r="E3404" t="str">
            <v>A26000377</v>
          </cell>
          <cell r="AP3404">
            <v>0</v>
          </cell>
          <cell r="AQ3404">
            <v>0</v>
          </cell>
          <cell r="AV3404">
            <v>0</v>
          </cell>
        </row>
        <row r="3405">
          <cell r="E3405" t="str">
            <v>A26000380</v>
          </cell>
          <cell r="AP3405">
            <v>0</v>
          </cell>
          <cell r="AQ3405">
            <v>0</v>
          </cell>
          <cell r="AV3405">
            <v>0</v>
          </cell>
        </row>
        <row r="3406">
          <cell r="E3406" t="str">
            <v>A26000396</v>
          </cell>
          <cell r="AP3406">
            <v>0</v>
          </cell>
          <cell r="AQ3406">
            <v>0</v>
          </cell>
          <cell r="AV3406">
            <v>0</v>
          </cell>
        </row>
        <row r="3407">
          <cell r="E3407" t="str">
            <v>D26002574</v>
          </cell>
          <cell r="AP3407">
            <v>0</v>
          </cell>
          <cell r="AQ3407">
            <v>0</v>
          </cell>
          <cell r="AV3407">
            <v>0</v>
          </cell>
        </row>
        <row r="3408">
          <cell r="E3408" t="str">
            <v>D26000826</v>
          </cell>
          <cell r="AP3408">
            <v>0</v>
          </cell>
          <cell r="AQ3408">
            <v>0</v>
          </cell>
          <cell r="AV3408">
            <v>0</v>
          </cell>
        </row>
        <row r="3409">
          <cell r="E3409" t="str">
            <v>T26000090</v>
          </cell>
          <cell r="AP3409">
            <v>0</v>
          </cell>
          <cell r="AQ3409">
            <v>0</v>
          </cell>
          <cell r="AV3409">
            <v>0</v>
          </cell>
        </row>
        <row r="3410">
          <cell r="E3410" t="str">
            <v>D26002468</v>
          </cell>
          <cell r="AP3410">
            <v>0</v>
          </cell>
          <cell r="AQ3410">
            <v>0</v>
          </cell>
          <cell r="AV3410">
            <v>0</v>
          </cell>
        </row>
        <row r="3411">
          <cell r="E3411" t="str">
            <v>D26002992</v>
          </cell>
          <cell r="AP3411">
            <v>0</v>
          </cell>
          <cell r="AQ3411">
            <v>0</v>
          </cell>
          <cell r="AV3411">
            <v>0</v>
          </cell>
        </row>
        <row r="3412">
          <cell r="E3412" t="str">
            <v>D26002993</v>
          </cell>
          <cell r="AP3412">
            <v>0</v>
          </cell>
          <cell r="AQ3412">
            <v>0</v>
          </cell>
          <cell r="AV3412">
            <v>0</v>
          </cell>
        </row>
        <row r="3413">
          <cell r="E3413" t="str">
            <v>B26001731</v>
          </cell>
          <cell r="AP3413">
            <v>0</v>
          </cell>
          <cell r="AQ3413">
            <v>0</v>
          </cell>
          <cell r="AV3413">
            <v>0</v>
          </cell>
        </row>
        <row r="3414">
          <cell r="E3414" t="str">
            <v>D26001894</v>
          </cell>
          <cell r="AP3414">
            <v>0</v>
          </cell>
          <cell r="AQ3414">
            <v>0</v>
          </cell>
          <cell r="AV3414">
            <v>0</v>
          </cell>
        </row>
        <row r="3415">
          <cell r="E3415" t="str">
            <v>B26002295</v>
          </cell>
          <cell r="AP3415">
            <v>0</v>
          </cell>
          <cell r="AQ3415">
            <v>0</v>
          </cell>
          <cell r="AV3415">
            <v>0</v>
          </cell>
        </row>
        <row r="3416">
          <cell r="E3416" t="str">
            <v>B26002299</v>
          </cell>
          <cell r="AP3416">
            <v>0</v>
          </cell>
          <cell r="AQ3416">
            <v>0</v>
          </cell>
          <cell r="AV3416">
            <v>0</v>
          </cell>
        </row>
        <row r="3417">
          <cell r="E3417" t="str">
            <v>B26002781</v>
          </cell>
          <cell r="AP3417">
            <v>0</v>
          </cell>
          <cell r="AQ3417">
            <v>0</v>
          </cell>
          <cell r="AV3417">
            <v>0</v>
          </cell>
        </row>
        <row r="3418">
          <cell r="E3418" t="str">
            <v>D26003112</v>
          </cell>
          <cell r="AP3418">
            <v>0</v>
          </cell>
          <cell r="AQ3418">
            <v>0</v>
          </cell>
          <cell r="AV3418">
            <v>0</v>
          </cell>
        </row>
        <row r="3419">
          <cell r="E3419" t="str">
            <v>B25016707</v>
          </cell>
          <cell r="AP3419">
            <v>0</v>
          </cell>
          <cell r="AQ3419">
            <v>0</v>
          </cell>
          <cell r="AV3419">
            <v>0</v>
          </cell>
        </row>
        <row r="3420">
          <cell r="E3420" t="str">
            <v>B25016708</v>
          </cell>
          <cell r="AP3420">
            <v>0</v>
          </cell>
          <cell r="AQ3420">
            <v>0</v>
          </cell>
          <cell r="AV3420">
            <v>0</v>
          </cell>
        </row>
        <row r="3421">
          <cell r="E3421" t="str">
            <v>B26000051</v>
          </cell>
          <cell r="AP3421">
            <v>0</v>
          </cell>
          <cell r="AQ3421">
            <v>0</v>
          </cell>
          <cell r="AV3421">
            <v>0</v>
          </cell>
        </row>
        <row r="3422">
          <cell r="E3422" t="str">
            <v>D26001548</v>
          </cell>
          <cell r="AP3422">
            <v>0</v>
          </cell>
          <cell r="AQ3422">
            <v>0</v>
          </cell>
          <cell r="AV3422">
            <v>0</v>
          </cell>
        </row>
        <row r="3423">
          <cell r="E3423" t="str">
            <v>D26002084</v>
          </cell>
          <cell r="AP3423">
            <v>0</v>
          </cell>
          <cell r="AQ3423">
            <v>0</v>
          </cell>
          <cell r="AV3423">
            <v>0</v>
          </cell>
        </row>
        <row r="3424">
          <cell r="E3424" t="str">
            <v>D26002093</v>
          </cell>
          <cell r="AP3424">
            <v>0</v>
          </cell>
          <cell r="AQ3424">
            <v>0</v>
          </cell>
          <cell r="AV3424">
            <v>0</v>
          </cell>
        </row>
        <row r="3425">
          <cell r="E3425" t="str">
            <v>B26002596</v>
          </cell>
          <cell r="AP3425">
            <v>0</v>
          </cell>
          <cell r="AQ3425">
            <v>0</v>
          </cell>
          <cell r="AV3425">
            <v>0</v>
          </cell>
        </row>
        <row r="3426">
          <cell r="E3426" t="str">
            <v>D26002799</v>
          </cell>
          <cell r="AP3426">
            <v>0</v>
          </cell>
          <cell r="AQ3426">
            <v>0</v>
          </cell>
          <cell r="AV3426">
            <v>0</v>
          </cell>
        </row>
        <row r="3427">
          <cell r="E3427" t="str">
            <v>D25018814</v>
          </cell>
          <cell r="AP3427">
            <v>0</v>
          </cell>
          <cell r="AQ3427">
            <v>0</v>
          </cell>
          <cell r="AV3427">
            <v>0</v>
          </cell>
        </row>
        <row r="3428">
          <cell r="E3428" t="str">
            <v>D25018817</v>
          </cell>
          <cell r="AP3428">
            <v>0</v>
          </cell>
          <cell r="AQ3428">
            <v>0</v>
          </cell>
          <cell r="AV3428">
            <v>0</v>
          </cell>
        </row>
        <row r="3429">
          <cell r="E3429" t="str">
            <v>B26000296</v>
          </cell>
          <cell r="AP3429">
            <v>0</v>
          </cell>
          <cell r="AQ3429">
            <v>0</v>
          </cell>
          <cell r="AV3429">
            <v>0</v>
          </cell>
        </row>
        <row r="3430">
          <cell r="E3430" t="str">
            <v>D26001342</v>
          </cell>
          <cell r="AP3430">
            <v>0</v>
          </cell>
          <cell r="AQ3430">
            <v>0</v>
          </cell>
          <cell r="AV3430">
            <v>0</v>
          </cell>
        </row>
        <row r="3431">
          <cell r="E3431" t="str">
            <v>D26001717</v>
          </cell>
          <cell r="AP3431">
            <v>0</v>
          </cell>
          <cell r="AQ3431">
            <v>0</v>
          </cell>
          <cell r="AV3431">
            <v>0</v>
          </cell>
        </row>
        <row r="3432">
          <cell r="E3432" t="str">
            <v>D26001786</v>
          </cell>
          <cell r="AP3432">
            <v>0</v>
          </cell>
          <cell r="AQ3432">
            <v>0</v>
          </cell>
          <cell r="AV3432">
            <v>0</v>
          </cell>
        </row>
        <row r="3433">
          <cell r="E3433" t="str">
            <v>D26001823</v>
          </cell>
          <cell r="AP3433">
            <v>0</v>
          </cell>
          <cell r="AQ3433">
            <v>0</v>
          </cell>
          <cell r="AV3433">
            <v>0</v>
          </cell>
        </row>
        <row r="3434">
          <cell r="E3434" t="str">
            <v>D26001909</v>
          </cell>
          <cell r="AP3434">
            <v>0</v>
          </cell>
          <cell r="AQ3434">
            <v>0</v>
          </cell>
          <cell r="AV3434">
            <v>0</v>
          </cell>
        </row>
        <row r="3435">
          <cell r="E3435" t="str">
            <v>D26002044</v>
          </cell>
          <cell r="AP3435">
            <v>0</v>
          </cell>
          <cell r="AQ3435">
            <v>0</v>
          </cell>
          <cell r="AV3435">
            <v>0</v>
          </cell>
        </row>
        <row r="3436">
          <cell r="E3436" t="str">
            <v>B26002279</v>
          </cell>
          <cell r="AP3436">
            <v>0</v>
          </cell>
          <cell r="AQ3436">
            <v>0</v>
          </cell>
          <cell r="AV3436">
            <v>0</v>
          </cell>
        </row>
        <row r="3437">
          <cell r="E3437" t="str">
            <v>B26002551</v>
          </cell>
          <cell r="AP3437">
            <v>0</v>
          </cell>
          <cell r="AQ3437">
            <v>0</v>
          </cell>
          <cell r="AV3437">
            <v>0</v>
          </cell>
        </row>
        <row r="3438">
          <cell r="E3438" t="str">
            <v>B26002552</v>
          </cell>
          <cell r="AP3438">
            <v>0</v>
          </cell>
          <cell r="AQ3438">
            <v>0</v>
          </cell>
          <cell r="AV3438">
            <v>0</v>
          </cell>
        </row>
        <row r="3439">
          <cell r="E3439" t="str">
            <v>B26002774</v>
          </cell>
          <cell r="AP3439">
            <v>0</v>
          </cell>
          <cell r="AQ3439">
            <v>0</v>
          </cell>
          <cell r="AV3439">
            <v>0</v>
          </cell>
        </row>
        <row r="3440">
          <cell r="E3440" t="str">
            <v>B26002952</v>
          </cell>
          <cell r="AP3440">
            <v>0</v>
          </cell>
          <cell r="AQ3440">
            <v>0</v>
          </cell>
          <cell r="AV3440">
            <v>0</v>
          </cell>
        </row>
        <row r="3441">
          <cell r="E3441" t="str">
            <v>D26003285</v>
          </cell>
          <cell r="AP3441">
            <v>0</v>
          </cell>
          <cell r="AQ3441">
            <v>0</v>
          </cell>
          <cell r="AV3441">
            <v>0</v>
          </cell>
        </row>
        <row r="3442">
          <cell r="E3442" t="str">
            <v>D26003312</v>
          </cell>
          <cell r="AP3442">
            <v>0</v>
          </cell>
          <cell r="AQ3442">
            <v>0</v>
          </cell>
          <cell r="AV3442">
            <v>0</v>
          </cell>
        </row>
        <row r="3443">
          <cell r="E3443" t="str">
            <v>D25013126</v>
          </cell>
          <cell r="AP3443">
            <v>0</v>
          </cell>
          <cell r="AQ3443">
            <v>0</v>
          </cell>
          <cell r="AV3443">
            <v>0</v>
          </cell>
        </row>
        <row r="3444">
          <cell r="E3444" t="str">
            <v>B26000026</v>
          </cell>
          <cell r="AP3444">
            <v>0</v>
          </cell>
          <cell r="AQ3444">
            <v>0</v>
          </cell>
          <cell r="AV3444">
            <v>0</v>
          </cell>
        </row>
        <row r="3445">
          <cell r="E3445" t="str">
            <v>D26000082</v>
          </cell>
          <cell r="AP3445">
            <v>0</v>
          </cell>
          <cell r="AQ3445">
            <v>0</v>
          </cell>
          <cell r="AV3445">
            <v>0</v>
          </cell>
        </row>
        <row r="3446">
          <cell r="E3446" t="str">
            <v>D26001502</v>
          </cell>
          <cell r="AP3446">
            <v>0</v>
          </cell>
          <cell r="AQ3446">
            <v>0</v>
          </cell>
          <cell r="AV3446">
            <v>0</v>
          </cell>
        </row>
        <row r="3447">
          <cell r="E3447" t="str">
            <v>B26001421</v>
          </cell>
          <cell r="AP3447">
            <v>0</v>
          </cell>
          <cell r="AQ3447">
            <v>0</v>
          </cell>
          <cell r="AV3447">
            <v>0</v>
          </cell>
        </row>
        <row r="3448">
          <cell r="E3448" t="str">
            <v>B26001422</v>
          </cell>
          <cell r="AP3448">
            <v>0</v>
          </cell>
          <cell r="AQ3448">
            <v>0</v>
          </cell>
          <cell r="AV3448">
            <v>0</v>
          </cell>
        </row>
        <row r="3449">
          <cell r="E3449" t="str">
            <v>B26001422</v>
          </cell>
          <cell r="AP3449">
            <v>0</v>
          </cell>
          <cell r="AQ3449">
            <v>0</v>
          </cell>
          <cell r="AV3449">
            <v>0</v>
          </cell>
        </row>
        <row r="3450">
          <cell r="E3450" t="str">
            <v>B26001426</v>
          </cell>
          <cell r="AP3450">
            <v>0</v>
          </cell>
          <cell r="AQ3450">
            <v>0</v>
          </cell>
          <cell r="AV3450">
            <v>0</v>
          </cell>
        </row>
        <row r="3451">
          <cell r="E3451" t="str">
            <v>B26001426</v>
          </cell>
          <cell r="AP3451">
            <v>0</v>
          </cell>
          <cell r="AQ3451">
            <v>0</v>
          </cell>
          <cell r="AV3451">
            <v>0</v>
          </cell>
        </row>
        <row r="3452">
          <cell r="E3452" t="str">
            <v>D26001761</v>
          </cell>
          <cell r="AP3452">
            <v>0</v>
          </cell>
          <cell r="AQ3452">
            <v>0</v>
          </cell>
          <cell r="AV3452">
            <v>0</v>
          </cell>
        </row>
        <row r="3453">
          <cell r="E3453" t="str">
            <v>D26001814</v>
          </cell>
          <cell r="AP3453">
            <v>0</v>
          </cell>
          <cell r="AQ3453">
            <v>0</v>
          </cell>
          <cell r="AV3453">
            <v>0</v>
          </cell>
        </row>
        <row r="3454">
          <cell r="E3454" t="str">
            <v>D26001991</v>
          </cell>
          <cell r="AP3454">
            <v>0</v>
          </cell>
          <cell r="AQ3454">
            <v>0</v>
          </cell>
          <cell r="AV3454">
            <v>0</v>
          </cell>
        </row>
        <row r="3455">
          <cell r="E3455" t="str">
            <v>B26001957</v>
          </cell>
          <cell r="AP3455">
            <v>0</v>
          </cell>
          <cell r="AQ3455">
            <v>0</v>
          </cell>
          <cell r="AV3455">
            <v>0</v>
          </cell>
        </row>
        <row r="3456">
          <cell r="E3456" t="str">
            <v>B26002136</v>
          </cell>
          <cell r="AP3456">
            <v>0</v>
          </cell>
          <cell r="AQ3456">
            <v>0</v>
          </cell>
          <cell r="AV3456">
            <v>0</v>
          </cell>
        </row>
        <row r="3457">
          <cell r="E3457" t="str">
            <v>D26002391</v>
          </cell>
          <cell r="AP3457">
            <v>0</v>
          </cell>
          <cell r="AQ3457">
            <v>0</v>
          </cell>
          <cell r="AV3457">
            <v>0</v>
          </cell>
        </row>
        <row r="3458">
          <cell r="E3458" t="str">
            <v>D26002392</v>
          </cell>
          <cell r="AP3458">
            <v>0</v>
          </cell>
          <cell r="AQ3458">
            <v>0</v>
          </cell>
          <cell r="AV3458">
            <v>0</v>
          </cell>
        </row>
        <row r="3459">
          <cell r="E3459" t="str">
            <v>D26002555</v>
          </cell>
          <cell r="AP3459">
            <v>0</v>
          </cell>
          <cell r="AQ3459">
            <v>0</v>
          </cell>
          <cell r="AV3459">
            <v>0</v>
          </cell>
        </row>
        <row r="3460">
          <cell r="E3460" t="str">
            <v>D26002608</v>
          </cell>
          <cell r="AP3460">
            <v>0</v>
          </cell>
          <cell r="AQ3460">
            <v>0</v>
          </cell>
          <cell r="AV3460">
            <v>0</v>
          </cell>
        </row>
        <row r="3461">
          <cell r="E3461" t="str">
            <v>B26002692</v>
          </cell>
          <cell r="AP3461">
            <v>0</v>
          </cell>
          <cell r="AQ3461">
            <v>0</v>
          </cell>
          <cell r="AV3461">
            <v>0</v>
          </cell>
        </row>
        <row r="3462">
          <cell r="E3462" t="str">
            <v>D26002966</v>
          </cell>
          <cell r="AP3462">
            <v>0</v>
          </cell>
          <cell r="AQ3462">
            <v>0</v>
          </cell>
          <cell r="AV3462">
            <v>0</v>
          </cell>
        </row>
        <row r="3463">
          <cell r="E3463" t="str">
            <v>D26002974</v>
          </cell>
          <cell r="AP3463">
            <v>0</v>
          </cell>
          <cell r="AQ3463">
            <v>0</v>
          </cell>
          <cell r="AV3463">
            <v>0</v>
          </cell>
        </row>
        <row r="3464">
          <cell r="E3464" t="str">
            <v>D26002997</v>
          </cell>
          <cell r="AP3464">
            <v>0</v>
          </cell>
          <cell r="AQ3464">
            <v>0</v>
          </cell>
          <cell r="AV3464">
            <v>0</v>
          </cell>
        </row>
        <row r="3465">
          <cell r="E3465" t="str">
            <v>D26003115</v>
          </cell>
          <cell r="AP3465">
            <v>0</v>
          </cell>
          <cell r="AQ3465">
            <v>0</v>
          </cell>
          <cell r="AV3465">
            <v>0</v>
          </cell>
        </row>
        <row r="3466">
          <cell r="E3466" t="str">
            <v>T26000070</v>
          </cell>
          <cell r="AP3466">
            <v>0</v>
          </cell>
          <cell r="AQ3466">
            <v>0</v>
          </cell>
          <cell r="AV3466">
            <v>0</v>
          </cell>
        </row>
        <row r="3467">
          <cell r="E3467" t="str">
            <v>B26001697</v>
          </cell>
          <cell r="AP3467">
            <v>0</v>
          </cell>
          <cell r="AQ3467">
            <v>0</v>
          </cell>
          <cell r="AV3467">
            <v>0</v>
          </cell>
        </row>
        <row r="3468">
          <cell r="E3468" t="str">
            <v>T26000120</v>
          </cell>
          <cell r="AP3468">
            <v>0</v>
          </cell>
          <cell r="AQ3468">
            <v>0</v>
          </cell>
          <cell r="AV3468">
            <v>0</v>
          </cell>
        </row>
        <row r="3469">
          <cell r="E3469" t="str">
            <v>T26000121k</v>
          </cell>
          <cell r="AP3469">
            <v>0</v>
          </cell>
          <cell r="AQ3469">
            <v>0</v>
          </cell>
          <cell r="AV3469">
            <v>0</v>
          </cell>
        </row>
        <row r="3470">
          <cell r="E3470" t="str">
            <v>D26002377</v>
          </cell>
          <cell r="AP3470">
            <v>0</v>
          </cell>
          <cell r="AQ3470">
            <v>0</v>
          </cell>
          <cell r="AV3470">
            <v>0</v>
          </cell>
        </row>
        <row r="3471">
          <cell r="E3471" t="str">
            <v>B26002452</v>
          </cell>
          <cell r="AP3471">
            <v>0</v>
          </cell>
          <cell r="AQ3471">
            <v>0</v>
          </cell>
          <cell r="AV3471">
            <v>0</v>
          </cell>
        </row>
        <row r="3472">
          <cell r="E3472" t="str">
            <v>B26000656</v>
          </cell>
          <cell r="AP3472">
            <v>0</v>
          </cell>
          <cell r="AQ3472">
            <v>0</v>
          </cell>
          <cell r="AV3472">
            <v>0</v>
          </cell>
        </row>
        <row r="3473">
          <cell r="E3473" t="str">
            <v>B26000673</v>
          </cell>
          <cell r="AP3473">
            <v>0</v>
          </cell>
          <cell r="AQ3473">
            <v>0</v>
          </cell>
          <cell r="AV3473">
            <v>0</v>
          </cell>
        </row>
        <row r="3474">
          <cell r="E3474" t="str">
            <v>B26000674</v>
          </cell>
          <cell r="AP3474">
            <v>0</v>
          </cell>
          <cell r="AQ3474">
            <v>0</v>
          </cell>
          <cell r="AV3474">
            <v>0</v>
          </cell>
        </row>
        <row r="3475">
          <cell r="E3475" t="str">
            <v>B26000675</v>
          </cell>
          <cell r="AP3475">
            <v>0</v>
          </cell>
          <cell r="AQ3475">
            <v>0</v>
          </cell>
          <cell r="AV3475">
            <v>0</v>
          </cell>
        </row>
        <row r="3476">
          <cell r="E3476" t="str">
            <v>B26000692</v>
          </cell>
          <cell r="AP3476">
            <v>0</v>
          </cell>
          <cell r="AQ3476">
            <v>0</v>
          </cell>
          <cell r="AV3476">
            <v>0</v>
          </cell>
        </row>
        <row r="3477">
          <cell r="E3477" t="str">
            <v>B26001193</v>
          </cell>
          <cell r="AP3477">
            <v>0</v>
          </cell>
          <cell r="AQ3477">
            <v>0</v>
          </cell>
          <cell r="AV3477">
            <v>0</v>
          </cell>
        </row>
        <row r="3478">
          <cell r="E3478" t="str">
            <v>B26001719</v>
          </cell>
          <cell r="AP3478">
            <v>0</v>
          </cell>
          <cell r="AQ3478">
            <v>0</v>
          </cell>
          <cell r="AV3478">
            <v>0</v>
          </cell>
        </row>
        <row r="3479">
          <cell r="E3479" t="str">
            <v>B26001720</v>
          </cell>
          <cell r="AP3479">
            <v>0</v>
          </cell>
          <cell r="AQ3479">
            <v>0</v>
          </cell>
          <cell r="AV3479">
            <v>0</v>
          </cell>
        </row>
        <row r="3480">
          <cell r="E3480" t="str">
            <v>B26001721</v>
          </cell>
          <cell r="AP3480">
            <v>0</v>
          </cell>
          <cell r="AQ3480">
            <v>0</v>
          </cell>
          <cell r="AV3480">
            <v>0</v>
          </cell>
        </row>
        <row r="3481">
          <cell r="E3481" t="str">
            <v>B26001823</v>
          </cell>
          <cell r="AP3481">
            <v>0</v>
          </cell>
          <cell r="AQ3481">
            <v>0</v>
          </cell>
          <cell r="AV3481">
            <v>0</v>
          </cell>
        </row>
        <row r="3482">
          <cell r="E3482" t="str">
            <v>B26002517</v>
          </cell>
          <cell r="AP3482">
            <v>0</v>
          </cell>
          <cell r="AQ3482">
            <v>0</v>
          </cell>
          <cell r="AV3482">
            <v>0</v>
          </cell>
        </row>
        <row r="3483">
          <cell r="E3483" t="str">
            <v>B26002518</v>
          </cell>
          <cell r="AP3483">
            <v>0</v>
          </cell>
          <cell r="AQ3483">
            <v>0</v>
          </cell>
          <cell r="AV3483">
            <v>0</v>
          </cell>
        </row>
        <row r="3484">
          <cell r="E3484" t="str">
            <v>B26002519</v>
          </cell>
          <cell r="AP3484">
            <v>0</v>
          </cell>
          <cell r="AQ3484">
            <v>0</v>
          </cell>
          <cell r="AV3484">
            <v>0</v>
          </cell>
        </row>
        <row r="3485">
          <cell r="E3485" t="str">
            <v>D26000118</v>
          </cell>
          <cell r="AP3485">
            <v>0</v>
          </cell>
          <cell r="AQ3485">
            <v>0</v>
          </cell>
          <cell r="AV3485">
            <v>0</v>
          </cell>
        </row>
        <row r="3486">
          <cell r="E3486" t="str">
            <v>B26002080</v>
          </cell>
          <cell r="AP3486">
            <v>0</v>
          </cell>
          <cell r="AQ3486">
            <v>0</v>
          </cell>
          <cell r="AV3486">
            <v>0</v>
          </cell>
        </row>
        <row r="3487">
          <cell r="E3487" t="str">
            <v>B26002082</v>
          </cell>
          <cell r="AP3487">
            <v>0</v>
          </cell>
          <cell r="AQ3487">
            <v>0</v>
          </cell>
          <cell r="AV3487">
            <v>0</v>
          </cell>
        </row>
        <row r="3488">
          <cell r="E3488" t="str">
            <v>B26002083</v>
          </cell>
          <cell r="AP3488">
            <v>0</v>
          </cell>
          <cell r="AQ3488">
            <v>0</v>
          </cell>
          <cell r="AV3488">
            <v>0</v>
          </cell>
        </row>
        <row r="3489">
          <cell r="E3489" t="str">
            <v>B26002758</v>
          </cell>
          <cell r="AP3489">
            <v>0</v>
          </cell>
          <cell r="AQ3489">
            <v>0</v>
          </cell>
          <cell r="AV3489">
            <v>0</v>
          </cell>
        </row>
        <row r="3490">
          <cell r="E3490" t="str">
            <v>B26002759</v>
          </cell>
          <cell r="AP3490">
            <v>0</v>
          </cell>
          <cell r="AQ3490">
            <v>0</v>
          </cell>
          <cell r="AV3490">
            <v>0</v>
          </cell>
        </row>
        <row r="3491">
          <cell r="E3491" t="str">
            <v>B26002764</v>
          </cell>
          <cell r="AP3491">
            <v>0</v>
          </cell>
          <cell r="AQ3491">
            <v>0</v>
          </cell>
          <cell r="AV3491">
            <v>0</v>
          </cell>
        </row>
        <row r="3492">
          <cell r="E3492" t="str">
            <v>T26000205</v>
          </cell>
          <cell r="AP3492">
            <v>0</v>
          </cell>
          <cell r="AQ3492">
            <v>0</v>
          </cell>
          <cell r="AV3492">
            <v>0</v>
          </cell>
        </row>
        <row r="3493">
          <cell r="E3493" t="str">
            <v>T26000206</v>
          </cell>
          <cell r="AP3493">
            <v>0</v>
          </cell>
          <cell r="AQ3493">
            <v>0</v>
          </cell>
          <cell r="AV3493">
            <v>0</v>
          </cell>
        </row>
        <row r="3494">
          <cell r="E3494" t="str">
            <v>T26000209</v>
          </cell>
          <cell r="AP3494">
            <v>0</v>
          </cell>
          <cell r="AQ3494">
            <v>0</v>
          </cell>
          <cell r="AV3494">
            <v>0</v>
          </cell>
        </row>
        <row r="3495">
          <cell r="E3495" t="str">
            <v>T26000219</v>
          </cell>
          <cell r="AP3495">
            <v>0</v>
          </cell>
          <cell r="AQ3495">
            <v>0</v>
          </cell>
          <cell r="AV3495">
            <v>0</v>
          </cell>
        </row>
        <row r="3496">
          <cell r="E3496" t="str">
            <v>T26000233</v>
          </cell>
          <cell r="AP3496">
            <v>0</v>
          </cell>
          <cell r="AQ3496">
            <v>0</v>
          </cell>
          <cell r="AV3496">
            <v>0</v>
          </cell>
        </row>
        <row r="3497">
          <cell r="E3497" t="str">
            <v>D26003191</v>
          </cell>
          <cell r="AP3497">
            <v>0</v>
          </cell>
          <cell r="AQ3497">
            <v>0</v>
          </cell>
          <cell r="AV3497">
            <v>0</v>
          </cell>
        </row>
        <row r="3498">
          <cell r="E3498" t="str">
            <v>B26003081</v>
          </cell>
          <cell r="AP3498">
            <v>0</v>
          </cell>
          <cell r="AQ3498">
            <v>0</v>
          </cell>
          <cell r="AV3498">
            <v>0</v>
          </cell>
        </row>
        <row r="3499">
          <cell r="E3499" t="str">
            <v>B26003084</v>
          </cell>
          <cell r="AP3499">
            <v>0</v>
          </cell>
          <cell r="AQ3499">
            <v>0</v>
          </cell>
          <cell r="AV3499">
            <v>0</v>
          </cell>
        </row>
        <row r="3500">
          <cell r="E3500" t="str">
            <v>D26000605</v>
          </cell>
          <cell r="AP3500">
            <v>0</v>
          </cell>
          <cell r="AQ3500">
            <v>0</v>
          </cell>
          <cell r="AV3500">
            <v>0</v>
          </cell>
        </row>
        <row r="3501">
          <cell r="E3501" t="str">
            <v>D26000834</v>
          </cell>
          <cell r="AP3501">
            <v>0</v>
          </cell>
          <cell r="AQ3501">
            <v>0</v>
          </cell>
          <cell r="AV3501">
            <v>0</v>
          </cell>
        </row>
        <row r="3502">
          <cell r="E3502" t="str">
            <v>D26001066</v>
          </cell>
          <cell r="AP3502">
            <v>0</v>
          </cell>
          <cell r="AQ3502">
            <v>0</v>
          </cell>
          <cell r="AV3502">
            <v>0</v>
          </cell>
        </row>
        <row r="3503">
          <cell r="E3503" t="str">
            <v>B26001756</v>
          </cell>
          <cell r="AP3503">
            <v>0</v>
          </cell>
          <cell r="AQ3503">
            <v>0</v>
          </cell>
          <cell r="AV3503">
            <v>0</v>
          </cell>
        </row>
        <row r="3504">
          <cell r="E3504" t="str">
            <v>D26001848</v>
          </cell>
          <cell r="AP3504">
            <v>0</v>
          </cell>
          <cell r="AQ3504">
            <v>0</v>
          </cell>
          <cell r="AV3504">
            <v>0</v>
          </cell>
        </row>
        <row r="3505">
          <cell r="E3505" t="str">
            <v>B26002221</v>
          </cell>
          <cell r="AP3505">
            <v>0</v>
          </cell>
          <cell r="AQ3505">
            <v>0</v>
          </cell>
          <cell r="AV3505">
            <v>0</v>
          </cell>
        </row>
        <row r="3506">
          <cell r="E3506" t="str">
            <v>B26002985</v>
          </cell>
          <cell r="AP3506">
            <v>0</v>
          </cell>
          <cell r="AQ3506">
            <v>0</v>
          </cell>
          <cell r="AV3506">
            <v>0</v>
          </cell>
        </row>
        <row r="3507">
          <cell r="E3507" t="str">
            <v>T25001572</v>
          </cell>
          <cell r="AP3507">
            <v>0</v>
          </cell>
          <cell r="AQ3507">
            <v>0</v>
          </cell>
          <cell r="AV3507">
            <v>0</v>
          </cell>
        </row>
        <row r="3508">
          <cell r="E3508" t="str">
            <v>T26000181</v>
          </cell>
          <cell r="AP3508">
            <v>0</v>
          </cell>
          <cell r="AQ3508">
            <v>0</v>
          </cell>
          <cell r="AV3508">
            <v>0</v>
          </cell>
        </row>
        <row r="3509">
          <cell r="E3509" t="str">
            <v>D26000847</v>
          </cell>
          <cell r="AP3509">
            <v>0</v>
          </cell>
          <cell r="AQ3509">
            <v>0</v>
          </cell>
          <cell r="AV3509">
            <v>0</v>
          </cell>
        </row>
        <row r="3510">
          <cell r="E3510" t="str">
            <v>D26001198</v>
          </cell>
          <cell r="AP3510">
            <v>0</v>
          </cell>
          <cell r="AQ3510">
            <v>0</v>
          </cell>
          <cell r="AV3510">
            <v>0</v>
          </cell>
        </row>
        <row r="3511">
          <cell r="E3511" t="str">
            <v>D26003269</v>
          </cell>
          <cell r="AP3511">
            <v>0</v>
          </cell>
          <cell r="AQ3511">
            <v>0</v>
          </cell>
          <cell r="AV3511">
            <v>0</v>
          </cell>
        </row>
        <row r="3512">
          <cell r="E3512" t="str">
            <v>D25018668</v>
          </cell>
          <cell r="AP3512">
            <v>0</v>
          </cell>
          <cell r="AQ3512">
            <v>0</v>
          </cell>
          <cell r="AV3512">
            <v>0</v>
          </cell>
        </row>
        <row r="3513">
          <cell r="E3513" t="str">
            <v>B26001420</v>
          </cell>
          <cell r="AP3513">
            <v>0</v>
          </cell>
          <cell r="AQ3513">
            <v>0</v>
          </cell>
          <cell r="AV3513">
            <v>21794800</v>
          </cell>
        </row>
        <row r="3514">
          <cell r="E3514" t="str">
            <v>B26001979</v>
          </cell>
          <cell r="AP3514">
            <v>0</v>
          </cell>
          <cell r="AQ3514">
            <v>0</v>
          </cell>
          <cell r="AV3514">
            <v>0</v>
          </cell>
        </row>
        <row r="3515">
          <cell r="E3515" t="str">
            <v>B25016555</v>
          </cell>
          <cell r="AP3515">
            <v>0</v>
          </cell>
          <cell r="AQ3515">
            <v>0</v>
          </cell>
          <cell r="AV3515">
            <v>0</v>
          </cell>
        </row>
        <row r="3516">
          <cell r="E3516" t="str">
            <v>D26000979</v>
          </cell>
          <cell r="AP3516">
            <v>0</v>
          </cell>
          <cell r="AQ3516">
            <v>0</v>
          </cell>
          <cell r="AV3516">
            <v>0</v>
          </cell>
        </row>
        <row r="3517">
          <cell r="E3517" t="str">
            <v>D26001218</v>
          </cell>
          <cell r="AP3517">
            <v>0</v>
          </cell>
          <cell r="AQ3517">
            <v>0</v>
          </cell>
          <cell r="AV3517">
            <v>0</v>
          </cell>
        </row>
        <row r="3518">
          <cell r="E3518" t="str">
            <v>B26001254</v>
          </cell>
          <cell r="AP3518">
            <v>0</v>
          </cell>
          <cell r="AQ3518">
            <v>0</v>
          </cell>
          <cell r="AV3518">
            <v>0</v>
          </cell>
        </row>
        <row r="3519">
          <cell r="E3519" t="str">
            <v>D26001412</v>
          </cell>
          <cell r="AP3519">
            <v>0</v>
          </cell>
          <cell r="AQ3519">
            <v>0</v>
          </cell>
          <cell r="AV3519">
            <v>0</v>
          </cell>
        </row>
        <row r="3520">
          <cell r="E3520" t="str">
            <v>B26001544</v>
          </cell>
          <cell r="AP3520">
            <v>0</v>
          </cell>
          <cell r="AQ3520">
            <v>0</v>
          </cell>
          <cell r="AV3520">
            <v>0</v>
          </cell>
        </row>
        <row r="3521">
          <cell r="E3521" t="str">
            <v>B26001771</v>
          </cell>
          <cell r="AP3521">
            <v>0</v>
          </cell>
          <cell r="AQ3521">
            <v>0</v>
          </cell>
          <cell r="AV3521">
            <v>0</v>
          </cell>
        </row>
        <row r="3522">
          <cell r="E3522" t="str">
            <v>D26002214</v>
          </cell>
          <cell r="AP3522">
            <v>0</v>
          </cell>
          <cell r="AQ3522">
            <v>0</v>
          </cell>
          <cell r="AV3522">
            <v>0</v>
          </cell>
        </row>
        <row r="3523">
          <cell r="E3523" t="str">
            <v>D26002702</v>
          </cell>
          <cell r="AP3523">
            <v>0</v>
          </cell>
          <cell r="AQ3523">
            <v>0</v>
          </cell>
          <cell r="AV3523">
            <v>0</v>
          </cell>
        </row>
        <row r="3524">
          <cell r="E3524" t="str">
            <v>B26002676</v>
          </cell>
          <cell r="AP3524">
            <v>0</v>
          </cell>
          <cell r="AQ3524">
            <v>0</v>
          </cell>
          <cell r="AV3524">
            <v>0</v>
          </cell>
        </row>
        <row r="3525">
          <cell r="E3525" t="str">
            <v>D26002893</v>
          </cell>
          <cell r="AP3525">
            <v>0</v>
          </cell>
          <cell r="AQ3525">
            <v>0</v>
          </cell>
          <cell r="AV3525">
            <v>0</v>
          </cell>
        </row>
        <row r="3526">
          <cell r="E3526" t="str">
            <v>D26002995</v>
          </cell>
          <cell r="AP3526">
            <v>0</v>
          </cell>
          <cell r="AQ3526">
            <v>0</v>
          </cell>
          <cell r="AV3526">
            <v>0</v>
          </cell>
        </row>
        <row r="3527">
          <cell r="E3527" t="str">
            <v>T26000223</v>
          </cell>
          <cell r="AP3527">
            <v>0</v>
          </cell>
          <cell r="AQ3527">
            <v>0</v>
          </cell>
          <cell r="AV3527">
            <v>0</v>
          </cell>
        </row>
        <row r="3528">
          <cell r="E3528" t="str">
            <v>D26000075</v>
          </cell>
          <cell r="AP3528">
            <v>0</v>
          </cell>
          <cell r="AQ3528">
            <v>0</v>
          </cell>
          <cell r="AV3528">
            <v>0</v>
          </cell>
        </row>
        <row r="3529">
          <cell r="E3529" t="str">
            <v>D26000140</v>
          </cell>
          <cell r="AP3529">
            <v>0</v>
          </cell>
          <cell r="AQ3529">
            <v>0</v>
          </cell>
          <cell r="AV3529">
            <v>0</v>
          </cell>
        </row>
        <row r="3530">
          <cell r="E3530" t="str">
            <v>B26002154</v>
          </cell>
          <cell r="AP3530">
            <v>0</v>
          </cell>
          <cell r="AQ3530">
            <v>0</v>
          </cell>
          <cell r="AV3530">
            <v>0</v>
          </cell>
        </row>
        <row r="3531">
          <cell r="E3531" t="str">
            <v>B26002925</v>
          </cell>
          <cell r="AP3531">
            <v>0</v>
          </cell>
          <cell r="AQ3531">
            <v>0</v>
          </cell>
          <cell r="AV3531">
            <v>0</v>
          </cell>
        </row>
        <row r="3532">
          <cell r="E3532" t="str">
            <v>B26002894</v>
          </cell>
          <cell r="AP3532">
            <v>0</v>
          </cell>
          <cell r="AQ3532">
            <v>0</v>
          </cell>
          <cell r="AV3532">
            <v>0</v>
          </cell>
        </row>
        <row r="3533">
          <cell r="E3533" t="str">
            <v>B26002895</v>
          </cell>
          <cell r="AP3533">
            <v>0</v>
          </cell>
          <cell r="AQ3533">
            <v>0</v>
          </cell>
          <cell r="AV3533">
            <v>0</v>
          </cell>
        </row>
        <row r="3534">
          <cell r="E3534" t="str">
            <v>D26001460</v>
          </cell>
          <cell r="AP3534">
            <v>0</v>
          </cell>
          <cell r="AQ3534">
            <v>0</v>
          </cell>
          <cell r="AV3534">
            <v>0</v>
          </cell>
        </row>
        <row r="3535">
          <cell r="E3535" t="str">
            <v>D26001461</v>
          </cell>
          <cell r="AP3535">
            <v>0</v>
          </cell>
          <cell r="AQ3535">
            <v>0</v>
          </cell>
          <cell r="AV3535">
            <v>0</v>
          </cell>
        </row>
        <row r="3536">
          <cell r="E3536" t="str">
            <v>D26003146</v>
          </cell>
          <cell r="AP3536">
            <v>0</v>
          </cell>
          <cell r="AQ3536">
            <v>0</v>
          </cell>
          <cell r="AV3536">
            <v>18700000</v>
          </cell>
        </row>
        <row r="3537">
          <cell r="E3537" t="str">
            <v>D26003147</v>
          </cell>
          <cell r="AP3537">
            <v>0</v>
          </cell>
          <cell r="AQ3537">
            <v>0</v>
          </cell>
          <cell r="AV3537">
            <v>6000000</v>
          </cell>
        </row>
        <row r="3538">
          <cell r="E3538" t="str">
            <v>B26001598</v>
          </cell>
          <cell r="AP3538">
            <v>0</v>
          </cell>
          <cell r="AQ3538">
            <v>0</v>
          </cell>
          <cell r="AV3538">
            <v>0</v>
          </cell>
        </row>
        <row r="3539">
          <cell r="E3539" t="str">
            <v>D25018260</v>
          </cell>
          <cell r="AP3539">
            <v>0</v>
          </cell>
          <cell r="AQ3539">
            <v>0</v>
          </cell>
          <cell r="AV3539">
            <v>0</v>
          </cell>
        </row>
        <row r="3540">
          <cell r="E3540" t="str">
            <v>D25018263</v>
          </cell>
          <cell r="AP3540">
            <v>0</v>
          </cell>
          <cell r="AQ3540">
            <v>0</v>
          </cell>
          <cell r="AV3540">
            <v>0</v>
          </cell>
        </row>
        <row r="3541">
          <cell r="E3541" t="str">
            <v>B25015923</v>
          </cell>
          <cell r="AP3541">
            <v>0</v>
          </cell>
          <cell r="AQ3541">
            <v>0</v>
          </cell>
          <cell r="AV3541">
            <v>0</v>
          </cell>
        </row>
        <row r="3542">
          <cell r="E3542" t="str">
            <v>B25016082</v>
          </cell>
          <cell r="AP3542">
            <v>0</v>
          </cell>
          <cell r="AQ3542">
            <v>0</v>
          </cell>
          <cell r="AV3542">
            <v>0</v>
          </cell>
        </row>
        <row r="3543">
          <cell r="E3543" t="str">
            <v>B25016108</v>
          </cell>
          <cell r="AP3543">
            <v>0</v>
          </cell>
          <cell r="AQ3543">
            <v>0</v>
          </cell>
          <cell r="AV3543">
            <v>0</v>
          </cell>
        </row>
        <row r="3544">
          <cell r="E3544" t="str">
            <v>B25016109</v>
          </cell>
          <cell r="AP3544">
            <v>0</v>
          </cell>
          <cell r="AQ3544">
            <v>0</v>
          </cell>
          <cell r="AV3544">
            <v>0</v>
          </cell>
        </row>
        <row r="3545">
          <cell r="E3545" t="str">
            <v>B25016109</v>
          </cell>
          <cell r="AP3545">
            <v>0</v>
          </cell>
          <cell r="AQ3545">
            <v>0</v>
          </cell>
          <cell r="AV3545">
            <v>0</v>
          </cell>
        </row>
        <row r="3546">
          <cell r="E3546" t="str">
            <v>B25016135</v>
          </cell>
          <cell r="AP3546">
            <v>0</v>
          </cell>
          <cell r="AQ3546">
            <v>0</v>
          </cell>
          <cell r="AV3546">
            <v>0</v>
          </cell>
        </row>
        <row r="3547">
          <cell r="E3547" t="str">
            <v>D25018533</v>
          </cell>
          <cell r="AP3547">
            <v>0</v>
          </cell>
          <cell r="AQ3547">
            <v>0</v>
          </cell>
          <cell r="AV3547">
            <v>0</v>
          </cell>
        </row>
        <row r="3548">
          <cell r="E3548" t="str">
            <v>D25018535</v>
          </cell>
          <cell r="AP3548">
            <v>0</v>
          </cell>
          <cell r="AQ3548">
            <v>0</v>
          </cell>
          <cell r="AV3548">
            <v>0</v>
          </cell>
        </row>
        <row r="3549">
          <cell r="E3549" t="str">
            <v>D25018566</v>
          </cell>
          <cell r="AP3549">
            <v>0</v>
          </cell>
          <cell r="AQ3549">
            <v>0</v>
          </cell>
          <cell r="AV3549">
            <v>0</v>
          </cell>
        </row>
        <row r="3550">
          <cell r="E3550" t="str">
            <v>D25018589</v>
          </cell>
          <cell r="AP3550">
            <v>0</v>
          </cell>
          <cell r="AQ3550">
            <v>0</v>
          </cell>
          <cell r="AV3550">
            <v>0</v>
          </cell>
        </row>
        <row r="3551">
          <cell r="E3551" t="str">
            <v>D25018600</v>
          </cell>
          <cell r="AP3551">
            <v>0</v>
          </cell>
          <cell r="AQ3551">
            <v>0</v>
          </cell>
          <cell r="AV3551">
            <v>0</v>
          </cell>
        </row>
        <row r="3552">
          <cell r="E3552" t="str">
            <v>D25018624</v>
          </cell>
          <cell r="AP3552">
            <v>0</v>
          </cell>
          <cell r="AQ3552">
            <v>0</v>
          </cell>
          <cell r="AV3552">
            <v>0</v>
          </cell>
        </row>
        <row r="3553">
          <cell r="E3553" t="str">
            <v>D25018624</v>
          </cell>
          <cell r="AP3553">
            <v>0</v>
          </cell>
          <cell r="AQ3553">
            <v>0</v>
          </cell>
          <cell r="AV3553">
            <v>0</v>
          </cell>
        </row>
        <row r="3554">
          <cell r="E3554" t="str">
            <v>D25018652</v>
          </cell>
          <cell r="AP3554">
            <v>0</v>
          </cell>
          <cell r="AQ3554">
            <v>0</v>
          </cell>
          <cell r="AV3554">
            <v>0</v>
          </cell>
        </row>
        <row r="3555">
          <cell r="E3555" t="str">
            <v>B25016253</v>
          </cell>
          <cell r="AP3555">
            <v>0</v>
          </cell>
          <cell r="AQ3555">
            <v>0</v>
          </cell>
          <cell r="AV3555">
            <v>0</v>
          </cell>
        </row>
        <row r="3556">
          <cell r="E3556" t="str">
            <v>B25016254</v>
          </cell>
          <cell r="AP3556">
            <v>0</v>
          </cell>
          <cell r="AQ3556">
            <v>0</v>
          </cell>
          <cell r="AV3556">
            <v>0</v>
          </cell>
        </row>
        <row r="3557">
          <cell r="E3557" t="str">
            <v>B25016329</v>
          </cell>
          <cell r="AP3557">
            <v>0</v>
          </cell>
          <cell r="AQ3557">
            <v>0</v>
          </cell>
          <cell r="AV3557">
            <v>0</v>
          </cell>
        </row>
        <row r="3558">
          <cell r="E3558" t="str">
            <v>B25016366</v>
          </cell>
          <cell r="AP3558">
            <v>0</v>
          </cell>
          <cell r="AQ3558">
            <v>0</v>
          </cell>
          <cell r="AV3558">
            <v>0</v>
          </cell>
        </row>
        <row r="3559">
          <cell r="E3559" t="str">
            <v>B25016462</v>
          </cell>
          <cell r="AP3559">
            <v>0</v>
          </cell>
          <cell r="AQ3559">
            <v>0</v>
          </cell>
          <cell r="AV3559">
            <v>0</v>
          </cell>
        </row>
        <row r="3560">
          <cell r="E3560" t="str">
            <v>B25016462</v>
          </cell>
          <cell r="AP3560">
            <v>0</v>
          </cell>
          <cell r="AQ3560">
            <v>0</v>
          </cell>
          <cell r="AV3560">
            <v>0</v>
          </cell>
        </row>
        <row r="3561">
          <cell r="E3561" t="str">
            <v>B25016463</v>
          </cell>
          <cell r="AP3561">
            <v>0</v>
          </cell>
          <cell r="AQ3561">
            <v>0</v>
          </cell>
          <cell r="AV3561">
            <v>0</v>
          </cell>
        </row>
        <row r="3562">
          <cell r="E3562" t="str">
            <v>B25016463</v>
          </cell>
          <cell r="AP3562">
            <v>0</v>
          </cell>
          <cell r="AQ3562">
            <v>0</v>
          </cell>
          <cell r="AV3562">
            <v>0</v>
          </cell>
        </row>
        <row r="3563">
          <cell r="E3563" t="str">
            <v>B25016463</v>
          </cell>
          <cell r="AP3563">
            <v>0</v>
          </cell>
          <cell r="AQ3563">
            <v>0</v>
          </cell>
          <cell r="AV3563">
            <v>0</v>
          </cell>
        </row>
        <row r="3564">
          <cell r="E3564" t="str">
            <v>B25016463</v>
          </cell>
          <cell r="AP3564">
            <v>0</v>
          </cell>
          <cell r="AQ3564">
            <v>0</v>
          </cell>
          <cell r="AV3564">
            <v>0</v>
          </cell>
        </row>
        <row r="3565">
          <cell r="E3565" t="str">
            <v>B25016467</v>
          </cell>
          <cell r="AP3565">
            <v>0</v>
          </cell>
          <cell r="AQ3565">
            <v>0</v>
          </cell>
          <cell r="AV3565">
            <v>0</v>
          </cell>
        </row>
        <row r="3566">
          <cell r="E3566" t="str">
            <v>D25018945</v>
          </cell>
          <cell r="AP3566">
            <v>0</v>
          </cell>
          <cell r="AQ3566">
            <v>0</v>
          </cell>
          <cell r="AV3566">
            <v>0</v>
          </cell>
        </row>
        <row r="3567">
          <cell r="E3567" t="str">
            <v>B25016583</v>
          </cell>
          <cell r="AP3567">
            <v>0</v>
          </cell>
          <cell r="AQ3567">
            <v>0</v>
          </cell>
          <cell r="AV3567">
            <v>0</v>
          </cell>
        </row>
        <row r="3568">
          <cell r="E3568" t="str">
            <v>D25019041</v>
          </cell>
          <cell r="AP3568">
            <v>0</v>
          </cell>
          <cell r="AQ3568">
            <v>0</v>
          </cell>
          <cell r="AV3568">
            <v>0</v>
          </cell>
        </row>
        <row r="3569">
          <cell r="E3569" t="str">
            <v>D25019047</v>
          </cell>
          <cell r="AP3569">
            <v>0</v>
          </cell>
          <cell r="AQ3569">
            <v>0</v>
          </cell>
          <cell r="AV3569">
            <v>0</v>
          </cell>
        </row>
        <row r="3570">
          <cell r="E3570" t="str">
            <v>D25019074</v>
          </cell>
          <cell r="AP3570">
            <v>0</v>
          </cell>
          <cell r="AQ3570">
            <v>0</v>
          </cell>
          <cell r="AV3570">
            <v>0</v>
          </cell>
        </row>
        <row r="3571">
          <cell r="E3571" t="str">
            <v>D25019354</v>
          </cell>
          <cell r="AP3571">
            <v>0</v>
          </cell>
          <cell r="AQ3571">
            <v>0</v>
          </cell>
          <cell r="AV3571">
            <v>0</v>
          </cell>
        </row>
        <row r="3572">
          <cell r="E3572" t="str">
            <v>B25016951</v>
          </cell>
          <cell r="AP3572">
            <v>0</v>
          </cell>
          <cell r="AQ3572">
            <v>0</v>
          </cell>
          <cell r="AV3572">
            <v>0</v>
          </cell>
        </row>
        <row r="3573">
          <cell r="E3573" t="str">
            <v>B25016968</v>
          </cell>
          <cell r="AP3573">
            <v>0</v>
          </cell>
          <cell r="AQ3573">
            <v>0</v>
          </cell>
          <cell r="AV3573">
            <v>0</v>
          </cell>
        </row>
        <row r="3574">
          <cell r="E3574" t="str">
            <v>B25016976</v>
          </cell>
          <cell r="AP3574">
            <v>0</v>
          </cell>
          <cell r="AQ3574">
            <v>0</v>
          </cell>
          <cell r="AV3574">
            <v>0</v>
          </cell>
        </row>
        <row r="3575">
          <cell r="E3575" t="str">
            <v>B25017051</v>
          </cell>
          <cell r="AP3575">
            <v>0</v>
          </cell>
          <cell r="AQ3575">
            <v>0</v>
          </cell>
          <cell r="AV3575">
            <v>0</v>
          </cell>
        </row>
        <row r="3576">
          <cell r="E3576" t="str">
            <v>D25019669</v>
          </cell>
          <cell r="AP3576">
            <v>0</v>
          </cell>
          <cell r="AQ3576">
            <v>0</v>
          </cell>
          <cell r="AV3576">
            <v>0</v>
          </cell>
        </row>
        <row r="3577">
          <cell r="E3577" t="str">
            <v>B25017144</v>
          </cell>
          <cell r="AP3577">
            <v>0</v>
          </cell>
          <cell r="AQ3577">
            <v>0</v>
          </cell>
          <cell r="AV3577">
            <v>0</v>
          </cell>
        </row>
        <row r="3578">
          <cell r="E3578" t="str">
            <v>B26000011</v>
          </cell>
          <cell r="AP3578">
            <v>0</v>
          </cell>
          <cell r="AQ3578">
            <v>0</v>
          </cell>
          <cell r="AV3578">
            <v>0</v>
          </cell>
        </row>
        <row r="3579">
          <cell r="E3579" t="str">
            <v>D26000043</v>
          </cell>
          <cell r="AP3579">
            <v>0</v>
          </cell>
          <cell r="AQ3579">
            <v>0</v>
          </cell>
          <cell r="AV3579">
            <v>0</v>
          </cell>
        </row>
        <row r="3580">
          <cell r="E3580" t="str">
            <v>B26000223</v>
          </cell>
          <cell r="AP3580">
            <v>0</v>
          </cell>
          <cell r="AQ3580">
            <v>0</v>
          </cell>
          <cell r="AV3580">
            <v>0</v>
          </cell>
        </row>
        <row r="3581">
          <cell r="E3581" t="str">
            <v>D26000251</v>
          </cell>
          <cell r="AP3581">
            <v>0</v>
          </cell>
          <cell r="AQ3581">
            <v>0</v>
          </cell>
          <cell r="AV3581">
            <v>0</v>
          </cell>
        </row>
        <row r="3582">
          <cell r="E3582" t="str">
            <v>D26000296</v>
          </cell>
          <cell r="AP3582">
            <v>0</v>
          </cell>
          <cell r="AQ3582">
            <v>0</v>
          </cell>
          <cell r="AV3582">
            <v>0</v>
          </cell>
        </row>
        <row r="3583">
          <cell r="E3583" t="str">
            <v>D26000305</v>
          </cell>
          <cell r="AP3583">
            <v>0</v>
          </cell>
          <cell r="AQ3583">
            <v>0</v>
          </cell>
          <cell r="AV3583">
            <v>0</v>
          </cell>
        </row>
        <row r="3584">
          <cell r="E3584" t="str">
            <v>D26000307</v>
          </cell>
          <cell r="AP3584">
            <v>0</v>
          </cell>
          <cell r="AQ3584">
            <v>0</v>
          </cell>
          <cell r="AV3584">
            <v>0</v>
          </cell>
        </row>
        <row r="3585">
          <cell r="E3585" t="str">
            <v>D26000320</v>
          </cell>
          <cell r="AP3585">
            <v>0</v>
          </cell>
          <cell r="AQ3585">
            <v>0</v>
          </cell>
          <cell r="AV3585">
            <v>0</v>
          </cell>
        </row>
        <row r="3586">
          <cell r="E3586" t="str">
            <v>D26000328</v>
          </cell>
          <cell r="AP3586">
            <v>0</v>
          </cell>
          <cell r="AQ3586">
            <v>0</v>
          </cell>
          <cell r="AV3586">
            <v>0</v>
          </cell>
        </row>
        <row r="3587">
          <cell r="E3587" t="str">
            <v>D26000458</v>
          </cell>
          <cell r="AP3587">
            <v>0</v>
          </cell>
          <cell r="AQ3587">
            <v>0</v>
          </cell>
          <cell r="AV3587">
            <v>0</v>
          </cell>
        </row>
        <row r="3588">
          <cell r="E3588" t="str">
            <v>D26000465</v>
          </cell>
          <cell r="AP3588">
            <v>0</v>
          </cell>
          <cell r="AQ3588">
            <v>0</v>
          </cell>
          <cell r="AV3588">
            <v>0</v>
          </cell>
        </row>
        <row r="3589">
          <cell r="E3589" t="str">
            <v>D26000468</v>
          </cell>
          <cell r="AP3589">
            <v>0</v>
          </cell>
          <cell r="AQ3589">
            <v>0</v>
          </cell>
          <cell r="AV3589">
            <v>0</v>
          </cell>
        </row>
        <row r="3590">
          <cell r="E3590" t="str">
            <v>B26000576</v>
          </cell>
          <cell r="AP3590">
            <v>0</v>
          </cell>
          <cell r="AQ3590">
            <v>0</v>
          </cell>
          <cell r="AV3590">
            <v>0</v>
          </cell>
        </row>
        <row r="3591">
          <cell r="E3591" t="str">
            <v>B26000577</v>
          </cell>
          <cell r="AP3591">
            <v>0</v>
          </cell>
          <cell r="AQ3591">
            <v>0</v>
          </cell>
          <cell r="AV3591">
            <v>0</v>
          </cell>
        </row>
        <row r="3592">
          <cell r="E3592" t="str">
            <v>D26000677</v>
          </cell>
          <cell r="AP3592">
            <v>0</v>
          </cell>
          <cell r="AQ3592">
            <v>0</v>
          </cell>
          <cell r="AV3592">
            <v>0</v>
          </cell>
        </row>
        <row r="3593">
          <cell r="E3593" t="str">
            <v>D26000727</v>
          </cell>
          <cell r="AP3593">
            <v>0</v>
          </cell>
          <cell r="AQ3593">
            <v>0</v>
          </cell>
          <cell r="AV3593">
            <v>0</v>
          </cell>
        </row>
        <row r="3594">
          <cell r="E3594" t="str">
            <v>D26000777</v>
          </cell>
          <cell r="AP3594">
            <v>0</v>
          </cell>
          <cell r="AQ3594">
            <v>0</v>
          </cell>
          <cell r="AV3594">
            <v>0</v>
          </cell>
        </row>
        <row r="3595">
          <cell r="E3595" t="str">
            <v>B26000792</v>
          </cell>
          <cell r="AP3595">
            <v>0</v>
          </cell>
          <cell r="AQ3595">
            <v>0</v>
          </cell>
          <cell r="AV3595">
            <v>0</v>
          </cell>
        </row>
        <row r="3596">
          <cell r="E3596" t="str">
            <v>D26000871</v>
          </cell>
          <cell r="AP3596">
            <v>0</v>
          </cell>
          <cell r="AQ3596">
            <v>0</v>
          </cell>
          <cell r="AV3596">
            <v>0</v>
          </cell>
        </row>
        <row r="3597">
          <cell r="E3597" t="str">
            <v>D26000986</v>
          </cell>
          <cell r="AP3597">
            <v>0</v>
          </cell>
          <cell r="AQ3597">
            <v>0</v>
          </cell>
          <cell r="AV3597">
            <v>0</v>
          </cell>
        </row>
        <row r="3598">
          <cell r="E3598" t="str">
            <v>D26000986</v>
          </cell>
          <cell r="AP3598">
            <v>0</v>
          </cell>
          <cell r="AQ3598">
            <v>0</v>
          </cell>
          <cell r="AV3598">
            <v>0</v>
          </cell>
        </row>
        <row r="3599">
          <cell r="E3599" t="str">
            <v>B26001097</v>
          </cell>
          <cell r="AP3599">
            <v>0</v>
          </cell>
          <cell r="AQ3599">
            <v>0</v>
          </cell>
          <cell r="AV3599">
            <v>0</v>
          </cell>
        </row>
        <row r="3600">
          <cell r="E3600" t="str">
            <v>B26001097</v>
          </cell>
          <cell r="AP3600">
            <v>0</v>
          </cell>
          <cell r="AQ3600">
            <v>0</v>
          </cell>
          <cell r="AV3600">
            <v>0</v>
          </cell>
        </row>
        <row r="3601">
          <cell r="E3601" t="str">
            <v>D26001331</v>
          </cell>
          <cell r="AP3601">
            <v>0</v>
          </cell>
          <cell r="AQ3601">
            <v>0</v>
          </cell>
          <cell r="AV3601">
            <v>0</v>
          </cell>
        </row>
        <row r="3602">
          <cell r="E3602" t="str">
            <v>B26001276</v>
          </cell>
          <cell r="AP3602">
            <v>0</v>
          </cell>
          <cell r="AQ3602">
            <v>0</v>
          </cell>
          <cell r="AV3602">
            <v>0</v>
          </cell>
        </row>
        <row r="3603">
          <cell r="E3603" t="str">
            <v>B26001349</v>
          </cell>
          <cell r="AP3603">
            <v>0</v>
          </cell>
          <cell r="AQ3603">
            <v>0</v>
          </cell>
          <cell r="AV3603">
            <v>0</v>
          </cell>
        </row>
        <row r="3604">
          <cell r="E3604" t="str">
            <v>B26001401</v>
          </cell>
          <cell r="AP3604">
            <v>0</v>
          </cell>
          <cell r="AQ3604">
            <v>0</v>
          </cell>
          <cell r="AV3604">
            <v>0</v>
          </cell>
        </row>
        <row r="3605">
          <cell r="E3605" t="str">
            <v>D26001429</v>
          </cell>
          <cell r="AP3605">
            <v>0</v>
          </cell>
          <cell r="AQ3605">
            <v>0</v>
          </cell>
          <cell r="AV3605">
            <v>0</v>
          </cell>
        </row>
        <row r="3606">
          <cell r="E3606" t="str">
            <v>D26001430</v>
          </cell>
          <cell r="AP3606">
            <v>0</v>
          </cell>
          <cell r="AQ3606">
            <v>0</v>
          </cell>
          <cell r="AV3606">
            <v>0</v>
          </cell>
        </row>
        <row r="3607">
          <cell r="E3607" t="str">
            <v>D26001447</v>
          </cell>
          <cell r="AP3607">
            <v>0</v>
          </cell>
          <cell r="AQ3607">
            <v>0</v>
          </cell>
          <cell r="AV3607">
            <v>0</v>
          </cell>
        </row>
        <row r="3608">
          <cell r="E3608" t="str">
            <v>D26001485</v>
          </cell>
          <cell r="AP3608">
            <v>0</v>
          </cell>
          <cell r="AQ3608">
            <v>0</v>
          </cell>
          <cell r="AV3608">
            <v>0</v>
          </cell>
        </row>
        <row r="3609">
          <cell r="E3609" t="str">
            <v>D26001493</v>
          </cell>
          <cell r="AP3609">
            <v>0</v>
          </cell>
          <cell r="AQ3609">
            <v>0</v>
          </cell>
          <cell r="AV3609">
            <v>0</v>
          </cell>
        </row>
        <row r="3610">
          <cell r="E3610" t="str">
            <v>D26001512</v>
          </cell>
          <cell r="AP3610">
            <v>0</v>
          </cell>
          <cell r="AQ3610">
            <v>0</v>
          </cell>
          <cell r="AV3610">
            <v>0</v>
          </cell>
        </row>
        <row r="3611">
          <cell r="E3611" t="str">
            <v>B26001493</v>
          </cell>
          <cell r="AP3611">
            <v>0</v>
          </cell>
          <cell r="AQ3611">
            <v>0</v>
          </cell>
          <cell r="AV3611">
            <v>0</v>
          </cell>
        </row>
        <row r="3612">
          <cell r="E3612" t="str">
            <v>D26001600</v>
          </cell>
          <cell r="AP3612">
            <v>0</v>
          </cell>
          <cell r="AQ3612">
            <v>0</v>
          </cell>
          <cell r="AV3612">
            <v>0</v>
          </cell>
        </row>
        <row r="3613">
          <cell r="E3613" t="str">
            <v>D26001604</v>
          </cell>
          <cell r="AP3613">
            <v>0</v>
          </cell>
          <cell r="AQ3613">
            <v>0</v>
          </cell>
          <cell r="AV3613">
            <v>0</v>
          </cell>
        </row>
        <row r="3614">
          <cell r="E3614" t="str">
            <v>D26001604</v>
          </cell>
          <cell r="AP3614">
            <v>0</v>
          </cell>
          <cell r="AQ3614">
            <v>0</v>
          </cell>
          <cell r="AV3614">
            <v>0</v>
          </cell>
        </row>
        <row r="3615">
          <cell r="E3615" t="str">
            <v>D26001623</v>
          </cell>
          <cell r="AP3615">
            <v>0</v>
          </cell>
          <cell r="AQ3615">
            <v>0</v>
          </cell>
          <cell r="AV3615">
            <v>0</v>
          </cell>
        </row>
        <row r="3616">
          <cell r="E3616" t="str">
            <v>D26001635</v>
          </cell>
          <cell r="AP3616">
            <v>0</v>
          </cell>
          <cell r="AQ3616">
            <v>0</v>
          </cell>
          <cell r="AV3616">
            <v>0</v>
          </cell>
        </row>
        <row r="3617">
          <cell r="E3617" t="str">
            <v>B26001573</v>
          </cell>
          <cell r="AP3617">
            <v>0</v>
          </cell>
          <cell r="AQ3617">
            <v>0</v>
          </cell>
          <cell r="AV3617">
            <v>0</v>
          </cell>
        </row>
        <row r="3618">
          <cell r="E3618" t="str">
            <v>D26001672</v>
          </cell>
          <cell r="AP3618">
            <v>0</v>
          </cell>
          <cell r="AQ3618">
            <v>0</v>
          </cell>
          <cell r="AV3618">
            <v>0</v>
          </cell>
        </row>
        <row r="3619">
          <cell r="E3619" t="str">
            <v>B26001616</v>
          </cell>
          <cell r="AP3619">
            <v>0</v>
          </cell>
          <cell r="AQ3619">
            <v>0</v>
          </cell>
          <cell r="AV3619">
            <v>0</v>
          </cell>
        </row>
        <row r="3620">
          <cell r="E3620" t="str">
            <v>D26001798</v>
          </cell>
          <cell r="AP3620">
            <v>0</v>
          </cell>
          <cell r="AQ3620">
            <v>0</v>
          </cell>
          <cell r="AV3620">
            <v>0</v>
          </cell>
        </row>
        <row r="3621">
          <cell r="E3621" t="str">
            <v>D26001809</v>
          </cell>
          <cell r="AP3621">
            <v>0</v>
          </cell>
          <cell r="AQ3621">
            <v>0</v>
          </cell>
          <cell r="AV3621">
            <v>0</v>
          </cell>
        </row>
        <row r="3622">
          <cell r="E3622" t="str">
            <v>D26001809</v>
          </cell>
          <cell r="AP3622">
            <v>0</v>
          </cell>
          <cell r="AQ3622">
            <v>0</v>
          </cell>
          <cell r="AV3622">
            <v>0</v>
          </cell>
        </row>
        <row r="3623">
          <cell r="E3623" t="str">
            <v>B26001711</v>
          </cell>
          <cell r="AP3623">
            <v>0</v>
          </cell>
          <cell r="AQ3623">
            <v>0</v>
          </cell>
          <cell r="AV3623">
            <v>0</v>
          </cell>
        </row>
        <row r="3624">
          <cell r="E3624" t="str">
            <v>B26001716</v>
          </cell>
          <cell r="AP3624">
            <v>0</v>
          </cell>
          <cell r="AQ3624">
            <v>0</v>
          </cell>
          <cell r="AV3624">
            <v>0</v>
          </cell>
        </row>
        <row r="3625">
          <cell r="E3625" t="str">
            <v>D26001860</v>
          </cell>
          <cell r="AP3625">
            <v>0</v>
          </cell>
          <cell r="AQ3625">
            <v>0</v>
          </cell>
          <cell r="AV3625">
            <v>0</v>
          </cell>
        </row>
        <row r="3626">
          <cell r="E3626" t="str">
            <v>D26002016</v>
          </cell>
          <cell r="AP3626">
            <v>0</v>
          </cell>
          <cell r="AQ3626">
            <v>0</v>
          </cell>
          <cell r="AV3626">
            <v>0</v>
          </cell>
        </row>
        <row r="3627">
          <cell r="E3627" t="str">
            <v>B26001953</v>
          </cell>
          <cell r="AP3627">
            <v>0</v>
          </cell>
          <cell r="AQ3627">
            <v>0</v>
          </cell>
          <cell r="AV3627">
            <v>0</v>
          </cell>
        </row>
        <row r="3628">
          <cell r="E3628" t="str">
            <v>D26002116</v>
          </cell>
          <cell r="AP3628">
            <v>0</v>
          </cell>
          <cell r="AQ3628">
            <v>0</v>
          </cell>
          <cell r="AV3628">
            <v>0</v>
          </cell>
        </row>
        <row r="3629">
          <cell r="E3629" t="str">
            <v>D26002118</v>
          </cell>
          <cell r="AP3629">
            <v>0</v>
          </cell>
          <cell r="AQ3629">
            <v>0</v>
          </cell>
          <cell r="AV3629">
            <v>0</v>
          </cell>
        </row>
        <row r="3630">
          <cell r="E3630" t="str">
            <v>B26002006</v>
          </cell>
          <cell r="AP3630">
            <v>0</v>
          </cell>
          <cell r="AQ3630">
            <v>0</v>
          </cell>
          <cell r="AV3630">
            <v>0</v>
          </cell>
        </row>
        <row r="3631">
          <cell r="E3631" t="str">
            <v>D26002186</v>
          </cell>
          <cell r="AP3631">
            <v>0</v>
          </cell>
          <cell r="AQ3631">
            <v>0</v>
          </cell>
          <cell r="AV3631">
            <v>0</v>
          </cell>
        </row>
        <row r="3632">
          <cell r="E3632" t="str">
            <v>D26002187</v>
          </cell>
          <cell r="AP3632">
            <v>0</v>
          </cell>
          <cell r="AQ3632">
            <v>0</v>
          </cell>
          <cell r="AV3632">
            <v>0</v>
          </cell>
        </row>
        <row r="3633">
          <cell r="E3633" t="str">
            <v>D26002212</v>
          </cell>
          <cell r="AP3633">
            <v>0</v>
          </cell>
          <cell r="AQ3633">
            <v>0</v>
          </cell>
          <cell r="AV3633">
            <v>0</v>
          </cell>
        </row>
        <row r="3634">
          <cell r="E3634" t="str">
            <v>D26002362</v>
          </cell>
          <cell r="AP3634">
            <v>0</v>
          </cell>
          <cell r="AQ3634">
            <v>0</v>
          </cell>
          <cell r="AV3634">
            <v>0</v>
          </cell>
        </row>
        <row r="3635">
          <cell r="E3635" t="str">
            <v>D26002362</v>
          </cell>
          <cell r="AP3635">
            <v>0</v>
          </cell>
          <cell r="AQ3635">
            <v>0</v>
          </cell>
          <cell r="AV3635">
            <v>0</v>
          </cell>
        </row>
        <row r="3636">
          <cell r="E3636" t="str">
            <v>B26002192</v>
          </cell>
          <cell r="AP3636">
            <v>0</v>
          </cell>
          <cell r="AQ3636">
            <v>0</v>
          </cell>
          <cell r="AV3636">
            <v>0</v>
          </cell>
        </row>
        <row r="3637">
          <cell r="E3637" t="str">
            <v>D26002435</v>
          </cell>
          <cell r="AP3637">
            <v>0</v>
          </cell>
          <cell r="AQ3637">
            <v>0</v>
          </cell>
          <cell r="AV3637">
            <v>0</v>
          </cell>
        </row>
        <row r="3638">
          <cell r="E3638" t="str">
            <v>D26002436</v>
          </cell>
          <cell r="AP3638">
            <v>0</v>
          </cell>
          <cell r="AQ3638">
            <v>0</v>
          </cell>
          <cell r="AV3638">
            <v>0</v>
          </cell>
        </row>
        <row r="3639">
          <cell r="E3639" t="str">
            <v>D26002481</v>
          </cell>
          <cell r="AP3639">
            <v>0</v>
          </cell>
          <cell r="AQ3639">
            <v>0</v>
          </cell>
          <cell r="AV3639">
            <v>0</v>
          </cell>
        </row>
        <row r="3640">
          <cell r="E3640" t="str">
            <v>B26002366</v>
          </cell>
          <cell r="AP3640">
            <v>0</v>
          </cell>
          <cell r="AQ3640">
            <v>0</v>
          </cell>
          <cell r="AV3640">
            <v>0</v>
          </cell>
        </row>
        <row r="3641">
          <cell r="E3641" t="str">
            <v>B26002378</v>
          </cell>
          <cell r="AP3641">
            <v>0</v>
          </cell>
          <cell r="AQ3641">
            <v>0</v>
          </cell>
          <cell r="AV3641">
            <v>0</v>
          </cell>
        </row>
        <row r="3642">
          <cell r="E3642" t="str">
            <v>B26002411</v>
          </cell>
          <cell r="AP3642">
            <v>0</v>
          </cell>
          <cell r="AQ3642">
            <v>0</v>
          </cell>
          <cell r="AV3642">
            <v>0</v>
          </cell>
        </row>
        <row r="3643">
          <cell r="E3643" t="str">
            <v>D26002570</v>
          </cell>
          <cell r="AP3643">
            <v>0</v>
          </cell>
          <cell r="AQ3643">
            <v>0</v>
          </cell>
          <cell r="AV3643">
            <v>0</v>
          </cell>
        </row>
        <row r="3644">
          <cell r="E3644" t="str">
            <v>D26002661</v>
          </cell>
          <cell r="AP3644">
            <v>0</v>
          </cell>
          <cell r="AQ3644">
            <v>0</v>
          </cell>
          <cell r="AV3644">
            <v>0</v>
          </cell>
        </row>
        <row r="3645">
          <cell r="E3645" t="str">
            <v>D26002734</v>
          </cell>
          <cell r="AP3645">
            <v>0</v>
          </cell>
          <cell r="AQ3645">
            <v>0</v>
          </cell>
          <cell r="AV3645">
            <v>0</v>
          </cell>
        </row>
        <row r="3646">
          <cell r="E3646" t="str">
            <v>D26002735</v>
          </cell>
          <cell r="AP3646">
            <v>0</v>
          </cell>
          <cell r="AQ3646">
            <v>0</v>
          </cell>
          <cell r="AV3646">
            <v>0</v>
          </cell>
        </row>
        <row r="3647">
          <cell r="E3647" t="str">
            <v>D26002756</v>
          </cell>
          <cell r="AP3647">
            <v>0</v>
          </cell>
          <cell r="AQ3647">
            <v>0</v>
          </cell>
          <cell r="AV3647">
            <v>0</v>
          </cell>
        </row>
        <row r="3648">
          <cell r="E3648" t="str">
            <v>D26002757</v>
          </cell>
          <cell r="AP3648">
            <v>0</v>
          </cell>
          <cell r="AQ3648">
            <v>0</v>
          </cell>
          <cell r="AV3648">
            <v>0</v>
          </cell>
        </row>
        <row r="3649">
          <cell r="E3649" t="str">
            <v>D26002847</v>
          </cell>
          <cell r="AP3649">
            <v>0</v>
          </cell>
          <cell r="AQ3649">
            <v>0</v>
          </cell>
          <cell r="AV3649">
            <v>0</v>
          </cell>
        </row>
        <row r="3650">
          <cell r="E3650" t="str">
            <v>D26002864</v>
          </cell>
          <cell r="AP3650">
            <v>0</v>
          </cell>
          <cell r="AQ3650">
            <v>0</v>
          </cell>
          <cell r="AV3650">
            <v>0</v>
          </cell>
        </row>
        <row r="3651">
          <cell r="E3651" t="str">
            <v>D26002897</v>
          </cell>
          <cell r="AP3651">
            <v>0</v>
          </cell>
          <cell r="AQ3651">
            <v>0</v>
          </cell>
          <cell r="AV3651">
            <v>0</v>
          </cell>
        </row>
        <row r="3652">
          <cell r="E3652" t="str">
            <v>D26002921</v>
          </cell>
          <cell r="AP3652">
            <v>0</v>
          </cell>
          <cell r="AQ3652">
            <v>0</v>
          </cell>
          <cell r="AV3652">
            <v>0</v>
          </cell>
        </row>
        <row r="3653">
          <cell r="E3653" t="str">
            <v>D26002979</v>
          </cell>
          <cell r="AP3653">
            <v>0</v>
          </cell>
          <cell r="AQ3653">
            <v>0</v>
          </cell>
          <cell r="AV3653">
            <v>0</v>
          </cell>
        </row>
        <row r="3654">
          <cell r="E3654" t="str">
            <v>D26003060</v>
          </cell>
          <cell r="AP3654">
            <v>0</v>
          </cell>
          <cell r="AQ3654">
            <v>0</v>
          </cell>
          <cell r="AV3654">
            <v>0</v>
          </cell>
        </row>
        <row r="3655">
          <cell r="E3655" t="str">
            <v>D26003182</v>
          </cell>
          <cell r="AP3655">
            <v>0</v>
          </cell>
          <cell r="AQ3655">
            <v>0</v>
          </cell>
          <cell r="AV3655">
            <v>0</v>
          </cell>
        </row>
        <row r="3656">
          <cell r="E3656" t="str">
            <v>D26003224</v>
          </cell>
          <cell r="AP3656">
            <v>0</v>
          </cell>
          <cell r="AQ3656">
            <v>0</v>
          </cell>
          <cell r="AV3656">
            <v>0</v>
          </cell>
        </row>
        <row r="3657">
          <cell r="E3657" t="str">
            <v>B26003064</v>
          </cell>
          <cell r="AP3657">
            <v>0</v>
          </cell>
          <cell r="AQ3657">
            <v>0</v>
          </cell>
          <cell r="AV3657">
            <v>0</v>
          </cell>
        </row>
        <row r="3658">
          <cell r="E3658" t="str">
            <v>B26003079</v>
          </cell>
          <cell r="AP3658">
            <v>0</v>
          </cell>
          <cell r="AQ3658">
            <v>0</v>
          </cell>
          <cell r="AV3658">
            <v>0</v>
          </cell>
        </row>
        <row r="3659">
          <cell r="E3659" t="str">
            <v>B26003080</v>
          </cell>
          <cell r="AP3659">
            <v>0</v>
          </cell>
          <cell r="AQ3659">
            <v>0</v>
          </cell>
          <cell r="AV3659">
            <v>0</v>
          </cell>
        </row>
        <row r="3660">
          <cell r="E3660" t="str">
            <v>B26003083</v>
          </cell>
          <cell r="AP3660">
            <v>0</v>
          </cell>
          <cell r="AQ3660">
            <v>0</v>
          </cell>
          <cell r="AV3660">
            <v>0</v>
          </cell>
        </row>
        <row r="3661">
          <cell r="E3661" t="str">
            <v>B26000504</v>
          </cell>
          <cell r="AP3661">
            <v>0</v>
          </cell>
          <cell r="AQ3661">
            <v>0</v>
          </cell>
          <cell r="AV3661">
            <v>0</v>
          </cell>
        </row>
        <row r="3662">
          <cell r="E3662" t="str">
            <v>D26000915</v>
          </cell>
          <cell r="AP3662">
            <v>0</v>
          </cell>
          <cell r="AQ3662">
            <v>0</v>
          </cell>
          <cell r="AV3662">
            <v>0</v>
          </cell>
        </row>
        <row r="3663">
          <cell r="E3663" t="str">
            <v>D26001269</v>
          </cell>
          <cell r="AP3663">
            <v>0</v>
          </cell>
          <cell r="AQ3663">
            <v>0</v>
          </cell>
          <cell r="AV3663">
            <v>0</v>
          </cell>
        </row>
        <row r="3664">
          <cell r="E3664" t="str">
            <v>B26001286</v>
          </cell>
          <cell r="AP3664">
            <v>0</v>
          </cell>
          <cell r="AQ3664">
            <v>0</v>
          </cell>
          <cell r="AV3664">
            <v>0</v>
          </cell>
        </row>
        <row r="3665">
          <cell r="E3665" t="str">
            <v>B26001659</v>
          </cell>
          <cell r="AP3665">
            <v>0</v>
          </cell>
          <cell r="AQ3665">
            <v>0</v>
          </cell>
          <cell r="AV3665">
            <v>0</v>
          </cell>
        </row>
        <row r="3666">
          <cell r="E3666" t="str">
            <v>B26001681</v>
          </cell>
          <cell r="AP3666">
            <v>0</v>
          </cell>
          <cell r="AQ3666">
            <v>0</v>
          </cell>
          <cell r="AV3666">
            <v>0</v>
          </cell>
        </row>
        <row r="3667">
          <cell r="E3667" t="str">
            <v>T25001792</v>
          </cell>
          <cell r="AP3667">
            <v>0</v>
          </cell>
          <cell r="AQ3667">
            <v>0</v>
          </cell>
          <cell r="AV3667">
            <v>0</v>
          </cell>
        </row>
        <row r="3668">
          <cell r="E3668" t="str">
            <v>B26000361</v>
          </cell>
          <cell r="AP3668">
            <v>0</v>
          </cell>
          <cell r="AQ3668">
            <v>0</v>
          </cell>
          <cell r="AV3668">
            <v>16580000</v>
          </cell>
        </row>
        <row r="3669">
          <cell r="E3669" t="str">
            <v>B26000362</v>
          </cell>
          <cell r="AP3669">
            <v>0</v>
          </cell>
          <cell r="AQ3669">
            <v>0</v>
          </cell>
          <cell r="AV3669">
            <v>840000</v>
          </cell>
        </row>
        <row r="3670">
          <cell r="E3670" t="str">
            <v>B26000836</v>
          </cell>
          <cell r="AP3670">
            <v>0</v>
          </cell>
          <cell r="AQ3670">
            <v>0</v>
          </cell>
          <cell r="AV3670">
            <v>0</v>
          </cell>
        </row>
        <row r="3671">
          <cell r="E3671" t="str">
            <v>B26000839</v>
          </cell>
          <cell r="AP3671">
            <v>0</v>
          </cell>
          <cell r="AQ3671">
            <v>0</v>
          </cell>
          <cell r="AV3671">
            <v>0</v>
          </cell>
        </row>
        <row r="3672">
          <cell r="E3672" t="str">
            <v>B26000854</v>
          </cell>
          <cell r="AP3672">
            <v>0</v>
          </cell>
          <cell r="AQ3672">
            <v>0</v>
          </cell>
          <cell r="AV3672">
            <v>0</v>
          </cell>
        </row>
        <row r="3673">
          <cell r="E3673" t="str">
            <v>B26000877</v>
          </cell>
          <cell r="AP3673">
            <v>0</v>
          </cell>
          <cell r="AQ3673">
            <v>0</v>
          </cell>
          <cell r="AV3673">
            <v>0</v>
          </cell>
        </row>
        <row r="3674">
          <cell r="E3674" t="str">
            <v>B26001354</v>
          </cell>
          <cell r="AP3674">
            <v>0</v>
          </cell>
          <cell r="AQ3674">
            <v>0</v>
          </cell>
          <cell r="AV3674">
            <v>0</v>
          </cell>
        </row>
        <row r="3675">
          <cell r="E3675" t="str">
            <v>B26001995</v>
          </cell>
          <cell r="AP3675">
            <v>0</v>
          </cell>
          <cell r="AQ3675">
            <v>0</v>
          </cell>
          <cell r="AV3675">
            <v>0</v>
          </cell>
        </row>
        <row r="3676">
          <cell r="E3676" t="str">
            <v>D26002110</v>
          </cell>
          <cell r="AP3676">
            <v>0</v>
          </cell>
          <cell r="AQ3676">
            <v>0</v>
          </cell>
          <cell r="AV3676">
            <v>0</v>
          </cell>
        </row>
        <row r="3677">
          <cell r="E3677" t="str">
            <v>D26000264</v>
          </cell>
          <cell r="AP3677">
            <v>0</v>
          </cell>
          <cell r="AQ3677">
            <v>0</v>
          </cell>
          <cell r="AV3677">
            <v>0</v>
          </cell>
        </row>
        <row r="3678">
          <cell r="E3678" t="str">
            <v>T26000018</v>
          </cell>
          <cell r="AP3678">
            <v>0</v>
          </cell>
          <cell r="AQ3678">
            <v>0</v>
          </cell>
          <cell r="AV3678">
            <v>0</v>
          </cell>
        </row>
        <row r="3679">
          <cell r="E3679" t="str">
            <v>D26000809</v>
          </cell>
          <cell r="AP3679">
            <v>0</v>
          </cell>
          <cell r="AQ3679">
            <v>0</v>
          </cell>
          <cell r="AV3679">
            <v>0</v>
          </cell>
        </row>
        <row r="3680">
          <cell r="E3680" t="str">
            <v>B26001476</v>
          </cell>
          <cell r="AP3680">
            <v>0</v>
          </cell>
          <cell r="AQ3680">
            <v>0</v>
          </cell>
          <cell r="AV3680">
            <v>0</v>
          </cell>
        </row>
        <row r="3681">
          <cell r="E3681" t="str">
            <v>D26001642</v>
          </cell>
          <cell r="AP3681">
            <v>0</v>
          </cell>
          <cell r="AQ3681">
            <v>0</v>
          </cell>
          <cell r="AV3681">
            <v>0</v>
          </cell>
        </row>
        <row r="3682">
          <cell r="E3682" t="str">
            <v>D26001720</v>
          </cell>
          <cell r="AP3682">
            <v>0</v>
          </cell>
          <cell r="AQ3682">
            <v>0</v>
          </cell>
          <cell r="AV3682">
            <v>0</v>
          </cell>
        </row>
        <row r="3683">
          <cell r="E3683" t="str">
            <v>D26001760</v>
          </cell>
          <cell r="AP3683">
            <v>0</v>
          </cell>
          <cell r="AQ3683">
            <v>0</v>
          </cell>
          <cell r="AV3683">
            <v>0</v>
          </cell>
        </row>
        <row r="3684">
          <cell r="E3684" t="str">
            <v>D26001973</v>
          </cell>
          <cell r="AP3684">
            <v>0</v>
          </cell>
          <cell r="AQ3684">
            <v>0</v>
          </cell>
          <cell r="AV3684">
            <v>0</v>
          </cell>
        </row>
        <row r="3685">
          <cell r="E3685" t="str">
            <v>D26002221</v>
          </cell>
          <cell r="AP3685">
            <v>0</v>
          </cell>
          <cell r="AQ3685">
            <v>0</v>
          </cell>
          <cell r="AV3685">
            <v>0</v>
          </cell>
        </row>
        <row r="3686">
          <cell r="E3686" t="str">
            <v>D26002818</v>
          </cell>
          <cell r="AP3686">
            <v>0</v>
          </cell>
          <cell r="AQ3686">
            <v>0</v>
          </cell>
          <cell r="AV3686">
            <v>0</v>
          </cell>
        </row>
        <row r="3687">
          <cell r="E3687" t="str">
            <v>B25016967</v>
          </cell>
          <cell r="AP3687">
            <v>0</v>
          </cell>
          <cell r="AQ3687">
            <v>0</v>
          </cell>
          <cell r="AV3687">
            <v>20000000</v>
          </cell>
        </row>
        <row r="3688">
          <cell r="E3688" t="str">
            <v>B26000544</v>
          </cell>
          <cell r="AP3688">
            <v>0</v>
          </cell>
          <cell r="AQ3688">
            <v>0</v>
          </cell>
          <cell r="AV3688">
            <v>0</v>
          </cell>
        </row>
        <row r="3689">
          <cell r="E3689" t="str">
            <v>D26000948</v>
          </cell>
          <cell r="AP3689">
            <v>0</v>
          </cell>
          <cell r="AQ3689">
            <v>0</v>
          </cell>
          <cell r="AV3689">
            <v>0</v>
          </cell>
        </row>
        <row r="3690">
          <cell r="E3690" t="str">
            <v>D26001106</v>
          </cell>
          <cell r="AP3690">
            <v>0</v>
          </cell>
          <cell r="AQ3690">
            <v>0</v>
          </cell>
          <cell r="AV3690">
            <v>0</v>
          </cell>
        </row>
        <row r="3691">
          <cell r="E3691" t="str">
            <v>B26001700</v>
          </cell>
          <cell r="AP3691">
            <v>0</v>
          </cell>
          <cell r="AQ3691">
            <v>0</v>
          </cell>
          <cell r="AV3691">
            <v>0</v>
          </cell>
        </row>
        <row r="3692">
          <cell r="E3692" t="str">
            <v>D26003291</v>
          </cell>
          <cell r="AP3692">
            <v>0</v>
          </cell>
          <cell r="AQ3692">
            <v>0</v>
          </cell>
          <cell r="AV3692">
            <v>0</v>
          </cell>
        </row>
        <row r="3693">
          <cell r="E3693" t="str">
            <v>D25019098</v>
          </cell>
          <cell r="AP3693">
            <v>0</v>
          </cell>
          <cell r="AQ3693">
            <v>0</v>
          </cell>
          <cell r="AV3693">
            <v>0</v>
          </cell>
        </row>
        <row r="3694">
          <cell r="E3694" t="str">
            <v>B26000599</v>
          </cell>
          <cell r="AP3694">
            <v>0</v>
          </cell>
          <cell r="AQ3694">
            <v>0</v>
          </cell>
          <cell r="AV3694">
            <v>0</v>
          </cell>
        </row>
        <row r="3695">
          <cell r="E3695" t="str">
            <v>D26000627</v>
          </cell>
          <cell r="AP3695">
            <v>0</v>
          </cell>
          <cell r="AQ3695">
            <v>0</v>
          </cell>
          <cell r="AV3695">
            <v>0</v>
          </cell>
        </row>
        <row r="3696">
          <cell r="E3696" t="str">
            <v>D25019278</v>
          </cell>
          <cell r="AP3696">
            <v>0</v>
          </cell>
          <cell r="AQ3696">
            <v>0</v>
          </cell>
          <cell r="AV3696">
            <v>117000</v>
          </cell>
        </row>
        <row r="3697">
          <cell r="E3697" t="str">
            <v>D25019278</v>
          </cell>
          <cell r="AP3697">
            <v>0</v>
          </cell>
          <cell r="AQ3697">
            <v>0</v>
          </cell>
          <cell r="AV3697">
            <v>929700</v>
          </cell>
        </row>
        <row r="3698">
          <cell r="E3698" t="str">
            <v>D25019454</v>
          </cell>
          <cell r="AP3698">
            <v>0</v>
          </cell>
          <cell r="AQ3698">
            <v>0</v>
          </cell>
          <cell r="AV3698">
            <v>11340000</v>
          </cell>
        </row>
        <row r="3699">
          <cell r="E3699" t="str">
            <v>D25019594</v>
          </cell>
          <cell r="AP3699">
            <v>0</v>
          </cell>
          <cell r="AQ3699">
            <v>0</v>
          </cell>
          <cell r="AV3699">
            <v>5700000</v>
          </cell>
        </row>
        <row r="3700">
          <cell r="E3700" t="str">
            <v>D25019702</v>
          </cell>
          <cell r="AP3700">
            <v>0</v>
          </cell>
          <cell r="AQ3700">
            <v>0</v>
          </cell>
          <cell r="AV3700">
            <v>0</v>
          </cell>
        </row>
        <row r="3701">
          <cell r="E3701" t="str">
            <v>D26000214</v>
          </cell>
          <cell r="AP3701">
            <v>0</v>
          </cell>
          <cell r="AQ3701">
            <v>0</v>
          </cell>
          <cell r="AV3701">
            <v>780300</v>
          </cell>
        </row>
        <row r="3702">
          <cell r="E3702" t="str">
            <v>D26000467</v>
          </cell>
          <cell r="AP3702">
            <v>0</v>
          </cell>
          <cell r="AQ3702">
            <v>0</v>
          </cell>
          <cell r="AV3702">
            <v>0</v>
          </cell>
        </row>
        <row r="3703">
          <cell r="E3703" t="str">
            <v>D26000635</v>
          </cell>
          <cell r="AP3703">
            <v>0</v>
          </cell>
          <cell r="AQ3703">
            <v>0</v>
          </cell>
          <cell r="AV3703">
            <v>0</v>
          </cell>
        </row>
        <row r="3704">
          <cell r="E3704" t="str">
            <v>D26000799</v>
          </cell>
          <cell r="AP3704">
            <v>0</v>
          </cell>
          <cell r="AQ3704">
            <v>0</v>
          </cell>
          <cell r="AV3704">
            <v>0</v>
          </cell>
        </row>
        <row r="3705">
          <cell r="E3705" t="str">
            <v>D26000943</v>
          </cell>
          <cell r="AP3705">
            <v>0</v>
          </cell>
          <cell r="AQ3705">
            <v>0</v>
          </cell>
          <cell r="AV3705">
            <v>0</v>
          </cell>
        </row>
        <row r="3706">
          <cell r="E3706" t="str">
            <v>D26000944</v>
          </cell>
          <cell r="AP3706">
            <v>0</v>
          </cell>
          <cell r="AQ3706">
            <v>0</v>
          </cell>
          <cell r="AV3706">
            <v>0</v>
          </cell>
        </row>
        <row r="3707">
          <cell r="E3707" t="str">
            <v>D26000964</v>
          </cell>
          <cell r="AP3707">
            <v>0</v>
          </cell>
          <cell r="AQ3707">
            <v>0</v>
          </cell>
          <cell r="AV3707">
            <v>0</v>
          </cell>
        </row>
        <row r="3708">
          <cell r="E3708" t="str">
            <v>D26001117</v>
          </cell>
          <cell r="AP3708">
            <v>0</v>
          </cell>
          <cell r="AQ3708">
            <v>0</v>
          </cell>
          <cell r="AV3708">
            <v>0</v>
          </cell>
        </row>
        <row r="3709">
          <cell r="E3709" t="str">
            <v>B26001287</v>
          </cell>
          <cell r="AP3709">
            <v>0</v>
          </cell>
          <cell r="AQ3709">
            <v>0</v>
          </cell>
          <cell r="AV3709">
            <v>0</v>
          </cell>
        </row>
        <row r="3710">
          <cell r="E3710" t="str">
            <v>B26001508</v>
          </cell>
          <cell r="AP3710">
            <v>0</v>
          </cell>
          <cell r="AQ3710">
            <v>0</v>
          </cell>
          <cell r="AV3710">
            <v>0</v>
          </cell>
        </row>
        <row r="3711">
          <cell r="E3711" t="str">
            <v>B26001757</v>
          </cell>
          <cell r="AP3711">
            <v>0</v>
          </cell>
          <cell r="AQ3711">
            <v>0</v>
          </cell>
          <cell r="AV3711">
            <v>0</v>
          </cell>
        </row>
        <row r="3712">
          <cell r="E3712" t="str">
            <v>B26002181</v>
          </cell>
          <cell r="AP3712">
            <v>0</v>
          </cell>
          <cell r="AQ3712">
            <v>0</v>
          </cell>
          <cell r="AV3712">
            <v>0</v>
          </cell>
        </row>
        <row r="3713">
          <cell r="E3713" t="str">
            <v>B26002229</v>
          </cell>
          <cell r="AP3713">
            <v>0</v>
          </cell>
          <cell r="AQ3713">
            <v>0</v>
          </cell>
          <cell r="AV3713">
            <v>0</v>
          </cell>
        </row>
        <row r="3714">
          <cell r="E3714" t="str">
            <v>D26002657</v>
          </cell>
          <cell r="AP3714">
            <v>0</v>
          </cell>
          <cell r="AQ3714">
            <v>0</v>
          </cell>
          <cell r="AV3714">
            <v>0</v>
          </cell>
        </row>
        <row r="3715">
          <cell r="E3715" t="str">
            <v>B26002548</v>
          </cell>
          <cell r="AP3715">
            <v>0</v>
          </cell>
          <cell r="AQ3715">
            <v>0</v>
          </cell>
          <cell r="AV3715">
            <v>0</v>
          </cell>
        </row>
        <row r="3716">
          <cell r="E3716" t="str">
            <v>D26002790</v>
          </cell>
          <cell r="AP3716">
            <v>0</v>
          </cell>
          <cell r="AQ3716">
            <v>0</v>
          </cell>
          <cell r="AV3716">
            <v>0</v>
          </cell>
        </row>
        <row r="3717">
          <cell r="E3717" t="str">
            <v>D26002875</v>
          </cell>
          <cell r="AP3717">
            <v>0</v>
          </cell>
          <cell r="AQ3717">
            <v>0</v>
          </cell>
          <cell r="AV3717">
            <v>0</v>
          </cell>
        </row>
        <row r="3718">
          <cell r="E3718" t="str">
            <v>B26002706</v>
          </cell>
          <cell r="AP3718">
            <v>0</v>
          </cell>
          <cell r="AQ3718">
            <v>0</v>
          </cell>
          <cell r="AV3718">
            <v>0</v>
          </cell>
        </row>
        <row r="3719">
          <cell r="E3719" t="str">
            <v>D26002926</v>
          </cell>
          <cell r="AP3719">
            <v>0</v>
          </cell>
          <cell r="AQ3719">
            <v>0</v>
          </cell>
          <cell r="AV3719">
            <v>0</v>
          </cell>
        </row>
        <row r="3720">
          <cell r="E3720" t="str">
            <v>B26002237</v>
          </cell>
          <cell r="AP3720">
            <v>0</v>
          </cell>
          <cell r="AQ3720">
            <v>0</v>
          </cell>
          <cell r="AV3720">
            <v>0</v>
          </cell>
        </row>
        <row r="3721">
          <cell r="E3721" t="str">
            <v>D26002453</v>
          </cell>
          <cell r="AP3721">
            <v>0</v>
          </cell>
          <cell r="AQ3721">
            <v>0</v>
          </cell>
          <cell r="AV3721">
            <v>0</v>
          </cell>
        </row>
        <row r="3722">
          <cell r="E3722" t="str">
            <v>T25001860</v>
          </cell>
          <cell r="AP3722">
            <v>0</v>
          </cell>
          <cell r="AQ3722">
            <v>0</v>
          </cell>
          <cell r="AV3722">
            <v>0</v>
          </cell>
        </row>
        <row r="3723">
          <cell r="E3723" t="str">
            <v>D26002925</v>
          </cell>
          <cell r="AP3723">
            <v>0</v>
          </cell>
          <cell r="AQ3723">
            <v>0</v>
          </cell>
          <cell r="AV3723">
            <v>0</v>
          </cell>
        </row>
        <row r="3724">
          <cell r="E3724" t="str">
            <v>T26000197</v>
          </cell>
          <cell r="AP3724">
            <v>0</v>
          </cell>
          <cell r="AQ3724">
            <v>0</v>
          </cell>
          <cell r="AV3724">
            <v>0</v>
          </cell>
        </row>
        <row r="3725">
          <cell r="E3725" t="str">
            <v>T26000226</v>
          </cell>
          <cell r="AP3725">
            <v>0</v>
          </cell>
          <cell r="AQ3725">
            <v>0</v>
          </cell>
          <cell r="AV3725">
            <v>0</v>
          </cell>
        </row>
        <row r="3726">
          <cell r="E3726" t="str">
            <v>D26000178</v>
          </cell>
          <cell r="AP3726">
            <v>0</v>
          </cell>
          <cell r="AQ3726">
            <v>0</v>
          </cell>
          <cell r="AV3726">
            <v>0</v>
          </cell>
        </row>
        <row r="3727">
          <cell r="E3727" t="str">
            <v>D26000333</v>
          </cell>
          <cell r="AP3727">
            <v>0</v>
          </cell>
          <cell r="AQ3727">
            <v>0</v>
          </cell>
          <cell r="AV3727">
            <v>0</v>
          </cell>
        </row>
        <row r="3728">
          <cell r="E3728" t="str">
            <v>D26000883</v>
          </cell>
          <cell r="AP3728">
            <v>0</v>
          </cell>
          <cell r="AQ3728">
            <v>0</v>
          </cell>
          <cell r="AV3728">
            <v>0</v>
          </cell>
        </row>
        <row r="3729">
          <cell r="E3729" t="str">
            <v>B26001109</v>
          </cell>
          <cell r="AP3729">
            <v>0</v>
          </cell>
          <cell r="AQ3729">
            <v>0</v>
          </cell>
          <cell r="AV3729">
            <v>0</v>
          </cell>
        </row>
        <row r="3730">
          <cell r="E3730" t="str">
            <v>B26001281</v>
          </cell>
          <cell r="AP3730">
            <v>0</v>
          </cell>
          <cell r="AQ3730">
            <v>0</v>
          </cell>
          <cell r="AV3730">
            <v>0</v>
          </cell>
        </row>
        <row r="3731">
          <cell r="E3731" t="str">
            <v>B26001456</v>
          </cell>
          <cell r="AP3731">
            <v>0</v>
          </cell>
          <cell r="AQ3731">
            <v>0</v>
          </cell>
          <cell r="AV3731">
            <v>0</v>
          </cell>
        </row>
        <row r="3732">
          <cell r="E3732" t="str">
            <v>D26001907</v>
          </cell>
          <cell r="AP3732">
            <v>0</v>
          </cell>
          <cell r="AQ3732">
            <v>0</v>
          </cell>
          <cell r="AV3732">
            <v>0</v>
          </cell>
        </row>
        <row r="3733">
          <cell r="E3733" t="str">
            <v>D26002750</v>
          </cell>
          <cell r="AP3733">
            <v>0</v>
          </cell>
          <cell r="AQ3733">
            <v>0</v>
          </cell>
          <cell r="AV3733">
            <v>0</v>
          </cell>
        </row>
        <row r="3734">
          <cell r="E3734" t="str">
            <v>B26002937</v>
          </cell>
          <cell r="AP3734">
            <v>0</v>
          </cell>
          <cell r="AQ3734">
            <v>0</v>
          </cell>
          <cell r="AV3734">
            <v>0</v>
          </cell>
        </row>
        <row r="3735">
          <cell r="E3735" t="str">
            <v>D26003095</v>
          </cell>
          <cell r="AP3735">
            <v>0</v>
          </cell>
          <cell r="AQ3735">
            <v>0</v>
          </cell>
          <cell r="AV3735">
            <v>10920000</v>
          </cell>
        </row>
        <row r="3736">
          <cell r="E3736" t="str">
            <v>D26001696</v>
          </cell>
          <cell r="AP3736">
            <v>0</v>
          </cell>
          <cell r="AQ3736">
            <v>0</v>
          </cell>
          <cell r="AV3736">
            <v>9900000</v>
          </cell>
        </row>
        <row r="3737">
          <cell r="E3737" t="str">
            <v>B26001688</v>
          </cell>
          <cell r="AP3737">
            <v>0</v>
          </cell>
          <cell r="AQ3737">
            <v>0</v>
          </cell>
          <cell r="AV3737">
            <v>1720000</v>
          </cell>
        </row>
        <row r="3738">
          <cell r="E3738" t="str">
            <v>B26002430</v>
          </cell>
          <cell r="AP3738">
            <v>0</v>
          </cell>
          <cell r="AQ3738">
            <v>0</v>
          </cell>
          <cell r="AV3738">
            <v>0</v>
          </cell>
        </row>
        <row r="3739">
          <cell r="E3739" t="str">
            <v>D26000838</v>
          </cell>
          <cell r="AP3739">
            <v>0</v>
          </cell>
          <cell r="AQ3739">
            <v>0</v>
          </cell>
          <cell r="AV3739">
            <v>0</v>
          </cell>
        </row>
        <row r="3740">
          <cell r="E3740" t="str">
            <v>D26000845</v>
          </cell>
          <cell r="AP3740">
            <v>0</v>
          </cell>
          <cell r="AQ3740">
            <v>0</v>
          </cell>
          <cell r="AV3740">
            <v>0</v>
          </cell>
        </row>
        <row r="3741">
          <cell r="E3741" t="str">
            <v>D26001389</v>
          </cell>
          <cell r="AP3741">
            <v>0</v>
          </cell>
          <cell r="AQ3741">
            <v>0</v>
          </cell>
          <cell r="AV3741">
            <v>0</v>
          </cell>
        </row>
        <row r="3742">
          <cell r="E3742" t="str">
            <v>B26001366</v>
          </cell>
          <cell r="AP3742">
            <v>0</v>
          </cell>
          <cell r="AQ3742">
            <v>0</v>
          </cell>
          <cell r="AV3742">
            <v>0</v>
          </cell>
        </row>
        <row r="3743">
          <cell r="E3743" t="str">
            <v>B26001400</v>
          </cell>
          <cell r="AP3743">
            <v>0</v>
          </cell>
          <cell r="AQ3743">
            <v>0</v>
          </cell>
          <cell r="AV3743">
            <v>0</v>
          </cell>
        </row>
        <row r="3744">
          <cell r="E3744" t="str">
            <v>B26001764</v>
          </cell>
          <cell r="AP3744">
            <v>0</v>
          </cell>
          <cell r="AQ3744">
            <v>0</v>
          </cell>
          <cell r="AV3744">
            <v>0</v>
          </cell>
        </row>
        <row r="3745">
          <cell r="E3745" t="str">
            <v>D26001886</v>
          </cell>
          <cell r="AP3745">
            <v>0</v>
          </cell>
          <cell r="AQ3745">
            <v>0</v>
          </cell>
          <cell r="AV3745">
            <v>0</v>
          </cell>
        </row>
        <row r="3746">
          <cell r="E3746" t="str">
            <v>B26001947</v>
          </cell>
          <cell r="AP3746">
            <v>0</v>
          </cell>
          <cell r="AQ3746">
            <v>0</v>
          </cell>
          <cell r="AV3746">
            <v>0</v>
          </cell>
        </row>
        <row r="3747">
          <cell r="E3747" t="str">
            <v>B26002002</v>
          </cell>
          <cell r="AP3747">
            <v>0</v>
          </cell>
          <cell r="AQ3747">
            <v>0</v>
          </cell>
          <cell r="AV3747">
            <v>0</v>
          </cell>
        </row>
        <row r="3748">
          <cell r="E3748" t="str">
            <v>D26002403</v>
          </cell>
          <cell r="AP3748">
            <v>0</v>
          </cell>
          <cell r="AQ3748">
            <v>0</v>
          </cell>
          <cell r="AV3748">
            <v>0</v>
          </cell>
        </row>
        <row r="3749">
          <cell r="E3749" t="str">
            <v>B26002294</v>
          </cell>
          <cell r="AP3749">
            <v>0</v>
          </cell>
          <cell r="AQ3749">
            <v>0</v>
          </cell>
          <cell r="AV3749">
            <v>0</v>
          </cell>
        </row>
        <row r="3750">
          <cell r="E3750" t="str">
            <v>B26003052</v>
          </cell>
          <cell r="AP3750">
            <v>0</v>
          </cell>
          <cell r="AQ3750">
            <v>0</v>
          </cell>
          <cell r="AV3750">
            <v>0</v>
          </cell>
        </row>
        <row r="3751">
          <cell r="E3751" t="str">
            <v>B26003061</v>
          </cell>
          <cell r="AP3751">
            <v>0</v>
          </cell>
          <cell r="AQ3751">
            <v>0</v>
          </cell>
          <cell r="AV3751">
            <v>0</v>
          </cell>
        </row>
        <row r="3752">
          <cell r="E3752" t="str">
            <v>D26003247</v>
          </cell>
          <cell r="AP3752">
            <v>0</v>
          </cell>
          <cell r="AQ3752">
            <v>0</v>
          </cell>
          <cell r="AV3752">
            <v>0</v>
          </cell>
        </row>
        <row r="3753">
          <cell r="E3753" t="str">
            <v>B26002183</v>
          </cell>
          <cell r="AP3753">
            <v>0</v>
          </cell>
          <cell r="AQ3753">
            <v>0</v>
          </cell>
          <cell r="AV3753">
            <v>0</v>
          </cell>
        </row>
        <row r="3754">
          <cell r="E3754" t="str">
            <v>B26000061</v>
          </cell>
          <cell r="AP3754">
            <v>0</v>
          </cell>
          <cell r="AQ3754">
            <v>0</v>
          </cell>
          <cell r="AV3754">
            <v>0</v>
          </cell>
        </row>
        <row r="3755">
          <cell r="E3755" t="str">
            <v>B26001376</v>
          </cell>
          <cell r="AP3755">
            <v>0</v>
          </cell>
          <cell r="AQ3755">
            <v>0</v>
          </cell>
          <cell r="AV3755">
            <v>0</v>
          </cell>
        </row>
        <row r="3756">
          <cell r="E3756" t="str">
            <v>D26002493</v>
          </cell>
          <cell r="AP3756">
            <v>0</v>
          </cell>
          <cell r="AQ3756">
            <v>0</v>
          </cell>
          <cell r="AV3756">
            <v>11250000</v>
          </cell>
        </row>
        <row r="3757">
          <cell r="E3757" t="str">
            <v>D26003145</v>
          </cell>
          <cell r="AP3757">
            <v>0</v>
          </cell>
          <cell r="AQ3757">
            <v>0</v>
          </cell>
          <cell r="AV3757">
            <v>3375000</v>
          </cell>
        </row>
        <row r="3758">
          <cell r="E3758" t="str">
            <v>T25001374</v>
          </cell>
          <cell r="AP3758">
            <v>0</v>
          </cell>
          <cell r="AQ3758">
            <v>0</v>
          </cell>
          <cell r="AV3758">
            <v>0</v>
          </cell>
        </row>
        <row r="3759">
          <cell r="E3759" t="str">
            <v>B26001362</v>
          </cell>
          <cell r="AP3759">
            <v>0</v>
          </cell>
          <cell r="AQ3759">
            <v>0</v>
          </cell>
          <cell r="AV3759">
            <v>0</v>
          </cell>
        </row>
        <row r="3760">
          <cell r="E3760" t="str">
            <v>B26001076</v>
          </cell>
          <cell r="AP3760">
            <v>0</v>
          </cell>
          <cell r="AQ3760">
            <v>0</v>
          </cell>
          <cell r="AV3760">
            <v>0</v>
          </cell>
        </row>
        <row r="3761">
          <cell r="E3761" t="str">
            <v>B26000310</v>
          </cell>
          <cell r="AP3761">
            <v>0</v>
          </cell>
          <cell r="AQ3761">
            <v>0</v>
          </cell>
          <cell r="AV3761">
            <v>0</v>
          </cell>
        </row>
        <row r="3762">
          <cell r="E3762" t="str">
            <v>D26001175</v>
          </cell>
          <cell r="AP3762">
            <v>0</v>
          </cell>
          <cell r="AQ3762">
            <v>0</v>
          </cell>
          <cell r="AV3762">
            <v>0</v>
          </cell>
        </row>
        <row r="3763">
          <cell r="E3763" t="str">
            <v>D26001615</v>
          </cell>
          <cell r="AP3763">
            <v>0</v>
          </cell>
          <cell r="AQ3763">
            <v>0</v>
          </cell>
          <cell r="AV3763">
            <v>0</v>
          </cell>
        </row>
        <row r="3764">
          <cell r="E3764" t="str">
            <v>D26002248</v>
          </cell>
          <cell r="AP3764">
            <v>0</v>
          </cell>
          <cell r="AQ3764">
            <v>0</v>
          </cell>
          <cell r="AV3764">
            <v>0</v>
          </cell>
        </row>
        <row r="3765">
          <cell r="E3765" t="str">
            <v>D26001639</v>
          </cell>
          <cell r="AP3765">
            <v>0</v>
          </cell>
          <cell r="AQ3765">
            <v>0</v>
          </cell>
          <cell r="AV3765">
            <v>0</v>
          </cell>
        </row>
        <row r="3766">
          <cell r="E3766" t="str">
            <v>B26001956</v>
          </cell>
          <cell r="AP3766">
            <v>0</v>
          </cell>
          <cell r="AQ3766">
            <v>0</v>
          </cell>
          <cell r="AV3766">
            <v>0</v>
          </cell>
        </row>
        <row r="3767">
          <cell r="E3767" t="str">
            <v>B26002667</v>
          </cell>
          <cell r="AP3767">
            <v>0</v>
          </cell>
          <cell r="AQ3767">
            <v>0</v>
          </cell>
          <cell r="AV3767">
            <v>0</v>
          </cell>
        </row>
        <row r="3768">
          <cell r="E3768" t="str">
            <v>D26002834</v>
          </cell>
          <cell r="AP3768">
            <v>0</v>
          </cell>
          <cell r="AQ3768">
            <v>0</v>
          </cell>
          <cell r="AV3768">
            <v>0</v>
          </cell>
        </row>
        <row r="3769">
          <cell r="E3769" t="str">
            <v>D26003094</v>
          </cell>
          <cell r="AP3769">
            <v>0</v>
          </cell>
          <cell r="AQ3769">
            <v>0</v>
          </cell>
          <cell r="AV3769">
            <v>0</v>
          </cell>
        </row>
        <row r="3770">
          <cell r="E3770" t="str">
            <v>D26002917</v>
          </cell>
          <cell r="AP3770">
            <v>0</v>
          </cell>
          <cell r="AQ3770">
            <v>0</v>
          </cell>
          <cell r="AV3770">
            <v>0</v>
          </cell>
        </row>
        <row r="3771">
          <cell r="E3771" t="str">
            <v>D26002919</v>
          </cell>
          <cell r="AP3771">
            <v>0</v>
          </cell>
          <cell r="AQ3771">
            <v>0</v>
          </cell>
          <cell r="AV3771">
            <v>0</v>
          </cell>
        </row>
        <row r="3772">
          <cell r="E3772" t="str">
            <v>B26002997</v>
          </cell>
          <cell r="AP3772">
            <v>0</v>
          </cell>
          <cell r="AQ3772">
            <v>0</v>
          </cell>
          <cell r="AV3772">
            <v>0</v>
          </cell>
        </row>
        <row r="3773">
          <cell r="E3773" t="str">
            <v>B26002998</v>
          </cell>
          <cell r="AP3773">
            <v>0</v>
          </cell>
          <cell r="AQ3773">
            <v>0</v>
          </cell>
          <cell r="AV3773">
            <v>0</v>
          </cell>
        </row>
        <row r="3774">
          <cell r="E3774" t="str">
            <v>Z26000303</v>
          </cell>
          <cell r="AP3774">
            <v>0</v>
          </cell>
          <cell r="AQ3774">
            <v>0</v>
          </cell>
          <cell r="AV3774">
            <v>0</v>
          </cell>
        </row>
        <row r="3775">
          <cell r="E3775" t="str">
            <v>Z26000381</v>
          </cell>
          <cell r="AP3775">
            <v>0</v>
          </cell>
          <cell r="AQ3775">
            <v>0</v>
          </cell>
          <cell r="AV3775">
            <v>0</v>
          </cell>
        </row>
        <row r="3776">
          <cell r="E3776" t="str">
            <v>Z26000382</v>
          </cell>
          <cell r="AP3776">
            <v>0</v>
          </cell>
          <cell r="AQ3776">
            <v>0</v>
          </cell>
          <cell r="AV3776">
            <v>0</v>
          </cell>
        </row>
        <row r="3777">
          <cell r="E3777" t="str">
            <v>Z26000419</v>
          </cell>
          <cell r="AP3777">
            <v>0</v>
          </cell>
          <cell r="AQ3777">
            <v>0</v>
          </cell>
          <cell r="AV3777">
            <v>0</v>
          </cell>
        </row>
        <row r="3778">
          <cell r="E3778" t="str">
            <v>Z26000420</v>
          </cell>
          <cell r="AP3778">
            <v>0</v>
          </cell>
          <cell r="AQ3778">
            <v>0</v>
          </cell>
          <cell r="AV3778">
            <v>0</v>
          </cell>
        </row>
        <row r="3779">
          <cell r="E3779" t="str">
            <v>Z26000473</v>
          </cell>
          <cell r="AP3779">
            <v>0</v>
          </cell>
          <cell r="AQ3779">
            <v>0</v>
          </cell>
          <cell r="AV3779">
            <v>0</v>
          </cell>
        </row>
        <row r="3780">
          <cell r="E3780" t="str">
            <v>Z26000487</v>
          </cell>
          <cell r="AP3780">
            <v>0</v>
          </cell>
          <cell r="AQ3780">
            <v>0</v>
          </cell>
          <cell r="AV3780">
            <v>0</v>
          </cell>
        </row>
        <row r="3781">
          <cell r="E3781" t="str">
            <v>Z26000500</v>
          </cell>
          <cell r="AP3781">
            <v>0</v>
          </cell>
          <cell r="AQ3781">
            <v>0</v>
          </cell>
          <cell r="AV3781">
            <v>0</v>
          </cell>
        </row>
        <row r="3782">
          <cell r="E3782" t="str">
            <v>Z26000522</v>
          </cell>
          <cell r="AP3782">
            <v>0</v>
          </cell>
          <cell r="AQ3782">
            <v>0</v>
          </cell>
          <cell r="AV3782">
            <v>0</v>
          </cell>
        </row>
        <row r="3783">
          <cell r="E3783" t="str">
            <v>D26001941</v>
          </cell>
          <cell r="AP3783">
            <v>0</v>
          </cell>
          <cell r="AQ3783">
            <v>0</v>
          </cell>
          <cell r="AV3783">
            <v>0</v>
          </cell>
        </row>
        <row r="3784">
          <cell r="E3784" t="str">
            <v>D26001942</v>
          </cell>
          <cell r="AP3784">
            <v>0</v>
          </cell>
          <cell r="AQ3784">
            <v>0</v>
          </cell>
          <cell r="AV3784">
            <v>0</v>
          </cell>
        </row>
        <row r="3785">
          <cell r="E3785" t="str">
            <v>D26001820</v>
          </cell>
          <cell r="AP3785">
            <v>0</v>
          </cell>
          <cell r="AQ3785">
            <v>0</v>
          </cell>
          <cell r="AV3785">
            <v>0</v>
          </cell>
        </row>
        <row r="3786">
          <cell r="E3786" t="str">
            <v>B25016661</v>
          </cell>
          <cell r="AP3786">
            <v>0</v>
          </cell>
          <cell r="AQ3786">
            <v>0</v>
          </cell>
          <cell r="AV3786">
            <v>29039000</v>
          </cell>
        </row>
        <row r="3787">
          <cell r="E3787" t="str">
            <v>B25016985</v>
          </cell>
          <cell r="AP3787">
            <v>0</v>
          </cell>
          <cell r="AQ3787">
            <v>0</v>
          </cell>
          <cell r="AV3787">
            <v>0</v>
          </cell>
        </row>
        <row r="3788">
          <cell r="E3788" t="str">
            <v>B25016735</v>
          </cell>
          <cell r="AP3788">
            <v>0</v>
          </cell>
          <cell r="AQ3788">
            <v>0</v>
          </cell>
          <cell r="AV3788">
            <v>0</v>
          </cell>
        </row>
        <row r="3789">
          <cell r="E3789" t="str">
            <v>D26001892</v>
          </cell>
          <cell r="AP3789">
            <v>0</v>
          </cell>
          <cell r="AQ3789">
            <v>0</v>
          </cell>
          <cell r="AV3789">
            <v>0</v>
          </cell>
        </row>
        <row r="3790">
          <cell r="E3790" t="str">
            <v>D26002177</v>
          </cell>
          <cell r="AP3790">
            <v>0</v>
          </cell>
          <cell r="AQ3790">
            <v>0</v>
          </cell>
          <cell r="AV3790">
            <v>0</v>
          </cell>
        </row>
        <row r="3791">
          <cell r="E3791" t="str">
            <v>D26002354</v>
          </cell>
          <cell r="AP3791">
            <v>0</v>
          </cell>
          <cell r="AQ3791">
            <v>0</v>
          </cell>
          <cell r="AV3791">
            <v>0</v>
          </cell>
        </row>
        <row r="3792">
          <cell r="E3792" t="str">
            <v>B26003022</v>
          </cell>
          <cell r="AP3792">
            <v>0</v>
          </cell>
          <cell r="AQ3792">
            <v>0</v>
          </cell>
          <cell r="AV3792">
            <v>0</v>
          </cell>
        </row>
        <row r="3793">
          <cell r="E3793" t="str">
            <v>D26003174</v>
          </cell>
          <cell r="AP3793">
            <v>0</v>
          </cell>
          <cell r="AQ3793">
            <v>0</v>
          </cell>
          <cell r="AV3793">
            <v>0</v>
          </cell>
        </row>
        <row r="3794">
          <cell r="E3794" t="str">
            <v>D26000426</v>
          </cell>
          <cell r="AP3794">
            <v>0</v>
          </cell>
          <cell r="AQ3794">
            <v>0</v>
          </cell>
          <cell r="AV3794">
            <v>50476000</v>
          </cell>
        </row>
        <row r="3795">
          <cell r="E3795" t="str">
            <v>B26000562</v>
          </cell>
          <cell r="AP3795">
            <v>0</v>
          </cell>
          <cell r="AQ3795">
            <v>0</v>
          </cell>
          <cell r="AV3795">
            <v>16800000</v>
          </cell>
        </row>
        <row r="3796">
          <cell r="E3796" t="str">
            <v>D26000644</v>
          </cell>
          <cell r="AP3796">
            <v>0</v>
          </cell>
          <cell r="AQ3796">
            <v>0</v>
          </cell>
          <cell r="AV3796">
            <v>96000000</v>
          </cell>
        </row>
        <row r="3797">
          <cell r="E3797" t="str">
            <v>D26000659</v>
          </cell>
          <cell r="AP3797">
            <v>0</v>
          </cell>
          <cell r="AQ3797">
            <v>0</v>
          </cell>
          <cell r="AV3797">
            <v>21150000</v>
          </cell>
        </row>
        <row r="3798">
          <cell r="E3798" t="str">
            <v>D26000668</v>
          </cell>
          <cell r="AP3798">
            <v>0</v>
          </cell>
          <cell r="AQ3798">
            <v>0</v>
          </cell>
          <cell r="AV3798">
            <v>10625000</v>
          </cell>
        </row>
        <row r="3799">
          <cell r="E3799" t="str">
            <v>D26000829</v>
          </cell>
          <cell r="AP3799">
            <v>0</v>
          </cell>
          <cell r="AQ3799">
            <v>0</v>
          </cell>
          <cell r="AV3799">
            <v>0</v>
          </cell>
        </row>
        <row r="3800">
          <cell r="E3800" t="str">
            <v>D26001193</v>
          </cell>
          <cell r="AP3800">
            <v>0</v>
          </cell>
          <cell r="AQ3800">
            <v>0</v>
          </cell>
          <cell r="AV3800">
            <v>0</v>
          </cell>
        </row>
        <row r="3801">
          <cell r="E3801" t="str">
            <v>D26001204</v>
          </cell>
          <cell r="AP3801">
            <v>0</v>
          </cell>
          <cell r="AQ3801">
            <v>0</v>
          </cell>
          <cell r="AV3801">
            <v>0</v>
          </cell>
        </row>
        <row r="3802">
          <cell r="E3802" t="str">
            <v>D26001295</v>
          </cell>
          <cell r="AP3802">
            <v>0</v>
          </cell>
          <cell r="AQ3802">
            <v>0</v>
          </cell>
          <cell r="AV3802">
            <v>0</v>
          </cell>
        </row>
        <row r="3803">
          <cell r="E3803" t="str">
            <v>D26001479</v>
          </cell>
          <cell r="AP3803">
            <v>0</v>
          </cell>
          <cell r="AQ3803">
            <v>0</v>
          </cell>
          <cell r="AV3803">
            <v>0</v>
          </cell>
        </row>
        <row r="3804">
          <cell r="E3804" t="str">
            <v>D26002013</v>
          </cell>
          <cell r="AP3804">
            <v>0</v>
          </cell>
          <cell r="AQ3804">
            <v>0</v>
          </cell>
          <cell r="AV3804">
            <v>0</v>
          </cell>
        </row>
        <row r="3805">
          <cell r="E3805" t="str">
            <v>D26002216</v>
          </cell>
          <cell r="AP3805">
            <v>0</v>
          </cell>
          <cell r="AQ3805">
            <v>0</v>
          </cell>
          <cell r="AV3805">
            <v>0</v>
          </cell>
        </row>
        <row r="3806">
          <cell r="E3806" t="str">
            <v>D26002217</v>
          </cell>
          <cell r="AP3806">
            <v>0</v>
          </cell>
          <cell r="AQ3806">
            <v>0</v>
          </cell>
          <cell r="AV3806">
            <v>0</v>
          </cell>
        </row>
        <row r="3807">
          <cell r="E3807" t="str">
            <v>D26002218</v>
          </cell>
          <cell r="AP3807">
            <v>0</v>
          </cell>
          <cell r="AQ3807">
            <v>0</v>
          </cell>
          <cell r="AV3807">
            <v>0</v>
          </cell>
        </row>
        <row r="3808">
          <cell r="E3808" t="str">
            <v>D26002219</v>
          </cell>
          <cell r="AP3808">
            <v>0</v>
          </cell>
          <cell r="AQ3808">
            <v>0</v>
          </cell>
          <cell r="AV3808">
            <v>0</v>
          </cell>
        </row>
        <row r="3809">
          <cell r="E3809" t="str">
            <v>D26002226</v>
          </cell>
          <cell r="AP3809">
            <v>0</v>
          </cell>
          <cell r="AQ3809">
            <v>0</v>
          </cell>
          <cell r="AV3809">
            <v>0</v>
          </cell>
        </row>
        <row r="3810">
          <cell r="E3810" t="str">
            <v>D26002242</v>
          </cell>
          <cell r="AP3810">
            <v>0</v>
          </cell>
          <cell r="AQ3810">
            <v>0</v>
          </cell>
          <cell r="AV3810">
            <v>0</v>
          </cell>
        </row>
        <row r="3811">
          <cell r="E3811" t="str">
            <v>D26002282</v>
          </cell>
          <cell r="AP3811">
            <v>0</v>
          </cell>
          <cell r="AQ3811">
            <v>0</v>
          </cell>
          <cell r="AV3811">
            <v>0</v>
          </cell>
        </row>
        <row r="3812">
          <cell r="E3812" t="str">
            <v>D26002431</v>
          </cell>
          <cell r="AP3812">
            <v>0</v>
          </cell>
          <cell r="AQ3812">
            <v>0</v>
          </cell>
          <cell r="AV3812">
            <v>0</v>
          </cell>
        </row>
        <row r="3813">
          <cell r="E3813" t="str">
            <v>D26003056</v>
          </cell>
          <cell r="AP3813">
            <v>0</v>
          </cell>
          <cell r="AQ3813">
            <v>0</v>
          </cell>
          <cell r="AV3813">
            <v>0</v>
          </cell>
        </row>
        <row r="3814">
          <cell r="E3814" t="str">
            <v>D26003106</v>
          </cell>
          <cell r="AP3814">
            <v>0</v>
          </cell>
          <cell r="AQ3814">
            <v>0</v>
          </cell>
          <cell r="AV3814">
            <v>0</v>
          </cell>
        </row>
        <row r="3815">
          <cell r="E3815" t="str">
            <v>T26000234</v>
          </cell>
          <cell r="AP3815">
            <v>0</v>
          </cell>
          <cell r="AQ3815">
            <v>0</v>
          </cell>
          <cell r="AV3815">
            <v>0</v>
          </cell>
        </row>
        <row r="3816">
          <cell r="E3816" t="str">
            <v>B26002348</v>
          </cell>
          <cell r="AP3816">
            <v>0</v>
          </cell>
          <cell r="AQ3816">
            <v>0</v>
          </cell>
          <cell r="AV3816">
            <v>0</v>
          </cell>
        </row>
        <row r="3817">
          <cell r="E3817" t="str">
            <v>T25001236</v>
          </cell>
          <cell r="AP3817">
            <v>0</v>
          </cell>
          <cell r="AQ3817">
            <v>0</v>
          </cell>
          <cell r="AV3817">
            <v>0</v>
          </cell>
        </row>
        <row r="3818">
          <cell r="E3818" t="str">
            <v>D26001993</v>
          </cell>
          <cell r="AP3818">
            <v>0</v>
          </cell>
          <cell r="AQ3818">
            <v>0</v>
          </cell>
          <cell r="AV3818">
            <v>0</v>
          </cell>
        </row>
        <row r="3819">
          <cell r="E3819" t="str">
            <v>T25000648</v>
          </cell>
          <cell r="AP3819">
            <v>0</v>
          </cell>
          <cell r="AQ3819">
            <v>0</v>
          </cell>
          <cell r="AV3819">
            <v>0</v>
          </cell>
        </row>
        <row r="3820">
          <cell r="E3820" t="str">
            <v>R25000130</v>
          </cell>
          <cell r="AP3820">
            <v>0</v>
          </cell>
          <cell r="AQ3820">
            <v>0</v>
          </cell>
          <cell r="AV3820">
            <v>0</v>
          </cell>
        </row>
        <row r="3821">
          <cell r="E3821" t="str">
            <v>B25016919</v>
          </cell>
          <cell r="AP3821">
            <v>0</v>
          </cell>
          <cell r="AQ3821">
            <v>0</v>
          </cell>
          <cell r="AV3821">
            <v>5184000</v>
          </cell>
        </row>
        <row r="3822">
          <cell r="E3822" t="str">
            <v>D26000108</v>
          </cell>
          <cell r="AP3822">
            <v>0</v>
          </cell>
          <cell r="AQ3822">
            <v>0</v>
          </cell>
          <cell r="AV3822">
            <v>0</v>
          </cell>
        </row>
        <row r="3823">
          <cell r="E3823" t="str">
            <v>B26000201</v>
          </cell>
          <cell r="AP3823">
            <v>0</v>
          </cell>
          <cell r="AQ3823">
            <v>0</v>
          </cell>
          <cell r="AV3823">
            <v>0</v>
          </cell>
        </row>
        <row r="3824">
          <cell r="E3824" t="str">
            <v>D26001388</v>
          </cell>
          <cell r="AP3824">
            <v>0</v>
          </cell>
          <cell r="AQ3824">
            <v>0</v>
          </cell>
          <cell r="AV3824">
            <v>3120000</v>
          </cell>
        </row>
        <row r="3825">
          <cell r="E3825" t="str">
            <v>B26001991</v>
          </cell>
          <cell r="AP3825">
            <v>0</v>
          </cell>
          <cell r="AQ3825">
            <v>0</v>
          </cell>
          <cell r="AV3825">
            <v>0</v>
          </cell>
        </row>
        <row r="3826">
          <cell r="E3826" t="str">
            <v>B26002702</v>
          </cell>
          <cell r="AP3826">
            <v>0</v>
          </cell>
          <cell r="AQ3826">
            <v>0</v>
          </cell>
          <cell r="AV3826">
            <v>0</v>
          </cell>
        </row>
        <row r="3827">
          <cell r="E3827" t="str">
            <v>B26003026</v>
          </cell>
          <cell r="AP3827">
            <v>0</v>
          </cell>
          <cell r="AQ3827">
            <v>0</v>
          </cell>
          <cell r="AV3827">
            <v>0</v>
          </cell>
        </row>
        <row r="3828">
          <cell r="E3828" t="str">
            <v>B26003059</v>
          </cell>
          <cell r="AP3828">
            <v>0</v>
          </cell>
          <cell r="AQ3828">
            <v>0</v>
          </cell>
          <cell r="AV3828">
            <v>0</v>
          </cell>
        </row>
        <row r="3829">
          <cell r="E3829" t="str">
            <v>D26001693</v>
          </cell>
          <cell r="AP3829">
            <v>0</v>
          </cell>
          <cell r="AQ3829">
            <v>0</v>
          </cell>
          <cell r="AV3829">
            <v>3020000</v>
          </cell>
        </row>
        <row r="3830">
          <cell r="E3830" t="str">
            <v>B26001742</v>
          </cell>
          <cell r="AP3830">
            <v>0</v>
          </cell>
          <cell r="AQ3830">
            <v>0</v>
          </cell>
          <cell r="AV3830">
            <v>1170000</v>
          </cell>
        </row>
        <row r="3831">
          <cell r="E3831" t="str">
            <v>B26002196</v>
          </cell>
          <cell r="AP3831">
            <v>0</v>
          </cell>
          <cell r="AQ3831">
            <v>0</v>
          </cell>
          <cell r="AV3831">
            <v>0</v>
          </cell>
        </row>
        <row r="3832">
          <cell r="E3832" t="str">
            <v>B26002489</v>
          </cell>
          <cell r="AP3832">
            <v>0</v>
          </cell>
          <cell r="AQ3832">
            <v>0</v>
          </cell>
          <cell r="AV3832">
            <v>0</v>
          </cell>
        </row>
        <row r="3833">
          <cell r="E3833" t="str">
            <v>B26002956</v>
          </cell>
          <cell r="AP3833">
            <v>0</v>
          </cell>
          <cell r="AQ3833">
            <v>0</v>
          </cell>
          <cell r="AV3833">
            <v>3800000</v>
          </cell>
        </row>
        <row r="3834">
          <cell r="E3834" t="str">
            <v>D26003160</v>
          </cell>
          <cell r="AP3834">
            <v>0</v>
          </cell>
          <cell r="AQ3834">
            <v>0</v>
          </cell>
          <cell r="AV3834">
            <v>3800000</v>
          </cell>
        </row>
        <row r="3835">
          <cell r="E3835" t="str">
            <v>D25019122</v>
          </cell>
          <cell r="AP3835">
            <v>0</v>
          </cell>
          <cell r="AQ3835">
            <v>0</v>
          </cell>
          <cell r="AV3835">
            <v>0</v>
          </cell>
        </row>
        <row r="3836">
          <cell r="E3836" t="str">
            <v>D26000103</v>
          </cell>
          <cell r="AP3836">
            <v>0</v>
          </cell>
          <cell r="AQ3836">
            <v>0</v>
          </cell>
          <cell r="AV3836">
            <v>0</v>
          </cell>
        </row>
        <row r="3837">
          <cell r="E3837" t="str">
            <v>B26000774</v>
          </cell>
          <cell r="AP3837">
            <v>0</v>
          </cell>
          <cell r="AQ3837">
            <v>0</v>
          </cell>
          <cell r="AV3837">
            <v>0</v>
          </cell>
        </row>
        <row r="3838">
          <cell r="E3838" t="str">
            <v>T26000047</v>
          </cell>
          <cell r="AP3838">
            <v>0</v>
          </cell>
          <cell r="AQ3838">
            <v>0</v>
          </cell>
          <cell r="AV3838">
            <v>0</v>
          </cell>
        </row>
        <row r="3839">
          <cell r="E3839" t="str">
            <v>T26000109</v>
          </cell>
          <cell r="AP3839">
            <v>0</v>
          </cell>
          <cell r="AQ3839">
            <v>0</v>
          </cell>
          <cell r="AV3839">
            <v>0</v>
          </cell>
        </row>
        <row r="3840">
          <cell r="E3840" t="str">
            <v>B26002678</v>
          </cell>
          <cell r="AP3840">
            <v>0</v>
          </cell>
          <cell r="AQ3840">
            <v>0</v>
          </cell>
          <cell r="AV3840">
            <v>0</v>
          </cell>
        </row>
        <row r="3841">
          <cell r="E3841" t="str">
            <v>D26000714</v>
          </cell>
          <cell r="AP3841">
            <v>0</v>
          </cell>
          <cell r="AQ3841">
            <v>0</v>
          </cell>
          <cell r="AV3841">
            <v>0</v>
          </cell>
        </row>
        <row r="3842">
          <cell r="E3842" t="str">
            <v>T26000036</v>
          </cell>
          <cell r="AP3842">
            <v>0</v>
          </cell>
          <cell r="AQ3842">
            <v>0</v>
          </cell>
          <cell r="AV3842">
            <v>0</v>
          </cell>
        </row>
        <row r="3843">
          <cell r="E3843" t="str">
            <v>B26001297</v>
          </cell>
          <cell r="AP3843">
            <v>0</v>
          </cell>
          <cell r="AQ3843">
            <v>0</v>
          </cell>
          <cell r="AV3843">
            <v>0</v>
          </cell>
        </row>
        <row r="3844">
          <cell r="E3844" t="str">
            <v>B26003007</v>
          </cell>
          <cell r="AP3844">
            <v>0</v>
          </cell>
          <cell r="AQ3844">
            <v>0</v>
          </cell>
          <cell r="AV3844">
            <v>0</v>
          </cell>
        </row>
        <row r="3845">
          <cell r="E3845" t="str">
            <v>B26003055</v>
          </cell>
          <cell r="AP3845">
            <v>0</v>
          </cell>
          <cell r="AQ3845">
            <v>0</v>
          </cell>
          <cell r="AV3845">
            <v>0</v>
          </cell>
        </row>
        <row r="3846">
          <cell r="E3846" t="str">
            <v>B26002268</v>
          </cell>
          <cell r="AP3846">
            <v>0</v>
          </cell>
          <cell r="AQ3846">
            <v>0</v>
          </cell>
          <cell r="AV3846">
            <v>0</v>
          </cell>
        </row>
        <row r="3847">
          <cell r="E3847" t="str">
            <v>D26003257</v>
          </cell>
          <cell r="AP3847">
            <v>0</v>
          </cell>
          <cell r="AQ3847">
            <v>0</v>
          </cell>
          <cell r="AV3847">
            <v>0</v>
          </cell>
        </row>
        <row r="3848">
          <cell r="E3848" t="str">
            <v>T25001726</v>
          </cell>
          <cell r="AP3848">
            <v>0</v>
          </cell>
          <cell r="AQ3848">
            <v>0</v>
          </cell>
          <cell r="AV3848">
            <v>0</v>
          </cell>
        </row>
        <row r="3849">
          <cell r="E3849" t="str">
            <v>T25001727</v>
          </cell>
          <cell r="AP3849">
            <v>0</v>
          </cell>
          <cell r="AQ3849">
            <v>0</v>
          </cell>
          <cell r="AV3849">
            <v>0</v>
          </cell>
        </row>
        <row r="3850">
          <cell r="E3850" t="str">
            <v>D26002809</v>
          </cell>
          <cell r="AP3850">
            <v>0</v>
          </cell>
          <cell r="AQ3850">
            <v>0</v>
          </cell>
          <cell r="AV3850">
            <v>0</v>
          </cell>
        </row>
        <row r="3851">
          <cell r="E3851" t="str">
            <v>T26000187</v>
          </cell>
          <cell r="AP3851">
            <v>0</v>
          </cell>
          <cell r="AQ3851">
            <v>0</v>
          </cell>
          <cell r="AV3851">
            <v>0</v>
          </cell>
        </row>
        <row r="3852">
          <cell r="E3852" t="str">
            <v>T25001499k</v>
          </cell>
          <cell r="AP3852">
            <v>0</v>
          </cell>
          <cell r="AQ3852">
            <v>0</v>
          </cell>
          <cell r="AV3852">
            <v>0</v>
          </cell>
        </row>
        <row r="3853">
          <cell r="E3853" t="str">
            <v>B25014665</v>
          </cell>
          <cell r="AP3853">
            <v>0</v>
          </cell>
          <cell r="AQ3853">
            <v>0</v>
          </cell>
          <cell r="AV3853">
            <v>0</v>
          </cell>
        </row>
        <row r="3854">
          <cell r="E3854" t="str">
            <v>D25017559</v>
          </cell>
          <cell r="AP3854">
            <v>0</v>
          </cell>
          <cell r="AQ3854">
            <v>0</v>
          </cell>
          <cell r="AV3854">
            <v>0</v>
          </cell>
        </row>
        <row r="3855">
          <cell r="E3855" t="str">
            <v>D25017560</v>
          </cell>
          <cell r="AP3855">
            <v>0</v>
          </cell>
          <cell r="AQ3855">
            <v>0</v>
          </cell>
          <cell r="AV3855">
            <v>0</v>
          </cell>
        </row>
        <row r="3856">
          <cell r="E3856" t="str">
            <v>T25001743</v>
          </cell>
          <cell r="AP3856">
            <v>0</v>
          </cell>
          <cell r="AQ3856">
            <v>0</v>
          </cell>
          <cell r="AV3856">
            <v>0</v>
          </cell>
        </row>
        <row r="3857">
          <cell r="E3857" t="str">
            <v>B25015759</v>
          </cell>
          <cell r="AP3857">
            <v>0</v>
          </cell>
          <cell r="AQ3857">
            <v>0</v>
          </cell>
          <cell r="AV3857">
            <v>0</v>
          </cell>
        </row>
        <row r="3858">
          <cell r="E3858" t="str">
            <v>B25015760</v>
          </cell>
          <cell r="AP3858">
            <v>0</v>
          </cell>
          <cell r="AQ3858">
            <v>0</v>
          </cell>
          <cell r="AV3858">
            <v>0</v>
          </cell>
        </row>
        <row r="3859">
          <cell r="E3859" t="str">
            <v>B25016494</v>
          </cell>
          <cell r="AP3859">
            <v>0</v>
          </cell>
          <cell r="AQ3859">
            <v>0</v>
          </cell>
          <cell r="AV3859">
            <v>0</v>
          </cell>
        </row>
        <row r="3860">
          <cell r="E3860" t="str">
            <v>B25016495</v>
          </cell>
          <cell r="AP3860">
            <v>0</v>
          </cell>
          <cell r="AQ3860">
            <v>0</v>
          </cell>
          <cell r="AV3860">
            <v>0</v>
          </cell>
        </row>
        <row r="3861">
          <cell r="E3861" t="str">
            <v>B26000065</v>
          </cell>
          <cell r="AP3861">
            <v>0</v>
          </cell>
          <cell r="AQ3861">
            <v>0</v>
          </cell>
          <cell r="AV3861">
            <v>0</v>
          </cell>
        </row>
        <row r="3862">
          <cell r="E3862" t="str">
            <v>B26000407</v>
          </cell>
          <cell r="AP3862">
            <v>0</v>
          </cell>
          <cell r="AQ3862">
            <v>0</v>
          </cell>
          <cell r="AV3862">
            <v>0</v>
          </cell>
        </row>
        <row r="3863">
          <cell r="E3863" t="str">
            <v>B26000801</v>
          </cell>
          <cell r="AP3863">
            <v>0</v>
          </cell>
          <cell r="AQ3863">
            <v>0</v>
          </cell>
          <cell r="AV3863">
            <v>0</v>
          </cell>
        </row>
        <row r="3864">
          <cell r="E3864" t="str">
            <v>B26000802</v>
          </cell>
          <cell r="AP3864">
            <v>0</v>
          </cell>
          <cell r="AQ3864">
            <v>0</v>
          </cell>
          <cell r="AV3864">
            <v>0</v>
          </cell>
        </row>
        <row r="3865">
          <cell r="E3865" t="str">
            <v>T26000052k</v>
          </cell>
          <cell r="AP3865">
            <v>0</v>
          </cell>
          <cell r="AQ3865">
            <v>0</v>
          </cell>
          <cell r="AV3865">
            <v>0</v>
          </cell>
        </row>
        <row r="3866">
          <cell r="E3866" t="str">
            <v>T26000053</v>
          </cell>
          <cell r="AP3866">
            <v>0</v>
          </cell>
          <cell r="AQ3866">
            <v>0</v>
          </cell>
          <cell r="AV3866">
            <v>0</v>
          </cell>
        </row>
        <row r="3867">
          <cell r="E3867" t="str">
            <v>B26000919</v>
          </cell>
          <cell r="AP3867">
            <v>0</v>
          </cell>
          <cell r="AQ3867">
            <v>0</v>
          </cell>
          <cell r="AV3867">
            <v>0</v>
          </cell>
        </row>
        <row r="3868">
          <cell r="E3868" t="str">
            <v>B26001531</v>
          </cell>
          <cell r="AP3868">
            <v>0</v>
          </cell>
          <cell r="AQ3868">
            <v>0</v>
          </cell>
          <cell r="AV3868">
            <v>0</v>
          </cell>
        </row>
        <row r="3869">
          <cell r="E3869" t="str">
            <v>B26001532</v>
          </cell>
          <cell r="AP3869">
            <v>0</v>
          </cell>
          <cell r="AQ3869">
            <v>0</v>
          </cell>
          <cell r="AV3869">
            <v>0</v>
          </cell>
        </row>
        <row r="3870">
          <cell r="E3870" t="str">
            <v>B26001543</v>
          </cell>
          <cell r="AP3870">
            <v>0</v>
          </cell>
          <cell r="AQ3870">
            <v>0</v>
          </cell>
          <cell r="AV3870">
            <v>0</v>
          </cell>
        </row>
        <row r="3871">
          <cell r="E3871" t="str">
            <v>B26002424</v>
          </cell>
          <cell r="AP3871">
            <v>0</v>
          </cell>
          <cell r="AQ3871">
            <v>0</v>
          </cell>
          <cell r="AV3871">
            <v>0</v>
          </cell>
        </row>
        <row r="3872">
          <cell r="E3872" t="str">
            <v>B26002426</v>
          </cell>
          <cell r="AP3872">
            <v>0</v>
          </cell>
          <cell r="AQ3872">
            <v>0</v>
          </cell>
          <cell r="AV3872">
            <v>0</v>
          </cell>
        </row>
        <row r="3873">
          <cell r="E3873" t="str">
            <v>D26002609</v>
          </cell>
          <cell r="AP3873">
            <v>0</v>
          </cell>
          <cell r="AQ3873">
            <v>0</v>
          </cell>
          <cell r="AV3873">
            <v>0</v>
          </cell>
        </row>
        <row r="3874">
          <cell r="E3874" t="str">
            <v>D26001180</v>
          </cell>
          <cell r="AP3874">
            <v>0</v>
          </cell>
          <cell r="AQ3874">
            <v>0</v>
          </cell>
          <cell r="AV3874">
            <v>0</v>
          </cell>
        </row>
        <row r="3875">
          <cell r="E3875" t="str">
            <v>B26001811</v>
          </cell>
          <cell r="AP3875">
            <v>0</v>
          </cell>
          <cell r="AQ3875">
            <v>0</v>
          </cell>
          <cell r="AV3875">
            <v>0</v>
          </cell>
        </row>
        <row r="3876">
          <cell r="E3876" t="str">
            <v>B26001868</v>
          </cell>
          <cell r="AP3876">
            <v>0</v>
          </cell>
          <cell r="AQ3876">
            <v>0</v>
          </cell>
          <cell r="AV3876">
            <v>0</v>
          </cell>
        </row>
        <row r="3877">
          <cell r="E3877" t="str">
            <v>B26001920</v>
          </cell>
          <cell r="AP3877">
            <v>0</v>
          </cell>
          <cell r="AQ3877">
            <v>0</v>
          </cell>
          <cell r="AV3877">
            <v>0</v>
          </cell>
        </row>
        <row r="3878">
          <cell r="E3878" t="str">
            <v>B26002861</v>
          </cell>
          <cell r="AP3878">
            <v>0</v>
          </cell>
          <cell r="AQ3878">
            <v>0</v>
          </cell>
          <cell r="AV3878">
            <v>0</v>
          </cell>
        </row>
        <row r="3879">
          <cell r="E3879" t="str">
            <v>B26002863</v>
          </cell>
          <cell r="AP3879">
            <v>0</v>
          </cell>
          <cell r="AQ3879">
            <v>0</v>
          </cell>
          <cell r="AV3879">
            <v>0</v>
          </cell>
        </row>
        <row r="3880">
          <cell r="E3880" t="str">
            <v>D25015072</v>
          </cell>
          <cell r="AP3880">
            <v>0</v>
          </cell>
          <cell r="AQ3880">
            <v>0</v>
          </cell>
          <cell r="AV3880">
            <v>0</v>
          </cell>
        </row>
        <row r="3881">
          <cell r="E3881" t="str">
            <v>B25015134</v>
          </cell>
          <cell r="AP3881">
            <v>0</v>
          </cell>
          <cell r="AQ3881">
            <v>0</v>
          </cell>
          <cell r="AV3881">
            <v>0</v>
          </cell>
        </row>
        <row r="3882">
          <cell r="E3882" t="str">
            <v>D25017600</v>
          </cell>
          <cell r="AP3882">
            <v>0</v>
          </cell>
          <cell r="AQ3882">
            <v>0</v>
          </cell>
          <cell r="AV3882">
            <v>0</v>
          </cell>
        </row>
        <row r="3883">
          <cell r="E3883" t="str">
            <v>D25019089</v>
          </cell>
          <cell r="AP3883">
            <v>0</v>
          </cell>
          <cell r="AQ3883">
            <v>0</v>
          </cell>
          <cell r="AV3883">
            <v>0</v>
          </cell>
        </row>
        <row r="3884">
          <cell r="E3884" t="str">
            <v>D25019287</v>
          </cell>
          <cell r="AP3884">
            <v>0</v>
          </cell>
          <cell r="AQ3884">
            <v>0</v>
          </cell>
          <cell r="AV3884">
            <v>0</v>
          </cell>
        </row>
        <row r="3885">
          <cell r="E3885" t="str">
            <v>B25017028</v>
          </cell>
          <cell r="AP3885">
            <v>0</v>
          </cell>
          <cell r="AQ3885">
            <v>0</v>
          </cell>
          <cell r="AV3885">
            <v>0</v>
          </cell>
        </row>
        <row r="3886">
          <cell r="E3886" t="str">
            <v>B25017059</v>
          </cell>
          <cell r="AP3886">
            <v>0</v>
          </cell>
          <cell r="AQ3886">
            <v>0</v>
          </cell>
          <cell r="AV3886">
            <v>0</v>
          </cell>
        </row>
        <row r="3887">
          <cell r="E3887" t="str">
            <v>D25019673</v>
          </cell>
          <cell r="AP3887">
            <v>0</v>
          </cell>
          <cell r="AQ3887">
            <v>0</v>
          </cell>
          <cell r="AV3887">
            <v>0</v>
          </cell>
        </row>
        <row r="3888">
          <cell r="E3888" t="str">
            <v>D25019680</v>
          </cell>
          <cell r="AP3888">
            <v>0</v>
          </cell>
          <cell r="AQ3888">
            <v>0</v>
          </cell>
          <cell r="AV3888">
            <v>0</v>
          </cell>
        </row>
        <row r="3889">
          <cell r="E3889" t="str">
            <v>D26000202</v>
          </cell>
          <cell r="AP3889">
            <v>0</v>
          </cell>
          <cell r="AQ3889">
            <v>0</v>
          </cell>
          <cell r="AV3889">
            <v>0</v>
          </cell>
        </row>
        <row r="3890">
          <cell r="E3890" t="str">
            <v>D26000682</v>
          </cell>
          <cell r="AP3890">
            <v>0</v>
          </cell>
          <cell r="AQ3890">
            <v>0</v>
          </cell>
          <cell r="AV3890">
            <v>0</v>
          </cell>
        </row>
        <row r="3891">
          <cell r="E3891" t="str">
            <v>B26000700</v>
          </cell>
          <cell r="AP3891">
            <v>0</v>
          </cell>
          <cell r="AQ3891">
            <v>0</v>
          </cell>
          <cell r="AV3891">
            <v>0</v>
          </cell>
        </row>
        <row r="3892">
          <cell r="E3892" t="str">
            <v>D26000778</v>
          </cell>
          <cell r="AP3892">
            <v>0</v>
          </cell>
          <cell r="AQ3892">
            <v>0</v>
          </cell>
          <cell r="AV3892">
            <v>0</v>
          </cell>
        </row>
        <row r="3893">
          <cell r="E3893" t="str">
            <v>B26000791</v>
          </cell>
          <cell r="AP3893">
            <v>0</v>
          </cell>
          <cell r="AQ3893">
            <v>0</v>
          </cell>
          <cell r="AV3893">
            <v>0</v>
          </cell>
        </row>
        <row r="3894">
          <cell r="E3894" t="str">
            <v>B26001170</v>
          </cell>
          <cell r="AP3894">
            <v>0</v>
          </cell>
          <cell r="AQ3894">
            <v>0</v>
          </cell>
          <cell r="AV3894">
            <v>0</v>
          </cell>
        </row>
        <row r="3895">
          <cell r="E3895" t="str">
            <v>B26001181</v>
          </cell>
          <cell r="AP3895">
            <v>0</v>
          </cell>
          <cell r="AQ3895">
            <v>0</v>
          </cell>
          <cell r="AV3895">
            <v>0</v>
          </cell>
        </row>
        <row r="3896">
          <cell r="E3896" t="str">
            <v>B26001220</v>
          </cell>
          <cell r="AP3896">
            <v>0</v>
          </cell>
          <cell r="AQ3896">
            <v>0</v>
          </cell>
          <cell r="AV3896">
            <v>0</v>
          </cell>
        </row>
        <row r="3897">
          <cell r="E3897" t="str">
            <v>D26001819</v>
          </cell>
          <cell r="AP3897">
            <v>0</v>
          </cell>
          <cell r="AQ3897">
            <v>0</v>
          </cell>
          <cell r="AV3897">
            <v>0</v>
          </cell>
        </row>
        <row r="3898">
          <cell r="E3898" t="str">
            <v>D26001838</v>
          </cell>
          <cell r="AP3898">
            <v>0</v>
          </cell>
          <cell r="AQ3898">
            <v>0</v>
          </cell>
          <cell r="AV3898">
            <v>0</v>
          </cell>
        </row>
        <row r="3899">
          <cell r="E3899" t="str">
            <v>D26001897</v>
          </cell>
          <cell r="AP3899">
            <v>0</v>
          </cell>
          <cell r="AQ3899">
            <v>0</v>
          </cell>
          <cell r="AV3899">
            <v>0</v>
          </cell>
        </row>
        <row r="3900">
          <cell r="E3900" t="str">
            <v>B26001899</v>
          </cell>
          <cell r="AP3900">
            <v>0</v>
          </cell>
          <cell r="AQ3900">
            <v>0</v>
          </cell>
          <cell r="AV3900">
            <v>0</v>
          </cell>
        </row>
        <row r="3901">
          <cell r="E3901" t="str">
            <v>D26002405</v>
          </cell>
          <cell r="AP3901">
            <v>0</v>
          </cell>
          <cell r="AQ3901">
            <v>0</v>
          </cell>
          <cell r="AV3901">
            <v>0</v>
          </cell>
        </row>
        <row r="3902">
          <cell r="E3902" t="str">
            <v>D26002406</v>
          </cell>
          <cell r="AP3902">
            <v>0</v>
          </cell>
          <cell r="AQ3902">
            <v>0</v>
          </cell>
          <cell r="AV3902">
            <v>0</v>
          </cell>
        </row>
        <row r="3903">
          <cell r="E3903" t="str">
            <v>D26002504</v>
          </cell>
          <cell r="AP3903">
            <v>0</v>
          </cell>
          <cell r="AQ3903">
            <v>0</v>
          </cell>
          <cell r="AV3903">
            <v>0</v>
          </cell>
        </row>
        <row r="3904">
          <cell r="E3904" t="str">
            <v>D26002882</v>
          </cell>
          <cell r="AP3904">
            <v>0</v>
          </cell>
          <cell r="AQ3904">
            <v>0</v>
          </cell>
          <cell r="AV3904">
            <v>0</v>
          </cell>
        </row>
        <row r="3905">
          <cell r="E3905" t="str">
            <v>B26002843</v>
          </cell>
          <cell r="AP3905">
            <v>0</v>
          </cell>
          <cell r="AQ3905">
            <v>0</v>
          </cell>
          <cell r="AV3905">
            <v>0</v>
          </cell>
        </row>
        <row r="3906">
          <cell r="E3906" t="str">
            <v>B26002928</v>
          </cell>
          <cell r="AP3906">
            <v>0</v>
          </cell>
          <cell r="AQ3906">
            <v>0</v>
          </cell>
          <cell r="AV3906">
            <v>0</v>
          </cell>
        </row>
        <row r="3907">
          <cell r="E3907" t="str">
            <v>B26002939</v>
          </cell>
          <cell r="AP3907">
            <v>0</v>
          </cell>
          <cell r="AQ3907">
            <v>0</v>
          </cell>
          <cell r="AV3907">
            <v>0</v>
          </cell>
        </row>
        <row r="3908">
          <cell r="E3908" t="str">
            <v>D26003286</v>
          </cell>
          <cell r="AP3908">
            <v>0</v>
          </cell>
          <cell r="AQ3908">
            <v>0</v>
          </cell>
          <cell r="AV3908">
            <v>0</v>
          </cell>
        </row>
        <row r="3909">
          <cell r="E3909" t="str">
            <v>D26002791</v>
          </cell>
          <cell r="AP3909">
            <v>0</v>
          </cell>
          <cell r="AQ3909">
            <v>0</v>
          </cell>
          <cell r="AV3909">
            <v>0</v>
          </cell>
        </row>
        <row r="3910">
          <cell r="E3910" t="str">
            <v>B26001256</v>
          </cell>
          <cell r="AP3910">
            <v>0</v>
          </cell>
          <cell r="AQ3910">
            <v>0</v>
          </cell>
          <cell r="AV3910">
            <v>8400000</v>
          </cell>
        </row>
        <row r="3911">
          <cell r="E3911" t="str">
            <v>D26002170</v>
          </cell>
          <cell r="AP3911">
            <v>0</v>
          </cell>
          <cell r="AQ3911">
            <v>0</v>
          </cell>
          <cell r="AV3911">
            <v>0</v>
          </cell>
        </row>
        <row r="3912">
          <cell r="E3912" t="str">
            <v>D26002171</v>
          </cell>
          <cell r="AP3912">
            <v>0</v>
          </cell>
          <cell r="AQ3912">
            <v>0</v>
          </cell>
          <cell r="AV3912">
            <v>0</v>
          </cell>
        </row>
        <row r="3913">
          <cell r="E3913" t="str">
            <v>B26002373</v>
          </cell>
          <cell r="AP3913">
            <v>0</v>
          </cell>
          <cell r="AQ3913">
            <v>0</v>
          </cell>
          <cell r="AV3913">
            <v>0</v>
          </cell>
        </row>
        <row r="3914">
          <cell r="E3914" t="str">
            <v>B26002374</v>
          </cell>
          <cell r="AP3914">
            <v>0</v>
          </cell>
          <cell r="AQ3914">
            <v>0</v>
          </cell>
          <cell r="AV3914">
            <v>0</v>
          </cell>
        </row>
        <row r="3915">
          <cell r="E3915" t="str">
            <v>B26002860</v>
          </cell>
          <cell r="AP3915">
            <v>0</v>
          </cell>
          <cell r="AQ3915">
            <v>0</v>
          </cell>
          <cell r="AV3915">
            <v>0</v>
          </cell>
        </row>
        <row r="3916">
          <cell r="E3916" t="str">
            <v>B26001432</v>
          </cell>
          <cell r="AP3916">
            <v>0</v>
          </cell>
          <cell r="AQ3916">
            <v>0</v>
          </cell>
          <cell r="AV3916">
            <v>0</v>
          </cell>
        </row>
        <row r="3917">
          <cell r="E3917" t="str">
            <v>B26001602</v>
          </cell>
          <cell r="AP3917">
            <v>0</v>
          </cell>
          <cell r="AQ3917">
            <v>0</v>
          </cell>
          <cell r="AV3917">
            <v>0</v>
          </cell>
        </row>
        <row r="3918">
          <cell r="E3918" t="str">
            <v>B26002174</v>
          </cell>
          <cell r="AP3918">
            <v>0</v>
          </cell>
          <cell r="AQ3918">
            <v>0</v>
          </cell>
          <cell r="AV3918">
            <v>0</v>
          </cell>
        </row>
        <row r="3919">
          <cell r="E3919" t="str">
            <v>B26002648</v>
          </cell>
          <cell r="AP3919">
            <v>0</v>
          </cell>
          <cell r="AQ3919">
            <v>0</v>
          </cell>
          <cell r="AV3919">
            <v>0</v>
          </cell>
        </row>
        <row r="3920">
          <cell r="E3920" t="str">
            <v>T26000240</v>
          </cell>
          <cell r="AP3920">
            <v>0</v>
          </cell>
          <cell r="AQ3920">
            <v>0</v>
          </cell>
          <cell r="AV3920">
            <v>0</v>
          </cell>
        </row>
        <row r="3921">
          <cell r="E3921" t="str">
            <v>B26003070</v>
          </cell>
          <cell r="AP3921">
            <v>0</v>
          </cell>
          <cell r="AQ3921">
            <v>0</v>
          </cell>
          <cell r="AV3921">
            <v>0</v>
          </cell>
        </row>
        <row r="3922">
          <cell r="E3922" t="str">
            <v>T25001747</v>
          </cell>
          <cell r="AP3922">
            <v>0</v>
          </cell>
          <cell r="AQ3922">
            <v>0</v>
          </cell>
          <cell r="AV3922">
            <v>0</v>
          </cell>
        </row>
        <row r="3923">
          <cell r="E3923" t="str">
            <v>D25019551</v>
          </cell>
          <cell r="AP3923">
            <v>0</v>
          </cell>
          <cell r="AQ3923">
            <v>0</v>
          </cell>
          <cell r="AV3923">
            <v>0</v>
          </cell>
        </row>
        <row r="3924">
          <cell r="E3924" t="str">
            <v>T26000236</v>
          </cell>
          <cell r="AP3924">
            <v>0</v>
          </cell>
          <cell r="AQ3924">
            <v>0</v>
          </cell>
          <cell r="AV3924">
            <v>0</v>
          </cell>
        </row>
        <row r="3925">
          <cell r="E3925" t="str">
            <v>B25014976</v>
          </cell>
          <cell r="AP3925">
            <v>0</v>
          </cell>
          <cell r="AQ3925">
            <v>0</v>
          </cell>
          <cell r="AV3925">
            <v>0</v>
          </cell>
        </row>
        <row r="3926">
          <cell r="E3926" t="str">
            <v>B25015475</v>
          </cell>
          <cell r="AP3926">
            <v>0</v>
          </cell>
          <cell r="AQ3926">
            <v>0</v>
          </cell>
          <cell r="AV3926">
            <v>0</v>
          </cell>
        </row>
        <row r="3927">
          <cell r="E3927" t="str">
            <v>D25018786</v>
          </cell>
          <cell r="AP3927">
            <v>0</v>
          </cell>
          <cell r="AQ3927">
            <v>0</v>
          </cell>
          <cell r="AV3927">
            <v>0</v>
          </cell>
        </row>
        <row r="3928">
          <cell r="E3928" t="str">
            <v>D25019495</v>
          </cell>
          <cell r="AP3928">
            <v>0</v>
          </cell>
          <cell r="AQ3928">
            <v>0</v>
          </cell>
          <cell r="AV3928">
            <v>0</v>
          </cell>
        </row>
        <row r="3929">
          <cell r="E3929" t="str">
            <v>D25019498</v>
          </cell>
          <cell r="AP3929">
            <v>0</v>
          </cell>
          <cell r="AQ3929">
            <v>0</v>
          </cell>
          <cell r="AV3929">
            <v>0</v>
          </cell>
        </row>
        <row r="3930">
          <cell r="E3930" t="str">
            <v>B26000318</v>
          </cell>
          <cell r="AP3930">
            <v>0</v>
          </cell>
          <cell r="AQ3930">
            <v>0</v>
          </cell>
          <cell r="AV3930">
            <v>0</v>
          </cell>
        </row>
        <row r="3931">
          <cell r="E3931" t="str">
            <v>B26000392</v>
          </cell>
          <cell r="AP3931">
            <v>0</v>
          </cell>
          <cell r="AQ3931">
            <v>0</v>
          </cell>
          <cell r="AV3931">
            <v>0</v>
          </cell>
        </row>
        <row r="3932">
          <cell r="E3932" t="str">
            <v>B26000453</v>
          </cell>
          <cell r="AP3932">
            <v>0</v>
          </cell>
          <cell r="AQ3932">
            <v>0</v>
          </cell>
          <cell r="AV3932">
            <v>0</v>
          </cell>
        </row>
        <row r="3933">
          <cell r="E3933" t="str">
            <v>D26000518</v>
          </cell>
          <cell r="AP3933">
            <v>0</v>
          </cell>
          <cell r="AQ3933">
            <v>0</v>
          </cell>
          <cell r="AV3933">
            <v>0</v>
          </cell>
        </row>
        <row r="3934">
          <cell r="E3934" t="str">
            <v>D26000923</v>
          </cell>
          <cell r="AP3934">
            <v>0</v>
          </cell>
          <cell r="AQ3934">
            <v>0</v>
          </cell>
          <cell r="AV3934">
            <v>0</v>
          </cell>
        </row>
        <row r="3935">
          <cell r="E3935" t="str">
            <v>B26001212</v>
          </cell>
          <cell r="AP3935">
            <v>0</v>
          </cell>
          <cell r="AQ3935">
            <v>0</v>
          </cell>
          <cell r="AV3935">
            <v>0</v>
          </cell>
        </row>
        <row r="3936">
          <cell r="E3936" t="str">
            <v>B26001213</v>
          </cell>
          <cell r="AP3936">
            <v>0</v>
          </cell>
          <cell r="AQ3936">
            <v>0</v>
          </cell>
          <cell r="AV3936">
            <v>0</v>
          </cell>
        </row>
        <row r="3937">
          <cell r="E3937" t="str">
            <v>D26001294</v>
          </cell>
          <cell r="AP3937">
            <v>0</v>
          </cell>
          <cell r="AQ3937">
            <v>0</v>
          </cell>
          <cell r="AV3937">
            <v>0</v>
          </cell>
        </row>
        <row r="3938">
          <cell r="E3938" t="str">
            <v>D26001396</v>
          </cell>
          <cell r="AP3938">
            <v>0</v>
          </cell>
          <cell r="AQ3938">
            <v>0</v>
          </cell>
          <cell r="AV3938">
            <v>0</v>
          </cell>
        </row>
        <row r="3939">
          <cell r="E3939" t="str">
            <v>B26001431</v>
          </cell>
          <cell r="AP3939">
            <v>0</v>
          </cell>
          <cell r="AQ3939">
            <v>0</v>
          </cell>
          <cell r="AV3939">
            <v>0</v>
          </cell>
        </row>
        <row r="3940">
          <cell r="E3940" t="str">
            <v>B26001451</v>
          </cell>
          <cell r="AP3940">
            <v>0</v>
          </cell>
          <cell r="AQ3940">
            <v>0</v>
          </cell>
          <cell r="AV3940">
            <v>0</v>
          </cell>
        </row>
        <row r="3941">
          <cell r="E3941" t="str">
            <v>D26001721</v>
          </cell>
          <cell r="AP3941">
            <v>0</v>
          </cell>
          <cell r="AQ3941">
            <v>0</v>
          </cell>
          <cell r="AV3941">
            <v>0</v>
          </cell>
        </row>
        <row r="3942">
          <cell r="E3942" t="str">
            <v>B26001878</v>
          </cell>
          <cell r="AP3942">
            <v>0</v>
          </cell>
          <cell r="AQ3942">
            <v>0</v>
          </cell>
          <cell r="AV3942">
            <v>0</v>
          </cell>
        </row>
        <row r="3943">
          <cell r="E3943" t="str">
            <v>B26001879</v>
          </cell>
          <cell r="AP3943">
            <v>0</v>
          </cell>
          <cell r="AQ3943">
            <v>0</v>
          </cell>
          <cell r="AV3943">
            <v>0</v>
          </cell>
        </row>
        <row r="3944">
          <cell r="E3944" t="str">
            <v>D26001980</v>
          </cell>
          <cell r="AP3944">
            <v>0</v>
          </cell>
          <cell r="AQ3944">
            <v>0</v>
          </cell>
          <cell r="AV3944">
            <v>0</v>
          </cell>
        </row>
        <row r="3945">
          <cell r="E3945" t="str">
            <v>D26002007</v>
          </cell>
          <cell r="AP3945">
            <v>0</v>
          </cell>
          <cell r="AQ3945">
            <v>0</v>
          </cell>
          <cell r="AV3945">
            <v>0</v>
          </cell>
        </row>
        <row r="3946">
          <cell r="E3946" t="str">
            <v>D26002008</v>
          </cell>
          <cell r="AP3946">
            <v>0</v>
          </cell>
          <cell r="AQ3946">
            <v>0</v>
          </cell>
          <cell r="AV3946">
            <v>0</v>
          </cell>
        </row>
        <row r="3947">
          <cell r="E3947" t="str">
            <v>D26002009</v>
          </cell>
          <cell r="AP3947">
            <v>0</v>
          </cell>
          <cell r="AQ3947">
            <v>0</v>
          </cell>
          <cell r="AV3947">
            <v>0</v>
          </cell>
        </row>
        <row r="3948">
          <cell r="E3948" t="str">
            <v>B26001921</v>
          </cell>
          <cell r="AP3948">
            <v>0</v>
          </cell>
          <cell r="AQ3948">
            <v>0</v>
          </cell>
          <cell r="AV3948">
            <v>0</v>
          </cell>
        </row>
        <row r="3949">
          <cell r="E3949" t="str">
            <v>D26002465</v>
          </cell>
          <cell r="AP3949">
            <v>0</v>
          </cell>
          <cell r="AQ3949">
            <v>0</v>
          </cell>
          <cell r="AV3949">
            <v>0</v>
          </cell>
        </row>
        <row r="3950">
          <cell r="E3950" t="str">
            <v>D26002466</v>
          </cell>
          <cell r="AP3950">
            <v>0</v>
          </cell>
          <cell r="AQ3950">
            <v>0</v>
          </cell>
          <cell r="AV3950">
            <v>0</v>
          </cell>
        </row>
        <row r="3951">
          <cell r="E3951" t="str">
            <v>B26002646</v>
          </cell>
          <cell r="AP3951">
            <v>0</v>
          </cell>
          <cell r="AQ3951">
            <v>0</v>
          </cell>
          <cell r="AV3951">
            <v>0</v>
          </cell>
        </row>
        <row r="3952">
          <cell r="E3952" t="str">
            <v>D26002827</v>
          </cell>
          <cell r="AP3952">
            <v>0</v>
          </cell>
          <cell r="AQ3952">
            <v>0</v>
          </cell>
          <cell r="AV3952">
            <v>0</v>
          </cell>
        </row>
        <row r="3953">
          <cell r="E3953" t="str">
            <v>D26002828</v>
          </cell>
          <cell r="AP3953">
            <v>0</v>
          </cell>
          <cell r="AQ3953">
            <v>0</v>
          </cell>
          <cell r="AV3953">
            <v>0</v>
          </cell>
        </row>
        <row r="3954">
          <cell r="E3954" t="str">
            <v>D26002829</v>
          </cell>
          <cell r="AP3954">
            <v>0</v>
          </cell>
          <cell r="AQ3954">
            <v>0</v>
          </cell>
          <cell r="AV3954">
            <v>0</v>
          </cell>
        </row>
        <row r="3955">
          <cell r="E3955" t="str">
            <v>B26002786</v>
          </cell>
          <cell r="AP3955">
            <v>0</v>
          </cell>
          <cell r="AQ3955">
            <v>0</v>
          </cell>
          <cell r="AV3955">
            <v>0</v>
          </cell>
        </row>
        <row r="3956">
          <cell r="E3956" t="str">
            <v>B26003042</v>
          </cell>
          <cell r="AP3956">
            <v>0</v>
          </cell>
          <cell r="AQ3956">
            <v>0</v>
          </cell>
          <cell r="AV3956">
            <v>0</v>
          </cell>
        </row>
        <row r="3957">
          <cell r="E3957" t="str">
            <v>D25017375</v>
          </cell>
          <cell r="AP3957">
            <v>0</v>
          </cell>
          <cell r="AQ3957">
            <v>0</v>
          </cell>
          <cell r="AV3957">
            <v>0</v>
          </cell>
        </row>
        <row r="3958">
          <cell r="E3958" t="str">
            <v>D25017461</v>
          </cell>
          <cell r="AP3958">
            <v>0</v>
          </cell>
          <cell r="AQ3958">
            <v>0</v>
          </cell>
          <cell r="AV3958">
            <v>0</v>
          </cell>
        </row>
        <row r="3959">
          <cell r="E3959" t="str">
            <v>D25017567</v>
          </cell>
          <cell r="AP3959">
            <v>0</v>
          </cell>
          <cell r="AQ3959">
            <v>0</v>
          </cell>
          <cell r="AV3959">
            <v>0</v>
          </cell>
        </row>
        <row r="3960">
          <cell r="E3960" t="str">
            <v>D25017731</v>
          </cell>
          <cell r="AP3960">
            <v>0</v>
          </cell>
          <cell r="AQ3960">
            <v>0</v>
          </cell>
          <cell r="AV3960">
            <v>0</v>
          </cell>
        </row>
        <row r="3961">
          <cell r="E3961" t="str">
            <v>B25015349</v>
          </cell>
          <cell r="AP3961">
            <v>0</v>
          </cell>
          <cell r="AQ3961">
            <v>0</v>
          </cell>
          <cell r="AV3961">
            <v>0</v>
          </cell>
        </row>
        <row r="3962">
          <cell r="E3962" t="str">
            <v>D25018068</v>
          </cell>
          <cell r="AP3962">
            <v>0</v>
          </cell>
          <cell r="AQ3962">
            <v>0</v>
          </cell>
          <cell r="AV3962">
            <v>0</v>
          </cell>
        </row>
        <row r="3963">
          <cell r="E3963" t="str">
            <v>D25018081</v>
          </cell>
          <cell r="AP3963">
            <v>0</v>
          </cell>
          <cell r="AQ3963">
            <v>0</v>
          </cell>
          <cell r="AV3963">
            <v>0</v>
          </cell>
        </row>
        <row r="3964">
          <cell r="E3964" t="str">
            <v>D25018082</v>
          </cell>
          <cell r="AP3964">
            <v>0</v>
          </cell>
          <cell r="AQ3964">
            <v>0</v>
          </cell>
          <cell r="AV3964">
            <v>0</v>
          </cell>
        </row>
        <row r="3965">
          <cell r="E3965" t="str">
            <v>D25018134</v>
          </cell>
          <cell r="AP3965">
            <v>0</v>
          </cell>
          <cell r="AQ3965">
            <v>0</v>
          </cell>
          <cell r="AV3965">
            <v>0</v>
          </cell>
        </row>
        <row r="3966">
          <cell r="E3966" t="str">
            <v>D25018134</v>
          </cell>
          <cell r="AP3966">
            <v>0</v>
          </cell>
          <cell r="AQ3966">
            <v>0</v>
          </cell>
          <cell r="AV3966">
            <v>0</v>
          </cell>
        </row>
        <row r="3967">
          <cell r="E3967" t="str">
            <v>D25018377</v>
          </cell>
          <cell r="AP3967">
            <v>0</v>
          </cell>
          <cell r="AQ3967">
            <v>0</v>
          </cell>
          <cell r="AV3967">
            <v>0</v>
          </cell>
        </row>
        <row r="3968">
          <cell r="E3968" t="str">
            <v>D25018377</v>
          </cell>
          <cell r="AP3968">
            <v>0</v>
          </cell>
          <cell r="AQ3968">
            <v>0</v>
          </cell>
          <cell r="AV3968">
            <v>0</v>
          </cell>
        </row>
        <row r="3969">
          <cell r="E3969" t="str">
            <v>B25016088</v>
          </cell>
          <cell r="AP3969">
            <v>0</v>
          </cell>
          <cell r="AQ3969">
            <v>0</v>
          </cell>
          <cell r="AV3969">
            <v>0</v>
          </cell>
        </row>
        <row r="3970">
          <cell r="E3970" t="str">
            <v>B25016088</v>
          </cell>
          <cell r="AP3970">
            <v>0</v>
          </cell>
          <cell r="AQ3970">
            <v>0</v>
          </cell>
          <cell r="AV3970">
            <v>0</v>
          </cell>
        </row>
        <row r="3971">
          <cell r="E3971" t="str">
            <v>B25016088</v>
          </cell>
          <cell r="AP3971">
            <v>0</v>
          </cell>
          <cell r="AQ3971">
            <v>0</v>
          </cell>
          <cell r="AV3971">
            <v>0</v>
          </cell>
        </row>
        <row r="3972">
          <cell r="E3972" t="str">
            <v>D25018512</v>
          </cell>
          <cell r="AP3972">
            <v>0</v>
          </cell>
          <cell r="AQ3972">
            <v>0</v>
          </cell>
          <cell r="AV3972">
            <v>0</v>
          </cell>
        </row>
        <row r="3973">
          <cell r="E3973" t="str">
            <v>D25018512</v>
          </cell>
          <cell r="AP3973">
            <v>0</v>
          </cell>
          <cell r="AQ3973">
            <v>0</v>
          </cell>
          <cell r="AV3973">
            <v>0</v>
          </cell>
        </row>
        <row r="3974">
          <cell r="E3974" t="str">
            <v>D25018512</v>
          </cell>
          <cell r="AP3974">
            <v>0</v>
          </cell>
          <cell r="AQ3974">
            <v>0</v>
          </cell>
          <cell r="AV3974">
            <v>0</v>
          </cell>
        </row>
        <row r="3975">
          <cell r="E3975" t="str">
            <v>D25018513</v>
          </cell>
          <cell r="AP3975">
            <v>0</v>
          </cell>
          <cell r="AQ3975">
            <v>0</v>
          </cell>
          <cell r="AV3975">
            <v>0</v>
          </cell>
        </row>
        <row r="3976">
          <cell r="E3976" t="str">
            <v>D25018574</v>
          </cell>
          <cell r="AP3976">
            <v>0</v>
          </cell>
          <cell r="AQ3976">
            <v>0</v>
          </cell>
          <cell r="AV3976">
            <v>0</v>
          </cell>
        </row>
        <row r="3977">
          <cell r="E3977" t="str">
            <v>B25016181</v>
          </cell>
          <cell r="AP3977">
            <v>0</v>
          </cell>
          <cell r="AQ3977">
            <v>0</v>
          </cell>
          <cell r="AV3977">
            <v>0</v>
          </cell>
        </row>
        <row r="3978">
          <cell r="E3978" t="str">
            <v>B25016181</v>
          </cell>
          <cell r="AP3978">
            <v>0</v>
          </cell>
          <cell r="AQ3978">
            <v>0</v>
          </cell>
          <cell r="AV3978">
            <v>0</v>
          </cell>
        </row>
        <row r="3979">
          <cell r="E3979" t="str">
            <v>B25016194</v>
          </cell>
          <cell r="AP3979">
            <v>0</v>
          </cell>
          <cell r="AQ3979">
            <v>0</v>
          </cell>
          <cell r="AV3979">
            <v>0</v>
          </cell>
        </row>
        <row r="3980">
          <cell r="E3980" t="str">
            <v>B25016194</v>
          </cell>
          <cell r="AP3980">
            <v>0</v>
          </cell>
          <cell r="AQ3980">
            <v>0</v>
          </cell>
          <cell r="AV3980">
            <v>0</v>
          </cell>
        </row>
        <row r="3981">
          <cell r="E3981" t="str">
            <v>D25018679</v>
          </cell>
          <cell r="AP3981">
            <v>0</v>
          </cell>
          <cell r="AQ3981">
            <v>0</v>
          </cell>
          <cell r="AV3981">
            <v>0</v>
          </cell>
        </row>
        <row r="3982">
          <cell r="E3982" t="str">
            <v>D25018679</v>
          </cell>
          <cell r="AP3982">
            <v>0</v>
          </cell>
          <cell r="AQ3982">
            <v>0</v>
          </cell>
          <cell r="AV3982">
            <v>0</v>
          </cell>
        </row>
        <row r="3983">
          <cell r="E3983" t="str">
            <v>D25018679</v>
          </cell>
          <cell r="AP3983">
            <v>0</v>
          </cell>
          <cell r="AQ3983">
            <v>0</v>
          </cell>
          <cell r="AV3983">
            <v>0</v>
          </cell>
        </row>
        <row r="3984">
          <cell r="E3984" t="str">
            <v>D25018700</v>
          </cell>
          <cell r="AP3984">
            <v>0</v>
          </cell>
          <cell r="AQ3984">
            <v>0</v>
          </cell>
          <cell r="AV3984">
            <v>0</v>
          </cell>
        </row>
        <row r="3985">
          <cell r="E3985" t="str">
            <v>D25018700</v>
          </cell>
          <cell r="AP3985">
            <v>0</v>
          </cell>
          <cell r="AQ3985">
            <v>0</v>
          </cell>
          <cell r="AV3985">
            <v>0</v>
          </cell>
        </row>
        <row r="3986">
          <cell r="E3986" t="str">
            <v>B25016422</v>
          </cell>
          <cell r="AP3986">
            <v>0</v>
          </cell>
          <cell r="AQ3986">
            <v>0</v>
          </cell>
          <cell r="AV3986">
            <v>0</v>
          </cell>
        </row>
        <row r="3987">
          <cell r="E3987" t="str">
            <v>B25016422</v>
          </cell>
          <cell r="AP3987">
            <v>0</v>
          </cell>
          <cell r="AQ3987">
            <v>0</v>
          </cell>
          <cell r="AV3987">
            <v>0</v>
          </cell>
        </row>
        <row r="3988">
          <cell r="E3988" t="str">
            <v>B25016422</v>
          </cell>
          <cell r="AP3988">
            <v>0</v>
          </cell>
          <cell r="AQ3988">
            <v>0</v>
          </cell>
          <cell r="AV3988">
            <v>0</v>
          </cell>
        </row>
        <row r="3989">
          <cell r="E3989" t="str">
            <v>T25001856</v>
          </cell>
          <cell r="AP3989">
            <v>0</v>
          </cell>
          <cell r="AQ3989">
            <v>0</v>
          </cell>
          <cell r="AV3989">
            <v>0</v>
          </cell>
        </row>
        <row r="3990">
          <cell r="E3990" t="str">
            <v>B25016444</v>
          </cell>
          <cell r="AP3990">
            <v>0</v>
          </cell>
          <cell r="AQ3990">
            <v>0</v>
          </cell>
          <cell r="AV3990">
            <v>0</v>
          </cell>
        </row>
        <row r="3991">
          <cell r="E3991" t="str">
            <v>D25019031</v>
          </cell>
          <cell r="AP3991">
            <v>0</v>
          </cell>
          <cell r="AQ3991">
            <v>0</v>
          </cell>
          <cell r="AV3991">
            <v>0</v>
          </cell>
        </row>
        <row r="3992">
          <cell r="E3992" t="str">
            <v>D25019031</v>
          </cell>
          <cell r="AP3992">
            <v>0</v>
          </cell>
          <cell r="AQ3992">
            <v>0</v>
          </cell>
          <cell r="AV3992">
            <v>0</v>
          </cell>
        </row>
        <row r="3993">
          <cell r="E3993" t="str">
            <v>D25019031</v>
          </cell>
          <cell r="AP3993">
            <v>0</v>
          </cell>
          <cell r="AQ3993">
            <v>0</v>
          </cell>
          <cell r="AV3993">
            <v>0</v>
          </cell>
        </row>
        <row r="3994">
          <cell r="E3994" t="str">
            <v>D25019031</v>
          </cell>
          <cell r="AP3994">
            <v>0</v>
          </cell>
          <cell r="AQ3994">
            <v>0</v>
          </cell>
          <cell r="AV3994">
            <v>0</v>
          </cell>
        </row>
        <row r="3995">
          <cell r="E3995" t="str">
            <v>D25019032</v>
          </cell>
          <cell r="AP3995">
            <v>0</v>
          </cell>
          <cell r="AQ3995">
            <v>0</v>
          </cell>
          <cell r="AV3995">
            <v>0</v>
          </cell>
        </row>
        <row r="3996">
          <cell r="E3996" t="str">
            <v>D25019113</v>
          </cell>
          <cell r="AP3996">
            <v>0</v>
          </cell>
          <cell r="AQ3996">
            <v>0</v>
          </cell>
          <cell r="AV3996">
            <v>0</v>
          </cell>
        </row>
        <row r="3997">
          <cell r="E3997" t="str">
            <v>D25019125</v>
          </cell>
          <cell r="AP3997">
            <v>0</v>
          </cell>
          <cell r="AQ3997">
            <v>0</v>
          </cell>
          <cell r="AV3997">
            <v>0</v>
          </cell>
        </row>
        <row r="3998">
          <cell r="E3998" t="str">
            <v>D25019125</v>
          </cell>
          <cell r="AP3998">
            <v>0</v>
          </cell>
          <cell r="AQ3998">
            <v>0</v>
          </cell>
          <cell r="AV3998">
            <v>0</v>
          </cell>
        </row>
        <row r="3999">
          <cell r="E3999" t="str">
            <v>D25019125</v>
          </cell>
          <cell r="AP3999">
            <v>0</v>
          </cell>
          <cell r="AQ3999">
            <v>0</v>
          </cell>
          <cell r="AV3999">
            <v>0</v>
          </cell>
        </row>
        <row r="4000">
          <cell r="E4000" t="str">
            <v>D25019136</v>
          </cell>
          <cell r="AP4000">
            <v>0</v>
          </cell>
          <cell r="AQ4000">
            <v>0</v>
          </cell>
          <cell r="AV4000">
            <v>0</v>
          </cell>
        </row>
        <row r="4001">
          <cell r="E4001" t="str">
            <v>D25019232</v>
          </cell>
          <cell r="AP4001">
            <v>0</v>
          </cell>
          <cell r="AQ4001">
            <v>0</v>
          </cell>
          <cell r="AV4001">
            <v>0</v>
          </cell>
        </row>
        <row r="4002">
          <cell r="E4002" t="str">
            <v>D25019232</v>
          </cell>
          <cell r="AP4002">
            <v>0</v>
          </cell>
          <cell r="AQ4002">
            <v>0</v>
          </cell>
          <cell r="AV4002">
            <v>0</v>
          </cell>
        </row>
        <row r="4003">
          <cell r="E4003" t="str">
            <v>D25019232</v>
          </cell>
          <cell r="AP4003">
            <v>0</v>
          </cell>
          <cell r="AQ4003">
            <v>0</v>
          </cell>
          <cell r="AV4003">
            <v>0</v>
          </cell>
        </row>
        <row r="4004">
          <cell r="E4004" t="str">
            <v>D25019232</v>
          </cell>
          <cell r="AP4004">
            <v>0</v>
          </cell>
          <cell r="AQ4004">
            <v>0</v>
          </cell>
          <cell r="AV4004">
            <v>0</v>
          </cell>
        </row>
        <row r="4005">
          <cell r="E4005" t="str">
            <v>D25019232</v>
          </cell>
          <cell r="AP4005">
            <v>0</v>
          </cell>
          <cell r="AQ4005">
            <v>0</v>
          </cell>
          <cell r="AV4005">
            <v>0</v>
          </cell>
        </row>
        <row r="4006">
          <cell r="E4006" t="str">
            <v>D25019464</v>
          </cell>
          <cell r="AP4006">
            <v>0</v>
          </cell>
          <cell r="AQ4006">
            <v>0</v>
          </cell>
          <cell r="AV4006">
            <v>0</v>
          </cell>
        </row>
        <row r="4007">
          <cell r="E4007" t="str">
            <v>D25019542</v>
          </cell>
          <cell r="AP4007">
            <v>0</v>
          </cell>
          <cell r="AQ4007">
            <v>0</v>
          </cell>
          <cell r="AV4007">
            <v>0</v>
          </cell>
        </row>
        <row r="4008">
          <cell r="E4008" t="str">
            <v>D25019542</v>
          </cell>
          <cell r="AP4008">
            <v>0</v>
          </cell>
          <cell r="AQ4008">
            <v>0</v>
          </cell>
          <cell r="AV4008">
            <v>0</v>
          </cell>
        </row>
        <row r="4009">
          <cell r="E4009" t="str">
            <v>D25019542</v>
          </cell>
          <cell r="AP4009">
            <v>0</v>
          </cell>
          <cell r="AQ4009">
            <v>0</v>
          </cell>
          <cell r="AV4009">
            <v>0</v>
          </cell>
        </row>
        <row r="4010">
          <cell r="E4010" t="str">
            <v>D25019543</v>
          </cell>
          <cell r="AP4010">
            <v>0</v>
          </cell>
          <cell r="AQ4010">
            <v>0</v>
          </cell>
          <cell r="AV4010">
            <v>0</v>
          </cell>
        </row>
        <row r="4011">
          <cell r="E4011" t="str">
            <v>D25019589</v>
          </cell>
          <cell r="AP4011">
            <v>0</v>
          </cell>
          <cell r="AQ4011">
            <v>0</v>
          </cell>
          <cell r="AV4011">
            <v>0</v>
          </cell>
        </row>
        <row r="4012">
          <cell r="E4012" t="str">
            <v>D25019589</v>
          </cell>
          <cell r="AP4012">
            <v>0</v>
          </cell>
          <cell r="AQ4012">
            <v>0</v>
          </cell>
          <cell r="AV4012">
            <v>0</v>
          </cell>
        </row>
        <row r="4013">
          <cell r="E4013" t="str">
            <v>D25019590</v>
          </cell>
          <cell r="AP4013">
            <v>0</v>
          </cell>
          <cell r="AQ4013">
            <v>0</v>
          </cell>
          <cell r="AV4013">
            <v>0</v>
          </cell>
        </row>
        <row r="4014">
          <cell r="E4014" t="str">
            <v>D25019590</v>
          </cell>
          <cell r="AP4014">
            <v>0</v>
          </cell>
          <cell r="AQ4014">
            <v>0</v>
          </cell>
          <cell r="AV4014">
            <v>0</v>
          </cell>
        </row>
        <row r="4015">
          <cell r="E4015" t="str">
            <v>D25019591</v>
          </cell>
          <cell r="AP4015">
            <v>0</v>
          </cell>
          <cell r="AQ4015">
            <v>0</v>
          </cell>
          <cell r="AV4015">
            <v>0</v>
          </cell>
        </row>
        <row r="4016">
          <cell r="E4016" t="str">
            <v>D25019591</v>
          </cell>
          <cell r="AP4016">
            <v>0</v>
          </cell>
          <cell r="AQ4016">
            <v>0</v>
          </cell>
          <cell r="AV4016">
            <v>0</v>
          </cell>
        </row>
        <row r="4017">
          <cell r="E4017" t="str">
            <v>D25019591</v>
          </cell>
          <cell r="AP4017">
            <v>0</v>
          </cell>
          <cell r="AQ4017">
            <v>0</v>
          </cell>
          <cell r="AV4017">
            <v>0</v>
          </cell>
        </row>
        <row r="4018">
          <cell r="E4018" t="str">
            <v>D25019600</v>
          </cell>
          <cell r="AP4018">
            <v>0</v>
          </cell>
          <cell r="AQ4018">
            <v>0</v>
          </cell>
          <cell r="AV4018">
            <v>0</v>
          </cell>
        </row>
        <row r="4019">
          <cell r="E4019" t="str">
            <v>D25019608</v>
          </cell>
          <cell r="AP4019">
            <v>0</v>
          </cell>
          <cell r="AQ4019">
            <v>0</v>
          </cell>
          <cell r="AV4019">
            <v>0</v>
          </cell>
        </row>
        <row r="4020">
          <cell r="E4020" t="str">
            <v>D25019608</v>
          </cell>
          <cell r="AP4020">
            <v>0</v>
          </cell>
          <cell r="AQ4020">
            <v>0</v>
          </cell>
          <cell r="AV4020">
            <v>0</v>
          </cell>
        </row>
        <row r="4021">
          <cell r="E4021" t="str">
            <v>D26000006</v>
          </cell>
          <cell r="AP4021">
            <v>0</v>
          </cell>
          <cell r="AQ4021">
            <v>0</v>
          </cell>
          <cell r="AV4021">
            <v>0</v>
          </cell>
        </row>
        <row r="4022">
          <cell r="E4022" t="str">
            <v>D26000068</v>
          </cell>
          <cell r="AP4022">
            <v>0</v>
          </cell>
          <cell r="AQ4022">
            <v>0</v>
          </cell>
          <cell r="AV4022">
            <v>0</v>
          </cell>
        </row>
        <row r="4023">
          <cell r="E4023" t="str">
            <v>T26000024</v>
          </cell>
          <cell r="AP4023">
            <v>0</v>
          </cell>
          <cell r="AQ4023">
            <v>0</v>
          </cell>
          <cell r="AV4023">
            <v>0</v>
          </cell>
        </row>
        <row r="4024">
          <cell r="E4024" t="str">
            <v>D26000463</v>
          </cell>
          <cell r="AP4024">
            <v>0</v>
          </cell>
          <cell r="AQ4024">
            <v>0</v>
          </cell>
          <cell r="AV4024">
            <v>0</v>
          </cell>
        </row>
        <row r="4025">
          <cell r="E4025" t="str">
            <v>D26000494</v>
          </cell>
          <cell r="AP4025">
            <v>0</v>
          </cell>
          <cell r="AQ4025">
            <v>0</v>
          </cell>
          <cell r="AV4025">
            <v>0</v>
          </cell>
        </row>
        <row r="4026">
          <cell r="E4026" t="str">
            <v>D26000523</v>
          </cell>
          <cell r="AP4026">
            <v>0</v>
          </cell>
          <cell r="AQ4026">
            <v>0</v>
          </cell>
          <cell r="AV4026">
            <v>0</v>
          </cell>
        </row>
        <row r="4027">
          <cell r="E4027" t="str">
            <v>D26000523</v>
          </cell>
          <cell r="AP4027">
            <v>0</v>
          </cell>
          <cell r="AQ4027">
            <v>0</v>
          </cell>
          <cell r="AV4027">
            <v>0</v>
          </cell>
        </row>
        <row r="4028">
          <cell r="E4028" t="str">
            <v>D26000523</v>
          </cell>
          <cell r="AP4028">
            <v>0</v>
          </cell>
          <cell r="AQ4028">
            <v>0</v>
          </cell>
          <cell r="AV4028">
            <v>0</v>
          </cell>
        </row>
        <row r="4029">
          <cell r="E4029" t="str">
            <v>D26000523</v>
          </cell>
          <cell r="AP4029">
            <v>0</v>
          </cell>
          <cell r="AQ4029">
            <v>0</v>
          </cell>
          <cell r="AV4029">
            <v>0</v>
          </cell>
        </row>
        <row r="4030">
          <cell r="E4030" t="str">
            <v>D26000616</v>
          </cell>
          <cell r="AP4030">
            <v>0</v>
          </cell>
          <cell r="AQ4030">
            <v>0</v>
          </cell>
          <cell r="AV4030">
            <v>0</v>
          </cell>
        </row>
        <row r="4031">
          <cell r="E4031" t="str">
            <v>D26000617</v>
          </cell>
          <cell r="AP4031">
            <v>0</v>
          </cell>
          <cell r="AQ4031">
            <v>0</v>
          </cell>
          <cell r="AV4031">
            <v>0</v>
          </cell>
        </row>
        <row r="4032">
          <cell r="E4032" t="str">
            <v>D26000618</v>
          </cell>
          <cell r="AP4032">
            <v>0</v>
          </cell>
          <cell r="AQ4032">
            <v>0</v>
          </cell>
          <cell r="AV4032">
            <v>0</v>
          </cell>
        </row>
        <row r="4033">
          <cell r="E4033" t="str">
            <v>D26000746</v>
          </cell>
          <cell r="AP4033">
            <v>0</v>
          </cell>
          <cell r="AQ4033">
            <v>0</v>
          </cell>
          <cell r="AV4033">
            <v>0</v>
          </cell>
        </row>
        <row r="4034">
          <cell r="E4034" t="str">
            <v>D26000842</v>
          </cell>
          <cell r="AP4034">
            <v>0</v>
          </cell>
          <cell r="AQ4034">
            <v>0</v>
          </cell>
          <cell r="AV4034">
            <v>0</v>
          </cell>
        </row>
        <row r="4035">
          <cell r="E4035" t="str">
            <v>D26000995</v>
          </cell>
          <cell r="AP4035">
            <v>0</v>
          </cell>
          <cell r="AQ4035">
            <v>0</v>
          </cell>
          <cell r="AV4035">
            <v>0</v>
          </cell>
        </row>
        <row r="4036">
          <cell r="E4036" t="str">
            <v>D26000996</v>
          </cell>
          <cell r="AP4036">
            <v>0</v>
          </cell>
          <cell r="AQ4036">
            <v>0</v>
          </cell>
          <cell r="AV4036">
            <v>0</v>
          </cell>
        </row>
        <row r="4037">
          <cell r="E4037" t="str">
            <v>D26001094</v>
          </cell>
          <cell r="AP4037">
            <v>0</v>
          </cell>
          <cell r="AQ4037">
            <v>0</v>
          </cell>
          <cell r="AV4037">
            <v>0</v>
          </cell>
        </row>
        <row r="4038">
          <cell r="E4038" t="str">
            <v>D26001095</v>
          </cell>
          <cell r="AP4038">
            <v>0</v>
          </cell>
          <cell r="AQ4038">
            <v>0</v>
          </cell>
          <cell r="AV4038">
            <v>0</v>
          </cell>
        </row>
        <row r="4039">
          <cell r="E4039" t="str">
            <v>D26001096</v>
          </cell>
          <cell r="AP4039">
            <v>0</v>
          </cell>
          <cell r="AQ4039">
            <v>0</v>
          </cell>
          <cell r="AV4039">
            <v>0</v>
          </cell>
        </row>
        <row r="4040">
          <cell r="E4040" t="str">
            <v>B26001106</v>
          </cell>
          <cell r="AP4040">
            <v>0</v>
          </cell>
          <cell r="AQ4040">
            <v>0</v>
          </cell>
          <cell r="AV4040">
            <v>0</v>
          </cell>
        </row>
        <row r="4041">
          <cell r="E4041" t="str">
            <v>B26001107</v>
          </cell>
          <cell r="AP4041">
            <v>0</v>
          </cell>
          <cell r="AQ4041">
            <v>0</v>
          </cell>
          <cell r="AV4041">
            <v>0</v>
          </cell>
        </row>
        <row r="4042">
          <cell r="E4042" t="str">
            <v>D26001336</v>
          </cell>
          <cell r="AP4042">
            <v>0</v>
          </cell>
          <cell r="AQ4042">
            <v>0</v>
          </cell>
          <cell r="AV4042">
            <v>0</v>
          </cell>
        </row>
        <row r="4043">
          <cell r="E4043" t="str">
            <v>D26001372</v>
          </cell>
          <cell r="AP4043">
            <v>0</v>
          </cell>
          <cell r="AQ4043">
            <v>0</v>
          </cell>
          <cell r="AV4043">
            <v>0</v>
          </cell>
        </row>
        <row r="4044">
          <cell r="E4044" t="str">
            <v>D26001495</v>
          </cell>
          <cell r="AP4044">
            <v>0</v>
          </cell>
          <cell r="AQ4044">
            <v>0</v>
          </cell>
          <cell r="AV4044">
            <v>0</v>
          </cell>
        </row>
        <row r="4045">
          <cell r="E4045" t="str">
            <v>D26001496</v>
          </cell>
          <cell r="AP4045">
            <v>0</v>
          </cell>
          <cell r="AQ4045">
            <v>0</v>
          </cell>
          <cell r="AV4045">
            <v>0</v>
          </cell>
        </row>
        <row r="4046">
          <cell r="E4046" t="str">
            <v>D26001517</v>
          </cell>
          <cell r="AP4046">
            <v>0</v>
          </cell>
          <cell r="AQ4046">
            <v>0</v>
          </cell>
          <cell r="AV4046">
            <v>0</v>
          </cell>
        </row>
        <row r="4047">
          <cell r="E4047" t="str">
            <v>D26001542</v>
          </cell>
          <cell r="AP4047">
            <v>0</v>
          </cell>
          <cell r="AQ4047">
            <v>0</v>
          </cell>
          <cell r="AV4047">
            <v>0</v>
          </cell>
        </row>
        <row r="4048">
          <cell r="E4048" t="str">
            <v>D26001542</v>
          </cell>
          <cell r="AP4048">
            <v>0</v>
          </cell>
          <cell r="AQ4048">
            <v>0</v>
          </cell>
          <cell r="AV4048">
            <v>0</v>
          </cell>
        </row>
        <row r="4049">
          <cell r="E4049" t="str">
            <v>D26001618</v>
          </cell>
          <cell r="AP4049">
            <v>0</v>
          </cell>
          <cell r="AQ4049">
            <v>0</v>
          </cell>
          <cell r="AV4049">
            <v>0</v>
          </cell>
        </row>
        <row r="4050">
          <cell r="E4050" t="str">
            <v>D26001618</v>
          </cell>
          <cell r="AP4050">
            <v>0</v>
          </cell>
          <cell r="AQ4050">
            <v>0</v>
          </cell>
          <cell r="AV4050">
            <v>0</v>
          </cell>
        </row>
        <row r="4051">
          <cell r="E4051" t="str">
            <v>D26001619</v>
          </cell>
          <cell r="AP4051">
            <v>0</v>
          </cell>
          <cell r="AQ4051">
            <v>0</v>
          </cell>
          <cell r="AV4051">
            <v>0</v>
          </cell>
        </row>
        <row r="4052">
          <cell r="E4052" t="str">
            <v>D26001688</v>
          </cell>
          <cell r="AP4052">
            <v>0</v>
          </cell>
          <cell r="AQ4052">
            <v>0</v>
          </cell>
          <cell r="AV4052">
            <v>0</v>
          </cell>
        </row>
        <row r="4053">
          <cell r="E4053" t="str">
            <v>D26001689</v>
          </cell>
          <cell r="AP4053">
            <v>0</v>
          </cell>
          <cell r="AQ4053">
            <v>0</v>
          </cell>
          <cell r="AV4053">
            <v>0</v>
          </cell>
        </row>
        <row r="4054">
          <cell r="E4054" t="str">
            <v>D26001718</v>
          </cell>
          <cell r="AP4054">
            <v>0</v>
          </cell>
          <cell r="AQ4054">
            <v>0</v>
          </cell>
          <cell r="AV4054">
            <v>0</v>
          </cell>
        </row>
        <row r="4055">
          <cell r="E4055" t="str">
            <v>D26001743</v>
          </cell>
          <cell r="AP4055">
            <v>0</v>
          </cell>
          <cell r="AQ4055">
            <v>0</v>
          </cell>
          <cell r="AV4055">
            <v>0</v>
          </cell>
        </row>
        <row r="4056">
          <cell r="E4056" t="str">
            <v>D26001744</v>
          </cell>
          <cell r="AP4056">
            <v>0</v>
          </cell>
          <cell r="AQ4056">
            <v>0</v>
          </cell>
          <cell r="AV4056">
            <v>0</v>
          </cell>
        </row>
        <row r="4057">
          <cell r="E4057" t="str">
            <v>B26001717</v>
          </cell>
          <cell r="AP4057">
            <v>0</v>
          </cell>
          <cell r="AQ4057">
            <v>0</v>
          </cell>
          <cell r="AV4057">
            <v>0</v>
          </cell>
        </row>
        <row r="4058">
          <cell r="E4058" t="str">
            <v>D26001888</v>
          </cell>
          <cell r="AP4058">
            <v>0</v>
          </cell>
          <cell r="AQ4058">
            <v>0</v>
          </cell>
          <cell r="AV4058">
            <v>0</v>
          </cell>
        </row>
        <row r="4059">
          <cell r="E4059" t="str">
            <v>D26001899</v>
          </cell>
          <cell r="AP4059">
            <v>0</v>
          </cell>
          <cell r="AQ4059">
            <v>0</v>
          </cell>
          <cell r="AV4059">
            <v>0</v>
          </cell>
        </row>
        <row r="4060">
          <cell r="E4060" t="str">
            <v>B26001866</v>
          </cell>
          <cell r="AP4060">
            <v>0</v>
          </cell>
          <cell r="AQ4060">
            <v>0</v>
          </cell>
          <cell r="AV4060">
            <v>0</v>
          </cell>
        </row>
        <row r="4061">
          <cell r="E4061" t="str">
            <v>D26002034</v>
          </cell>
          <cell r="AP4061">
            <v>0</v>
          </cell>
          <cell r="AQ4061">
            <v>0</v>
          </cell>
          <cell r="AV4061">
            <v>0</v>
          </cell>
        </row>
        <row r="4062">
          <cell r="E4062" t="str">
            <v>D26002035</v>
          </cell>
          <cell r="AP4062">
            <v>0</v>
          </cell>
          <cell r="AQ4062">
            <v>0</v>
          </cell>
          <cell r="AV4062">
            <v>0</v>
          </cell>
        </row>
        <row r="4063">
          <cell r="E4063" t="str">
            <v>D26002122</v>
          </cell>
          <cell r="AP4063">
            <v>0</v>
          </cell>
          <cell r="AQ4063">
            <v>0</v>
          </cell>
          <cell r="AV4063">
            <v>0</v>
          </cell>
        </row>
        <row r="4064">
          <cell r="E4064" t="str">
            <v>D26002123</v>
          </cell>
          <cell r="AP4064">
            <v>0</v>
          </cell>
          <cell r="AQ4064">
            <v>0</v>
          </cell>
          <cell r="AV4064">
            <v>0</v>
          </cell>
        </row>
        <row r="4065">
          <cell r="E4065" t="str">
            <v>D26002148</v>
          </cell>
          <cell r="AP4065">
            <v>0</v>
          </cell>
          <cell r="AQ4065">
            <v>0</v>
          </cell>
          <cell r="AV4065">
            <v>0</v>
          </cell>
        </row>
        <row r="4066">
          <cell r="E4066" t="str">
            <v>D26002149</v>
          </cell>
          <cell r="AP4066">
            <v>0</v>
          </cell>
          <cell r="AQ4066">
            <v>0</v>
          </cell>
          <cell r="AV4066">
            <v>0</v>
          </cell>
        </row>
        <row r="4067">
          <cell r="E4067" t="str">
            <v>D26002150</v>
          </cell>
          <cell r="AP4067">
            <v>0</v>
          </cell>
          <cell r="AQ4067">
            <v>0</v>
          </cell>
          <cell r="AV4067">
            <v>0</v>
          </cell>
        </row>
        <row r="4068">
          <cell r="E4068" t="str">
            <v>D26002166</v>
          </cell>
          <cell r="AP4068">
            <v>0</v>
          </cell>
          <cell r="AQ4068">
            <v>0</v>
          </cell>
          <cell r="AV4068">
            <v>0</v>
          </cell>
        </row>
        <row r="4069">
          <cell r="E4069" t="str">
            <v>D26002207</v>
          </cell>
          <cell r="AP4069">
            <v>0</v>
          </cell>
          <cell r="AQ4069">
            <v>0</v>
          </cell>
          <cell r="AV4069">
            <v>0</v>
          </cell>
        </row>
        <row r="4070">
          <cell r="E4070" t="str">
            <v>T26000150</v>
          </cell>
          <cell r="AP4070">
            <v>0</v>
          </cell>
          <cell r="AQ4070">
            <v>0</v>
          </cell>
          <cell r="AV4070">
            <v>0</v>
          </cell>
        </row>
        <row r="4071">
          <cell r="E4071" t="str">
            <v>D26002240</v>
          </cell>
          <cell r="AP4071">
            <v>0</v>
          </cell>
          <cell r="AQ4071">
            <v>0</v>
          </cell>
          <cell r="AV4071">
            <v>0</v>
          </cell>
        </row>
        <row r="4072">
          <cell r="E4072" t="str">
            <v>D26002284</v>
          </cell>
          <cell r="AP4072">
            <v>0</v>
          </cell>
          <cell r="AQ4072">
            <v>0</v>
          </cell>
          <cell r="AV4072">
            <v>0</v>
          </cell>
        </row>
        <row r="4073">
          <cell r="E4073" t="str">
            <v>D26002340</v>
          </cell>
          <cell r="AP4073">
            <v>0</v>
          </cell>
          <cell r="AQ4073">
            <v>0</v>
          </cell>
          <cell r="AV4073">
            <v>0</v>
          </cell>
        </row>
        <row r="4074">
          <cell r="E4074" t="str">
            <v>D26002341</v>
          </cell>
          <cell r="AP4074">
            <v>0</v>
          </cell>
          <cell r="AQ4074">
            <v>0</v>
          </cell>
          <cell r="AV4074">
            <v>0</v>
          </cell>
        </row>
        <row r="4075">
          <cell r="E4075" t="str">
            <v>D26002346</v>
          </cell>
          <cell r="AP4075">
            <v>0</v>
          </cell>
          <cell r="AQ4075">
            <v>0</v>
          </cell>
          <cell r="AV4075">
            <v>0</v>
          </cell>
        </row>
        <row r="4076">
          <cell r="E4076" t="str">
            <v>B26002213</v>
          </cell>
          <cell r="AP4076">
            <v>0</v>
          </cell>
          <cell r="AQ4076">
            <v>0</v>
          </cell>
          <cell r="AV4076">
            <v>0</v>
          </cell>
        </row>
        <row r="4077">
          <cell r="E4077" t="str">
            <v>B26002214</v>
          </cell>
          <cell r="AP4077">
            <v>0</v>
          </cell>
          <cell r="AQ4077">
            <v>0</v>
          </cell>
          <cell r="AV4077">
            <v>0</v>
          </cell>
        </row>
        <row r="4078">
          <cell r="E4078" t="str">
            <v>D26002428</v>
          </cell>
          <cell r="AP4078">
            <v>0</v>
          </cell>
          <cell r="AQ4078">
            <v>0</v>
          </cell>
          <cell r="AV4078">
            <v>0</v>
          </cell>
        </row>
        <row r="4079">
          <cell r="E4079" t="str">
            <v>D26002510</v>
          </cell>
          <cell r="AP4079">
            <v>0</v>
          </cell>
          <cell r="AQ4079">
            <v>0</v>
          </cell>
          <cell r="AV4079">
            <v>0</v>
          </cell>
        </row>
        <row r="4080">
          <cell r="E4080" t="str">
            <v>D26002583</v>
          </cell>
          <cell r="AP4080">
            <v>0</v>
          </cell>
          <cell r="AQ4080">
            <v>0</v>
          </cell>
          <cell r="AV4080">
            <v>0</v>
          </cell>
        </row>
        <row r="4081">
          <cell r="E4081" t="str">
            <v>B26002468</v>
          </cell>
          <cell r="AP4081">
            <v>0</v>
          </cell>
          <cell r="AQ4081">
            <v>0</v>
          </cell>
          <cell r="AV4081">
            <v>0</v>
          </cell>
        </row>
        <row r="4082">
          <cell r="E4082" t="str">
            <v>B26002473</v>
          </cell>
          <cell r="AP4082">
            <v>0</v>
          </cell>
          <cell r="AQ4082">
            <v>0</v>
          </cell>
          <cell r="AV4082">
            <v>0</v>
          </cell>
        </row>
        <row r="4083">
          <cell r="E4083" t="str">
            <v>D26002625</v>
          </cell>
          <cell r="AP4083">
            <v>0</v>
          </cell>
          <cell r="AQ4083">
            <v>0</v>
          </cell>
          <cell r="AV4083">
            <v>0</v>
          </cell>
        </row>
        <row r="4084">
          <cell r="E4084" t="str">
            <v>D26002674</v>
          </cell>
          <cell r="AP4084">
            <v>0</v>
          </cell>
          <cell r="AQ4084">
            <v>0</v>
          </cell>
          <cell r="AV4084">
            <v>0</v>
          </cell>
        </row>
        <row r="4085">
          <cell r="E4085" t="str">
            <v>D26002675</v>
          </cell>
          <cell r="AP4085">
            <v>0</v>
          </cell>
          <cell r="AQ4085">
            <v>0</v>
          </cell>
          <cell r="AV4085">
            <v>0</v>
          </cell>
        </row>
        <row r="4086">
          <cell r="E4086" t="str">
            <v>D26002676</v>
          </cell>
          <cell r="AP4086">
            <v>0</v>
          </cell>
          <cell r="AQ4086">
            <v>0</v>
          </cell>
          <cell r="AV4086">
            <v>0</v>
          </cell>
        </row>
        <row r="4087">
          <cell r="E4087" t="str">
            <v>D26002677</v>
          </cell>
          <cell r="AP4087">
            <v>0</v>
          </cell>
          <cell r="AQ4087">
            <v>0</v>
          </cell>
          <cell r="AV4087">
            <v>0</v>
          </cell>
        </row>
        <row r="4088">
          <cell r="E4088" t="str">
            <v>B26002633</v>
          </cell>
          <cell r="AP4088">
            <v>0</v>
          </cell>
          <cell r="AQ4088">
            <v>0</v>
          </cell>
          <cell r="AV4088">
            <v>0</v>
          </cell>
        </row>
        <row r="4089">
          <cell r="E4089" t="str">
            <v>D26002865</v>
          </cell>
          <cell r="AP4089">
            <v>0</v>
          </cell>
          <cell r="AQ4089">
            <v>0</v>
          </cell>
          <cell r="AV4089">
            <v>0</v>
          </cell>
        </row>
        <row r="4090">
          <cell r="E4090" t="str">
            <v>D26003000</v>
          </cell>
          <cell r="AP4090">
            <v>0</v>
          </cell>
          <cell r="AQ4090">
            <v>0</v>
          </cell>
          <cell r="AV4090">
            <v>0</v>
          </cell>
        </row>
        <row r="4091">
          <cell r="E4091" t="str">
            <v>D26003001</v>
          </cell>
          <cell r="AP4091">
            <v>0</v>
          </cell>
          <cell r="AQ4091">
            <v>0</v>
          </cell>
          <cell r="AV4091">
            <v>0</v>
          </cell>
        </row>
        <row r="4092">
          <cell r="E4092" t="str">
            <v>D26003108</v>
          </cell>
          <cell r="AP4092">
            <v>0</v>
          </cell>
          <cell r="AQ4092">
            <v>0</v>
          </cell>
          <cell r="AV4092">
            <v>0</v>
          </cell>
        </row>
        <row r="4093">
          <cell r="E4093" t="str">
            <v>D26003109</v>
          </cell>
          <cell r="AP4093">
            <v>0</v>
          </cell>
          <cell r="AQ4093">
            <v>0</v>
          </cell>
          <cell r="AV4093">
            <v>0</v>
          </cell>
        </row>
        <row r="4094">
          <cell r="E4094" t="str">
            <v>D26003110</v>
          </cell>
          <cell r="AP4094">
            <v>0</v>
          </cell>
          <cell r="AQ4094">
            <v>0</v>
          </cell>
          <cell r="AV4094">
            <v>0</v>
          </cell>
        </row>
        <row r="4095">
          <cell r="E4095" t="str">
            <v>D26003137</v>
          </cell>
          <cell r="AP4095">
            <v>0</v>
          </cell>
          <cell r="AQ4095">
            <v>0</v>
          </cell>
          <cell r="AV4095">
            <v>0</v>
          </cell>
        </row>
        <row r="4096">
          <cell r="E4096" t="str">
            <v>D26003161</v>
          </cell>
          <cell r="AP4096">
            <v>0</v>
          </cell>
          <cell r="AQ4096">
            <v>0</v>
          </cell>
          <cell r="AV4096">
            <v>0</v>
          </cell>
        </row>
        <row r="4097">
          <cell r="E4097" t="str">
            <v>D26003162</v>
          </cell>
          <cell r="AP4097">
            <v>0</v>
          </cell>
          <cell r="AQ4097">
            <v>0</v>
          </cell>
          <cell r="AV4097">
            <v>0</v>
          </cell>
        </row>
        <row r="4098">
          <cell r="E4098" t="str">
            <v>D26003176</v>
          </cell>
          <cell r="AP4098">
            <v>0</v>
          </cell>
          <cell r="AQ4098">
            <v>0</v>
          </cell>
          <cell r="AV4098">
            <v>0</v>
          </cell>
        </row>
        <row r="4099">
          <cell r="E4099" t="str">
            <v>D26003177</v>
          </cell>
          <cell r="AP4099">
            <v>0</v>
          </cell>
          <cell r="AQ4099">
            <v>0</v>
          </cell>
          <cell r="AV4099">
            <v>0</v>
          </cell>
        </row>
        <row r="4100">
          <cell r="E4100" t="str">
            <v>D26003178</v>
          </cell>
          <cell r="AP4100">
            <v>0</v>
          </cell>
          <cell r="AQ4100">
            <v>0</v>
          </cell>
          <cell r="AV4100">
            <v>0</v>
          </cell>
        </row>
        <row r="4101">
          <cell r="E4101" t="str">
            <v>D26003235</v>
          </cell>
          <cell r="AP4101">
            <v>0</v>
          </cell>
          <cell r="AQ4101">
            <v>0</v>
          </cell>
          <cell r="AV4101">
            <v>0</v>
          </cell>
        </row>
        <row r="4102">
          <cell r="E4102" t="str">
            <v>D26003256</v>
          </cell>
          <cell r="AP4102">
            <v>0</v>
          </cell>
          <cell r="AQ4102">
            <v>0</v>
          </cell>
          <cell r="AV4102">
            <v>0</v>
          </cell>
        </row>
        <row r="4103">
          <cell r="E4103" t="str">
            <v>D26003282</v>
          </cell>
          <cell r="AP4103">
            <v>0</v>
          </cell>
          <cell r="AQ4103">
            <v>0</v>
          </cell>
          <cell r="AV4103">
            <v>0</v>
          </cell>
        </row>
        <row r="4104">
          <cell r="E4104" t="str">
            <v>D26003283</v>
          </cell>
          <cell r="AP4104">
            <v>0</v>
          </cell>
          <cell r="AQ4104">
            <v>0</v>
          </cell>
          <cell r="AV4104">
            <v>0</v>
          </cell>
        </row>
        <row r="4105">
          <cell r="E4105" t="str">
            <v>B26003095</v>
          </cell>
          <cell r="AP4105">
            <v>0</v>
          </cell>
          <cell r="AQ4105">
            <v>0</v>
          </cell>
          <cell r="AV4105">
            <v>0</v>
          </cell>
        </row>
        <row r="4106">
          <cell r="E4106" t="str">
            <v>B25016794</v>
          </cell>
          <cell r="AP4106">
            <v>0</v>
          </cell>
          <cell r="AQ4106">
            <v>0</v>
          </cell>
          <cell r="AV4106">
            <v>0</v>
          </cell>
        </row>
        <row r="4107">
          <cell r="E4107" t="str">
            <v>D26001145</v>
          </cell>
          <cell r="AP4107">
            <v>0</v>
          </cell>
          <cell r="AQ4107">
            <v>0</v>
          </cell>
          <cell r="AV4107">
            <v>2475000</v>
          </cell>
        </row>
        <row r="4108">
          <cell r="E4108" t="str">
            <v>T26000071</v>
          </cell>
          <cell r="AP4108">
            <v>0</v>
          </cell>
          <cell r="AQ4108">
            <v>0</v>
          </cell>
          <cell r="AV4108">
            <v>0</v>
          </cell>
        </row>
        <row r="4109">
          <cell r="E4109" t="str">
            <v>B26002171</v>
          </cell>
          <cell r="AP4109">
            <v>0</v>
          </cell>
          <cell r="AQ4109">
            <v>0</v>
          </cell>
          <cell r="AV4109">
            <v>0</v>
          </cell>
        </row>
        <row r="4110">
          <cell r="E4110" t="str">
            <v>D26003183</v>
          </cell>
          <cell r="AP4110">
            <v>0</v>
          </cell>
          <cell r="AQ4110">
            <v>0</v>
          </cell>
          <cell r="AV4110">
            <v>0</v>
          </cell>
        </row>
        <row r="4111">
          <cell r="E4111" t="str">
            <v>D26003184</v>
          </cell>
          <cell r="AP4111">
            <v>0</v>
          </cell>
          <cell r="AQ4111">
            <v>0</v>
          </cell>
          <cell r="AV4111">
            <v>0</v>
          </cell>
        </row>
        <row r="4112">
          <cell r="E4112" t="str">
            <v>B26001314</v>
          </cell>
          <cell r="AP4112">
            <v>0</v>
          </cell>
          <cell r="AQ4112">
            <v>0</v>
          </cell>
          <cell r="AV4112">
            <v>0</v>
          </cell>
        </row>
        <row r="4113">
          <cell r="E4113" t="str">
            <v>D26003300</v>
          </cell>
          <cell r="AP4113">
            <v>0</v>
          </cell>
          <cell r="AQ4113">
            <v>0</v>
          </cell>
          <cell r="AV4113">
            <v>0</v>
          </cell>
        </row>
        <row r="4114">
          <cell r="E4114" t="str">
            <v>T25001879</v>
          </cell>
          <cell r="AP4114">
            <v>0</v>
          </cell>
          <cell r="AQ4114">
            <v>0</v>
          </cell>
          <cell r="AV4114">
            <v>0</v>
          </cell>
        </row>
        <row r="4115">
          <cell r="E4115" t="str">
            <v>D26000261</v>
          </cell>
          <cell r="AP4115">
            <v>0</v>
          </cell>
          <cell r="AQ4115">
            <v>0</v>
          </cell>
          <cell r="AV4115">
            <v>0</v>
          </cell>
        </row>
        <row r="4116">
          <cell r="E4116" t="str">
            <v>B26001237</v>
          </cell>
          <cell r="AP4116">
            <v>0</v>
          </cell>
          <cell r="AQ4116">
            <v>0</v>
          </cell>
          <cell r="AV4116">
            <v>0</v>
          </cell>
        </row>
        <row r="4117">
          <cell r="E4117" t="str">
            <v>D26001211</v>
          </cell>
          <cell r="AP4117">
            <v>0</v>
          </cell>
          <cell r="AQ4117">
            <v>0</v>
          </cell>
          <cell r="AV4117">
            <v>0</v>
          </cell>
        </row>
        <row r="4118">
          <cell r="E4118" t="str">
            <v>B26002818</v>
          </cell>
          <cell r="AP4118">
            <v>0</v>
          </cell>
          <cell r="AQ4118">
            <v>0</v>
          </cell>
          <cell r="AV4118">
            <v>0</v>
          </cell>
        </row>
        <row r="4119">
          <cell r="E4119" t="str">
            <v>D26001553</v>
          </cell>
          <cell r="AP4119">
            <v>0</v>
          </cell>
          <cell r="AQ4119">
            <v>0</v>
          </cell>
          <cell r="AV4119">
            <v>0</v>
          </cell>
        </row>
        <row r="4120">
          <cell r="E4120" t="str">
            <v>D26001189</v>
          </cell>
          <cell r="AP4120">
            <v>0</v>
          </cell>
          <cell r="AQ4120">
            <v>0</v>
          </cell>
          <cell r="AV4120">
            <v>5650000</v>
          </cell>
        </row>
        <row r="4121">
          <cell r="E4121" t="str">
            <v>B26001457</v>
          </cell>
          <cell r="AP4121">
            <v>0</v>
          </cell>
          <cell r="AQ4121">
            <v>0</v>
          </cell>
          <cell r="AV4121">
            <v>10567500</v>
          </cell>
        </row>
        <row r="4122">
          <cell r="E4122" t="str">
            <v>D26002395</v>
          </cell>
          <cell r="AP4122">
            <v>0</v>
          </cell>
          <cell r="AQ4122">
            <v>0</v>
          </cell>
          <cell r="AV4122">
            <v>0</v>
          </cell>
        </row>
        <row r="4123">
          <cell r="E4123" t="str">
            <v>D26002396</v>
          </cell>
          <cell r="AP4123">
            <v>0</v>
          </cell>
          <cell r="AQ4123">
            <v>0</v>
          </cell>
          <cell r="AV4123">
            <v>0</v>
          </cell>
        </row>
        <row r="4124">
          <cell r="E4124" t="str">
            <v>B26002597</v>
          </cell>
          <cell r="AP4124">
            <v>0</v>
          </cell>
          <cell r="AQ4124">
            <v>0</v>
          </cell>
          <cell r="AV4124">
            <v>0</v>
          </cell>
        </row>
        <row r="4125">
          <cell r="E4125" t="str">
            <v>B26002598</v>
          </cell>
          <cell r="AP4125">
            <v>0</v>
          </cell>
          <cell r="AQ4125">
            <v>0</v>
          </cell>
          <cell r="AV4125">
            <v>0</v>
          </cell>
        </row>
        <row r="4126">
          <cell r="E4126" t="str">
            <v>B26000473</v>
          </cell>
          <cell r="AP4126">
            <v>0</v>
          </cell>
          <cell r="AQ4126">
            <v>0</v>
          </cell>
          <cell r="AV4126">
            <v>0</v>
          </cell>
        </row>
        <row r="4127">
          <cell r="E4127" t="str">
            <v>D26001005</v>
          </cell>
          <cell r="AP4127">
            <v>0</v>
          </cell>
          <cell r="AQ4127">
            <v>0</v>
          </cell>
          <cell r="AV4127">
            <v>0</v>
          </cell>
        </row>
        <row r="4128">
          <cell r="E4128" t="str">
            <v>B26001395</v>
          </cell>
          <cell r="AP4128">
            <v>0</v>
          </cell>
          <cell r="AQ4128">
            <v>0</v>
          </cell>
          <cell r="AV4128">
            <v>0</v>
          </cell>
        </row>
        <row r="4129">
          <cell r="E4129" t="str">
            <v>B26001556</v>
          </cell>
          <cell r="AP4129">
            <v>0</v>
          </cell>
          <cell r="AQ4129">
            <v>0</v>
          </cell>
          <cell r="AV4129">
            <v>0</v>
          </cell>
        </row>
        <row r="4130">
          <cell r="E4130" t="str">
            <v>B26001678</v>
          </cell>
          <cell r="AP4130">
            <v>0</v>
          </cell>
          <cell r="AQ4130">
            <v>0</v>
          </cell>
          <cell r="AV4130">
            <v>0</v>
          </cell>
        </row>
        <row r="4131">
          <cell r="E4131" t="str">
            <v>D26001834</v>
          </cell>
          <cell r="AP4131">
            <v>0</v>
          </cell>
          <cell r="AQ4131">
            <v>0</v>
          </cell>
          <cell r="AV4131">
            <v>0</v>
          </cell>
        </row>
        <row r="4132">
          <cell r="E4132" t="str">
            <v>B26001826</v>
          </cell>
          <cell r="AP4132">
            <v>0</v>
          </cell>
          <cell r="AQ4132">
            <v>0</v>
          </cell>
          <cell r="AV4132">
            <v>0</v>
          </cell>
        </row>
        <row r="4133">
          <cell r="E4133" t="str">
            <v>D26002065</v>
          </cell>
          <cell r="AP4133">
            <v>0</v>
          </cell>
          <cell r="AQ4133">
            <v>0</v>
          </cell>
          <cell r="AV4133">
            <v>0</v>
          </cell>
        </row>
        <row r="4134">
          <cell r="E4134" t="str">
            <v>B26002059</v>
          </cell>
          <cell r="AP4134">
            <v>0</v>
          </cell>
          <cell r="AQ4134">
            <v>0</v>
          </cell>
          <cell r="AV4134">
            <v>0</v>
          </cell>
        </row>
        <row r="4135">
          <cell r="E4135" t="str">
            <v>D26002329</v>
          </cell>
          <cell r="AP4135">
            <v>0</v>
          </cell>
          <cell r="AQ4135">
            <v>0</v>
          </cell>
          <cell r="AV4135">
            <v>0</v>
          </cell>
        </row>
        <row r="4136">
          <cell r="E4136" t="str">
            <v>B26002197</v>
          </cell>
          <cell r="AP4136">
            <v>0</v>
          </cell>
          <cell r="AQ4136">
            <v>0</v>
          </cell>
          <cell r="AV4136">
            <v>0</v>
          </cell>
        </row>
        <row r="4137">
          <cell r="E4137" t="str">
            <v>D26002851</v>
          </cell>
          <cell r="AP4137">
            <v>0</v>
          </cell>
          <cell r="AQ4137">
            <v>0</v>
          </cell>
          <cell r="AV4137">
            <v>0</v>
          </cell>
        </row>
        <row r="4138">
          <cell r="E4138" t="str">
            <v>D26002981</v>
          </cell>
          <cell r="AP4138">
            <v>0</v>
          </cell>
          <cell r="AQ4138">
            <v>0</v>
          </cell>
          <cell r="AV4138">
            <v>0</v>
          </cell>
        </row>
        <row r="4139">
          <cell r="E4139" t="str">
            <v>B26000779</v>
          </cell>
          <cell r="AP4139">
            <v>0</v>
          </cell>
          <cell r="AQ4139">
            <v>0</v>
          </cell>
          <cell r="AV4139">
            <v>0</v>
          </cell>
        </row>
        <row r="4140">
          <cell r="E4140" t="str">
            <v>B26002827</v>
          </cell>
          <cell r="AP4140">
            <v>0</v>
          </cell>
          <cell r="AQ4140">
            <v>0</v>
          </cell>
          <cell r="AV4140">
            <v>0</v>
          </cell>
        </row>
        <row r="4141">
          <cell r="E4141" t="str">
            <v>D23006230</v>
          </cell>
          <cell r="AP4141">
            <v>0</v>
          </cell>
          <cell r="AQ4141">
            <v>0</v>
          </cell>
          <cell r="AV4141">
            <v>0</v>
          </cell>
        </row>
        <row r="4142">
          <cell r="E4142" t="str">
            <v>N25000011</v>
          </cell>
          <cell r="AP4142">
            <v>0</v>
          </cell>
          <cell r="AQ4142">
            <v>0</v>
          </cell>
          <cell r="AV4142">
            <v>0</v>
          </cell>
        </row>
        <row r="4143">
          <cell r="E4143" t="str">
            <v>D26001425</v>
          </cell>
          <cell r="AP4143">
            <v>0</v>
          </cell>
          <cell r="AQ4143">
            <v>0</v>
          </cell>
          <cell r="AV4143">
            <v>0</v>
          </cell>
        </row>
        <row r="4144">
          <cell r="E4144" t="str">
            <v>D26001918</v>
          </cell>
          <cell r="AP4144">
            <v>0</v>
          </cell>
          <cell r="AQ4144">
            <v>0</v>
          </cell>
          <cell r="AV4144">
            <v>0</v>
          </cell>
        </row>
        <row r="4145">
          <cell r="E4145" t="str">
            <v>D26001948</v>
          </cell>
          <cell r="AP4145">
            <v>0</v>
          </cell>
          <cell r="AQ4145">
            <v>0</v>
          </cell>
          <cell r="AV4145">
            <v>0</v>
          </cell>
        </row>
        <row r="4146">
          <cell r="E4146" t="str">
            <v>B26002806</v>
          </cell>
          <cell r="AP4146">
            <v>0</v>
          </cell>
          <cell r="AQ4146">
            <v>0</v>
          </cell>
          <cell r="AV4146">
            <v>0</v>
          </cell>
        </row>
        <row r="4147">
          <cell r="E4147" t="str">
            <v>T26000210</v>
          </cell>
          <cell r="AP4147">
            <v>0</v>
          </cell>
          <cell r="AQ4147">
            <v>0</v>
          </cell>
          <cell r="AV4147">
            <v>0</v>
          </cell>
        </row>
        <row r="4148">
          <cell r="E4148" t="str">
            <v>D26003287</v>
          </cell>
          <cell r="AP4148">
            <v>0</v>
          </cell>
          <cell r="AQ4148">
            <v>0</v>
          </cell>
          <cell r="AV4148">
            <v>0</v>
          </cell>
        </row>
        <row r="4149">
          <cell r="E4149" t="str">
            <v>D25018905</v>
          </cell>
          <cell r="AP4149">
            <v>0</v>
          </cell>
          <cell r="AQ4149">
            <v>0</v>
          </cell>
          <cell r="AV4149">
            <v>0</v>
          </cell>
        </row>
        <row r="4150">
          <cell r="E4150" t="str">
            <v>D25019034</v>
          </cell>
          <cell r="AP4150">
            <v>0</v>
          </cell>
          <cell r="AQ4150">
            <v>0</v>
          </cell>
          <cell r="AV4150">
            <v>0</v>
          </cell>
        </row>
        <row r="4151">
          <cell r="E4151" t="str">
            <v>D25019035</v>
          </cell>
          <cell r="AP4151">
            <v>0</v>
          </cell>
          <cell r="AQ4151">
            <v>0</v>
          </cell>
          <cell r="AV4151">
            <v>0</v>
          </cell>
        </row>
        <row r="4152">
          <cell r="E4152" t="str">
            <v>D25019085</v>
          </cell>
          <cell r="AP4152">
            <v>0</v>
          </cell>
          <cell r="AQ4152">
            <v>0</v>
          </cell>
          <cell r="AV4152">
            <v>0</v>
          </cell>
        </row>
        <row r="4153">
          <cell r="E4153" t="str">
            <v>B25016745</v>
          </cell>
          <cell r="AP4153">
            <v>0</v>
          </cell>
          <cell r="AQ4153">
            <v>0</v>
          </cell>
          <cell r="AV4153">
            <v>0</v>
          </cell>
        </row>
        <row r="4154">
          <cell r="E4154" t="str">
            <v>D25019216</v>
          </cell>
          <cell r="AP4154">
            <v>0</v>
          </cell>
          <cell r="AQ4154">
            <v>0</v>
          </cell>
          <cell r="AV4154">
            <v>0</v>
          </cell>
        </row>
        <row r="4155">
          <cell r="E4155" t="str">
            <v>D25019236</v>
          </cell>
          <cell r="AP4155">
            <v>0</v>
          </cell>
          <cell r="AQ4155">
            <v>0</v>
          </cell>
          <cell r="AV4155">
            <v>0</v>
          </cell>
        </row>
        <row r="4156">
          <cell r="E4156" t="str">
            <v>D25019237</v>
          </cell>
          <cell r="AP4156">
            <v>0</v>
          </cell>
          <cell r="AQ4156">
            <v>0</v>
          </cell>
          <cell r="AV4156">
            <v>0</v>
          </cell>
        </row>
        <row r="4157">
          <cell r="E4157" t="str">
            <v>D25019267</v>
          </cell>
          <cell r="AP4157">
            <v>0</v>
          </cell>
          <cell r="AQ4157">
            <v>0</v>
          </cell>
          <cell r="AV4157">
            <v>0</v>
          </cell>
        </row>
        <row r="4158">
          <cell r="E4158" t="str">
            <v>D25019347</v>
          </cell>
          <cell r="AP4158">
            <v>0</v>
          </cell>
          <cell r="AQ4158">
            <v>0</v>
          </cell>
          <cell r="AV4158">
            <v>0</v>
          </cell>
        </row>
        <row r="4159">
          <cell r="E4159" t="str">
            <v>D25019451</v>
          </cell>
          <cell r="AP4159">
            <v>0</v>
          </cell>
          <cell r="AQ4159">
            <v>0</v>
          </cell>
          <cell r="AV4159">
            <v>0</v>
          </cell>
        </row>
        <row r="4160">
          <cell r="E4160" t="str">
            <v>D25019451</v>
          </cell>
          <cell r="AP4160">
            <v>0</v>
          </cell>
          <cell r="AQ4160">
            <v>0</v>
          </cell>
          <cell r="AV4160">
            <v>0</v>
          </cell>
        </row>
        <row r="4161">
          <cell r="E4161" t="str">
            <v>D25019452</v>
          </cell>
          <cell r="AP4161">
            <v>0</v>
          </cell>
          <cell r="AQ4161">
            <v>0</v>
          </cell>
          <cell r="AV4161">
            <v>0</v>
          </cell>
        </row>
        <row r="4162">
          <cell r="E4162" t="str">
            <v>D25019483</v>
          </cell>
          <cell r="AP4162">
            <v>0</v>
          </cell>
          <cell r="AQ4162">
            <v>0</v>
          </cell>
          <cell r="AV4162">
            <v>0</v>
          </cell>
        </row>
        <row r="4163">
          <cell r="E4163" t="str">
            <v>D25019486</v>
          </cell>
          <cell r="AP4163">
            <v>0</v>
          </cell>
          <cell r="AQ4163">
            <v>0</v>
          </cell>
          <cell r="AV4163">
            <v>0</v>
          </cell>
        </row>
        <row r="4164">
          <cell r="E4164" t="str">
            <v>D25019487</v>
          </cell>
          <cell r="AP4164">
            <v>0</v>
          </cell>
          <cell r="AQ4164">
            <v>0</v>
          </cell>
          <cell r="AV4164">
            <v>0</v>
          </cell>
        </row>
        <row r="4165">
          <cell r="E4165" t="str">
            <v>B26000130</v>
          </cell>
          <cell r="AP4165">
            <v>0</v>
          </cell>
          <cell r="AQ4165">
            <v>0</v>
          </cell>
          <cell r="AV4165">
            <v>0</v>
          </cell>
        </row>
        <row r="4166">
          <cell r="E4166" t="str">
            <v>D26000445</v>
          </cell>
          <cell r="AP4166">
            <v>0</v>
          </cell>
          <cell r="AQ4166">
            <v>0</v>
          </cell>
          <cell r="AV4166">
            <v>0</v>
          </cell>
        </row>
        <row r="4167">
          <cell r="E4167" t="str">
            <v>D26000474</v>
          </cell>
          <cell r="AP4167">
            <v>0</v>
          </cell>
          <cell r="AQ4167">
            <v>0</v>
          </cell>
          <cell r="AV4167">
            <v>0</v>
          </cell>
        </row>
        <row r="4168">
          <cell r="E4168" t="str">
            <v>D26000498</v>
          </cell>
          <cell r="AP4168">
            <v>0</v>
          </cell>
          <cell r="AQ4168">
            <v>0</v>
          </cell>
          <cell r="AV4168">
            <v>0</v>
          </cell>
        </row>
        <row r="4169">
          <cell r="E4169" t="str">
            <v>D26000499</v>
          </cell>
          <cell r="AP4169">
            <v>0</v>
          </cell>
          <cell r="AQ4169">
            <v>0</v>
          </cell>
          <cell r="AV4169">
            <v>0</v>
          </cell>
        </row>
        <row r="4170">
          <cell r="E4170" t="str">
            <v>D26000519</v>
          </cell>
          <cell r="AP4170">
            <v>0</v>
          </cell>
          <cell r="AQ4170">
            <v>0</v>
          </cell>
          <cell r="AV4170">
            <v>0</v>
          </cell>
        </row>
        <row r="4171">
          <cell r="E4171" t="str">
            <v>B26000598</v>
          </cell>
          <cell r="AP4171">
            <v>0</v>
          </cell>
          <cell r="AQ4171">
            <v>0</v>
          </cell>
          <cell r="AV4171">
            <v>0</v>
          </cell>
        </row>
        <row r="4172">
          <cell r="E4172" t="str">
            <v>D26000741</v>
          </cell>
          <cell r="AP4172">
            <v>0</v>
          </cell>
          <cell r="AQ4172">
            <v>0</v>
          </cell>
          <cell r="AV4172">
            <v>0</v>
          </cell>
        </row>
        <row r="4173">
          <cell r="E4173" t="str">
            <v>D26001098</v>
          </cell>
          <cell r="AP4173">
            <v>0</v>
          </cell>
          <cell r="AQ4173">
            <v>0</v>
          </cell>
          <cell r="AV4173">
            <v>0</v>
          </cell>
        </row>
        <row r="4174">
          <cell r="E4174" t="str">
            <v>D26001099</v>
          </cell>
          <cell r="AP4174">
            <v>0</v>
          </cell>
          <cell r="AQ4174">
            <v>0</v>
          </cell>
          <cell r="AV4174">
            <v>0</v>
          </cell>
        </row>
        <row r="4175">
          <cell r="E4175" t="str">
            <v>D26001116</v>
          </cell>
          <cell r="AP4175">
            <v>0</v>
          </cell>
          <cell r="AQ4175">
            <v>0</v>
          </cell>
          <cell r="AV4175">
            <v>0</v>
          </cell>
        </row>
        <row r="4176">
          <cell r="E4176" t="str">
            <v>B26001236</v>
          </cell>
          <cell r="AP4176">
            <v>0</v>
          </cell>
          <cell r="AQ4176">
            <v>0</v>
          </cell>
          <cell r="AV4176">
            <v>0</v>
          </cell>
        </row>
        <row r="4177">
          <cell r="E4177" t="str">
            <v>D26001366</v>
          </cell>
          <cell r="AP4177">
            <v>0</v>
          </cell>
          <cell r="AQ4177">
            <v>0</v>
          </cell>
          <cell r="AV4177">
            <v>0</v>
          </cell>
        </row>
        <row r="4178">
          <cell r="E4178" t="str">
            <v>T26000097</v>
          </cell>
          <cell r="AP4178">
            <v>0</v>
          </cell>
          <cell r="AQ4178">
            <v>0</v>
          </cell>
          <cell r="AV4178">
            <v>0</v>
          </cell>
        </row>
        <row r="4179">
          <cell r="E4179" t="str">
            <v>D26001501</v>
          </cell>
          <cell r="AP4179">
            <v>0</v>
          </cell>
          <cell r="AQ4179">
            <v>0</v>
          </cell>
          <cell r="AV4179">
            <v>0</v>
          </cell>
        </row>
        <row r="4180">
          <cell r="E4180" t="str">
            <v>D26001501</v>
          </cell>
          <cell r="AP4180">
            <v>0</v>
          </cell>
          <cell r="AQ4180">
            <v>0</v>
          </cell>
          <cell r="AV4180">
            <v>0</v>
          </cell>
        </row>
        <row r="4181">
          <cell r="E4181" t="str">
            <v>B26001449</v>
          </cell>
          <cell r="AP4181">
            <v>0</v>
          </cell>
          <cell r="AQ4181">
            <v>0</v>
          </cell>
          <cell r="AV4181">
            <v>0</v>
          </cell>
        </row>
        <row r="4182">
          <cell r="E4182" t="str">
            <v>D26001526</v>
          </cell>
          <cell r="AP4182">
            <v>0</v>
          </cell>
          <cell r="AQ4182">
            <v>0</v>
          </cell>
          <cell r="AV4182">
            <v>0</v>
          </cell>
        </row>
        <row r="4183">
          <cell r="E4183" t="str">
            <v>D26001591</v>
          </cell>
          <cell r="AP4183">
            <v>0</v>
          </cell>
          <cell r="AQ4183">
            <v>0</v>
          </cell>
          <cell r="AV4183">
            <v>0</v>
          </cell>
        </row>
        <row r="4184">
          <cell r="E4184" t="str">
            <v>D26001815</v>
          </cell>
          <cell r="AP4184">
            <v>0</v>
          </cell>
          <cell r="AQ4184">
            <v>0</v>
          </cell>
          <cell r="AV4184">
            <v>0</v>
          </cell>
        </row>
        <row r="4185">
          <cell r="E4185" t="str">
            <v>D26001863</v>
          </cell>
          <cell r="AP4185">
            <v>0</v>
          </cell>
          <cell r="AQ4185">
            <v>0</v>
          </cell>
          <cell r="AV4185">
            <v>0</v>
          </cell>
        </row>
        <row r="4186">
          <cell r="E4186" t="str">
            <v>B26001824</v>
          </cell>
          <cell r="AP4186">
            <v>0</v>
          </cell>
          <cell r="AQ4186">
            <v>0</v>
          </cell>
          <cell r="AV4186">
            <v>0</v>
          </cell>
        </row>
        <row r="4187">
          <cell r="E4187" t="str">
            <v>D26002175</v>
          </cell>
          <cell r="AP4187">
            <v>0</v>
          </cell>
          <cell r="AQ4187">
            <v>0</v>
          </cell>
          <cell r="AV4187">
            <v>0</v>
          </cell>
        </row>
        <row r="4188">
          <cell r="E4188" t="str">
            <v>D26002203</v>
          </cell>
          <cell r="AP4188">
            <v>0</v>
          </cell>
          <cell r="AQ4188">
            <v>0</v>
          </cell>
          <cell r="AV4188">
            <v>0</v>
          </cell>
        </row>
        <row r="4189">
          <cell r="E4189" t="str">
            <v>D26002206</v>
          </cell>
          <cell r="AP4189">
            <v>0</v>
          </cell>
          <cell r="AQ4189">
            <v>0</v>
          </cell>
          <cell r="AV4189">
            <v>0</v>
          </cell>
        </row>
        <row r="4190">
          <cell r="E4190" t="str">
            <v>B26002231</v>
          </cell>
          <cell r="AP4190">
            <v>0</v>
          </cell>
          <cell r="AQ4190">
            <v>0</v>
          </cell>
          <cell r="AV4190">
            <v>0</v>
          </cell>
        </row>
        <row r="4191">
          <cell r="E4191" t="str">
            <v>D26002450</v>
          </cell>
          <cell r="AP4191">
            <v>0</v>
          </cell>
          <cell r="AQ4191">
            <v>0</v>
          </cell>
          <cell r="AV4191">
            <v>0</v>
          </cell>
        </row>
        <row r="4192">
          <cell r="E4192" t="str">
            <v>B26002340</v>
          </cell>
          <cell r="AP4192">
            <v>0</v>
          </cell>
          <cell r="AQ4192">
            <v>0</v>
          </cell>
          <cell r="AV4192">
            <v>0</v>
          </cell>
        </row>
        <row r="4193">
          <cell r="E4193" t="str">
            <v>D26002553</v>
          </cell>
          <cell r="AP4193">
            <v>0</v>
          </cell>
          <cell r="AQ4193">
            <v>0</v>
          </cell>
          <cell r="AV4193">
            <v>0</v>
          </cell>
        </row>
        <row r="4194">
          <cell r="E4194" t="str">
            <v>D26002632</v>
          </cell>
          <cell r="AP4194">
            <v>0</v>
          </cell>
          <cell r="AQ4194">
            <v>0</v>
          </cell>
          <cell r="AV4194">
            <v>0</v>
          </cell>
        </row>
        <row r="4195">
          <cell r="E4195" t="str">
            <v>D26002643</v>
          </cell>
          <cell r="AP4195">
            <v>0</v>
          </cell>
          <cell r="AQ4195">
            <v>0</v>
          </cell>
          <cell r="AV4195">
            <v>0</v>
          </cell>
        </row>
        <row r="4196">
          <cell r="E4196" t="str">
            <v>D26002715</v>
          </cell>
          <cell r="AP4196">
            <v>0</v>
          </cell>
          <cell r="AQ4196">
            <v>0</v>
          </cell>
          <cell r="AV4196">
            <v>0</v>
          </cell>
        </row>
        <row r="4197">
          <cell r="E4197" t="str">
            <v>D26002721</v>
          </cell>
          <cell r="AP4197">
            <v>0</v>
          </cell>
          <cell r="AQ4197">
            <v>0</v>
          </cell>
          <cell r="AV4197">
            <v>0</v>
          </cell>
        </row>
        <row r="4198">
          <cell r="E4198" t="str">
            <v>D26002975</v>
          </cell>
          <cell r="AP4198">
            <v>0</v>
          </cell>
          <cell r="AQ4198">
            <v>0</v>
          </cell>
          <cell r="AV4198">
            <v>0</v>
          </cell>
        </row>
        <row r="4199">
          <cell r="E4199" t="str">
            <v>D26003105</v>
          </cell>
          <cell r="AP4199">
            <v>0</v>
          </cell>
          <cell r="AQ4199">
            <v>0</v>
          </cell>
          <cell r="AV4199">
            <v>0</v>
          </cell>
        </row>
        <row r="4200">
          <cell r="E4200" t="str">
            <v>B26003006</v>
          </cell>
          <cell r="AP4200">
            <v>0</v>
          </cell>
          <cell r="AQ4200">
            <v>0</v>
          </cell>
          <cell r="AV4200">
            <v>0</v>
          </cell>
        </row>
        <row r="4201">
          <cell r="E4201" t="str">
            <v>D26003227</v>
          </cell>
          <cell r="AP4201">
            <v>0</v>
          </cell>
          <cell r="AQ4201">
            <v>0</v>
          </cell>
          <cell r="AV4201">
            <v>0</v>
          </cell>
        </row>
        <row r="4202">
          <cell r="E4202" t="str">
            <v>D26003251</v>
          </cell>
          <cell r="AP4202">
            <v>0</v>
          </cell>
          <cell r="AQ4202">
            <v>0</v>
          </cell>
          <cell r="AV4202">
            <v>0</v>
          </cell>
        </row>
        <row r="4203">
          <cell r="E4203" t="str">
            <v>D26003252</v>
          </cell>
          <cell r="AP4203">
            <v>0</v>
          </cell>
          <cell r="AQ4203">
            <v>0</v>
          </cell>
          <cell r="AV4203">
            <v>0</v>
          </cell>
        </row>
        <row r="4204">
          <cell r="E4204" t="str">
            <v>D25017323</v>
          </cell>
          <cell r="AP4204">
            <v>0</v>
          </cell>
          <cell r="AQ4204">
            <v>0</v>
          </cell>
          <cell r="AV4204">
            <v>0</v>
          </cell>
        </row>
        <row r="4205">
          <cell r="E4205" t="str">
            <v>D25017324</v>
          </cell>
          <cell r="AP4205">
            <v>0</v>
          </cell>
          <cell r="AQ4205">
            <v>0</v>
          </cell>
          <cell r="AV4205">
            <v>0</v>
          </cell>
        </row>
        <row r="4206">
          <cell r="E4206" t="str">
            <v>B25015963</v>
          </cell>
          <cell r="AP4206">
            <v>0</v>
          </cell>
          <cell r="AQ4206">
            <v>0</v>
          </cell>
          <cell r="AV4206">
            <v>0</v>
          </cell>
        </row>
        <row r="4207">
          <cell r="E4207" t="str">
            <v>D25018569</v>
          </cell>
          <cell r="AP4207">
            <v>0</v>
          </cell>
          <cell r="AQ4207">
            <v>0</v>
          </cell>
          <cell r="AV4207">
            <v>0</v>
          </cell>
        </row>
        <row r="4208">
          <cell r="E4208" t="str">
            <v>B25017002</v>
          </cell>
          <cell r="AP4208">
            <v>0</v>
          </cell>
          <cell r="AQ4208">
            <v>0</v>
          </cell>
          <cell r="AV4208">
            <v>0</v>
          </cell>
        </row>
        <row r="4209">
          <cell r="E4209" t="str">
            <v>B25017003</v>
          </cell>
          <cell r="AP4209">
            <v>0</v>
          </cell>
          <cell r="AQ4209">
            <v>0</v>
          </cell>
          <cell r="AV4209">
            <v>0</v>
          </cell>
        </row>
        <row r="4210">
          <cell r="E4210" t="str">
            <v>B25017004</v>
          </cell>
          <cell r="AP4210">
            <v>0</v>
          </cell>
          <cell r="AQ4210">
            <v>0</v>
          </cell>
          <cell r="AV4210">
            <v>0</v>
          </cell>
        </row>
        <row r="4211">
          <cell r="E4211" t="str">
            <v>B25017041</v>
          </cell>
          <cell r="AP4211">
            <v>0</v>
          </cell>
          <cell r="AQ4211">
            <v>0</v>
          </cell>
          <cell r="AV4211">
            <v>0</v>
          </cell>
        </row>
        <row r="4212">
          <cell r="E4212" t="str">
            <v>B25017046</v>
          </cell>
          <cell r="AP4212">
            <v>0</v>
          </cell>
          <cell r="AQ4212">
            <v>0</v>
          </cell>
          <cell r="AV4212">
            <v>0</v>
          </cell>
        </row>
        <row r="4213">
          <cell r="E4213" t="str">
            <v>D26001049</v>
          </cell>
          <cell r="AP4213">
            <v>0</v>
          </cell>
          <cell r="AQ4213">
            <v>0</v>
          </cell>
          <cell r="AV4213">
            <v>0</v>
          </cell>
        </row>
        <row r="4214">
          <cell r="E4214" t="str">
            <v>D26001050</v>
          </cell>
          <cell r="AP4214">
            <v>0</v>
          </cell>
          <cell r="AQ4214">
            <v>0</v>
          </cell>
          <cell r="AV4214">
            <v>0</v>
          </cell>
        </row>
        <row r="4215">
          <cell r="E4215" t="str">
            <v>B26001138</v>
          </cell>
          <cell r="AP4215">
            <v>0</v>
          </cell>
          <cell r="AQ4215">
            <v>0</v>
          </cell>
          <cell r="AV4215">
            <v>0</v>
          </cell>
        </row>
        <row r="4216">
          <cell r="E4216" t="str">
            <v>D26003221</v>
          </cell>
          <cell r="AP4216">
            <v>0</v>
          </cell>
          <cell r="AQ4216">
            <v>0</v>
          </cell>
          <cell r="AV4216">
            <v>0</v>
          </cell>
        </row>
        <row r="4217">
          <cell r="E4217" t="str">
            <v>D26003166</v>
          </cell>
          <cell r="AP4217">
            <v>0</v>
          </cell>
          <cell r="AQ4217">
            <v>0</v>
          </cell>
          <cell r="AV4217">
            <v>0</v>
          </cell>
        </row>
        <row r="4218">
          <cell r="E4218" t="str">
            <v>D26003167</v>
          </cell>
          <cell r="AP4218">
            <v>0</v>
          </cell>
          <cell r="AQ4218">
            <v>0</v>
          </cell>
          <cell r="AV4218">
            <v>0</v>
          </cell>
        </row>
        <row r="4219">
          <cell r="E4219" t="str">
            <v>Z25003173</v>
          </cell>
          <cell r="AP4219">
            <v>0</v>
          </cell>
          <cell r="AQ4219">
            <v>0</v>
          </cell>
          <cell r="AV4219">
            <v>0</v>
          </cell>
        </row>
        <row r="4220">
          <cell r="E4220" t="str">
            <v>Z25003188</v>
          </cell>
          <cell r="AP4220">
            <v>0</v>
          </cell>
          <cell r="AQ4220">
            <v>0</v>
          </cell>
          <cell r="AV4220">
            <v>0</v>
          </cell>
        </row>
        <row r="4221">
          <cell r="E4221" t="str">
            <v>Z25003189</v>
          </cell>
          <cell r="AP4221">
            <v>0</v>
          </cell>
          <cell r="AQ4221">
            <v>0</v>
          </cell>
          <cell r="AV4221">
            <v>0</v>
          </cell>
        </row>
        <row r="4222">
          <cell r="E4222" t="str">
            <v>Z25003270</v>
          </cell>
          <cell r="AP4222">
            <v>0</v>
          </cell>
          <cell r="AQ4222">
            <v>0</v>
          </cell>
          <cell r="AV4222">
            <v>0</v>
          </cell>
        </row>
        <row r="4223">
          <cell r="E4223" t="str">
            <v>Z25003281</v>
          </cell>
          <cell r="AP4223">
            <v>0</v>
          </cell>
          <cell r="AQ4223">
            <v>0</v>
          </cell>
          <cell r="AV4223">
            <v>0</v>
          </cell>
        </row>
        <row r="4224">
          <cell r="E4224" t="str">
            <v>Z25003330</v>
          </cell>
          <cell r="AP4224">
            <v>0</v>
          </cell>
          <cell r="AQ4224">
            <v>0</v>
          </cell>
          <cell r="AV4224">
            <v>0</v>
          </cell>
        </row>
        <row r="4225">
          <cell r="E4225" t="str">
            <v>Z25003350</v>
          </cell>
          <cell r="AP4225">
            <v>0</v>
          </cell>
          <cell r="AQ4225">
            <v>0</v>
          </cell>
          <cell r="AV4225">
            <v>0</v>
          </cell>
        </row>
        <row r="4226">
          <cell r="E4226" t="str">
            <v>Z25003351</v>
          </cell>
          <cell r="AP4226">
            <v>0</v>
          </cell>
          <cell r="AQ4226">
            <v>0</v>
          </cell>
          <cell r="AV4226">
            <v>0</v>
          </cell>
        </row>
        <row r="4227">
          <cell r="E4227" t="str">
            <v>Z26000022</v>
          </cell>
          <cell r="AP4227">
            <v>0</v>
          </cell>
          <cell r="AQ4227">
            <v>0</v>
          </cell>
          <cell r="AV4227">
            <v>0</v>
          </cell>
        </row>
        <row r="4228">
          <cell r="E4228" t="str">
            <v>Z26000166</v>
          </cell>
          <cell r="AP4228">
            <v>0</v>
          </cell>
          <cell r="AQ4228">
            <v>0</v>
          </cell>
          <cell r="AV4228">
            <v>0</v>
          </cell>
        </row>
        <row r="4229">
          <cell r="E4229" t="str">
            <v>Z26000212</v>
          </cell>
          <cell r="AP4229">
            <v>0</v>
          </cell>
          <cell r="AQ4229">
            <v>0</v>
          </cell>
          <cell r="AV4229">
            <v>0</v>
          </cell>
        </row>
        <row r="4230">
          <cell r="E4230" t="str">
            <v>Z26000213</v>
          </cell>
          <cell r="AP4230">
            <v>0</v>
          </cell>
          <cell r="AQ4230">
            <v>0</v>
          </cell>
          <cell r="AV4230">
            <v>0</v>
          </cell>
        </row>
        <row r="4231">
          <cell r="E4231" t="str">
            <v>Z26000242</v>
          </cell>
          <cell r="AP4231">
            <v>0</v>
          </cell>
          <cell r="AQ4231">
            <v>0</v>
          </cell>
          <cell r="AV4231">
            <v>0</v>
          </cell>
        </row>
        <row r="4232">
          <cell r="E4232" t="str">
            <v>Z26000317</v>
          </cell>
          <cell r="AP4232">
            <v>0</v>
          </cell>
          <cell r="AQ4232">
            <v>0</v>
          </cell>
          <cell r="AV4232">
            <v>0</v>
          </cell>
        </row>
        <row r="4233">
          <cell r="E4233" t="str">
            <v>Z26000321</v>
          </cell>
          <cell r="AP4233">
            <v>0</v>
          </cell>
          <cell r="AQ4233">
            <v>0</v>
          </cell>
          <cell r="AV4233">
            <v>0</v>
          </cell>
        </row>
        <row r="4234">
          <cell r="E4234" t="str">
            <v>Z26000407</v>
          </cell>
          <cell r="AP4234">
            <v>0</v>
          </cell>
          <cell r="AQ4234">
            <v>0</v>
          </cell>
          <cell r="AV4234">
            <v>0</v>
          </cell>
        </row>
        <row r="4235">
          <cell r="E4235" t="str">
            <v>Z26000410</v>
          </cell>
          <cell r="AP4235">
            <v>0</v>
          </cell>
          <cell r="AQ4235">
            <v>0</v>
          </cell>
          <cell r="AV4235">
            <v>0</v>
          </cell>
        </row>
        <row r="4236">
          <cell r="E4236" t="str">
            <v>Z26000451</v>
          </cell>
          <cell r="AP4236">
            <v>0</v>
          </cell>
          <cell r="AQ4236">
            <v>0</v>
          </cell>
          <cell r="AV4236">
            <v>280000000</v>
          </cell>
        </row>
        <row r="4237">
          <cell r="E4237" t="str">
            <v>Z26000476</v>
          </cell>
          <cell r="AP4237">
            <v>0</v>
          </cell>
          <cell r="AQ4237">
            <v>0</v>
          </cell>
          <cell r="AV4237">
            <v>0</v>
          </cell>
        </row>
        <row r="4238">
          <cell r="E4238" t="str">
            <v>Z26000477</v>
          </cell>
          <cell r="AP4238">
            <v>0</v>
          </cell>
          <cell r="AQ4238">
            <v>0</v>
          </cell>
          <cell r="AV4238">
            <v>0</v>
          </cell>
        </row>
        <row r="4239">
          <cell r="E4239" t="str">
            <v>Z26000504</v>
          </cell>
          <cell r="AP4239">
            <v>0</v>
          </cell>
          <cell r="AQ4239">
            <v>0</v>
          </cell>
          <cell r="AV4239">
            <v>0</v>
          </cell>
        </row>
        <row r="4240">
          <cell r="E4240" t="str">
            <v>Z26000557</v>
          </cell>
          <cell r="AP4240">
            <v>0</v>
          </cell>
          <cell r="AQ4240">
            <v>0</v>
          </cell>
          <cell r="AV4240">
            <v>0</v>
          </cell>
        </row>
        <row r="4241">
          <cell r="E4241" t="str">
            <v>Z26000567</v>
          </cell>
          <cell r="AP4241">
            <v>0</v>
          </cell>
          <cell r="AQ4241">
            <v>0</v>
          </cell>
          <cell r="AV4241">
            <v>0</v>
          </cell>
        </row>
        <row r="4242">
          <cell r="E4242" t="str">
            <v>Z26000604</v>
          </cell>
          <cell r="AP4242">
            <v>0</v>
          </cell>
          <cell r="AQ4242">
            <v>0</v>
          </cell>
          <cell r="AV4242">
            <v>0</v>
          </cell>
        </row>
        <row r="4243">
          <cell r="E4243" t="str">
            <v>Z26000614</v>
          </cell>
          <cell r="AP4243">
            <v>0</v>
          </cell>
          <cell r="AQ4243">
            <v>0</v>
          </cell>
          <cell r="AV4243">
            <v>0</v>
          </cell>
        </row>
        <row r="4244">
          <cell r="E4244" t="str">
            <v>B26001819</v>
          </cell>
          <cell r="AP4244">
            <v>0</v>
          </cell>
          <cell r="AQ4244">
            <v>0</v>
          </cell>
          <cell r="AV4244">
            <v>0</v>
          </cell>
        </row>
        <row r="4245">
          <cell r="E4245" t="str">
            <v>B26002172</v>
          </cell>
          <cell r="AP4245">
            <v>0</v>
          </cell>
          <cell r="AQ4245">
            <v>0</v>
          </cell>
          <cell r="AV4245">
            <v>0</v>
          </cell>
        </row>
        <row r="4246">
          <cell r="E4246" t="str">
            <v>D26002947</v>
          </cell>
          <cell r="AP4246">
            <v>0</v>
          </cell>
          <cell r="AQ4246">
            <v>0</v>
          </cell>
          <cell r="AV4246">
            <v>0</v>
          </cell>
        </row>
        <row r="4247">
          <cell r="E4247" t="str">
            <v>D25019087</v>
          </cell>
          <cell r="AP4247">
            <v>0</v>
          </cell>
          <cell r="AQ4247">
            <v>0</v>
          </cell>
          <cell r="AV4247">
            <v>0</v>
          </cell>
        </row>
        <row r="4248">
          <cell r="E4248" t="str">
            <v>T26000252</v>
          </cell>
          <cell r="AP4248">
            <v>0</v>
          </cell>
          <cell r="AQ4248">
            <v>0</v>
          </cell>
          <cell r="AV4248">
            <v>0</v>
          </cell>
        </row>
        <row r="4249">
          <cell r="E4249" t="str">
            <v>D26003153</v>
          </cell>
          <cell r="AP4249">
            <v>0</v>
          </cell>
          <cell r="AQ4249">
            <v>0</v>
          </cell>
          <cell r="AV4249">
            <v>7745000</v>
          </cell>
        </row>
        <row r="4250">
          <cell r="E4250" t="str">
            <v>D26003159</v>
          </cell>
          <cell r="AP4250">
            <v>0</v>
          </cell>
          <cell r="AQ4250">
            <v>0</v>
          </cell>
          <cell r="AV4250">
            <v>2200000</v>
          </cell>
        </row>
        <row r="4251">
          <cell r="E4251" t="str">
            <v>B26001685</v>
          </cell>
          <cell r="AP4251">
            <v>0</v>
          </cell>
          <cell r="AQ4251">
            <v>0</v>
          </cell>
          <cell r="AV4251">
            <v>0</v>
          </cell>
        </row>
        <row r="4252">
          <cell r="E4252" t="str">
            <v>B26002384</v>
          </cell>
          <cell r="AP4252">
            <v>0</v>
          </cell>
          <cell r="AQ4252">
            <v>0</v>
          </cell>
          <cell r="AV4252">
            <v>0</v>
          </cell>
        </row>
        <row r="4253">
          <cell r="E4253" t="str">
            <v>B26002385</v>
          </cell>
          <cell r="AP4253">
            <v>0</v>
          </cell>
          <cell r="AQ4253">
            <v>0</v>
          </cell>
          <cell r="AV4253">
            <v>0</v>
          </cell>
        </row>
        <row r="4254">
          <cell r="E4254" t="str">
            <v>D26003016</v>
          </cell>
          <cell r="AP4254">
            <v>0</v>
          </cell>
          <cell r="AQ4254">
            <v>0</v>
          </cell>
          <cell r="AV4254">
            <v>0</v>
          </cell>
        </row>
        <row r="4255">
          <cell r="E4255" t="str">
            <v>D26003017</v>
          </cell>
          <cell r="AP4255">
            <v>0</v>
          </cell>
          <cell r="AQ4255">
            <v>0</v>
          </cell>
          <cell r="AV4255">
            <v>0</v>
          </cell>
        </row>
        <row r="4256">
          <cell r="E4256" t="str">
            <v>D26003019</v>
          </cell>
          <cell r="AP4256">
            <v>0</v>
          </cell>
          <cell r="AQ4256">
            <v>0</v>
          </cell>
          <cell r="AV4256">
            <v>0</v>
          </cell>
        </row>
        <row r="4257">
          <cell r="E4257" t="str">
            <v>B26000358</v>
          </cell>
          <cell r="AP4257">
            <v>0</v>
          </cell>
          <cell r="AQ4257">
            <v>0</v>
          </cell>
          <cell r="AV4257">
            <v>0</v>
          </cell>
        </row>
        <row r="4258">
          <cell r="E4258" t="str">
            <v>D26000464</v>
          </cell>
          <cell r="AP4258">
            <v>0</v>
          </cell>
          <cell r="AQ4258">
            <v>0</v>
          </cell>
          <cell r="AV4258">
            <v>0</v>
          </cell>
        </row>
        <row r="4259">
          <cell r="E4259" t="str">
            <v>B26001357</v>
          </cell>
          <cell r="AP4259">
            <v>0</v>
          </cell>
          <cell r="AQ4259">
            <v>0</v>
          </cell>
          <cell r="AV4259">
            <v>0</v>
          </cell>
        </row>
        <row r="4260">
          <cell r="E4260" t="str">
            <v>B26001358</v>
          </cell>
          <cell r="AP4260">
            <v>0</v>
          </cell>
          <cell r="AQ4260">
            <v>0</v>
          </cell>
          <cell r="AV4260">
            <v>0</v>
          </cell>
        </row>
        <row r="4261">
          <cell r="E4261" t="str">
            <v>B26001360</v>
          </cell>
          <cell r="AP4261">
            <v>0</v>
          </cell>
          <cell r="AQ4261">
            <v>0</v>
          </cell>
          <cell r="AV4261">
            <v>0</v>
          </cell>
        </row>
        <row r="4262">
          <cell r="E4262" t="str">
            <v>B26001403</v>
          </cell>
          <cell r="AP4262">
            <v>0</v>
          </cell>
          <cell r="AQ4262">
            <v>0</v>
          </cell>
          <cell r="AV4262">
            <v>0</v>
          </cell>
        </row>
        <row r="4263">
          <cell r="E4263" t="str">
            <v>D26003141</v>
          </cell>
          <cell r="AP4263">
            <v>0</v>
          </cell>
          <cell r="AQ4263">
            <v>0</v>
          </cell>
          <cell r="AV4263">
            <v>47500000</v>
          </cell>
        </row>
        <row r="4264">
          <cell r="E4264" t="str">
            <v>B26001833</v>
          </cell>
          <cell r="AP4264">
            <v>0</v>
          </cell>
          <cell r="AQ4264">
            <v>0</v>
          </cell>
          <cell r="AV4264">
            <v>0</v>
          </cell>
        </row>
        <row r="4265">
          <cell r="E4265" t="str">
            <v>B26001835</v>
          </cell>
          <cell r="AP4265">
            <v>0</v>
          </cell>
          <cell r="AQ4265">
            <v>0</v>
          </cell>
          <cell r="AV4265">
            <v>0</v>
          </cell>
        </row>
        <row r="4266">
          <cell r="E4266" t="str">
            <v>B26001965</v>
          </cell>
          <cell r="AP4266">
            <v>0</v>
          </cell>
          <cell r="AQ4266">
            <v>0</v>
          </cell>
          <cell r="AV4266">
            <v>0</v>
          </cell>
        </row>
        <row r="4267">
          <cell r="E4267" t="str">
            <v>B26001990</v>
          </cell>
          <cell r="AP4267">
            <v>0</v>
          </cell>
          <cell r="AQ4267">
            <v>0</v>
          </cell>
          <cell r="AV4267">
            <v>0</v>
          </cell>
        </row>
        <row r="4268">
          <cell r="E4268" t="str">
            <v>D26002168</v>
          </cell>
          <cell r="AP4268">
            <v>0</v>
          </cell>
          <cell r="AQ4268">
            <v>0</v>
          </cell>
          <cell r="AV4268">
            <v>0</v>
          </cell>
        </row>
        <row r="4269">
          <cell r="E4269" t="str">
            <v>D26002293</v>
          </cell>
          <cell r="AP4269">
            <v>0</v>
          </cell>
          <cell r="AQ4269">
            <v>0</v>
          </cell>
          <cell r="AV4269">
            <v>0</v>
          </cell>
        </row>
        <row r="4270">
          <cell r="E4270" t="str">
            <v>D26001506</v>
          </cell>
          <cell r="AP4270">
            <v>0</v>
          </cell>
          <cell r="AQ4270">
            <v>0</v>
          </cell>
          <cell r="AV4270">
            <v>0</v>
          </cell>
        </row>
        <row r="4271">
          <cell r="E4271" t="str">
            <v>D26002614</v>
          </cell>
          <cell r="AP4271">
            <v>0</v>
          </cell>
          <cell r="AQ4271">
            <v>0</v>
          </cell>
          <cell r="AV4271">
            <v>0</v>
          </cell>
        </row>
        <row r="4272">
          <cell r="E4272" t="str">
            <v>D26001261</v>
          </cell>
          <cell r="AP4272">
            <v>0</v>
          </cell>
          <cell r="AQ4272">
            <v>0</v>
          </cell>
          <cell r="AV4272">
            <v>0</v>
          </cell>
        </row>
        <row r="4273">
          <cell r="E4273" t="str">
            <v>D26001329</v>
          </cell>
          <cell r="AP4273">
            <v>0</v>
          </cell>
          <cell r="AQ4273">
            <v>0</v>
          </cell>
          <cell r="AV4273">
            <v>0</v>
          </cell>
        </row>
        <row r="4274">
          <cell r="E4274" t="str">
            <v>B26001269</v>
          </cell>
          <cell r="AP4274">
            <v>0</v>
          </cell>
          <cell r="AQ4274">
            <v>0</v>
          </cell>
          <cell r="AV4274">
            <v>0</v>
          </cell>
        </row>
        <row r="4275">
          <cell r="E4275" t="str">
            <v>D26002565</v>
          </cell>
          <cell r="AP4275">
            <v>0</v>
          </cell>
          <cell r="AQ4275">
            <v>0</v>
          </cell>
          <cell r="AV4275">
            <v>0</v>
          </cell>
        </row>
        <row r="4276">
          <cell r="E4276" t="str">
            <v>B26003019</v>
          </cell>
          <cell r="AP4276">
            <v>0</v>
          </cell>
          <cell r="AQ4276">
            <v>0</v>
          </cell>
          <cell r="AV4276">
            <v>0</v>
          </cell>
        </row>
        <row r="4277">
          <cell r="E4277" t="str">
            <v>B26003020</v>
          </cell>
          <cell r="AP4277">
            <v>0</v>
          </cell>
          <cell r="AQ4277">
            <v>0</v>
          </cell>
          <cell r="AV4277">
            <v>0</v>
          </cell>
        </row>
        <row r="4278">
          <cell r="E4278" t="str">
            <v>B26003021</v>
          </cell>
          <cell r="AP4278">
            <v>0</v>
          </cell>
          <cell r="AQ4278">
            <v>0</v>
          </cell>
          <cell r="AV4278">
            <v>0</v>
          </cell>
        </row>
        <row r="4279">
          <cell r="E4279" t="str">
            <v>B26002400</v>
          </cell>
          <cell r="AP4279">
            <v>0</v>
          </cell>
          <cell r="AQ4279">
            <v>0</v>
          </cell>
          <cell r="AV4279">
            <v>0</v>
          </cell>
        </row>
        <row r="4280">
          <cell r="E4280" t="str">
            <v>B26002401</v>
          </cell>
          <cell r="AP4280">
            <v>0</v>
          </cell>
          <cell r="AQ4280">
            <v>0</v>
          </cell>
          <cell r="AV4280">
            <v>0</v>
          </cell>
        </row>
        <row r="4281">
          <cell r="E4281" t="str">
            <v>B26002410</v>
          </cell>
          <cell r="AP4281">
            <v>0</v>
          </cell>
          <cell r="AQ4281">
            <v>0</v>
          </cell>
          <cell r="AV4281">
            <v>0</v>
          </cell>
        </row>
        <row r="4282">
          <cell r="E4282" t="str">
            <v>D26002589</v>
          </cell>
          <cell r="AP4282">
            <v>0</v>
          </cell>
          <cell r="AQ4282">
            <v>0</v>
          </cell>
          <cell r="AV4282">
            <v>0</v>
          </cell>
        </row>
        <row r="4283">
          <cell r="E4283" t="str">
            <v>D26000097</v>
          </cell>
          <cell r="AP4283">
            <v>0</v>
          </cell>
          <cell r="AQ4283">
            <v>0</v>
          </cell>
          <cell r="AV4283">
            <v>0</v>
          </cell>
        </row>
        <row r="4284">
          <cell r="E4284" t="str">
            <v>B26000169</v>
          </cell>
          <cell r="AP4284">
            <v>0</v>
          </cell>
          <cell r="AQ4284">
            <v>0</v>
          </cell>
          <cell r="AV4284">
            <v>0</v>
          </cell>
        </row>
        <row r="4285">
          <cell r="E4285" t="str">
            <v>B26000708</v>
          </cell>
          <cell r="AP4285">
            <v>0</v>
          </cell>
          <cell r="AQ4285">
            <v>0</v>
          </cell>
          <cell r="AV4285">
            <v>0</v>
          </cell>
        </row>
        <row r="4286">
          <cell r="E4286" t="str">
            <v>D26001724</v>
          </cell>
          <cell r="AP4286">
            <v>0</v>
          </cell>
          <cell r="AQ4286">
            <v>0</v>
          </cell>
          <cell r="AV4286">
            <v>0</v>
          </cell>
        </row>
        <row r="4287">
          <cell r="E4287" t="str">
            <v>B26001845</v>
          </cell>
          <cell r="AP4287">
            <v>0</v>
          </cell>
          <cell r="AQ4287">
            <v>0</v>
          </cell>
          <cell r="AV4287">
            <v>0</v>
          </cell>
        </row>
        <row r="4288">
          <cell r="E4288" t="str">
            <v>D26002070</v>
          </cell>
          <cell r="AP4288">
            <v>0</v>
          </cell>
          <cell r="AQ4288">
            <v>0</v>
          </cell>
          <cell r="AV4288">
            <v>0</v>
          </cell>
        </row>
        <row r="4289">
          <cell r="E4289" t="str">
            <v>D26002071</v>
          </cell>
          <cell r="AP4289">
            <v>0</v>
          </cell>
          <cell r="AQ4289">
            <v>0</v>
          </cell>
          <cell r="AV4289">
            <v>0</v>
          </cell>
        </row>
        <row r="4290">
          <cell r="E4290" t="str">
            <v>B26002096</v>
          </cell>
          <cell r="AP4290">
            <v>0</v>
          </cell>
          <cell r="AQ4290">
            <v>0</v>
          </cell>
          <cell r="AV4290">
            <v>0</v>
          </cell>
        </row>
        <row r="4291">
          <cell r="E4291" t="str">
            <v>B26002269</v>
          </cell>
          <cell r="AP4291">
            <v>0</v>
          </cell>
          <cell r="AQ4291">
            <v>0</v>
          </cell>
          <cell r="AV4291">
            <v>0</v>
          </cell>
        </row>
        <row r="4292">
          <cell r="E4292" t="str">
            <v>B26002601</v>
          </cell>
          <cell r="AP4292">
            <v>0</v>
          </cell>
          <cell r="AQ4292">
            <v>0</v>
          </cell>
          <cell r="AV4292">
            <v>0</v>
          </cell>
        </row>
        <row r="4293">
          <cell r="E4293" t="str">
            <v>B26002602</v>
          </cell>
          <cell r="AP4293">
            <v>0</v>
          </cell>
          <cell r="AQ4293">
            <v>0</v>
          </cell>
          <cell r="AV4293">
            <v>0</v>
          </cell>
        </row>
        <row r="4294">
          <cell r="E4294" t="str">
            <v>D26002775</v>
          </cell>
          <cell r="AP4294">
            <v>0</v>
          </cell>
          <cell r="AQ4294">
            <v>0</v>
          </cell>
          <cell r="AV4294">
            <v>0</v>
          </cell>
        </row>
        <row r="4295">
          <cell r="E4295" t="str">
            <v>B26002990</v>
          </cell>
          <cell r="AP4295">
            <v>0</v>
          </cell>
          <cell r="AQ4295">
            <v>0</v>
          </cell>
          <cell r="AV4295">
            <v>0</v>
          </cell>
        </row>
        <row r="4296">
          <cell r="E4296" t="str">
            <v>D26001910</v>
          </cell>
          <cell r="AP4296">
            <v>0</v>
          </cell>
          <cell r="AQ4296">
            <v>0</v>
          </cell>
          <cell r="AV4296">
            <v>1680000</v>
          </cell>
        </row>
        <row r="4297">
          <cell r="E4297" t="str">
            <v>B26002418</v>
          </cell>
          <cell r="AP4297">
            <v>0</v>
          </cell>
          <cell r="AQ4297">
            <v>0</v>
          </cell>
          <cell r="AV4297">
            <v>0</v>
          </cell>
        </row>
        <row r="4298">
          <cell r="E4298" t="str">
            <v>D26003035</v>
          </cell>
          <cell r="AP4298">
            <v>0</v>
          </cell>
          <cell r="AQ4298">
            <v>0</v>
          </cell>
          <cell r="AV4298">
            <v>0</v>
          </cell>
        </row>
        <row r="4299">
          <cell r="E4299" t="str">
            <v>B26003074</v>
          </cell>
          <cell r="AP4299">
            <v>0</v>
          </cell>
          <cell r="AQ4299">
            <v>0</v>
          </cell>
          <cell r="AV4299">
            <v>0</v>
          </cell>
        </row>
        <row r="4300">
          <cell r="E4300" t="str">
            <v>D26000405</v>
          </cell>
          <cell r="AP4300">
            <v>0</v>
          </cell>
          <cell r="AQ4300">
            <v>0</v>
          </cell>
          <cell r="AV4300">
            <v>0</v>
          </cell>
        </row>
        <row r="4301">
          <cell r="E4301" t="str">
            <v>D26002334</v>
          </cell>
          <cell r="AP4301">
            <v>0</v>
          </cell>
          <cell r="AQ4301">
            <v>0</v>
          </cell>
          <cell r="AV4301">
            <v>0</v>
          </cell>
        </row>
        <row r="4302">
          <cell r="E4302" t="str">
            <v>B26001873</v>
          </cell>
          <cell r="AP4302">
            <v>0</v>
          </cell>
          <cell r="AQ4302">
            <v>0</v>
          </cell>
          <cell r="AV4302">
            <v>0</v>
          </cell>
        </row>
        <row r="4303">
          <cell r="E4303" t="str">
            <v>B26002765</v>
          </cell>
          <cell r="AP4303">
            <v>0</v>
          </cell>
          <cell r="AQ4303">
            <v>0</v>
          </cell>
          <cell r="AV4303">
            <v>0</v>
          </cell>
        </row>
        <row r="4304">
          <cell r="E4304" t="str">
            <v>B26002867</v>
          </cell>
          <cell r="AP4304">
            <v>0</v>
          </cell>
          <cell r="AQ4304">
            <v>0</v>
          </cell>
          <cell r="AV4304">
            <v>0</v>
          </cell>
        </row>
        <row r="4305">
          <cell r="E4305" t="str">
            <v>B26003065</v>
          </cell>
          <cell r="AP4305">
            <v>0</v>
          </cell>
          <cell r="AQ4305">
            <v>0</v>
          </cell>
          <cell r="AV4305">
            <v>0</v>
          </cell>
        </row>
        <row r="4306">
          <cell r="E4306" t="str">
            <v>Z26000048</v>
          </cell>
          <cell r="AP4306">
            <v>0</v>
          </cell>
          <cell r="AQ4306">
            <v>0</v>
          </cell>
          <cell r="AV4306">
            <v>0</v>
          </cell>
        </row>
        <row r="4307">
          <cell r="E4307" t="str">
            <v>D26002459</v>
          </cell>
          <cell r="AP4307">
            <v>0</v>
          </cell>
          <cell r="AQ4307">
            <v>0</v>
          </cell>
          <cell r="AV4307">
            <v>0</v>
          </cell>
        </row>
        <row r="4308">
          <cell r="E4308" t="str">
            <v>D26003220</v>
          </cell>
          <cell r="AP4308">
            <v>0</v>
          </cell>
          <cell r="AQ4308">
            <v>0</v>
          </cell>
          <cell r="AV4308">
            <v>0</v>
          </cell>
        </row>
        <row r="4309">
          <cell r="E4309" t="str">
            <v>Z26000612</v>
          </cell>
          <cell r="AP4309">
            <v>0</v>
          </cell>
          <cell r="AQ4309">
            <v>0</v>
          </cell>
          <cell r="AV4309">
            <v>0</v>
          </cell>
        </row>
        <row r="4310">
          <cell r="E4310" t="str">
            <v>D26003249</v>
          </cell>
          <cell r="AP4310">
            <v>0</v>
          </cell>
          <cell r="AQ4310">
            <v>0</v>
          </cell>
          <cell r="AV4310">
            <v>0</v>
          </cell>
        </row>
        <row r="4311">
          <cell r="E4311" t="str">
            <v>D26001612</v>
          </cell>
          <cell r="AP4311">
            <v>0</v>
          </cell>
          <cell r="AQ4311">
            <v>0</v>
          </cell>
          <cell r="AV4311">
            <v>1710000</v>
          </cell>
        </row>
        <row r="4312">
          <cell r="E4312" t="str">
            <v>D26001663</v>
          </cell>
          <cell r="AP4312">
            <v>500</v>
          </cell>
          <cell r="AQ4312">
            <v>0</v>
          </cell>
          <cell r="AV4312">
            <v>277000</v>
          </cell>
        </row>
        <row r="4313">
          <cell r="E4313" t="str">
            <v>D26001664</v>
          </cell>
          <cell r="AP4313">
            <v>0</v>
          </cell>
          <cell r="AQ4313">
            <v>0</v>
          </cell>
          <cell r="AV4313">
            <v>3360000</v>
          </cell>
        </row>
        <row r="4314">
          <cell r="E4314" t="str">
            <v>D26001789</v>
          </cell>
          <cell r="AP4314">
            <v>0</v>
          </cell>
          <cell r="AQ4314">
            <v>0</v>
          </cell>
          <cell r="AV4314">
            <v>0</v>
          </cell>
        </row>
        <row r="4315">
          <cell r="E4315" t="str">
            <v>D26001790</v>
          </cell>
          <cell r="AP4315">
            <v>0</v>
          </cell>
          <cell r="AQ4315">
            <v>0</v>
          </cell>
          <cell r="AV4315">
            <v>0</v>
          </cell>
        </row>
        <row r="4316">
          <cell r="E4316" t="str">
            <v>B26002028</v>
          </cell>
          <cell r="AP4316">
            <v>0</v>
          </cell>
          <cell r="AQ4316">
            <v>0</v>
          </cell>
          <cell r="AV4316">
            <v>0</v>
          </cell>
        </row>
        <row r="4317">
          <cell r="E4317" t="str">
            <v>B26002341</v>
          </cell>
          <cell r="AP4317">
            <v>0</v>
          </cell>
          <cell r="AQ4317">
            <v>0</v>
          </cell>
          <cell r="AV4317">
            <v>0</v>
          </cell>
        </row>
        <row r="4318">
          <cell r="E4318" t="str">
            <v>B26002350</v>
          </cell>
          <cell r="AP4318">
            <v>0</v>
          </cell>
          <cell r="AQ4318">
            <v>0</v>
          </cell>
          <cell r="AV4318">
            <v>0</v>
          </cell>
        </row>
        <row r="4319">
          <cell r="E4319" t="str">
            <v>D26002706</v>
          </cell>
          <cell r="AP4319">
            <v>0</v>
          </cell>
          <cell r="AQ4319">
            <v>0</v>
          </cell>
          <cell r="AV4319">
            <v>0</v>
          </cell>
        </row>
        <row r="4320">
          <cell r="E4320" t="str">
            <v>B26002572</v>
          </cell>
          <cell r="AP4320">
            <v>0</v>
          </cell>
          <cell r="AQ4320">
            <v>0</v>
          </cell>
          <cell r="AV4320">
            <v>0</v>
          </cell>
        </row>
        <row r="4321">
          <cell r="E4321" t="str">
            <v>D26002767</v>
          </cell>
          <cell r="AP4321">
            <v>0</v>
          </cell>
          <cell r="AQ4321">
            <v>0</v>
          </cell>
          <cell r="AV4321">
            <v>0</v>
          </cell>
        </row>
        <row r="4322">
          <cell r="E4322" t="str">
            <v>B26002690</v>
          </cell>
          <cell r="AP4322">
            <v>0</v>
          </cell>
          <cell r="AQ4322">
            <v>0</v>
          </cell>
          <cell r="AV4322">
            <v>0</v>
          </cell>
        </row>
        <row r="4323">
          <cell r="E4323" t="str">
            <v>D26002895</v>
          </cell>
          <cell r="AP4323">
            <v>0</v>
          </cell>
          <cell r="AQ4323">
            <v>0</v>
          </cell>
          <cell r="AV4323">
            <v>0</v>
          </cell>
        </row>
        <row r="4324">
          <cell r="E4324" t="str">
            <v>B26002810</v>
          </cell>
          <cell r="AP4324">
            <v>0</v>
          </cell>
          <cell r="AQ4324">
            <v>0</v>
          </cell>
          <cell r="AV4324">
            <v>0</v>
          </cell>
        </row>
        <row r="4325">
          <cell r="E4325" t="str">
            <v>B26002840</v>
          </cell>
          <cell r="AP4325">
            <v>0</v>
          </cell>
          <cell r="AQ4325">
            <v>0</v>
          </cell>
          <cell r="AV4325">
            <v>0</v>
          </cell>
        </row>
        <row r="4326">
          <cell r="E4326" t="str">
            <v>T26000118</v>
          </cell>
          <cell r="AP4326">
            <v>0</v>
          </cell>
          <cell r="AQ4326">
            <v>0</v>
          </cell>
          <cell r="AV4326">
            <v>0</v>
          </cell>
        </row>
        <row r="4327">
          <cell r="E4327" t="str">
            <v>C26000116</v>
          </cell>
          <cell r="AP4327">
            <v>0</v>
          </cell>
          <cell r="AQ4327">
            <v>0</v>
          </cell>
          <cell r="AV4327">
            <v>0</v>
          </cell>
        </row>
        <row r="4328">
          <cell r="E4328" t="str">
            <v>D26001654</v>
          </cell>
          <cell r="AP4328">
            <v>0</v>
          </cell>
          <cell r="AQ4328">
            <v>0</v>
          </cell>
          <cell r="AV4328">
            <v>0</v>
          </cell>
        </row>
        <row r="4329">
          <cell r="E4329" t="str">
            <v>B26001674</v>
          </cell>
          <cell r="AP4329">
            <v>0</v>
          </cell>
          <cell r="AQ4329">
            <v>0</v>
          </cell>
          <cell r="AV4329">
            <v>0</v>
          </cell>
        </row>
        <row r="4330">
          <cell r="E4330" t="str">
            <v>D26001998</v>
          </cell>
          <cell r="AP4330">
            <v>0</v>
          </cell>
          <cell r="AQ4330">
            <v>0</v>
          </cell>
          <cell r="AV4330">
            <v>0</v>
          </cell>
        </row>
        <row r="4331">
          <cell r="E4331" t="str">
            <v>B26001982</v>
          </cell>
          <cell r="AP4331">
            <v>0</v>
          </cell>
          <cell r="AQ4331">
            <v>0</v>
          </cell>
          <cell r="AV4331">
            <v>0</v>
          </cell>
        </row>
        <row r="4332">
          <cell r="E4332" t="str">
            <v>D26002536</v>
          </cell>
          <cell r="AP4332">
            <v>0</v>
          </cell>
          <cell r="AQ4332">
            <v>0</v>
          </cell>
          <cell r="AV4332">
            <v>0</v>
          </cell>
        </row>
        <row r="4333">
          <cell r="E4333" t="str">
            <v>B26002381</v>
          </cell>
          <cell r="AP4333">
            <v>0</v>
          </cell>
          <cell r="AQ4333">
            <v>0</v>
          </cell>
          <cell r="AV4333">
            <v>0</v>
          </cell>
        </row>
        <row r="4334">
          <cell r="E4334" t="str">
            <v>D26002571</v>
          </cell>
          <cell r="AP4334">
            <v>0</v>
          </cell>
          <cell r="AQ4334">
            <v>0</v>
          </cell>
          <cell r="AV4334">
            <v>0</v>
          </cell>
        </row>
        <row r="4335">
          <cell r="E4335" t="str">
            <v>B26002664</v>
          </cell>
          <cell r="AP4335">
            <v>0</v>
          </cell>
          <cell r="AQ4335">
            <v>0</v>
          </cell>
          <cell r="AV4335">
            <v>0</v>
          </cell>
        </row>
        <row r="4336">
          <cell r="E4336" t="str">
            <v>D26002839</v>
          </cell>
          <cell r="AP4336">
            <v>0</v>
          </cell>
          <cell r="AQ4336">
            <v>0</v>
          </cell>
          <cell r="AV4336">
            <v>0</v>
          </cell>
        </row>
        <row r="4337">
          <cell r="E4337" t="str">
            <v>D26003013</v>
          </cell>
          <cell r="AP4337">
            <v>0</v>
          </cell>
          <cell r="AQ4337">
            <v>0</v>
          </cell>
          <cell r="AV4337">
            <v>0</v>
          </cell>
        </row>
        <row r="4338">
          <cell r="E4338" t="str">
            <v>D26003014</v>
          </cell>
          <cell r="AP4338">
            <v>0</v>
          </cell>
          <cell r="AQ4338">
            <v>0</v>
          </cell>
          <cell r="AV4338">
            <v>0</v>
          </cell>
        </row>
        <row r="4339">
          <cell r="E4339" t="str">
            <v>B26002838</v>
          </cell>
          <cell r="AP4339">
            <v>0</v>
          </cell>
          <cell r="AQ4339">
            <v>0</v>
          </cell>
          <cell r="AV4339">
            <v>0</v>
          </cell>
        </row>
        <row r="4340">
          <cell r="E4340" t="str">
            <v>Z26000124</v>
          </cell>
          <cell r="AP4340">
            <v>0</v>
          </cell>
          <cell r="AQ4340">
            <v>0</v>
          </cell>
          <cell r="AV4340">
            <v>0</v>
          </cell>
        </row>
        <row r="4341">
          <cell r="E4341" t="str">
            <v>T26000043</v>
          </cell>
          <cell r="AP4341">
            <v>0</v>
          </cell>
          <cell r="AQ4341">
            <v>0</v>
          </cell>
          <cell r="AV4341">
            <v>0</v>
          </cell>
        </row>
        <row r="4342">
          <cell r="E4342" t="str">
            <v>Z26000135</v>
          </cell>
          <cell r="AP4342">
            <v>0</v>
          </cell>
          <cell r="AQ4342">
            <v>0</v>
          </cell>
          <cell r="AV4342">
            <v>0</v>
          </cell>
        </row>
        <row r="4343">
          <cell r="E4343" t="str">
            <v>Z26000161</v>
          </cell>
          <cell r="AP4343">
            <v>0</v>
          </cell>
          <cell r="AQ4343">
            <v>0</v>
          </cell>
          <cell r="AV4343">
            <v>0</v>
          </cell>
        </row>
        <row r="4344">
          <cell r="E4344" t="str">
            <v>Z26000200</v>
          </cell>
          <cell r="AP4344">
            <v>0</v>
          </cell>
          <cell r="AQ4344">
            <v>0</v>
          </cell>
          <cell r="AV4344">
            <v>0</v>
          </cell>
        </row>
        <row r="4345">
          <cell r="E4345" t="str">
            <v>Z26000205</v>
          </cell>
          <cell r="AP4345">
            <v>0</v>
          </cell>
          <cell r="AQ4345">
            <v>0</v>
          </cell>
          <cell r="AV4345">
            <v>0</v>
          </cell>
        </row>
        <row r="4346">
          <cell r="E4346" t="str">
            <v>Z26000282</v>
          </cell>
          <cell r="AP4346">
            <v>0</v>
          </cell>
          <cell r="AQ4346">
            <v>0</v>
          </cell>
          <cell r="AV4346">
            <v>0</v>
          </cell>
        </row>
        <row r="4347">
          <cell r="E4347" t="str">
            <v>Z26000390</v>
          </cell>
          <cell r="AP4347">
            <v>0</v>
          </cell>
          <cell r="AQ4347">
            <v>0</v>
          </cell>
          <cell r="AV4347">
            <v>0</v>
          </cell>
        </row>
        <row r="4348">
          <cell r="E4348" t="str">
            <v>Z26000463</v>
          </cell>
          <cell r="AP4348">
            <v>0</v>
          </cell>
          <cell r="AQ4348">
            <v>0</v>
          </cell>
          <cell r="AV4348">
            <v>0</v>
          </cell>
        </row>
        <row r="4349">
          <cell r="E4349" t="str">
            <v>Z26000485</v>
          </cell>
          <cell r="AP4349">
            <v>0</v>
          </cell>
          <cell r="AQ4349">
            <v>0</v>
          </cell>
          <cell r="AV4349">
            <v>0</v>
          </cell>
        </row>
        <row r="4350">
          <cell r="E4350" t="str">
            <v>Z26000521</v>
          </cell>
          <cell r="AP4350">
            <v>0</v>
          </cell>
          <cell r="AQ4350">
            <v>0</v>
          </cell>
          <cell r="AV4350">
            <v>0</v>
          </cell>
        </row>
        <row r="4351">
          <cell r="E4351" t="str">
            <v>Z26000587</v>
          </cell>
          <cell r="AP4351">
            <v>0</v>
          </cell>
          <cell r="AQ4351">
            <v>0</v>
          </cell>
          <cell r="AV4351">
            <v>0</v>
          </cell>
        </row>
        <row r="4352">
          <cell r="E4352" t="str">
            <v>Z26000616</v>
          </cell>
          <cell r="AP4352">
            <v>0</v>
          </cell>
          <cell r="AQ4352">
            <v>0</v>
          </cell>
          <cell r="AV4352">
            <v>0</v>
          </cell>
        </row>
        <row r="4353">
          <cell r="E4353" t="str">
            <v>Z26000621</v>
          </cell>
          <cell r="AP4353">
            <v>0</v>
          </cell>
          <cell r="AQ4353">
            <v>0</v>
          </cell>
          <cell r="AV4353">
            <v>0</v>
          </cell>
        </row>
        <row r="4354">
          <cell r="E4354" t="str">
            <v>T26000103</v>
          </cell>
          <cell r="AP4354">
            <v>0</v>
          </cell>
          <cell r="AQ4354">
            <v>0</v>
          </cell>
          <cell r="AV4354">
            <v>0</v>
          </cell>
        </row>
        <row r="4355">
          <cell r="E4355" t="str">
            <v>B26001499</v>
          </cell>
          <cell r="AP4355">
            <v>0</v>
          </cell>
          <cell r="AQ4355">
            <v>0</v>
          </cell>
          <cell r="AV4355">
            <v>0</v>
          </cell>
        </row>
        <row r="4356">
          <cell r="E4356" t="str">
            <v>T26000142</v>
          </cell>
          <cell r="AP4356">
            <v>0</v>
          </cell>
          <cell r="AQ4356">
            <v>0</v>
          </cell>
          <cell r="AV4356">
            <v>0</v>
          </cell>
        </row>
        <row r="4357">
          <cell r="E4357" t="str">
            <v>D25013643</v>
          </cell>
          <cell r="AP4357">
            <v>0</v>
          </cell>
          <cell r="AQ4357">
            <v>0</v>
          </cell>
          <cell r="AV4357">
            <v>0</v>
          </cell>
        </row>
        <row r="4358">
          <cell r="E4358" t="str">
            <v>T26000057K</v>
          </cell>
          <cell r="AP4358">
            <v>0</v>
          </cell>
          <cell r="AQ4358">
            <v>0</v>
          </cell>
          <cell r="AV4358">
            <v>0</v>
          </cell>
        </row>
        <row r="4359">
          <cell r="E4359" t="str">
            <v>D26001076</v>
          </cell>
          <cell r="AP4359">
            <v>0</v>
          </cell>
          <cell r="AQ4359">
            <v>0</v>
          </cell>
          <cell r="AV4359">
            <v>0</v>
          </cell>
        </row>
        <row r="4360">
          <cell r="E4360" t="str">
            <v>D26001626</v>
          </cell>
          <cell r="AP4360">
            <v>0</v>
          </cell>
          <cell r="AQ4360">
            <v>0</v>
          </cell>
          <cell r="AV4360">
            <v>0</v>
          </cell>
        </row>
        <row r="4361">
          <cell r="E4361" t="str">
            <v>D26001627</v>
          </cell>
          <cell r="AP4361">
            <v>0</v>
          </cell>
          <cell r="AQ4361">
            <v>0</v>
          </cell>
          <cell r="AV4361">
            <v>0</v>
          </cell>
        </row>
        <row r="4362">
          <cell r="E4362" t="str">
            <v>D26001931</v>
          </cell>
          <cell r="AP4362">
            <v>0</v>
          </cell>
          <cell r="AQ4362">
            <v>0</v>
          </cell>
          <cell r="AV4362">
            <v>0</v>
          </cell>
        </row>
        <row r="4363">
          <cell r="E4363" t="str">
            <v>D26002939</v>
          </cell>
          <cell r="AP4363">
            <v>0</v>
          </cell>
          <cell r="AQ4363">
            <v>0</v>
          </cell>
          <cell r="AV4363">
            <v>0</v>
          </cell>
        </row>
        <row r="4364">
          <cell r="E4364" t="str">
            <v>D26003002</v>
          </cell>
          <cell r="AP4364">
            <v>0</v>
          </cell>
          <cell r="AQ4364">
            <v>0</v>
          </cell>
          <cell r="AV4364">
            <v>0</v>
          </cell>
        </row>
        <row r="4365">
          <cell r="E4365" t="str">
            <v>B26001166</v>
          </cell>
          <cell r="AP4365">
            <v>0</v>
          </cell>
          <cell r="AQ4365">
            <v>0</v>
          </cell>
          <cell r="AV4365">
            <v>0</v>
          </cell>
        </row>
        <row r="4366">
          <cell r="E4366" t="str">
            <v>D26001234</v>
          </cell>
          <cell r="AP4366">
            <v>0</v>
          </cell>
          <cell r="AQ4366">
            <v>0</v>
          </cell>
          <cell r="AV4366">
            <v>0</v>
          </cell>
        </row>
        <row r="4367">
          <cell r="E4367" t="str">
            <v>B26001512</v>
          </cell>
          <cell r="AP4367">
            <v>0</v>
          </cell>
          <cell r="AQ4367">
            <v>0</v>
          </cell>
          <cell r="AV4367">
            <v>0</v>
          </cell>
        </row>
        <row r="4368">
          <cell r="E4368" t="str">
            <v>B26001558</v>
          </cell>
          <cell r="AP4368">
            <v>0</v>
          </cell>
          <cell r="AQ4368">
            <v>0</v>
          </cell>
          <cell r="AV4368">
            <v>0</v>
          </cell>
        </row>
        <row r="4369">
          <cell r="E4369" t="str">
            <v>D26001701</v>
          </cell>
          <cell r="AP4369">
            <v>0</v>
          </cell>
          <cell r="AQ4369">
            <v>0</v>
          </cell>
          <cell r="AV4369">
            <v>0</v>
          </cell>
        </row>
        <row r="4370">
          <cell r="E4370" t="str">
            <v>B26001708</v>
          </cell>
          <cell r="AP4370">
            <v>0</v>
          </cell>
          <cell r="AQ4370">
            <v>0</v>
          </cell>
          <cell r="AV4370">
            <v>0</v>
          </cell>
        </row>
        <row r="4371">
          <cell r="E4371" t="str">
            <v>D26001767</v>
          </cell>
          <cell r="AP4371">
            <v>0</v>
          </cell>
          <cell r="AQ4371">
            <v>0</v>
          </cell>
          <cell r="AV4371">
            <v>0</v>
          </cell>
        </row>
        <row r="4372">
          <cell r="E4372" t="str">
            <v>D26002278</v>
          </cell>
          <cell r="AP4372">
            <v>0</v>
          </cell>
          <cell r="AQ4372">
            <v>0</v>
          </cell>
          <cell r="AV4372">
            <v>0</v>
          </cell>
        </row>
        <row r="4373">
          <cell r="E4373" t="str">
            <v>D26002407</v>
          </cell>
          <cell r="AP4373">
            <v>0</v>
          </cell>
          <cell r="AQ4373">
            <v>0</v>
          </cell>
          <cell r="AV4373">
            <v>0</v>
          </cell>
        </row>
        <row r="4374">
          <cell r="E4374" t="str">
            <v>B26002330</v>
          </cell>
          <cell r="AP4374">
            <v>0</v>
          </cell>
          <cell r="AQ4374">
            <v>0</v>
          </cell>
          <cell r="AV4374">
            <v>0</v>
          </cell>
        </row>
        <row r="4375">
          <cell r="E4375" t="str">
            <v>D26002509</v>
          </cell>
          <cell r="AP4375">
            <v>0</v>
          </cell>
          <cell r="AQ4375">
            <v>0</v>
          </cell>
          <cell r="AV4375">
            <v>0</v>
          </cell>
        </row>
        <row r="4376">
          <cell r="E4376" t="str">
            <v>D26002575</v>
          </cell>
          <cell r="AP4376">
            <v>0</v>
          </cell>
          <cell r="AQ4376">
            <v>0</v>
          </cell>
          <cell r="AV4376">
            <v>0</v>
          </cell>
        </row>
        <row r="4377">
          <cell r="E4377" t="str">
            <v>D26002645</v>
          </cell>
          <cell r="AP4377">
            <v>0</v>
          </cell>
          <cell r="AQ4377">
            <v>0</v>
          </cell>
          <cell r="AV4377">
            <v>0</v>
          </cell>
        </row>
        <row r="4378">
          <cell r="E4378" t="str">
            <v>B26002490</v>
          </cell>
          <cell r="AP4378">
            <v>0</v>
          </cell>
          <cell r="AQ4378">
            <v>0</v>
          </cell>
          <cell r="AV4378">
            <v>0</v>
          </cell>
        </row>
        <row r="4379">
          <cell r="E4379" t="str">
            <v>B26002491</v>
          </cell>
          <cell r="AP4379">
            <v>0</v>
          </cell>
          <cell r="AQ4379">
            <v>0</v>
          </cell>
          <cell r="AV4379">
            <v>0</v>
          </cell>
        </row>
        <row r="4380">
          <cell r="E4380" t="str">
            <v>D26002846</v>
          </cell>
          <cell r="AP4380">
            <v>0</v>
          </cell>
          <cell r="AQ4380">
            <v>0</v>
          </cell>
          <cell r="AV4380">
            <v>0</v>
          </cell>
        </row>
        <row r="4381">
          <cell r="E4381" t="str">
            <v>D26003239</v>
          </cell>
          <cell r="AP4381">
            <v>0</v>
          </cell>
          <cell r="AQ4381">
            <v>0</v>
          </cell>
          <cell r="AV4381">
            <v>0</v>
          </cell>
        </row>
        <row r="4382">
          <cell r="E4382" t="str">
            <v>D26001700</v>
          </cell>
          <cell r="AP4382">
            <v>0</v>
          </cell>
          <cell r="AQ4382">
            <v>0</v>
          </cell>
          <cell r="AV4382">
            <v>0</v>
          </cell>
        </row>
        <row r="4383">
          <cell r="E4383" t="str">
            <v>B26001922</v>
          </cell>
          <cell r="AP4383">
            <v>0</v>
          </cell>
          <cell r="AQ4383">
            <v>0</v>
          </cell>
          <cell r="AV4383">
            <v>0</v>
          </cell>
        </row>
        <row r="4384">
          <cell r="E4384" t="str">
            <v>D26002386</v>
          </cell>
          <cell r="AP4384">
            <v>0</v>
          </cell>
          <cell r="AQ4384">
            <v>0</v>
          </cell>
          <cell r="AV4384">
            <v>0</v>
          </cell>
        </row>
        <row r="4385">
          <cell r="E4385" t="str">
            <v>D26003043</v>
          </cell>
          <cell r="AP4385">
            <v>0</v>
          </cell>
          <cell r="AQ4385">
            <v>0</v>
          </cell>
          <cell r="AV4385">
            <v>0</v>
          </cell>
        </row>
        <row r="4386">
          <cell r="E4386" t="str">
            <v>T26000258</v>
          </cell>
          <cell r="AP4386">
            <v>0</v>
          </cell>
          <cell r="AQ4386">
            <v>0</v>
          </cell>
          <cell r="AV4386">
            <v>0</v>
          </cell>
        </row>
        <row r="4387">
          <cell r="E4387" t="str">
            <v>D26001785</v>
          </cell>
          <cell r="AP4387">
            <v>0</v>
          </cell>
          <cell r="AQ4387">
            <v>0</v>
          </cell>
          <cell r="AV4387">
            <v>0</v>
          </cell>
        </row>
        <row r="4388">
          <cell r="E4388" t="str">
            <v>D26002184</v>
          </cell>
          <cell r="AP4388">
            <v>0</v>
          </cell>
          <cell r="AQ4388">
            <v>0</v>
          </cell>
          <cell r="AV4388">
            <v>0</v>
          </cell>
        </row>
        <row r="4389">
          <cell r="E4389" t="str">
            <v>B26002211</v>
          </cell>
          <cell r="AP4389">
            <v>0</v>
          </cell>
          <cell r="AQ4389">
            <v>0</v>
          </cell>
          <cell r="AV4389">
            <v>0</v>
          </cell>
        </row>
        <row r="4390">
          <cell r="E4390" t="str">
            <v>B26002230</v>
          </cell>
          <cell r="AP4390">
            <v>0</v>
          </cell>
          <cell r="AQ4390">
            <v>0</v>
          </cell>
          <cell r="AV4390">
            <v>0</v>
          </cell>
        </row>
        <row r="4391">
          <cell r="E4391" t="str">
            <v>B26002472</v>
          </cell>
          <cell r="AP4391">
            <v>0</v>
          </cell>
          <cell r="AQ4391">
            <v>0</v>
          </cell>
          <cell r="AV4391">
            <v>0</v>
          </cell>
        </row>
        <row r="4392">
          <cell r="E4392" t="str">
            <v>D26002857</v>
          </cell>
          <cell r="AP4392">
            <v>0</v>
          </cell>
          <cell r="AQ4392">
            <v>0</v>
          </cell>
          <cell r="AV4392">
            <v>0</v>
          </cell>
        </row>
        <row r="4393">
          <cell r="E4393" t="str">
            <v>B26002693</v>
          </cell>
          <cell r="AP4393">
            <v>0</v>
          </cell>
          <cell r="AQ4393">
            <v>0</v>
          </cell>
          <cell r="AV4393">
            <v>0</v>
          </cell>
        </row>
        <row r="4394">
          <cell r="E4394" t="str">
            <v>B26002761</v>
          </cell>
          <cell r="AP4394">
            <v>0</v>
          </cell>
          <cell r="AQ4394">
            <v>0</v>
          </cell>
          <cell r="AV4394">
            <v>0</v>
          </cell>
        </row>
        <row r="4395">
          <cell r="E4395" t="str">
            <v>D26002983</v>
          </cell>
          <cell r="AP4395">
            <v>0</v>
          </cell>
          <cell r="AQ4395">
            <v>0</v>
          </cell>
          <cell r="AV4395">
            <v>0</v>
          </cell>
        </row>
        <row r="4396">
          <cell r="E4396" t="str">
            <v>B26002935</v>
          </cell>
          <cell r="AP4396">
            <v>0</v>
          </cell>
          <cell r="AQ4396">
            <v>0</v>
          </cell>
          <cell r="AV4396">
            <v>0</v>
          </cell>
        </row>
        <row r="4397">
          <cell r="E4397" t="str">
            <v>D26003254</v>
          </cell>
          <cell r="AP4397">
            <v>0</v>
          </cell>
          <cell r="AQ4397">
            <v>0</v>
          </cell>
          <cell r="AV4397">
            <v>0</v>
          </cell>
        </row>
        <row r="4398">
          <cell r="E4398" t="str">
            <v>N26000031</v>
          </cell>
          <cell r="AP4398">
            <v>0</v>
          </cell>
          <cell r="AQ4398">
            <v>0</v>
          </cell>
          <cell r="AV4398">
            <v>0</v>
          </cell>
        </row>
        <row r="4399">
          <cell r="E4399" t="str">
            <v>D25016428</v>
          </cell>
          <cell r="AP4399">
            <v>0</v>
          </cell>
          <cell r="AQ4399">
            <v>0</v>
          </cell>
          <cell r="AV4399">
            <v>0</v>
          </cell>
        </row>
        <row r="4400">
          <cell r="E4400" t="str">
            <v>D25016444</v>
          </cell>
          <cell r="AP4400">
            <v>0</v>
          </cell>
          <cell r="AQ4400">
            <v>0</v>
          </cell>
          <cell r="AV4400">
            <v>0</v>
          </cell>
        </row>
        <row r="4401">
          <cell r="E4401" t="str">
            <v>B25014380</v>
          </cell>
          <cell r="AP4401">
            <v>0</v>
          </cell>
          <cell r="AQ4401">
            <v>0</v>
          </cell>
          <cell r="AV4401">
            <v>0</v>
          </cell>
        </row>
        <row r="4402">
          <cell r="E4402" t="str">
            <v>B25014914</v>
          </cell>
          <cell r="AP4402">
            <v>0</v>
          </cell>
          <cell r="AQ4402">
            <v>0</v>
          </cell>
          <cell r="AV4402">
            <v>0</v>
          </cell>
        </row>
        <row r="4403">
          <cell r="E4403" t="str">
            <v>B25014915</v>
          </cell>
          <cell r="AP4403">
            <v>0</v>
          </cell>
          <cell r="AQ4403">
            <v>0</v>
          </cell>
          <cell r="AV4403">
            <v>0</v>
          </cell>
        </row>
        <row r="4404">
          <cell r="E4404" t="str">
            <v>B25014916</v>
          </cell>
          <cell r="AP4404">
            <v>0</v>
          </cell>
          <cell r="AQ4404">
            <v>0</v>
          </cell>
          <cell r="AV4404">
            <v>0</v>
          </cell>
        </row>
        <row r="4405">
          <cell r="E4405" t="str">
            <v>B25014917</v>
          </cell>
          <cell r="AP4405">
            <v>0</v>
          </cell>
          <cell r="AQ4405">
            <v>0</v>
          </cell>
          <cell r="AV4405">
            <v>0</v>
          </cell>
        </row>
        <row r="4406">
          <cell r="E4406" t="str">
            <v>B25014921</v>
          </cell>
          <cell r="AP4406">
            <v>0</v>
          </cell>
          <cell r="AQ4406">
            <v>0</v>
          </cell>
          <cell r="AV4406">
            <v>0</v>
          </cell>
        </row>
        <row r="4407">
          <cell r="E4407" t="str">
            <v>D25017196</v>
          </cell>
          <cell r="AP4407">
            <v>0</v>
          </cell>
          <cell r="AQ4407">
            <v>0</v>
          </cell>
          <cell r="AV4407">
            <v>0</v>
          </cell>
        </row>
        <row r="4408">
          <cell r="E4408" t="str">
            <v>B25016405</v>
          </cell>
          <cell r="AP4408">
            <v>0</v>
          </cell>
          <cell r="AQ4408">
            <v>0</v>
          </cell>
          <cell r="AV4408">
            <v>0</v>
          </cell>
        </row>
        <row r="4409">
          <cell r="E4409" t="str">
            <v>B25016539</v>
          </cell>
          <cell r="AP4409">
            <v>0</v>
          </cell>
          <cell r="AQ4409">
            <v>0</v>
          </cell>
          <cell r="AV4409">
            <v>0</v>
          </cell>
        </row>
        <row r="4410">
          <cell r="E4410" t="str">
            <v>B25016540</v>
          </cell>
          <cell r="AP4410">
            <v>0</v>
          </cell>
          <cell r="AQ4410">
            <v>0</v>
          </cell>
          <cell r="AV4410">
            <v>0</v>
          </cell>
        </row>
        <row r="4411">
          <cell r="E4411" t="str">
            <v>D25019392</v>
          </cell>
          <cell r="AP4411">
            <v>0</v>
          </cell>
          <cell r="AQ4411">
            <v>0</v>
          </cell>
          <cell r="AV4411">
            <v>0</v>
          </cell>
        </row>
        <row r="4412">
          <cell r="E4412" t="str">
            <v>D25019402</v>
          </cell>
          <cell r="AP4412">
            <v>0</v>
          </cell>
          <cell r="AQ4412">
            <v>0</v>
          </cell>
          <cell r="AV4412">
            <v>0</v>
          </cell>
        </row>
        <row r="4413">
          <cell r="E4413" t="str">
            <v>B26000529</v>
          </cell>
          <cell r="AP4413">
            <v>0</v>
          </cell>
          <cell r="AQ4413">
            <v>0</v>
          </cell>
          <cell r="AV4413">
            <v>0</v>
          </cell>
        </row>
        <row r="4414">
          <cell r="E4414" t="str">
            <v>B26000530</v>
          </cell>
          <cell r="AP4414">
            <v>0</v>
          </cell>
          <cell r="AQ4414">
            <v>0</v>
          </cell>
          <cell r="AV4414">
            <v>0</v>
          </cell>
        </row>
        <row r="4415">
          <cell r="E4415" t="str">
            <v>B26000643</v>
          </cell>
          <cell r="AP4415">
            <v>0</v>
          </cell>
          <cell r="AQ4415">
            <v>0</v>
          </cell>
          <cell r="AV4415">
            <v>0</v>
          </cell>
        </row>
        <row r="4416">
          <cell r="E4416" t="str">
            <v>D26000729</v>
          </cell>
          <cell r="AP4416">
            <v>0</v>
          </cell>
          <cell r="AQ4416">
            <v>0</v>
          </cell>
          <cell r="AV4416">
            <v>0</v>
          </cell>
        </row>
        <row r="4417">
          <cell r="E4417" t="str">
            <v>D26002722</v>
          </cell>
          <cell r="AP4417">
            <v>0</v>
          </cell>
          <cell r="AQ4417">
            <v>0</v>
          </cell>
          <cell r="AV4417">
            <v>0</v>
          </cell>
        </row>
        <row r="4418">
          <cell r="E4418" t="str">
            <v>D26002723</v>
          </cell>
          <cell r="AP4418">
            <v>0</v>
          </cell>
          <cell r="AQ4418">
            <v>0</v>
          </cell>
          <cell r="AV4418">
            <v>0</v>
          </cell>
        </row>
        <row r="4419">
          <cell r="E4419" t="str">
            <v>D26001356</v>
          </cell>
          <cell r="AP4419">
            <v>0</v>
          </cell>
          <cell r="AQ4419">
            <v>0</v>
          </cell>
          <cell r="AV4419">
            <v>0</v>
          </cell>
        </row>
        <row r="4420">
          <cell r="E4420" t="str">
            <v>D25019084</v>
          </cell>
          <cell r="AP4420">
            <v>0</v>
          </cell>
          <cell r="AQ4420">
            <v>0</v>
          </cell>
          <cell r="AV4420">
            <v>0</v>
          </cell>
        </row>
        <row r="4421">
          <cell r="E4421" t="str">
            <v>B25016980</v>
          </cell>
          <cell r="AP4421">
            <v>0</v>
          </cell>
          <cell r="AQ4421">
            <v>0</v>
          </cell>
          <cell r="AV4421">
            <v>0</v>
          </cell>
        </row>
        <row r="4422">
          <cell r="E4422" t="str">
            <v>B25016990</v>
          </cell>
          <cell r="AP4422">
            <v>0</v>
          </cell>
          <cell r="AQ4422">
            <v>0</v>
          </cell>
          <cell r="AV4422">
            <v>0</v>
          </cell>
        </row>
        <row r="4423">
          <cell r="E4423" t="str">
            <v>B25016991</v>
          </cell>
          <cell r="AP4423">
            <v>0</v>
          </cell>
          <cell r="AQ4423">
            <v>0</v>
          </cell>
          <cell r="AV4423">
            <v>0</v>
          </cell>
        </row>
        <row r="4424">
          <cell r="E4424" t="str">
            <v>B25016991</v>
          </cell>
          <cell r="AP4424">
            <v>0</v>
          </cell>
          <cell r="AQ4424">
            <v>0</v>
          </cell>
          <cell r="AV4424">
            <v>0</v>
          </cell>
        </row>
        <row r="4425">
          <cell r="E4425" t="str">
            <v>B25017032</v>
          </cell>
          <cell r="AP4425">
            <v>0</v>
          </cell>
          <cell r="AQ4425">
            <v>0</v>
          </cell>
          <cell r="AV4425">
            <v>0</v>
          </cell>
        </row>
        <row r="4426">
          <cell r="E4426" t="str">
            <v>D25019592</v>
          </cell>
          <cell r="AP4426">
            <v>0</v>
          </cell>
          <cell r="AQ4426">
            <v>0</v>
          </cell>
          <cell r="AV4426">
            <v>0</v>
          </cell>
        </row>
        <row r="4427">
          <cell r="E4427" t="str">
            <v>D25019597</v>
          </cell>
          <cell r="AP4427">
            <v>0</v>
          </cell>
          <cell r="AQ4427">
            <v>0</v>
          </cell>
          <cell r="AV4427">
            <v>0</v>
          </cell>
        </row>
        <row r="4428">
          <cell r="E4428" t="str">
            <v>B26000133</v>
          </cell>
          <cell r="AP4428">
            <v>0</v>
          </cell>
          <cell r="AQ4428">
            <v>0</v>
          </cell>
          <cell r="AV4428">
            <v>0</v>
          </cell>
        </row>
        <row r="4429">
          <cell r="E4429" t="str">
            <v>B26000462</v>
          </cell>
          <cell r="AP4429">
            <v>0</v>
          </cell>
          <cell r="AQ4429">
            <v>0</v>
          </cell>
          <cell r="AV4429">
            <v>0</v>
          </cell>
        </row>
        <row r="4430">
          <cell r="E4430" t="str">
            <v>D26000538</v>
          </cell>
          <cell r="AP4430">
            <v>0</v>
          </cell>
          <cell r="AQ4430">
            <v>0</v>
          </cell>
          <cell r="AV4430">
            <v>0</v>
          </cell>
        </row>
        <row r="4431">
          <cell r="E4431" t="str">
            <v>D26000723</v>
          </cell>
          <cell r="AP4431">
            <v>0</v>
          </cell>
          <cell r="AQ4431">
            <v>0</v>
          </cell>
          <cell r="AV4431">
            <v>0</v>
          </cell>
        </row>
        <row r="4432">
          <cell r="E4432" t="str">
            <v>D26000739</v>
          </cell>
          <cell r="AP4432">
            <v>0</v>
          </cell>
          <cell r="AQ4432">
            <v>0</v>
          </cell>
          <cell r="AV4432">
            <v>0</v>
          </cell>
        </row>
        <row r="4433">
          <cell r="E4433" t="str">
            <v>D26000739</v>
          </cell>
          <cell r="AP4433">
            <v>0</v>
          </cell>
          <cell r="AQ4433">
            <v>0</v>
          </cell>
          <cell r="AV4433">
            <v>0</v>
          </cell>
        </row>
        <row r="4434">
          <cell r="E4434" t="str">
            <v>B26000959</v>
          </cell>
          <cell r="AP4434">
            <v>0</v>
          </cell>
          <cell r="AQ4434">
            <v>0</v>
          </cell>
          <cell r="AV4434">
            <v>0</v>
          </cell>
        </row>
        <row r="4435">
          <cell r="E4435" t="str">
            <v>B26001021</v>
          </cell>
          <cell r="AP4435">
            <v>0</v>
          </cell>
          <cell r="AQ4435">
            <v>0</v>
          </cell>
          <cell r="AV4435">
            <v>0</v>
          </cell>
        </row>
        <row r="4436">
          <cell r="E4436" t="str">
            <v>B26001021</v>
          </cell>
          <cell r="AP4436">
            <v>0</v>
          </cell>
          <cell r="AQ4436">
            <v>0</v>
          </cell>
          <cell r="AV4436">
            <v>0</v>
          </cell>
        </row>
        <row r="4437">
          <cell r="E4437" t="str">
            <v>D26001118</v>
          </cell>
          <cell r="AP4437">
            <v>0</v>
          </cell>
          <cell r="AQ4437">
            <v>0</v>
          </cell>
          <cell r="AV4437">
            <v>0</v>
          </cell>
        </row>
        <row r="4438">
          <cell r="E4438" t="str">
            <v>D26001135</v>
          </cell>
          <cell r="AP4438">
            <v>0</v>
          </cell>
          <cell r="AQ4438">
            <v>0</v>
          </cell>
          <cell r="AV4438">
            <v>0</v>
          </cell>
        </row>
        <row r="4439">
          <cell r="E4439" t="str">
            <v>D26001136</v>
          </cell>
          <cell r="AP4439">
            <v>0</v>
          </cell>
          <cell r="AQ4439">
            <v>0</v>
          </cell>
          <cell r="AV4439">
            <v>0</v>
          </cell>
        </row>
        <row r="4440">
          <cell r="E4440" t="str">
            <v>D26001136</v>
          </cell>
          <cell r="AP4440">
            <v>0</v>
          </cell>
          <cell r="AQ4440">
            <v>0</v>
          </cell>
          <cell r="AV4440">
            <v>0</v>
          </cell>
        </row>
        <row r="4441">
          <cell r="E4441" t="str">
            <v>D26001241</v>
          </cell>
          <cell r="AP4441">
            <v>0</v>
          </cell>
          <cell r="AQ4441">
            <v>0</v>
          </cell>
          <cell r="AV4441">
            <v>0</v>
          </cell>
        </row>
        <row r="4442">
          <cell r="E4442" t="str">
            <v>B26001419</v>
          </cell>
          <cell r="AP4442">
            <v>0</v>
          </cell>
          <cell r="AQ4442">
            <v>0</v>
          </cell>
          <cell r="AV4442">
            <v>0</v>
          </cell>
        </row>
        <row r="4443">
          <cell r="E4443" t="str">
            <v>D26001572</v>
          </cell>
          <cell r="AP4443">
            <v>0</v>
          </cell>
          <cell r="AQ4443">
            <v>0</v>
          </cell>
          <cell r="AV4443">
            <v>0</v>
          </cell>
        </row>
        <row r="4444">
          <cell r="E4444" t="str">
            <v>D26001922</v>
          </cell>
          <cell r="AP4444">
            <v>0</v>
          </cell>
          <cell r="AQ4444">
            <v>0</v>
          </cell>
          <cell r="AV4444">
            <v>0</v>
          </cell>
        </row>
        <row r="4445">
          <cell r="E4445" t="str">
            <v>D26001922</v>
          </cell>
          <cell r="AP4445">
            <v>0</v>
          </cell>
          <cell r="AQ4445">
            <v>0</v>
          </cell>
          <cell r="AV4445">
            <v>0</v>
          </cell>
        </row>
        <row r="4446">
          <cell r="E4446" t="str">
            <v>D26001955</v>
          </cell>
          <cell r="AP4446">
            <v>0</v>
          </cell>
          <cell r="AQ4446">
            <v>0</v>
          </cell>
          <cell r="AV4446">
            <v>0</v>
          </cell>
        </row>
        <row r="4447">
          <cell r="E4447" t="str">
            <v>D26001956</v>
          </cell>
          <cell r="AP4447">
            <v>0</v>
          </cell>
          <cell r="AQ4447">
            <v>0</v>
          </cell>
          <cell r="AV4447">
            <v>0</v>
          </cell>
        </row>
        <row r="4448">
          <cell r="E4448" t="str">
            <v>D26002114</v>
          </cell>
          <cell r="AP4448">
            <v>0</v>
          </cell>
          <cell r="AQ4448">
            <v>0</v>
          </cell>
          <cell r="AV4448">
            <v>0</v>
          </cell>
        </row>
        <row r="4449">
          <cell r="E4449" t="str">
            <v>B26002191</v>
          </cell>
          <cell r="AP4449">
            <v>0</v>
          </cell>
          <cell r="AQ4449">
            <v>0</v>
          </cell>
          <cell r="AV4449">
            <v>0</v>
          </cell>
        </row>
        <row r="4450">
          <cell r="E4450" t="str">
            <v>B26002465</v>
          </cell>
          <cell r="AP4450">
            <v>0</v>
          </cell>
          <cell r="AQ4450">
            <v>0</v>
          </cell>
          <cell r="AV4450">
            <v>0</v>
          </cell>
        </row>
        <row r="4451">
          <cell r="E4451" t="str">
            <v>D26002716</v>
          </cell>
          <cell r="AP4451">
            <v>0</v>
          </cell>
          <cell r="AQ4451">
            <v>0</v>
          </cell>
          <cell r="AV4451">
            <v>0</v>
          </cell>
        </row>
        <row r="4452">
          <cell r="E4452" t="str">
            <v>D26002729</v>
          </cell>
          <cell r="AP4452">
            <v>0</v>
          </cell>
          <cell r="AQ4452">
            <v>0</v>
          </cell>
          <cell r="AV4452">
            <v>0</v>
          </cell>
        </row>
        <row r="4453">
          <cell r="E4453" t="str">
            <v>D26002968</v>
          </cell>
          <cell r="AP4453">
            <v>0</v>
          </cell>
          <cell r="AQ4453">
            <v>0</v>
          </cell>
          <cell r="AV4453">
            <v>0</v>
          </cell>
        </row>
        <row r="4454">
          <cell r="E4454" t="str">
            <v>B26002999</v>
          </cell>
          <cell r="AP4454">
            <v>0</v>
          </cell>
          <cell r="AQ4454">
            <v>0</v>
          </cell>
          <cell r="AV4454">
            <v>0</v>
          </cell>
        </row>
        <row r="4455">
          <cell r="E4455" t="str">
            <v>B26003002</v>
          </cell>
          <cell r="AP4455">
            <v>0</v>
          </cell>
          <cell r="AQ4455">
            <v>0</v>
          </cell>
          <cell r="AV4455">
            <v>0</v>
          </cell>
        </row>
        <row r="4456">
          <cell r="E4456" t="str">
            <v>B26003003</v>
          </cell>
          <cell r="AP4456">
            <v>0</v>
          </cell>
          <cell r="AQ4456">
            <v>0</v>
          </cell>
          <cell r="AV4456">
            <v>0</v>
          </cell>
        </row>
        <row r="4457">
          <cell r="E4457" t="str">
            <v>B26000741</v>
          </cell>
          <cell r="AP4457">
            <v>0</v>
          </cell>
          <cell r="AQ4457">
            <v>0</v>
          </cell>
          <cell r="AV4457">
            <v>0</v>
          </cell>
        </row>
        <row r="4458">
          <cell r="E4458" t="str">
            <v>D26000835</v>
          </cell>
          <cell r="AP4458">
            <v>0</v>
          </cell>
          <cell r="AQ4458">
            <v>0</v>
          </cell>
          <cell r="AV4458">
            <v>0</v>
          </cell>
        </row>
        <row r="4459">
          <cell r="E4459" t="str">
            <v>D26001063</v>
          </cell>
          <cell r="AP4459">
            <v>0</v>
          </cell>
          <cell r="AQ4459">
            <v>0</v>
          </cell>
          <cell r="AV4459">
            <v>0</v>
          </cell>
        </row>
        <row r="4460">
          <cell r="E4460" t="str">
            <v>D26001561</v>
          </cell>
          <cell r="AP4460">
            <v>0</v>
          </cell>
          <cell r="AQ4460">
            <v>0</v>
          </cell>
          <cell r="AV4460">
            <v>0</v>
          </cell>
        </row>
        <row r="4461">
          <cell r="E4461" t="str">
            <v>B26001477</v>
          </cell>
          <cell r="AP4461">
            <v>0</v>
          </cell>
          <cell r="AQ4461">
            <v>0</v>
          </cell>
          <cell r="AV4461">
            <v>0</v>
          </cell>
        </row>
        <row r="4462">
          <cell r="E4462" t="str">
            <v>D26002915</v>
          </cell>
          <cell r="AP4462">
            <v>0</v>
          </cell>
          <cell r="AQ4462">
            <v>0</v>
          </cell>
          <cell r="AV4462">
            <v>0</v>
          </cell>
        </row>
        <row r="4463">
          <cell r="E4463" t="str">
            <v>D26002916</v>
          </cell>
          <cell r="AP4463">
            <v>0</v>
          </cell>
          <cell r="AQ4463">
            <v>0</v>
          </cell>
          <cell r="AV4463">
            <v>0</v>
          </cell>
        </row>
        <row r="4464">
          <cell r="E4464" t="str">
            <v>D26002933</v>
          </cell>
          <cell r="AP4464">
            <v>0</v>
          </cell>
          <cell r="AQ4464">
            <v>0</v>
          </cell>
          <cell r="AV4464">
            <v>0</v>
          </cell>
        </row>
        <row r="4465">
          <cell r="E4465" t="str">
            <v>Z26000035</v>
          </cell>
          <cell r="AP4465">
            <v>0</v>
          </cell>
          <cell r="AQ4465">
            <v>0</v>
          </cell>
          <cell r="AV4465">
            <v>0</v>
          </cell>
        </row>
        <row r="4466">
          <cell r="E4466" t="str">
            <v>Z26000233</v>
          </cell>
          <cell r="AP4466">
            <v>0</v>
          </cell>
          <cell r="AQ4466">
            <v>0</v>
          </cell>
          <cell r="AV4466">
            <v>0</v>
          </cell>
        </row>
        <row r="4467">
          <cell r="E4467" t="str">
            <v>D25015258</v>
          </cell>
          <cell r="AP4467">
            <v>0</v>
          </cell>
          <cell r="AQ4467">
            <v>0</v>
          </cell>
          <cell r="AV4467">
            <v>0</v>
          </cell>
        </row>
        <row r="4468">
          <cell r="E4468" t="str">
            <v>D26001097</v>
          </cell>
          <cell r="AP4468">
            <v>0</v>
          </cell>
          <cell r="AQ4468">
            <v>0</v>
          </cell>
          <cell r="AV4468">
            <v>0</v>
          </cell>
        </row>
        <row r="4469">
          <cell r="E4469" t="str">
            <v>B26002929</v>
          </cell>
          <cell r="AP4469">
            <v>0</v>
          </cell>
          <cell r="AQ4469">
            <v>0</v>
          </cell>
          <cell r="AV4469">
            <v>952500</v>
          </cell>
        </row>
        <row r="4470">
          <cell r="E4470" t="str">
            <v>B26003034</v>
          </cell>
          <cell r="AP4470">
            <v>0</v>
          </cell>
          <cell r="AQ4470">
            <v>0</v>
          </cell>
          <cell r="AV4470">
            <v>0</v>
          </cell>
        </row>
        <row r="4471">
          <cell r="E4471" t="str">
            <v>D26002637</v>
          </cell>
          <cell r="AP4471">
            <v>0</v>
          </cell>
          <cell r="AQ4471">
            <v>0</v>
          </cell>
          <cell r="AV4471">
            <v>0</v>
          </cell>
        </row>
        <row r="4472">
          <cell r="E4472" t="str">
            <v>D26000073</v>
          </cell>
          <cell r="AP4472">
            <v>0</v>
          </cell>
          <cell r="AQ4472">
            <v>0</v>
          </cell>
          <cell r="AV4472">
            <v>0</v>
          </cell>
        </row>
        <row r="4473">
          <cell r="E4473" t="str">
            <v>T26000014</v>
          </cell>
          <cell r="AP4473">
            <v>0</v>
          </cell>
          <cell r="AQ4473">
            <v>0</v>
          </cell>
          <cell r="AV4473">
            <v>0</v>
          </cell>
        </row>
        <row r="4474">
          <cell r="E4474" t="str">
            <v>D26002204</v>
          </cell>
          <cell r="AP4474">
            <v>0</v>
          </cell>
          <cell r="AQ4474">
            <v>0</v>
          </cell>
          <cell r="AV4474">
            <v>0</v>
          </cell>
        </row>
        <row r="4475">
          <cell r="E4475" t="str">
            <v>D26003250</v>
          </cell>
          <cell r="AP4475">
            <v>0</v>
          </cell>
          <cell r="AQ4475">
            <v>0</v>
          </cell>
          <cell r="AV4475">
            <v>0</v>
          </cell>
        </row>
        <row r="4476">
          <cell r="E4476" t="str">
            <v>B26001962</v>
          </cell>
          <cell r="AP4476">
            <v>0</v>
          </cell>
          <cell r="AQ4476">
            <v>0</v>
          </cell>
          <cell r="AV4476">
            <v>0</v>
          </cell>
        </row>
        <row r="4477">
          <cell r="E4477" t="str">
            <v>D26003156</v>
          </cell>
          <cell r="AP4477">
            <v>0</v>
          </cell>
          <cell r="AQ4477">
            <v>0</v>
          </cell>
          <cell r="AV4477">
            <v>0</v>
          </cell>
        </row>
        <row r="4478">
          <cell r="E4478" t="str">
            <v>D26003157</v>
          </cell>
          <cell r="AP4478">
            <v>0</v>
          </cell>
          <cell r="AQ4478">
            <v>0</v>
          </cell>
          <cell r="AV4478">
            <v>0</v>
          </cell>
        </row>
        <row r="4479">
          <cell r="E4479" t="str">
            <v>D26003158</v>
          </cell>
          <cell r="AP4479">
            <v>0</v>
          </cell>
          <cell r="AQ4479">
            <v>0</v>
          </cell>
          <cell r="AV4479">
            <v>0</v>
          </cell>
        </row>
        <row r="4480">
          <cell r="E4480" t="str">
            <v>T25001626K</v>
          </cell>
          <cell r="AP4480">
            <v>0</v>
          </cell>
          <cell r="AQ4480">
            <v>0</v>
          </cell>
          <cell r="AV4480">
            <v>0</v>
          </cell>
        </row>
        <row r="4481">
          <cell r="E4481" t="str">
            <v>T25001835k</v>
          </cell>
          <cell r="AP4481">
            <v>0</v>
          </cell>
          <cell r="AQ4481">
            <v>0</v>
          </cell>
          <cell r="AV4481">
            <v>0</v>
          </cell>
        </row>
        <row r="4482">
          <cell r="E4482" t="str">
            <v>T25001866</v>
          </cell>
          <cell r="AP4482">
            <v>0</v>
          </cell>
          <cell r="AQ4482">
            <v>0</v>
          </cell>
          <cell r="AV4482">
            <v>0</v>
          </cell>
        </row>
        <row r="4483">
          <cell r="E4483" t="str">
            <v>B26002275</v>
          </cell>
          <cell r="AP4483">
            <v>0</v>
          </cell>
          <cell r="AQ4483">
            <v>0</v>
          </cell>
          <cell r="AV4483">
            <v>0</v>
          </cell>
        </row>
        <row r="4484">
          <cell r="E4484" t="str">
            <v>B26002543</v>
          </cell>
          <cell r="AP4484">
            <v>0</v>
          </cell>
          <cell r="AQ4484">
            <v>0</v>
          </cell>
          <cell r="AV4484">
            <v>0</v>
          </cell>
        </row>
        <row r="4485">
          <cell r="E4485" t="str">
            <v>D26002859</v>
          </cell>
          <cell r="AP4485">
            <v>0</v>
          </cell>
          <cell r="AQ4485">
            <v>0</v>
          </cell>
          <cell r="AV4485">
            <v>0</v>
          </cell>
        </row>
        <row r="4486">
          <cell r="E4486" t="str">
            <v>T26000194</v>
          </cell>
          <cell r="AP4486">
            <v>0</v>
          </cell>
          <cell r="AQ4486">
            <v>0</v>
          </cell>
          <cell r="AV4486">
            <v>0</v>
          </cell>
        </row>
        <row r="4487">
          <cell r="E4487" t="str">
            <v>D26000176</v>
          </cell>
          <cell r="AP4487">
            <v>0</v>
          </cell>
          <cell r="AQ4487">
            <v>0</v>
          </cell>
          <cell r="AV4487">
            <v>0</v>
          </cell>
        </row>
        <row r="4488">
          <cell r="E4488" t="str">
            <v>B26002966</v>
          </cell>
          <cell r="AP4488">
            <v>0</v>
          </cell>
          <cell r="AQ4488">
            <v>0</v>
          </cell>
          <cell r="AV4488">
            <v>0</v>
          </cell>
        </row>
        <row r="4489">
          <cell r="E4489" t="str">
            <v>B26003050</v>
          </cell>
          <cell r="AP4489">
            <v>0</v>
          </cell>
          <cell r="AQ4489">
            <v>0</v>
          </cell>
          <cell r="AV4489">
            <v>0</v>
          </cell>
        </row>
        <row r="4490">
          <cell r="E4490" t="str">
            <v>B26003051</v>
          </cell>
          <cell r="AP4490">
            <v>0</v>
          </cell>
          <cell r="AQ4490">
            <v>0</v>
          </cell>
          <cell r="AV4490">
            <v>0</v>
          </cell>
        </row>
        <row r="4491">
          <cell r="E4491" t="str">
            <v>D26003295</v>
          </cell>
          <cell r="AP4491">
            <v>0</v>
          </cell>
          <cell r="AQ4491">
            <v>0</v>
          </cell>
          <cell r="AV4491">
            <v>0</v>
          </cell>
        </row>
        <row r="4492">
          <cell r="E4492" t="str">
            <v>B26001416</v>
          </cell>
          <cell r="AP4492">
            <v>0</v>
          </cell>
          <cell r="AQ4492">
            <v>0</v>
          </cell>
          <cell r="AV4492">
            <v>0</v>
          </cell>
        </row>
        <row r="4493">
          <cell r="E4493" t="str">
            <v>B26001417</v>
          </cell>
          <cell r="AP4493">
            <v>0</v>
          </cell>
          <cell r="AQ4493">
            <v>0</v>
          </cell>
          <cell r="AV4493">
            <v>0</v>
          </cell>
        </row>
        <row r="4494">
          <cell r="E4494" t="str">
            <v>B26002184</v>
          </cell>
          <cell r="AP4494">
            <v>0</v>
          </cell>
          <cell r="AQ4494">
            <v>0</v>
          </cell>
          <cell r="AV4494">
            <v>0</v>
          </cell>
        </row>
        <row r="4495">
          <cell r="E4495" t="str">
            <v>B25016307</v>
          </cell>
          <cell r="AP4495">
            <v>0</v>
          </cell>
          <cell r="AQ4495">
            <v>0</v>
          </cell>
          <cell r="AV4495">
            <v>0</v>
          </cell>
        </row>
        <row r="4496">
          <cell r="E4496" t="str">
            <v>B26001192</v>
          </cell>
          <cell r="AP4496">
            <v>0</v>
          </cell>
          <cell r="AQ4496">
            <v>0</v>
          </cell>
          <cell r="AV4496">
            <v>0</v>
          </cell>
        </row>
        <row r="4497">
          <cell r="E4497" t="str">
            <v>B26001657</v>
          </cell>
          <cell r="AP4497">
            <v>0</v>
          </cell>
          <cell r="AQ4497">
            <v>0</v>
          </cell>
          <cell r="AV4497">
            <v>0</v>
          </cell>
        </row>
        <row r="4498">
          <cell r="E4498" t="str">
            <v>D26001835</v>
          </cell>
          <cell r="AP4498">
            <v>0</v>
          </cell>
          <cell r="AQ4498">
            <v>0</v>
          </cell>
          <cell r="AV4498">
            <v>0</v>
          </cell>
        </row>
        <row r="4499">
          <cell r="E4499" t="str">
            <v>B26001907</v>
          </cell>
          <cell r="AP4499">
            <v>0</v>
          </cell>
          <cell r="AQ4499">
            <v>0</v>
          </cell>
          <cell r="AV4499">
            <v>0</v>
          </cell>
        </row>
        <row r="4500">
          <cell r="E4500" t="str">
            <v>D26002106</v>
          </cell>
          <cell r="AP4500">
            <v>0</v>
          </cell>
          <cell r="AQ4500">
            <v>0</v>
          </cell>
          <cell r="AV4500">
            <v>0</v>
          </cell>
        </row>
        <row r="4501">
          <cell r="E4501" t="str">
            <v>B26002056</v>
          </cell>
          <cell r="AP4501">
            <v>0</v>
          </cell>
          <cell r="AQ4501">
            <v>0</v>
          </cell>
          <cell r="AV4501">
            <v>0</v>
          </cell>
        </row>
        <row r="4502">
          <cell r="E4502" t="str">
            <v>B26002649</v>
          </cell>
          <cell r="AP4502">
            <v>0</v>
          </cell>
          <cell r="AQ4502">
            <v>0</v>
          </cell>
          <cell r="AV4502">
            <v>0</v>
          </cell>
        </row>
        <row r="4503">
          <cell r="E4503" t="str">
            <v>B26002787</v>
          </cell>
          <cell r="AP4503">
            <v>0</v>
          </cell>
          <cell r="AQ4503">
            <v>0</v>
          </cell>
          <cell r="AV4503">
            <v>0</v>
          </cell>
        </row>
        <row r="4504">
          <cell r="E4504" t="str">
            <v>T26000201k</v>
          </cell>
          <cell r="AP4504">
            <v>0</v>
          </cell>
          <cell r="AQ4504">
            <v>0</v>
          </cell>
          <cell r="AV4504">
            <v>0</v>
          </cell>
        </row>
        <row r="4505">
          <cell r="E4505" t="str">
            <v>B26000378</v>
          </cell>
          <cell r="AP4505">
            <v>0</v>
          </cell>
          <cell r="AQ4505">
            <v>0</v>
          </cell>
          <cell r="AV4505">
            <v>0</v>
          </cell>
        </row>
        <row r="4506">
          <cell r="E4506" t="str">
            <v>D26001960</v>
          </cell>
          <cell r="AP4506">
            <v>0</v>
          </cell>
          <cell r="AQ4506">
            <v>0</v>
          </cell>
          <cell r="AV4506">
            <v>0</v>
          </cell>
        </row>
        <row r="4507">
          <cell r="E4507" t="str">
            <v>T26000133</v>
          </cell>
          <cell r="AP4507">
            <v>0</v>
          </cell>
          <cell r="AQ4507">
            <v>0</v>
          </cell>
          <cell r="AV4507">
            <v>0</v>
          </cell>
        </row>
        <row r="4508">
          <cell r="E4508" t="str">
            <v>D26002376</v>
          </cell>
          <cell r="AP4508">
            <v>0</v>
          </cell>
          <cell r="AQ4508">
            <v>0</v>
          </cell>
          <cell r="AV4508">
            <v>0</v>
          </cell>
        </row>
        <row r="4509">
          <cell r="E4509" t="str">
            <v>B26002845</v>
          </cell>
          <cell r="AP4509">
            <v>0</v>
          </cell>
          <cell r="AQ4509">
            <v>0</v>
          </cell>
          <cell r="AV4509">
            <v>0</v>
          </cell>
        </row>
        <row r="4510">
          <cell r="E4510" t="str">
            <v>D25019695</v>
          </cell>
          <cell r="AP4510">
            <v>0</v>
          </cell>
          <cell r="AQ4510">
            <v>0</v>
          </cell>
          <cell r="AV4510">
            <v>0</v>
          </cell>
        </row>
        <row r="4511">
          <cell r="E4511" t="str">
            <v>B26001528</v>
          </cell>
          <cell r="AP4511">
            <v>0</v>
          </cell>
          <cell r="AQ4511">
            <v>0</v>
          </cell>
          <cell r="AV4511">
            <v>0</v>
          </cell>
        </row>
        <row r="4512">
          <cell r="E4512" t="str">
            <v>B26001529</v>
          </cell>
          <cell r="AP4512">
            <v>0</v>
          </cell>
          <cell r="AQ4512">
            <v>0</v>
          </cell>
          <cell r="AV4512">
            <v>0</v>
          </cell>
        </row>
        <row r="4513">
          <cell r="E4513" t="str">
            <v>D26001681</v>
          </cell>
          <cell r="AP4513">
            <v>0</v>
          </cell>
          <cell r="AQ4513">
            <v>0</v>
          </cell>
          <cell r="AV4513">
            <v>0</v>
          </cell>
        </row>
        <row r="4514">
          <cell r="E4514" t="str">
            <v>D26001813</v>
          </cell>
          <cell r="AP4514">
            <v>0</v>
          </cell>
          <cell r="AQ4514">
            <v>0</v>
          </cell>
          <cell r="AV4514">
            <v>0</v>
          </cell>
        </row>
        <row r="4515">
          <cell r="E4515" t="str">
            <v>D26002259</v>
          </cell>
          <cell r="AP4515">
            <v>0</v>
          </cell>
          <cell r="AQ4515">
            <v>0</v>
          </cell>
          <cell r="AV4515">
            <v>0</v>
          </cell>
        </row>
        <row r="4516">
          <cell r="E4516" t="str">
            <v>B26002651</v>
          </cell>
          <cell r="AP4516">
            <v>0</v>
          </cell>
          <cell r="AQ4516">
            <v>0</v>
          </cell>
          <cell r="AV4516">
            <v>0</v>
          </cell>
        </row>
        <row r="4517">
          <cell r="E4517" t="str">
            <v>D26000026</v>
          </cell>
          <cell r="AP4517">
            <v>0</v>
          </cell>
          <cell r="AQ4517">
            <v>0</v>
          </cell>
          <cell r="AV4517">
            <v>0</v>
          </cell>
        </row>
        <row r="4518">
          <cell r="E4518" t="str">
            <v>D26000027</v>
          </cell>
          <cell r="AP4518">
            <v>0</v>
          </cell>
          <cell r="AQ4518">
            <v>0</v>
          </cell>
          <cell r="AV4518">
            <v>0</v>
          </cell>
        </row>
        <row r="4519">
          <cell r="E4519" t="str">
            <v>D26000216</v>
          </cell>
          <cell r="AP4519">
            <v>0</v>
          </cell>
          <cell r="AQ4519">
            <v>0</v>
          </cell>
          <cell r="AV4519">
            <v>0</v>
          </cell>
        </row>
        <row r="4520">
          <cell r="E4520" t="str">
            <v>D26000217</v>
          </cell>
          <cell r="AP4520">
            <v>0</v>
          </cell>
          <cell r="AQ4520">
            <v>0</v>
          </cell>
          <cell r="AV4520">
            <v>0</v>
          </cell>
        </row>
        <row r="4521">
          <cell r="E4521" t="str">
            <v>D26000218</v>
          </cell>
          <cell r="AP4521">
            <v>0</v>
          </cell>
          <cell r="AQ4521">
            <v>0</v>
          </cell>
          <cell r="AV4521">
            <v>0</v>
          </cell>
        </row>
        <row r="4522">
          <cell r="E4522" t="str">
            <v>B26000559</v>
          </cell>
          <cell r="AP4522">
            <v>0</v>
          </cell>
          <cell r="AQ4522">
            <v>0</v>
          </cell>
          <cell r="AV4522">
            <v>0</v>
          </cell>
        </row>
        <row r="4523">
          <cell r="E4523" t="str">
            <v>B26000560</v>
          </cell>
          <cell r="AP4523">
            <v>0</v>
          </cell>
          <cell r="AQ4523">
            <v>0</v>
          </cell>
          <cell r="AV4523">
            <v>0</v>
          </cell>
        </row>
        <row r="4524">
          <cell r="E4524" t="str">
            <v>B26000569</v>
          </cell>
          <cell r="AP4524">
            <v>0</v>
          </cell>
          <cell r="AQ4524">
            <v>0</v>
          </cell>
          <cell r="AV4524">
            <v>0</v>
          </cell>
        </row>
        <row r="4525">
          <cell r="E4525" t="str">
            <v>B26000570</v>
          </cell>
          <cell r="AP4525">
            <v>0</v>
          </cell>
          <cell r="AQ4525">
            <v>0</v>
          </cell>
          <cell r="AV4525">
            <v>0</v>
          </cell>
        </row>
        <row r="4526">
          <cell r="E4526" t="str">
            <v>D26001528</v>
          </cell>
          <cell r="AP4526">
            <v>0</v>
          </cell>
          <cell r="AQ4526">
            <v>0</v>
          </cell>
          <cell r="AV4526">
            <v>0</v>
          </cell>
        </row>
        <row r="4527">
          <cell r="E4527" t="str">
            <v>B26002039</v>
          </cell>
          <cell r="AP4527">
            <v>0</v>
          </cell>
          <cell r="AQ4527">
            <v>0</v>
          </cell>
          <cell r="AV4527">
            <v>0</v>
          </cell>
        </row>
        <row r="4528">
          <cell r="E4528" t="str">
            <v>B26002200</v>
          </cell>
          <cell r="AP4528">
            <v>0</v>
          </cell>
          <cell r="AQ4528">
            <v>0</v>
          </cell>
          <cell r="AV4528">
            <v>0</v>
          </cell>
        </row>
        <row r="4529">
          <cell r="E4529" t="str">
            <v>D25018132</v>
          </cell>
          <cell r="AP4529">
            <v>0</v>
          </cell>
          <cell r="AQ4529">
            <v>0</v>
          </cell>
          <cell r="AV4529">
            <v>0</v>
          </cell>
        </row>
        <row r="4530">
          <cell r="E4530" t="str">
            <v>D25018308</v>
          </cell>
          <cell r="AP4530">
            <v>0</v>
          </cell>
          <cell r="AQ4530">
            <v>0</v>
          </cell>
          <cell r="AV4530">
            <v>0</v>
          </cell>
        </row>
        <row r="4531">
          <cell r="E4531" t="str">
            <v>B25016700</v>
          </cell>
          <cell r="AP4531">
            <v>0</v>
          </cell>
          <cell r="AQ4531">
            <v>0</v>
          </cell>
          <cell r="AV4531">
            <v>0</v>
          </cell>
        </row>
        <row r="4532">
          <cell r="E4532" t="str">
            <v>B26000038</v>
          </cell>
          <cell r="AP4532">
            <v>0</v>
          </cell>
          <cell r="AQ4532">
            <v>0</v>
          </cell>
          <cell r="AV4532">
            <v>0</v>
          </cell>
        </row>
        <row r="4533">
          <cell r="E4533" t="str">
            <v>B26000298</v>
          </cell>
          <cell r="AP4533">
            <v>0</v>
          </cell>
          <cell r="AQ4533">
            <v>0</v>
          </cell>
          <cell r="AV4533">
            <v>0</v>
          </cell>
        </row>
        <row r="4534">
          <cell r="E4534" t="str">
            <v>B26000593</v>
          </cell>
          <cell r="AP4534">
            <v>0</v>
          </cell>
          <cell r="AQ4534">
            <v>0</v>
          </cell>
          <cell r="AV4534">
            <v>0</v>
          </cell>
        </row>
        <row r="4535">
          <cell r="E4535" t="str">
            <v>D26000625</v>
          </cell>
          <cell r="AP4535">
            <v>0</v>
          </cell>
          <cell r="AQ4535">
            <v>0</v>
          </cell>
          <cell r="AV4535">
            <v>0</v>
          </cell>
        </row>
        <row r="4536">
          <cell r="E4536" t="str">
            <v>B26001110</v>
          </cell>
          <cell r="AP4536">
            <v>0</v>
          </cell>
          <cell r="AQ4536">
            <v>0</v>
          </cell>
          <cell r="AV4536">
            <v>0</v>
          </cell>
        </row>
        <row r="4537">
          <cell r="E4537" t="str">
            <v>B26001694</v>
          </cell>
          <cell r="AP4537">
            <v>0</v>
          </cell>
          <cell r="AQ4537">
            <v>0</v>
          </cell>
          <cell r="AV4537">
            <v>0</v>
          </cell>
        </row>
        <row r="4538">
          <cell r="E4538" t="str">
            <v>D26001787</v>
          </cell>
          <cell r="AP4538">
            <v>0</v>
          </cell>
          <cell r="AQ4538">
            <v>0</v>
          </cell>
          <cell r="AV4538">
            <v>0</v>
          </cell>
        </row>
        <row r="4539">
          <cell r="E4539" t="str">
            <v>D26002030</v>
          </cell>
          <cell r="AP4539">
            <v>0</v>
          </cell>
          <cell r="AQ4539">
            <v>0</v>
          </cell>
          <cell r="AV4539">
            <v>0</v>
          </cell>
        </row>
        <row r="4540">
          <cell r="E4540" t="str">
            <v>D26002361</v>
          </cell>
          <cell r="AP4540">
            <v>0</v>
          </cell>
          <cell r="AQ4540">
            <v>0</v>
          </cell>
          <cell r="AV4540">
            <v>0</v>
          </cell>
        </row>
        <row r="4541">
          <cell r="E4541" t="str">
            <v>B26002289</v>
          </cell>
          <cell r="AP4541">
            <v>0</v>
          </cell>
          <cell r="AQ4541">
            <v>0</v>
          </cell>
          <cell r="AV4541">
            <v>0</v>
          </cell>
        </row>
        <row r="4542">
          <cell r="E4542" t="str">
            <v>D26002511</v>
          </cell>
          <cell r="AP4542">
            <v>0</v>
          </cell>
          <cell r="AQ4542">
            <v>0</v>
          </cell>
          <cell r="AV4542">
            <v>0</v>
          </cell>
        </row>
        <row r="4543">
          <cell r="E4543" t="str">
            <v>D26003100</v>
          </cell>
          <cell r="AP4543">
            <v>0</v>
          </cell>
          <cell r="AQ4543">
            <v>0</v>
          </cell>
          <cell r="AV4543">
            <v>0</v>
          </cell>
        </row>
        <row r="4544">
          <cell r="E4544" t="str">
            <v>B26003066</v>
          </cell>
          <cell r="AP4544">
            <v>0</v>
          </cell>
          <cell r="AQ4544">
            <v>0</v>
          </cell>
          <cell r="AV4544">
            <v>0</v>
          </cell>
        </row>
        <row r="4545">
          <cell r="E4545" t="str">
            <v>D26001851</v>
          </cell>
          <cell r="AP4545">
            <v>0</v>
          </cell>
          <cell r="AQ4545">
            <v>0</v>
          </cell>
          <cell r="AV4545">
            <v>0</v>
          </cell>
        </row>
        <row r="4546">
          <cell r="E4546" t="str">
            <v>D26001852</v>
          </cell>
          <cell r="AP4546">
            <v>0</v>
          </cell>
          <cell r="AQ4546">
            <v>0</v>
          </cell>
          <cell r="AV4546">
            <v>0</v>
          </cell>
        </row>
        <row r="4547">
          <cell r="E4547" t="str">
            <v>D26001885</v>
          </cell>
          <cell r="AP4547">
            <v>0</v>
          </cell>
          <cell r="AQ4547">
            <v>0</v>
          </cell>
          <cell r="AV4547">
            <v>0</v>
          </cell>
        </row>
        <row r="4548">
          <cell r="E4548" t="str">
            <v>B26001338</v>
          </cell>
          <cell r="AP4548">
            <v>0</v>
          </cell>
          <cell r="AQ4548">
            <v>0</v>
          </cell>
          <cell r="AV4548">
            <v>6050000</v>
          </cell>
        </row>
        <row r="4549">
          <cell r="E4549" t="str">
            <v>D26001400</v>
          </cell>
          <cell r="AP4549">
            <v>0</v>
          </cell>
          <cell r="AQ4549">
            <v>0</v>
          </cell>
          <cell r="AV4549">
            <v>1650000</v>
          </cell>
        </row>
        <row r="4550">
          <cell r="E4550" t="str">
            <v>D26001407</v>
          </cell>
          <cell r="AP4550">
            <v>0</v>
          </cell>
          <cell r="AQ4550">
            <v>0</v>
          </cell>
          <cell r="AV4550">
            <v>3086000</v>
          </cell>
        </row>
        <row r="4551">
          <cell r="E4551" t="str">
            <v>B26001661</v>
          </cell>
          <cell r="AP4551">
            <v>0</v>
          </cell>
          <cell r="AQ4551">
            <v>0</v>
          </cell>
          <cell r="AV4551">
            <v>2720000</v>
          </cell>
        </row>
        <row r="4552">
          <cell r="E4552" t="str">
            <v>B26002474</v>
          </cell>
          <cell r="AP4552">
            <v>0</v>
          </cell>
          <cell r="AQ4552">
            <v>0</v>
          </cell>
          <cell r="AV4552">
            <v>900000</v>
          </cell>
        </row>
        <row r="4553">
          <cell r="E4553" t="str">
            <v>B26003068</v>
          </cell>
          <cell r="AP4553">
            <v>0</v>
          </cell>
          <cell r="AQ4553">
            <v>0</v>
          </cell>
          <cell r="AV4553">
            <v>0</v>
          </cell>
        </row>
        <row r="4554">
          <cell r="E4554" t="str">
            <v>T26000261</v>
          </cell>
          <cell r="AP4554">
            <v>0</v>
          </cell>
          <cell r="AQ4554">
            <v>0</v>
          </cell>
          <cell r="AV4554">
            <v>0</v>
          </cell>
        </row>
        <row r="4555">
          <cell r="E4555" t="str">
            <v>B26000631</v>
          </cell>
          <cell r="AP4555">
            <v>0</v>
          </cell>
          <cell r="AQ4555">
            <v>0</v>
          </cell>
          <cell r="AV4555">
            <v>26305000</v>
          </cell>
        </row>
        <row r="4556">
          <cell r="E4556" t="str">
            <v>D26000774</v>
          </cell>
          <cell r="AP4556">
            <v>0</v>
          </cell>
          <cell r="AQ4556">
            <v>0</v>
          </cell>
          <cell r="AV4556">
            <v>8280000</v>
          </cell>
        </row>
        <row r="4557">
          <cell r="E4557" t="str">
            <v>B26000805</v>
          </cell>
          <cell r="AP4557">
            <v>0</v>
          </cell>
          <cell r="AQ4557">
            <v>0</v>
          </cell>
          <cell r="AV4557">
            <v>0</v>
          </cell>
        </row>
        <row r="4558">
          <cell r="E4558" t="str">
            <v>B26000817</v>
          </cell>
          <cell r="AP4558">
            <v>0</v>
          </cell>
          <cell r="AQ4558">
            <v>0</v>
          </cell>
          <cell r="AV4558">
            <v>0</v>
          </cell>
        </row>
        <row r="4559">
          <cell r="E4559" t="str">
            <v>B26000921</v>
          </cell>
          <cell r="AP4559">
            <v>0</v>
          </cell>
          <cell r="AQ4559">
            <v>0</v>
          </cell>
          <cell r="AV4559">
            <v>0</v>
          </cell>
        </row>
        <row r="4560">
          <cell r="E4560" t="str">
            <v>D26001125</v>
          </cell>
          <cell r="AP4560">
            <v>0</v>
          </cell>
          <cell r="AQ4560">
            <v>0</v>
          </cell>
          <cell r="AV4560">
            <v>0</v>
          </cell>
        </row>
        <row r="4561">
          <cell r="E4561" t="str">
            <v>B26001300</v>
          </cell>
          <cell r="AP4561">
            <v>0</v>
          </cell>
          <cell r="AQ4561">
            <v>0</v>
          </cell>
          <cell r="AV4561">
            <v>0</v>
          </cell>
        </row>
        <row r="4562">
          <cell r="E4562" t="str">
            <v>B26001312</v>
          </cell>
          <cell r="AP4562">
            <v>0</v>
          </cell>
          <cell r="AQ4562">
            <v>0</v>
          </cell>
          <cell r="AV4562">
            <v>0</v>
          </cell>
        </row>
        <row r="4563">
          <cell r="E4563" t="str">
            <v>D26001536</v>
          </cell>
          <cell r="AP4563">
            <v>0</v>
          </cell>
          <cell r="AQ4563">
            <v>0</v>
          </cell>
          <cell r="AV4563">
            <v>0</v>
          </cell>
        </row>
        <row r="4564">
          <cell r="E4564" t="str">
            <v>D26001656</v>
          </cell>
          <cell r="AP4564">
            <v>0</v>
          </cell>
          <cell r="AQ4564">
            <v>0</v>
          </cell>
          <cell r="AV4564">
            <v>0</v>
          </cell>
        </row>
        <row r="4565">
          <cell r="E4565" t="str">
            <v>D26001657</v>
          </cell>
          <cell r="AP4565">
            <v>0</v>
          </cell>
          <cell r="AQ4565">
            <v>0</v>
          </cell>
          <cell r="AV4565">
            <v>0</v>
          </cell>
        </row>
        <row r="4566">
          <cell r="E4566" t="str">
            <v>D26001659</v>
          </cell>
          <cell r="AP4566">
            <v>0</v>
          </cell>
          <cell r="AQ4566">
            <v>0</v>
          </cell>
          <cell r="AV4566">
            <v>0</v>
          </cell>
        </row>
        <row r="4567">
          <cell r="E4567" t="str">
            <v>B26001679</v>
          </cell>
          <cell r="AP4567">
            <v>0</v>
          </cell>
          <cell r="AQ4567">
            <v>0</v>
          </cell>
          <cell r="AV4567">
            <v>0</v>
          </cell>
        </row>
        <row r="4568">
          <cell r="E4568" t="str">
            <v>B26001769</v>
          </cell>
          <cell r="AP4568">
            <v>0</v>
          </cell>
          <cell r="AQ4568">
            <v>0</v>
          </cell>
          <cell r="AV4568">
            <v>0</v>
          </cell>
        </row>
        <row r="4569">
          <cell r="E4569" t="str">
            <v>B26001770</v>
          </cell>
          <cell r="AP4569">
            <v>0</v>
          </cell>
          <cell r="AQ4569">
            <v>0</v>
          </cell>
          <cell r="AV4569">
            <v>0</v>
          </cell>
        </row>
        <row r="4570">
          <cell r="E4570" t="str">
            <v>B26001776</v>
          </cell>
          <cell r="AP4570">
            <v>0</v>
          </cell>
          <cell r="AQ4570">
            <v>0</v>
          </cell>
          <cell r="AV4570">
            <v>0</v>
          </cell>
        </row>
        <row r="4571">
          <cell r="E4571" t="str">
            <v>B26001941</v>
          </cell>
          <cell r="AP4571">
            <v>0</v>
          </cell>
          <cell r="AQ4571">
            <v>0</v>
          </cell>
          <cell r="AV4571">
            <v>0</v>
          </cell>
        </row>
        <row r="4572">
          <cell r="E4572" t="str">
            <v>D26002133</v>
          </cell>
          <cell r="AP4572">
            <v>0</v>
          </cell>
          <cell r="AQ4572">
            <v>0</v>
          </cell>
          <cell r="AV4572">
            <v>0</v>
          </cell>
        </row>
        <row r="4573">
          <cell r="E4573" t="str">
            <v>B26002264</v>
          </cell>
          <cell r="AP4573">
            <v>0</v>
          </cell>
          <cell r="AQ4573">
            <v>0</v>
          </cell>
          <cell r="AV4573">
            <v>0</v>
          </cell>
        </row>
        <row r="4574">
          <cell r="E4574" t="str">
            <v>B26002280</v>
          </cell>
          <cell r="AP4574">
            <v>0</v>
          </cell>
          <cell r="AQ4574">
            <v>0</v>
          </cell>
          <cell r="AV4574">
            <v>0</v>
          </cell>
        </row>
        <row r="4575">
          <cell r="E4575" t="str">
            <v>B26002305</v>
          </cell>
          <cell r="AP4575">
            <v>0</v>
          </cell>
          <cell r="AQ4575">
            <v>0</v>
          </cell>
          <cell r="AV4575">
            <v>0</v>
          </cell>
        </row>
        <row r="4576">
          <cell r="E4576" t="str">
            <v>D26002501</v>
          </cell>
          <cell r="AP4576">
            <v>0</v>
          </cell>
          <cell r="AQ4576">
            <v>0</v>
          </cell>
          <cell r="AV4576">
            <v>0</v>
          </cell>
        </row>
        <row r="4577">
          <cell r="E4577" t="str">
            <v>B26002553</v>
          </cell>
          <cell r="AP4577">
            <v>0</v>
          </cell>
          <cell r="AQ4577">
            <v>0</v>
          </cell>
          <cell r="AV4577">
            <v>0</v>
          </cell>
        </row>
        <row r="4578">
          <cell r="E4578" t="str">
            <v>D26002708</v>
          </cell>
          <cell r="AP4578">
            <v>0</v>
          </cell>
          <cell r="AQ4578">
            <v>0</v>
          </cell>
          <cell r="AV4578">
            <v>0</v>
          </cell>
        </row>
        <row r="4579">
          <cell r="E4579" t="str">
            <v>B26002635</v>
          </cell>
          <cell r="AP4579">
            <v>0</v>
          </cell>
          <cell r="AQ4579">
            <v>0</v>
          </cell>
          <cell r="AV4579">
            <v>0</v>
          </cell>
        </row>
        <row r="4580">
          <cell r="E4580" t="str">
            <v>B26002654</v>
          </cell>
          <cell r="AP4580">
            <v>0</v>
          </cell>
          <cell r="AQ4580">
            <v>0</v>
          </cell>
          <cell r="AV4580">
            <v>0</v>
          </cell>
        </row>
        <row r="4581">
          <cell r="E4581" t="str">
            <v>B26002668</v>
          </cell>
          <cell r="AP4581">
            <v>0</v>
          </cell>
          <cell r="AQ4581">
            <v>0</v>
          </cell>
          <cell r="AV4581">
            <v>0</v>
          </cell>
        </row>
        <row r="4582">
          <cell r="E4582" t="str">
            <v>D26002874</v>
          </cell>
          <cell r="AP4582">
            <v>0</v>
          </cell>
          <cell r="AQ4582">
            <v>0</v>
          </cell>
          <cell r="AV4582">
            <v>0</v>
          </cell>
        </row>
        <row r="4583">
          <cell r="E4583">
            <v>260019</v>
          </cell>
          <cell r="AP4583">
            <v>0</v>
          </cell>
          <cell r="AQ4583">
            <v>0</v>
          </cell>
          <cell r="AV4583">
            <v>0</v>
          </cell>
        </row>
        <row r="4584">
          <cell r="E4584" t="str">
            <v>D26002885</v>
          </cell>
          <cell r="AP4584">
            <v>0</v>
          </cell>
          <cell r="AQ4584">
            <v>0</v>
          </cell>
          <cell r="AV4584">
            <v>0</v>
          </cell>
        </row>
        <row r="4585">
          <cell r="E4585" t="str">
            <v>B26002770</v>
          </cell>
          <cell r="AP4585">
            <v>0</v>
          </cell>
          <cell r="AQ4585">
            <v>0</v>
          </cell>
          <cell r="AV4585">
            <v>0</v>
          </cell>
        </row>
        <row r="4586">
          <cell r="E4586" t="str">
            <v>B26002773</v>
          </cell>
          <cell r="AP4586">
            <v>0</v>
          </cell>
          <cell r="AQ4586">
            <v>0</v>
          </cell>
          <cell r="AV4586">
            <v>0</v>
          </cell>
        </row>
        <row r="4587">
          <cell r="E4587" t="str">
            <v>B26002798</v>
          </cell>
          <cell r="AP4587">
            <v>0</v>
          </cell>
          <cell r="AQ4587">
            <v>0</v>
          </cell>
          <cell r="AV4587">
            <v>0</v>
          </cell>
        </row>
        <row r="4588">
          <cell r="E4588" t="str">
            <v>D26002950</v>
          </cell>
          <cell r="AP4588">
            <v>0</v>
          </cell>
          <cell r="AQ4588">
            <v>0</v>
          </cell>
          <cell r="AV4588">
            <v>0</v>
          </cell>
        </row>
        <row r="4589">
          <cell r="E4589" t="str">
            <v>B26002862</v>
          </cell>
          <cell r="AP4589">
            <v>0</v>
          </cell>
          <cell r="AQ4589">
            <v>0</v>
          </cell>
          <cell r="AV4589">
            <v>0</v>
          </cell>
        </row>
        <row r="4590">
          <cell r="E4590" t="str">
            <v>D26003089</v>
          </cell>
          <cell r="AP4590">
            <v>0</v>
          </cell>
          <cell r="AQ4590">
            <v>0</v>
          </cell>
          <cell r="AV4590">
            <v>0</v>
          </cell>
        </row>
        <row r="4591">
          <cell r="E4591" t="str">
            <v>B26003028</v>
          </cell>
          <cell r="AP4591">
            <v>0</v>
          </cell>
          <cell r="AQ4591">
            <v>0</v>
          </cell>
          <cell r="AV4591">
            <v>0</v>
          </cell>
        </row>
        <row r="4592">
          <cell r="E4592" t="str">
            <v>B26003029</v>
          </cell>
          <cell r="AP4592">
            <v>0</v>
          </cell>
          <cell r="AQ4592">
            <v>0</v>
          </cell>
          <cell r="AV4592">
            <v>0</v>
          </cell>
        </row>
        <row r="4593">
          <cell r="E4593" t="str">
            <v>B26003082</v>
          </cell>
          <cell r="AP4593">
            <v>0</v>
          </cell>
          <cell r="AQ4593">
            <v>0</v>
          </cell>
          <cell r="AV4593">
            <v>0</v>
          </cell>
        </row>
        <row r="4594">
          <cell r="E4594" t="str">
            <v>D26003248</v>
          </cell>
          <cell r="AP4594">
            <v>0</v>
          </cell>
          <cell r="AQ4594">
            <v>0</v>
          </cell>
          <cell r="AV4594">
            <v>0</v>
          </cell>
        </row>
        <row r="4595">
          <cell r="E4595" t="str">
            <v>D26003307</v>
          </cell>
          <cell r="AP4595">
            <v>0</v>
          </cell>
          <cell r="AQ4595">
            <v>0</v>
          </cell>
          <cell r="AV4595">
            <v>0</v>
          </cell>
        </row>
        <row r="4596">
          <cell r="E4596" t="str">
            <v>D26003326</v>
          </cell>
          <cell r="AP4596">
            <v>0</v>
          </cell>
          <cell r="AQ4596">
            <v>0</v>
          </cell>
          <cell r="AV4596">
            <v>0</v>
          </cell>
        </row>
        <row r="4597">
          <cell r="E4597" t="str">
            <v>D26001795</v>
          </cell>
          <cell r="AP4597">
            <v>0</v>
          </cell>
          <cell r="AQ4597">
            <v>0</v>
          </cell>
          <cell r="AV4597">
            <v>0</v>
          </cell>
        </row>
        <row r="4598">
          <cell r="E4598" t="str">
            <v>D26002506</v>
          </cell>
          <cell r="AP4598">
            <v>0</v>
          </cell>
          <cell r="AQ4598">
            <v>0</v>
          </cell>
          <cell r="AV4598">
            <v>0</v>
          </cell>
        </row>
        <row r="4599">
          <cell r="E4599" t="str">
            <v>B26002732</v>
          </cell>
          <cell r="AP4599">
            <v>0</v>
          </cell>
          <cell r="AQ4599">
            <v>0</v>
          </cell>
          <cell r="AV4599">
            <v>0</v>
          </cell>
        </row>
        <row r="4600">
          <cell r="E4600" t="str">
            <v>Z26000304</v>
          </cell>
          <cell r="AP4600">
            <v>0</v>
          </cell>
          <cell r="AQ4600">
            <v>0</v>
          </cell>
          <cell r="AV4600">
            <v>0</v>
          </cell>
        </row>
        <row r="4601">
          <cell r="E4601" t="str">
            <v>Z26000322</v>
          </cell>
          <cell r="AP4601">
            <v>0</v>
          </cell>
          <cell r="AQ4601">
            <v>0</v>
          </cell>
          <cell r="AV4601">
            <v>0</v>
          </cell>
        </row>
        <row r="4602">
          <cell r="E4602" t="str">
            <v>Z26000542</v>
          </cell>
          <cell r="AP4602">
            <v>0</v>
          </cell>
          <cell r="AQ4602">
            <v>0</v>
          </cell>
          <cell r="AV4602">
            <v>0</v>
          </cell>
        </row>
        <row r="4603">
          <cell r="E4603" t="str">
            <v>Z26000543</v>
          </cell>
          <cell r="AP4603">
            <v>0</v>
          </cell>
          <cell r="AQ4603">
            <v>0</v>
          </cell>
          <cell r="AV4603">
            <v>0</v>
          </cell>
        </row>
        <row r="4604">
          <cell r="E4604" t="str">
            <v>Z26000618</v>
          </cell>
          <cell r="AP4604">
            <v>0</v>
          </cell>
          <cell r="AQ4604">
            <v>0</v>
          </cell>
          <cell r="AV4604">
            <v>0</v>
          </cell>
        </row>
        <row r="4605">
          <cell r="E4605" t="str">
            <v>D26000420</v>
          </cell>
          <cell r="AP4605">
            <v>0</v>
          </cell>
          <cell r="AQ4605">
            <v>0</v>
          </cell>
          <cell r="AV4605">
            <v>0</v>
          </cell>
        </row>
        <row r="4606">
          <cell r="E4606" t="str">
            <v>D26000897</v>
          </cell>
          <cell r="AP4606">
            <v>0</v>
          </cell>
          <cell r="AQ4606">
            <v>0</v>
          </cell>
          <cell r="AV4606">
            <v>0</v>
          </cell>
        </row>
        <row r="4607">
          <cell r="E4607" t="str">
            <v>D26000972</v>
          </cell>
          <cell r="AP4607">
            <v>0</v>
          </cell>
          <cell r="AQ4607">
            <v>0</v>
          </cell>
          <cell r="AV4607">
            <v>0</v>
          </cell>
        </row>
        <row r="4608">
          <cell r="E4608" t="str">
            <v>D26000997</v>
          </cell>
          <cell r="AP4608">
            <v>0</v>
          </cell>
          <cell r="AQ4608">
            <v>0</v>
          </cell>
          <cell r="AV4608">
            <v>0</v>
          </cell>
        </row>
        <row r="4609">
          <cell r="E4609" t="str">
            <v>N26000008</v>
          </cell>
          <cell r="AP4609">
            <v>0</v>
          </cell>
          <cell r="AQ4609">
            <v>0</v>
          </cell>
          <cell r="AV4609">
            <v>0</v>
          </cell>
        </row>
        <row r="4610">
          <cell r="E4610" t="str">
            <v>B26001351</v>
          </cell>
          <cell r="AP4610">
            <v>0</v>
          </cell>
          <cell r="AQ4610">
            <v>0</v>
          </cell>
          <cell r="AV4610">
            <v>0</v>
          </cell>
        </row>
        <row r="4611">
          <cell r="E4611" t="str">
            <v>B26001387</v>
          </cell>
          <cell r="AP4611">
            <v>0</v>
          </cell>
          <cell r="AQ4611">
            <v>0</v>
          </cell>
          <cell r="AV4611">
            <v>0</v>
          </cell>
        </row>
        <row r="4612">
          <cell r="E4612" t="str">
            <v>D26001456</v>
          </cell>
          <cell r="AP4612">
            <v>0</v>
          </cell>
          <cell r="AQ4612">
            <v>0</v>
          </cell>
          <cell r="AV4612">
            <v>0</v>
          </cell>
        </row>
        <row r="4613">
          <cell r="E4613" t="str">
            <v>D26002438</v>
          </cell>
          <cell r="AP4613">
            <v>0</v>
          </cell>
          <cell r="AQ4613">
            <v>0</v>
          </cell>
          <cell r="AV4613">
            <v>0</v>
          </cell>
        </row>
        <row r="4614">
          <cell r="E4614" t="str">
            <v>D26002497</v>
          </cell>
          <cell r="AP4614">
            <v>0</v>
          </cell>
          <cell r="AQ4614">
            <v>0</v>
          </cell>
          <cell r="AV4614">
            <v>0</v>
          </cell>
        </row>
        <row r="4615">
          <cell r="E4615" t="str">
            <v>D26002521</v>
          </cell>
          <cell r="AP4615">
            <v>0</v>
          </cell>
          <cell r="AQ4615">
            <v>0</v>
          </cell>
          <cell r="AV4615">
            <v>0</v>
          </cell>
        </row>
        <row r="4616">
          <cell r="E4616" t="str">
            <v>B26002938</v>
          </cell>
          <cell r="AP4616">
            <v>0</v>
          </cell>
          <cell r="AQ4616">
            <v>0</v>
          </cell>
          <cell r="AV4616">
            <v>0</v>
          </cell>
        </row>
        <row r="4617">
          <cell r="E4617" t="str">
            <v>B26002941</v>
          </cell>
          <cell r="AP4617">
            <v>0</v>
          </cell>
          <cell r="AQ4617">
            <v>0</v>
          </cell>
          <cell r="AV4617">
            <v>0</v>
          </cell>
        </row>
        <row r="4618">
          <cell r="E4618" t="str">
            <v>D26003071</v>
          </cell>
          <cell r="AP4618">
            <v>0</v>
          </cell>
          <cell r="AQ4618">
            <v>0</v>
          </cell>
          <cell r="AV4618">
            <v>1460000</v>
          </cell>
        </row>
        <row r="4619">
          <cell r="E4619" t="str">
            <v>B26002873</v>
          </cell>
          <cell r="AP4619">
            <v>0</v>
          </cell>
          <cell r="AQ4619">
            <v>0</v>
          </cell>
          <cell r="AV4619">
            <v>1660000</v>
          </cell>
        </row>
        <row r="4620">
          <cell r="E4620" t="str">
            <v>D26003119</v>
          </cell>
          <cell r="AP4620">
            <v>0</v>
          </cell>
          <cell r="AQ4620">
            <v>0</v>
          </cell>
          <cell r="AV4620">
            <v>0</v>
          </cell>
        </row>
        <row r="4621">
          <cell r="E4621" t="str">
            <v>D26001008</v>
          </cell>
          <cell r="AP4621">
            <v>0</v>
          </cell>
          <cell r="AQ4621">
            <v>0</v>
          </cell>
          <cell r="AV4621">
            <v>0</v>
          </cell>
        </row>
        <row r="4622">
          <cell r="E4622" t="str">
            <v>D26001441</v>
          </cell>
          <cell r="AP4622">
            <v>0</v>
          </cell>
          <cell r="AQ4622">
            <v>0</v>
          </cell>
          <cell r="AV4622">
            <v>0</v>
          </cell>
        </row>
        <row r="4623">
          <cell r="E4623" t="str">
            <v>D26001442</v>
          </cell>
          <cell r="AP4623">
            <v>0</v>
          </cell>
          <cell r="AQ4623">
            <v>0</v>
          </cell>
          <cell r="AV4623">
            <v>0</v>
          </cell>
        </row>
        <row r="4624">
          <cell r="E4624" t="str">
            <v>D26002961</v>
          </cell>
          <cell r="AP4624">
            <v>0</v>
          </cell>
          <cell r="AQ4624">
            <v>0</v>
          </cell>
          <cell r="AV4624">
            <v>0</v>
          </cell>
        </row>
        <row r="4625">
          <cell r="E4625" t="str">
            <v>N26000028</v>
          </cell>
          <cell r="AP4625">
            <v>0</v>
          </cell>
          <cell r="AQ4625">
            <v>0</v>
          </cell>
          <cell r="AV4625">
            <v>0</v>
          </cell>
        </row>
        <row r="4626">
          <cell r="E4626" t="str">
            <v>D25018899</v>
          </cell>
          <cell r="AP4626">
            <v>0</v>
          </cell>
          <cell r="AQ4626">
            <v>0</v>
          </cell>
          <cell r="AV4626">
            <v>0</v>
          </cell>
        </row>
        <row r="4627">
          <cell r="E4627" t="str">
            <v>D25019659</v>
          </cell>
          <cell r="AP4627">
            <v>0</v>
          </cell>
          <cell r="AQ4627">
            <v>0</v>
          </cell>
          <cell r="AV4627">
            <v>0</v>
          </cell>
        </row>
        <row r="4628">
          <cell r="E4628" t="str">
            <v>D26000263</v>
          </cell>
          <cell r="AP4628">
            <v>0</v>
          </cell>
          <cell r="AQ4628">
            <v>0</v>
          </cell>
          <cell r="AV4628">
            <v>0</v>
          </cell>
        </row>
        <row r="4629">
          <cell r="E4629" t="str">
            <v>D26000283</v>
          </cell>
          <cell r="AP4629">
            <v>0</v>
          </cell>
          <cell r="AQ4629">
            <v>0</v>
          </cell>
          <cell r="AV4629">
            <v>0</v>
          </cell>
        </row>
        <row r="4630">
          <cell r="E4630" t="str">
            <v>D26000297</v>
          </cell>
          <cell r="AP4630">
            <v>0</v>
          </cell>
          <cell r="AQ4630">
            <v>0</v>
          </cell>
          <cell r="AV4630">
            <v>0</v>
          </cell>
        </row>
        <row r="4631">
          <cell r="E4631" t="str">
            <v>D26000394</v>
          </cell>
          <cell r="AP4631">
            <v>0</v>
          </cell>
          <cell r="AQ4631">
            <v>0</v>
          </cell>
          <cell r="AV4631">
            <v>0</v>
          </cell>
        </row>
        <row r="4632">
          <cell r="E4632" t="str">
            <v>D26000407</v>
          </cell>
          <cell r="AP4632">
            <v>0</v>
          </cell>
          <cell r="AQ4632">
            <v>0</v>
          </cell>
          <cell r="AV4632">
            <v>0</v>
          </cell>
        </row>
        <row r="4633">
          <cell r="E4633" t="str">
            <v>D26000450</v>
          </cell>
          <cell r="AP4633">
            <v>0</v>
          </cell>
          <cell r="AQ4633">
            <v>0</v>
          </cell>
          <cell r="AV4633">
            <v>0</v>
          </cell>
        </row>
        <row r="4634">
          <cell r="E4634" t="str">
            <v>B26000616</v>
          </cell>
          <cell r="AP4634">
            <v>0</v>
          </cell>
          <cell r="AQ4634">
            <v>0</v>
          </cell>
          <cell r="AV4634">
            <v>0</v>
          </cell>
        </row>
        <row r="4635">
          <cell r="E4635" t="str">
            <v>D26000636</v>
          </cell>
          <cell r="AP4635">
            <v>0</v>
          </cell>
          <cell r="AQ4635">
            <v>0</v>
          </cell>
          <cell r="AV4635">
            <v>0</v>
          </cell>
        </row>
        <row r="4636">
          <cell r="E4636" t="str">
            <v>D26000821</v>
          </cell>
          <cell r="AP4636">
            <v>0</v>
          </cell>
          <cell r="AQ4636">
            <v>0</v>
          </cell>
          <cell r="AV4636">
            <v>0</v>
          </cell>
        </row>
        <row r="4637">
          <cell r="E4637" t="str">
            <v>T26000041</v>
          </cell>
          <cell r="AP4637">
            <v>0</v>
          </cell>
          <cell r="AQ4637">
            <v>0</v>
          </cell>
          <cell r="AV4637">
            <v>0</v>
          </cell>
        </row>
        <row r="4638">
          <cell r="E4638" t="str">
            <v>B26000970</v>
          </cell>
          <cell r="AP4638">
            <v>0</v>
          </cell>
          <cell r="AQ4638">
            <v>0</v>
          </cell>
          <cell r="AV4638">
            <v>0</v>
          </cell>
        </row>
        <row r="4639">
          <cell r="E4639" t="str">
            <v>B26000998</v>
          </cell>
          <cell r="AP4639">
            <v>0</v>
          </cell>
          <cell r="AQ4639">
            <v>0</v>
          </cell>
          <cell r="AV4639">
            <v>0</v>
          </cell>
        </row>
        <row r="4640">
          <cell r="E4640" t="str">
            <v>B26001226</v>
          </cell>
          <cell r="AP4640">
            <v>0</v>
          </cell>
          <cell r="AQ4640">
            <v>0</v>
          </cell>
          <cell r="AV4640">
            <v>0</v>
          </cell>
        </row>
        <row r="4641">
          <cell r="E4641" t="str">
            <v>D26001330</v>
          </cell>
          <cell r="AP4641">
            <v>0</v>
          </cell>
          <cell r="AQ4641">
            <v>0</v>
          </cell>
          <cell r="AV4641">
            <v>0</v>
          </cell>
        </row>
        <row r="4642">
          <cell r="E4642" t="str">
            <v>B26001270</v>
          </cell>
          <cell r="AP4642">
            <v>0</v>
          </cell>
          <cell r="AQ4642">
            <v>0</v>
          </cell>
          <cell r="AV4642">
            <v>0</v>
          </cell>
        </row>
        <row r="4643">
          <cell r="E4643" t="str">
            <v>B26001405</v>
          </cell>
          <cell r="AP4643">
            <v>0</v>
          </cell>
          <cell r="AQ4643">
            <v>0</v>
          </cell>
          <cell r="AV4643">
            <v>0</v>
          </cell>
        </row>
        <row r="4644">
          <cell r="E4644" t="str">
            <v>D26001530</v>
          </cell>
          <cell r="AP4644">
            <v>0</v>
          </cell>
          <cell r="AQ4644">
            <v>0</v>
          </cell>
          <cell r="AV4644">
            <v>0</v>
          </cell>
        </row>
        <row r="4645">
          <cell r="E4645" t="str">
            <v>B26001696</v>
          </cell>
          <cell r="AP4645">
            <v>0</v>
          </cell>
          <cell r="AQ4645">
            <v>0</v>
          </cell>
          <cell r="AV4645">
            <v>0</v>
          </cell>
        </row>
        <row r="4646">
          <cell r="E4646" t="str">
            <v>D26001919</v>
          </cell>
          <cell r="AP4646">
            <v>0</v>
          </cell>
          <cell r="AQ4646">
            <v>0</v>
          </cell>
          <cell r="AV4646">
            <v>0</v>
          </cell>
        </row>
        <row r="4647">
          <cell r="E4647" t="str">
            <v>D26001921</v>
          </cell>
          <cell r="AP4647">
            <v>0</v>
          </cell>
          <cell r="AQ4647">
            <v>0</v>
          </cell>
          <cell r="AV4647">
            <v>0</v>
          </cell>
        </row>
        <row r="4648">
          <cell r="E4648" t="str">
            <v>B26001981</v>
          </cell>
          <cell r="AP4648">
            <v>0</v>
          </cell>
          <cell r="AQ4648">
            <v>0</v>
          </cell>
          <cell r="AV4648">
            <v>0</v>
          </cell>
        </row>
        <row r="4649">
          <cell r="E4649" t="str">
            <v>B26002093</v>
          </cell>
          <cell r="AP4649">
            <v>0</v>
          </cell>
          <cell r="AQ4649">
            <v>0</v>
          </cell>
          <cell r="AV4649">
            <v>0</v>
          </cell>
        </row>
        <row r="4650">
          <cell r="E4650" t="str">
            <v>D26002244</v>
          </cell>
          <cell r="AP4650">
            <v>0</v>
          </cell>
          <cell r="AQ4650">
            <v>0</v>
          </cell>
          <cell r="AV4650">
            <v>0</v>
          </cell>
        </row>
        <row r="4651">
          <cell r="E4651" t="str">
            <v>B26002255</v>
          </cell>
          <cell r="AP4651">
            <v>0</v>
          </cell>
          <cell r="AQ4651">
            <v>0</v>
          </cell>
          <cell r="AV4651">
            <v>0</v>
          </cell>
        </row>
        <row r="4652">
          <cell r="E4652" t="str">
            <v>B26002390</v>
          </cell>
          <cell r="AP4652">
            <v>0</v>
          </cell>
          <cell r="AQ4652">
            <v>0</v>
          </cell>
          <cell r="AV4652">
            <v>0</v>
          </cell>
        </row>
        <row r="4653">
          <cell r="E4653" t="str">
            <v>D26002567</v>
          </cell>
          <cell r="AP4653">
            <v>0</v>
          </cell>
          <cell r="AQ4653">
            <v>0</v>
          </cell>
          <cell r="AV4653">
            <v>0</v>
          </cell>
        </row>
        <row r="4654">
          <cell r="E4654" t="str">
            <v>D26002602</v>
          </cell>
          <cell r="AP4654">
            <v>0</v>
          </cell>
          <cell r="AQ4654">
            <v>0</v>
          </cell>
          <cell r="AV4654">
            <v>0</v>
          </cell>
        </row>
        <row r="4655">
          <cell r="E4655" t="str">
            <v>B26002662</v>
          </cell>
          <cell r="AP4655">
            <v>0</v>
          </cell>
          <cell r="AQ4655">
            <v>0</v>
          </cell>
          <cell r="AV4655">
            <v>0</v>
          </cell>
        </row>
        <row r="4656">
          <cell r="E4656" t="str">
            <v>B26002670</v>
          </cell>
          <cell r="AP4656">
            <v>0</v>
          </cell>
          <cell r="AQ4656">
            <v>0</v>
          </cell>
          <cell r="AV4656">
            <v>0</v>
          </cell>
        </row>
        <row r="4657">
          <cell r="E4657" t="str">
            <v>B26002707</v>
          </cell>
          <cell r="AP4657">
            <v>0</v>
          </cell>
          <cell r="AQ4657">
            <v>0</v>
          </cell>
          <cell r="AV4657">
            <v>0</v>
          </cell>
        </row>
        <row r="4658">
          <cell r="E4658" t="str">
            <v>B26002735</v>
          </cell>
          <cell r="AP4658">
            <v>0</v>
          </cell>
          <cell r="AQ4658">
            <v>0</v>
          </cell>
          <cell r="AV4658">
            <v>0</v>
          </cell>
        </row>
        <row r="4659">
          <cell r="E4659" t="str">
            <v>D26002973</v>
          </cell>
          <cell r="AP4659">
            <v>0</v>
          </cell>
          <cell r="AQ4659">
            <v>0</v>
          </cell>
          <cell r="AV4659">
            <v>0</v>
          </cell>
        </row>
        <row r="4660">
          <cell r="E4660" t="str">
            <v>B26002901</v>
          </cell>
          <cell r="AP4660">
            <v>0</v>
          </cell>
          <cell r="AQ4660">
            <v>0</v>
          </cell>
          <cell r="AV4660">
            <v>0</v>
          </cell>
        </row>
        <row r="4661">
          <cell r="E4661" t="str">
            <v>D25019147</v>
          </cell>
          <cell r="AP4661">
            <v>0</v>
          </cell>
          <cell r="AQ4661">
            <v>0</v>
          </cell>
          <cell r="AV4661">
            <v>0</v>
          </cell>
        </row>
        <row r="4662">
          <cell r="E4662" t="str">
            <v>B26000081</v>
          </cell>
          <cell r="AP4662">
            <v>0</v>
          </cell>
          <cell r="AQ4662">
            <v>0</v>
          </cell>
          <cell r="AV4662">
            <v>0</v>
          </cell>
        </row>
        <row r="4663">
          <cell r="E4663" t="str">
            <v>B26000082</v>
          </cell>
          <cell r="AP4663">
            <v>0</v>
          </cell>
          <cell r="AQ4663">
            <v>0</v>
          </cell>
          <cell r="AV4663">
            <v>0</v>
          </cell>
        </row>
        <row r="4664">
          <cell r="E4664" t="str">
            <v>B26000083</v>
          </cell>
          <cell r="AP4664">
            <v>0</v>
          </cell>
          <cell r="AQ4664">
            <v>0</v>
          </cell>
          <cell r="AV4664">
            <v>0</v>
          </cell>
        </row>
        <row r="4665">
          <cell r="E4665" t="str">
            <v>D26000675</v>
          </cell>
          <cell r="AP4665">
            <v>0</v>
          </cell>
          <cell r="AQ4665">
            <v>0</v>
          </cell>
          <cell r="AV4665">
            <v>0</v>
          </cell>
        </row>
        <row r="4666">
          <cell r="E4666" t="str">
            <v>D26001080</v>
          </cell>
          <cell r="AP4666">
            <v>0</v>
          </cell>
          <cell r="AQ4666">
            <v>0</v>
          </cell>
          <cell r="AV4666">
            <v>0</v>
          </cell>
        </row>
        <row r="4667">
          <cell r="E4667" t="str">
            <v>D26001081</v>
          </cell>
          <cell r="AP4667">
            <v>0</v>
          </cell>
          <cell r="AQ4667">
            <v>0</v>
          </cell>
          <cell r="AV4667">
            <v>0</v>
          </cell>
        </row>
        <row r="4668">
          <cell r="E4668" t="str">
            <v>D26001123</v>
          </cell>
          <cell r="AP4668">
            <v>0</v>
          </cell>
          <cell r="AQ4668">
            <v>0</v>
          </cell>
          <cell r="AV4668">
            <v>0</v>
          </cell>
        </row>
        <row r="4669">
          <cell r="E4669" t="str">
            <v>D26002250</v>
          </cell>
          <cell r="AP4669">
            <v>0</v>
          </cell>
          <cell r="AQ4669">
            <v>0</v>
          </cell>
          <cell r="AV4669">
            <v>0</v>
          </cell>
        </row>
        <row r="4670">
          <cell r="E4670" t="str">
            <v>D26002251</v>
          </cell>
          <cell r="AP4670">
            <v>0</v>
          </cell>
          <cell r="AQ4670">
            <v>0</v>
          </cell>
          <cell r="AV4670">
            <v>0</v>
          </cell>
        </row>
        <row r="4671">
          <cell r="E4671" t="str">
            <v>D26002252</v>
          </cell>
          <cell r="AP4671">
            <v>0</v>
          </cell>
          <cell r="AQ4671">
            <v>0</v>
          </cell>
          <cell r="AV4671">
            <v>0</v>
          </cell>
        </row>
        <row r="4672">
          <cell r="E4672" t="str">
            <v>D26002271</v>
          </cell>
          <cell r="AP4672">
            <v>0</v>
          </cell>
          <cell r="AQ4672">
            <v>0</v>
          </cell>
          <cell r="AV4672">
            <v>0</v>
          </cell>
        </row>
        <row r="4673">
          <cell r="E4673" t="str">
            <v>D26002600</v>
          </cell>
          <cell r="AP4673">
            <v>0</v>
          </cell>
          <cell r="AQ4673">
            <v>0</v>
          </cell>
          <cell r="AV4673">
            <v>0</v>
          </cell>
        </row>
        <row r="4674">
          <cell r="E4674" t="str">
            <v>D26002601</v>
          </cell>
          <cell r="AP4674">
            <v>0</v>
          </cell>
          <cell r="AQ4674">
            <v>0</v>
          </cell>
          <cell r="AV4674">
            <v>0</v>
          </cell>
        </row>
        <row r="4675">
          <cell r="E4675" t="str">
            <v>N26000023</v>
          </cell>
          <cell r="AP4675">
            <v>0</v>
          </cell>
          <cell r="AQ4675">
            <v>0</v>
          </cell>
          <cell r="AV4675">
            <v>0</v>
          </cell>
        </row>
        <row r="4676">
          <cell r="E4676" t="str">
            <v>B26002832</v>
          </cell>
          <cell r="AP4676">
            <v>0</v>
          </cell>
          <cell r="AQ4676">
            <v>0</v>
          </cell>
          <cell r="AV4676">
            <v>0</v>
          </cell>
        </row>
        <row r="4677">
          <cell r="E4677" t="str">
            <v>B26002833</v>
          </cell>
          <cell r="AP4677">
            <v>0</v>
          </cell>
          <cell r="AQ4677">
            <v>0</v>
          </cell>
          <cell r="AV4677">
            <v>0</v>
          </cell>
        </row>
        <row r="4678">
          <cell r="E4678" t="str">
            <v>D25019432</v>
          </cell>
          <cell r="AP4678">
            <v>0</v>
          </cell>
          <cell r="AQ4678">
            <v>0</v>
          </cell>
          <cell r="AV4678">
            <v>0</v>
          </cell>
        </row>
        <row r="4679">
          <cell r="E4679" t="str">
            <v>D25019433</v>
          </cell>
          <cell r="AP4679">
            <v>0</v>
          </cell>
          <cell r="AQ4679">
            <v>0</v>
          </cell>
          <cell r="AV4679">
            <v>0</v>
          </cell>
        </row>
        <row r="4680">
          <cell r="E4680" t="str">
            <v>D25019434</v>
          </cell>
          <cell r="AP4680">
            <v>0</v>
          </cell>
          <cell r="AQ4680">
            <v>0</v>
          </cell>
          <cell r="AV4680">
            <v>0</v>
          </cell>
        </row>
        <row r="4681">
          <cell r="E4681" t="str">
            <v>D25019435</v>
          </cell>
          <cell r="AP4681">
            <v>0</v>
          </cell>
          <cell r="AQ4681">
            <v>0</v>
          </cell>
          <cell r="AV4681">
            <v>0</v>
          </cell>
        </row>
        <row r="4682">
          <cell r="E4682" t="str">
            <v>D25019436</v>
          </cell>
          <cell r="AP4682">
            <v>0</v>
          </cell>
          <cell r="AQ4682">
            <v>0</v>
          </cell>
          <cell r="AV4682">
            <v>0</v>
          </cell>
        </row>
        <row r="4683">
          <cell r="E4683" t="str">
            <v>D25019437</v>
          </cell>
          <cell r="AP4683">
            <v>0</v>
          </cell>
          <cell r="AQ4683">
            <v>0</v>
          </cell>
          <cell r="AV4683">
            <v>0</v>
          </cell>
        </row>
        <row r="4684">
          <cell r="E4684" t="str">
            <v>N25000086</v>
          </cell>
          <cell r="AP4684">
            <v>0</v>
          </cell>
          <cell r="AQ4684">
            <v>0</v>
          </cell>
          <cell r="AV4684">
            <v>0</v>
          </cell>
        </row>
        <row r="4685">
          <cell r="E4685" t="str">
            <v>D26002965</v>
          </cell>
          <cell r="AP4685">
            <v>0</v>
          </cell>
          <cell r="AQ4685">
            <v>0</v>
          </cell>
          <cell r="AV4685">
            <v>0</v>
          </cell>
        </row>
        <row r="4686">
          <cell r="E4686" t="str">
            <v>D26002999</v>
          </cell>
          <cell r="AP4686">
            <v>0</v>
          </cell>
          <cell r="AQ4686">
            <v>0</v>
          </cell>
          <cell r="AV4686">
            <v>0</v>
          </cell>
        </row>
        <row r="4687">
          <cell r="E4687" t="str">
            <v>T26000175</v>
          </cell>
          <cell r="AP4687">
            <v>0</v>
          </cell>
          <cell r="AQ4687">
            <v>0</v>
          </cell>
          <cell r="AV4687">
            <v>0</v>
          </cell>
        </row>
        <row r="4688">
          <cell r="E4688" t="str">
            <v>D26001723</v>
          </cell>
          <cell r="AP4688">
            <v>0</v>
          </cell>
          <cell r="AQ4688">
            <v>0</v>
          </cell>
          <cell r="AV4688">
            <v>0</v>
          </cell>
        </row>
        <row r="4689">
          <cell r="E4689" t="str">
            <v>B26001157</v>
          </cell>
          <cell r="AP4689">
            <v>0</v>
          </cell>
          <cell r="AQ4689">
            <v>0</v>
          </cell>
          <cell r="AV4689">
            <v>0</v>
          </cell>
        </row>
        <row r="4690">
          <cell r="E4690" t="str">
            <v>D26002313</v>
          </cell>
          <cell r="AP4690">
            <v>0</v>
          </cell>
          <cell r="AQ4690">
            <v>0</v>
          </cell>
          <cell r="AV4690">
            <v>0</v>
          </cell>
        </row>
        <row r="4691">
          <cell r="E4691" t="str">
            <v>D26003053</v>
          </cell>
          <cell r="AP4691">
            <v>0</v>
          </cell>
          <cell r="AQ4691">
            <v>0</v>
          </cell>
          <cell r="AV4691">
            <v>0</v>
          </cell>
        </row>
        <row r="4692">
          <cell r="E4692" t="str">
            <v>T25001874</v>
          </cell>
          <cell r="AP4692">
            <v>0</v>
          </cell>
          <cell r="AQ4692">
            <v>0</v>
          </cell>
          <cell r="AV4692">
            <v>0</v>
          </cell>
        </row>
        <row r="4693">
          <cell r="E4693" t="str">
            <v>B26000120</v>
          </cell>
          <cell r="AP4693">
            <v>0</v>
          </cell>
          <cell r="AQ4693">
            <v>0</v>
          </cell>
          <cell r="AV4693">
            <v>20000000</v>
          </cell>
        </row>
        <row r="4694">
          <cell r="E4694" t="str">
            <v>D26000204</v>
          </cell>
          <cell r="AP4694">
            <v>0</v>
          </cell>
          <cell r="AQ4694">
            <v>0</v>
          </cell>
          <cell r="AV4694">
            <v>0</v>
          </cell>
        </row>
        <row r="4695">
          <cell r="E4695" t="str">
            <v>D26000598</v>
          </cell>
          <cell r="AP4695">
            <v>0</v>
          </cell>
          <cell r="AQ4695">
            <v>0</v>
          </cell>
          <cell r="AV4695">
            <v>0</v>
          </cell>
        </row>
        <row r="4696">
          <cell r="E4696" t="str">
            <v>D26000610</v>
          </cell>
          <cell r="AP4696">
            <v>0</v>
          </cell>
          <cell r="AQ4696">
            <v>0</v>
          </cell>
          <cell r="AV4696">
            <v>0</v>
          </cell>
        </row>
        <row r="4697">
          <cell r="E4697" t="str">
            <v>B26000874</v>
          </cell>
          <cell r="AP4697">
            <v>0</v>
          </cell>
          <cell r="AQ4697">
            <v>0</v>
          </cell>
          <cell r="AV4697">
            <v>0</v>
          </cell>
        </row>
        <row r="4698">
          <cell r="E4698" t="str">
            <v>D26000932</v>
          </cell>
          <cell r="AP4698">
            <v>0</v>
          </cell>
          <cell r="AQ4698">
            <v>0</v>
          </cell>
          <cell r="AV4698">
            <v>0</v>
          </cell>
        </row>
        <row r="4699">
          <cell r="E4699" t="str">
            <v>B26000954</v>
          </cell>
          <cell r="AP4699">
            <v>0</v>
          </cell>
          <cell r="AQ4699">
            <v>0</v>
          </cell>
          <cell r="AV4699">
            <v>0</v>
          </cell>
        </row>
        <row r="4700">
          <cell r="E4700" t="str">
            <v>B26000991</v>
          </cell>
          <cell r="AP4700">
            <v>0</v>
          </cell>
          <cell r="AQ4700">
            <v>0</v>
          </cell>
          <cell r="AV4700">
            <v>0</v>
          </cell>
        </row>
        <row r="4701">
          <cell r="E4701" t="str">
            <v>B26001002</v>
          </cell>
          <cell r="AP4701">
            <v>0</v>
          </cell>
          <cell r="AQ4701">
            <v>0</v>
          </cell>
          <cell r="AV4701">
            <v>0</v>
          </cell>
        </row>
        <row r="4702">
          <cell r="E4702" t="str">
            <v>D26001576</v>
          </cell>
          <cell r="AP4702">
            <v>0</v>
          </cell>
          <cell r="AQ4702">
            <v>0</v>
          </cell>
          <cell r="AV4702">
            <v>0</v>
          </cell>
        </row>
        <row r="4703">
          <cell r="E4703" t="str">
            <v>D26001577</v>
          </cell>
          <cell r="AP4703">
            <v>0</v>
          </cell>
          <cell r="AQ4703">
            <v>0</v>
          </cell>
          <cell r="AV4703">
            <v>0</v>
          </cell>
        </row>
        <row r="4704">
          <cell r="E4704" t="str">
            <v>D26001578</v>
          </cell>
          <cell r="AP4704">
            <v>0</v>
          </cell>
          <cell r="AQ4704">
            <v>0</v>
          </cell>
          <cell r="AV4704">
            <v>0</v>
          </cell>
        </row>
        <row r="4705">
          <cell r="E4705" t="str">
            <v>B26001971</v>
          </cell>
          <cell r="AP4705">
            <v>0</v>
          </cell>
          <cell r="AQ4705">
            <v>0</v>
          </cell>
          <cell r="AV4705">
            <v>0</v>
          </cell>
        </row>
        <row r="4706">
          <cell r="E4706" t="str">
            <v>B26002092</v>
          </cell>
          <cell r="AP4706">
            <v>0</v>
          </cell>
          <cell r="AQ4706">
            <v>0</v>
          </cell>
          <cell r="AV4706">
            <v>0</v>
          </cell>
        </row>
        <row r="4707">
          <cell r="E4707" t="str">
            <v>B26002251</v>
          </cell>
          <cell r="AP4707">
            <v>0</v>
          </cell>
          <cell r="AQ4707">
            <v>0</v>
          </cell>
          <cell r="AV4707">
            <v>0</v>
          </cell>
        </row>
        <row r="4708">
          <cell r="E4708" t="str">
            <v>D26002629</v>
          </cell>
          <cell r="AP4708">
            <v>0</v>
          </cell>
          <cell r="AQ4708">
            <v>0</v>
          </cell>
          <cell r="AV4708">
            <v>0</v>
          </cell>
        </row>
        <row r="4709">
          <cell r="E4709" t="str">
            <v>B26002562</v>
          </cell>
          <cell r="AP4709">
            <v>0</v>
          </cell>
          <cell r="AQ4709">
            <v>0</v>
          </cell>
          <cell r="AV4709">
            <v>0</v>
          </cell>
        </row>
        <row r="4710">
          <cell r="E4710" t="str">
            <v>D26003037</v>
          </cell>
          <cell r="AP4710">
            <v>0</v>
          </cell>
          <cell r="AQ4710">
            <v>0</v>
          </cell>
          <cell r="AV4710">
            <v>0</v>
          </cell>
        </row>
        <row r="4711">
          <cell r="E4711" t="str">
            <v>D26003054</v>
          </cell>
          <cell r="AP4711">
            <v>0</v>
          </cell>
          <cell r="AQ4711">
            <v>0</v>
          </cell>
          <cell r="AV4711">
            <v>0</v>
          </cell>
        </row>
        <row r="4712">
          <cell r="E4712" t="str">
            <v>D26003073</v>
          </cell>
          <cell r="AP4712">
            <v>0</v>
          </cell>
          <cell r="AQ4712">
            <v>0</v>
          </cell>
          <cell r="AV4712">
            <v>0</v>
          </cell>
        </row>
        <row r="4713">
          <cell r="E4713" t="str">
            <v>B26000160</v>
          </cell>
          <cell r="AP4713">
            <v>0</v>
          </cell>
          <cell r="AQ4713">
            <v>0</v>
          </cell>
          <cell r="AV4713">
            <v>0</v>
          </cell>
        </row>
        <row r="4714">
          <cell r="E4714" t="str">
            <v>D26000049</v>
          </cell>
          <cell r="AP4714">
            <v>0</v>
          </cell>
          <cell r="AQ4714">
            <v>0</v>
          </cell>
          <cell r="AV4714">
            <v>0</v>
          </cell>
        </row>
        <row r="4715">
          <cell r="E4715" t="str">
            <v>D26000128</v>
          </cell>
          <cell r="AP4715">
            <v>0</v>
          </cell>
          <cell r="AQ4715">
            <v>0</v>
          </cell>
          <cell r="AV4715">
            <v>0</v>
          </cell>
        </row>
        <row r="4716">
          <cell r="E4716" t="str">
            <v>D26000313</v>
          </cell>
          <cell r="AP4716">
            <v>0</v>
          </cell>
          <cell r="AQ4716">
            <v>0</v>
          </cell>
          <cell r="AV4716">
            <v>0</v>
          </cell>
        </row>
        <row r="4717">
          <cell r="E4717" t="str">
            <v>D26000329</v>
          </cell>
          <cell r="AP4717">
            <v>0</v>
          </cell>
          <cell r="AQ4717">
            <v>0</v>
          </cell>
          <cell r="AV4717">
            <v>0</v>
          </cell>
        </row>
        <row r="4718">
          <cell r="E4718" t="str">
            <v>D26000360</v>
          </cell>
          <cell r="AP4718">
            <v>0</v>
          </cell>
          <cell r="AQ4718">
            <v>0</v>
          </cell>
          <cell r="AV4718">
            <v>0</v>
          </cell>
        </row>
        <row r="4719">
          <cell r="E4719" t="str">
            <v>D26000409</v>
          </cell>
          <cell r="AP4719">
            <v>0</v>
          </cell>
          <cell r="AQ4719">
            <v>0</v>
          </cell>
          <cell r="AV4719">
            <v>0</v>
          </cell>
        </row>
        <row r="4720">
          <cell r="E4720" t="str">
            <v>D26000453</v>
          </cell>
          <cell r="AP4720">
            <v>0</v>
          </cell>
          <cell r="AQ4720">
            <v>0</v>
          </cell>
          <cell r="AV4720">
            <v>0</v>
          </cell>
        </row>
        <row r="4721">
          <cell r="E4721" t="str">
            <v>B26000420</v>
          </cell>
          <cell r="AP4721">
            <v>0</v>
          </cell>
          <cell r="AQ4721">
            <v>0</v>
          </cell>
          <cell r="AV4721">
            <v>0</v>
          </cell>
        </row>
        <row r="4722">
          <cell r="E4722" t="str">
            <v>B26000458</v>
          </cell>
          <cell r="AP4722">
            <v>0</v>
          </cell>
          <cell r="AQ4722">
            <v>0</v>
          </cell>
          <cell r="AV4722">
            <v>0</v>
          </cell>
        </row>
        <row r="4723">
          <cell r="E4723" t="str">
            <v>B26000480</v>
          </cell>
          <cell r="AP4723">
            <v>0</v>
          </cell>
          <cell r="AQ4723">
            <v>0</v>
          </cell>
          <cell r="AV4723">
            <v>0</v>
          </cell>
        </row>
        <row r="4724">
          <cell r="E4724" t="str">
            <v>B26000481</v>
          </cell>
          <cell r="AP4724">
            <v>0</v>
          </cell>
          <cell r="AQ4724">
            <v>0</v>
          </cell>
          <cell r="AV4724">
            <v>0</v>
          </cell>
        </row>
        <row r="4725">
          <cell r="E4725" t="str">
            <v>B26000493</v>
          </cell>
          <cell r="AP4725">
            <v>0</v>
          </cell>
          <cell r="AQ4725">
            <v>0</v>
          </cell>
          <cell r="AV4725">
            <v>0</v>
          </cell>
        </row>
        <row r="4726">
          <cell r="E4726" t="str">
            <v>D26000483</v>
          </cell>
          <cell r="AP4726">
            <v>0</v>
          </cell>
          <cell r="AQ4726">
            <v>0</v>
          </cell>
          <cell r="AV4726">
            <v>0</v>
          </cell>
        </row>
        <row r="4727">
          <cell r="E4727" t="str">
            <v>D26000487</v>
          </cell>
          <cell r="AP4727">
            <v>0</v>
          </cell>
          <cell r="AQ4727">
            <v>0</v>
          </cell>
          <cell r="AV4727">
            <v>0</v>
          </cell>
        </row>
        <row r="4728">
          <cell r="E4728" t="str">
            <v>B26000629</v>
          </cell>
          <cell r="AP4728">
            <v>0</v>
          </cell>
          <cell r="AQ4728">
            <v>0</v>
          </cell>
          <cell r="AV4728">
            <v>0</v>
          </cell>
        </row>
        <row r="4729">
          <cell r="E4729" t="str">
            <v>B26000834</v>
          </cell>
          <cell r="AP4729">
            <v>0</v>
          </cell>
          <cell r="AQ4729">
            <v>0</v>
          </cell>
          <cell r="AV4729">
            <v>0</v>
          </cell>
        </row>
        <row r="4730">
          <cell r="E4730" t="str">
            <v>B26000898</v>
          </cell>
          <cell r="AP4730">
            <v>0</v>
          </cell>
          <cell r="AQ4730">
            <v>0</v>
          </cell>
          <cell r="AV4730">
            <v>0</v>
          </cell>
        </row>
        <row r="4731">
          <cell r="E4731" t="str">
            <v>D26001267</v>
          </cell>
          <cell r="AP4731">
            <v>0</v>
          </cell>
          <cell r="AQ4731">
            <v>0</v>
          </cell>
          <cell r="AV4731">
            <v>0</v>
          </cell>
        </row>
        <row r="4732">
          <cell r="E4732" t="str">
            <v>B26001257</v>
          </cell>
          <cell r="AP4732">
            <v>0</v>
          </cell>
          <cell r="AQ4732">
            <v>0</v>
          </cell>
          <cell r="AV4732">
            <v>0</v>
          </cell>
        </row>
        <row r="4733">
          <cell r="E4733" t="str">
            <v>D26001332</v>
          </cell>
          <cell r="AP4733">
            <v>0</v>
          </cell>
          <cell r="AQ4733">
            <v>0</v>
          </cell>
          <cell r="AV4733">
            <v>0</v>
          </cell>
        </row>
        <row r="4734">
          <cell r="E4734" t="str">
            <v>D26001391</v>
          </cell>
          <cell r="AP4734">
            <v>0</v>
          </cell>
          <cell r="AQ4734">
            <v>0</v>
          </cell>
          <cell r="AV4734">
            <v>0</v>
          </cell>
        </row>
        <row r="4735">
          <cell r="E4735" t="str">
            <v>D26001598</v>
          </cell>
          <cell r="AP4735">
            <v>0</v>
          </cell>
          <cell r="AQ4735">
            <v>0</v>
          </cell>
          <cell r="AV4735">
            <v>0</v>
          </cell>
        </row>
        <row r="4736">
          <cell r="E4736" t="str">
            <v>D26001697</v>
          </cell>
          <cell r="AP4736">
            <v>0</v>
          </cell>
          <cell r="AQ4736">
            <v>0</v>
          </cell>
          <cell r="AV4736">
            <v>0</v>
          </cell>
        </row>
        <row r="4737">
          <cell r="E4737" t="str">
            <v>B26001612</v>
          </cell>
          <cell r="AP4737">
            <v>0</v>
          </cell>
          <cell r="AQ4737">
            <v>0</v>
          </cell>
          <cell r="AV4737">
            <v>0</v>
          </cell>
        </row>
        <row r="4738">
          <cell r="E4738" t="str">
            <v>D26001821</v>
          </cell>
          <cell r="AP4738">
            <v>0</v>
          </cell>
          <cell r="AQ4738">
            <v>0</v>
          </cell>
          <cell r="AV4738">
            <v>0</v>
          </cell>
        </row>
        <row r="4739">
          <cell r="E4739" t="str">
            <v>D26002027</v>
          </cell>
          <cell r="AP4739">
            <v>0</v>
          </cell>
          <cell r="AQ4739">
            <v>0</v>
          </cell>
          <cell r="AV4739">
            <v>0</v>
          </cell>
        </row>
        <row r="4740">
          <cell r="E4740" t="str">
            <v>D26002092</v>
          </cell>
          <cell r="AP4740">
            <v>0</v>
          </cell>
          <cell r="AQ4740">
            <v>0</v>
          </cell>
          <cell r="AV4740">
            <v>0</v>
          </cell>
        </row>
        <row r="4741">
          <cell r="E4741" t="str">
            <v>B26001987</v>
          </cell>
          <cell r="AP4741">
            <v>0</v>
          </cell>
          <cell r="AQ4741">
            <v>0</v>
          </cell>
          <cell r="AV4741">
            <v>0</v>
          </cell>
        </row>
        <row r="4742">
          <cell r="E4742" t="str">
            <v>B26001987</v>
          </cell>
          <cell r="AP4742">
            <v>0</v>
          </cell>
          <cell r="AQ4742">
            <v>0</v>
          </cell>
          <cell r="AV4742">
            <v>0</v>
          </cell>
        </row>
        <row r="4743">
          <cell r="E4743" t="str">
            <v>B26001988</v>
          </cell>
          <cell r="AP4743">
            <v>0</v>
          </cell>
          <cell r="AQ4743">
            <v>0</v>
          </cell>
          <cell r="AV4743">
            <v>0</v>
          </cell>
        </row>
        <row r="4744">
          <cell r="E4744" t="str">
            <v>B26002120</v>
          </cell>
          <cell r="AP4744">
            <v>0</v>
          </cell>
          <cell r="AQ4744">
            <v>0</v>
          </cell>
          <cell r="AV4744">
            <v>0</v>
          </cell>
        </row>
        <row r="4745">
          <cell r="E4745" t="str">
            <v>B26002155</v>
          </cell>
          <cell r="AP4745">
            <v>0</v>
          </cell>
          <cell r="AQ4745">
            <v>0</v>
          </cell>
          <cell r="AV4745">
            <v>0</v>
          </cell>
        </row>
        <row r="4746">
          <cell r="E4746" t="str">
            <v>D26002305</v>
          </cell>
          <cell r="AP4746">
            <v>0</v>
          </cell>
          <cell r="AQ4746">
            <v>0</v>
          </cell>
          <cell r="AV4746">
            <v>0</v>
          </cell>
        </row>
        <row r="4747">
          <cell r="E4747" t="str">
            <v>D26002337</v>
          </cell>
          <cell r="AP4747">
            <v>0</v>
          </cell>
          <cell r="AQ4747">
            <v>0</v>
          </cell>
          <cell r="AV4747">
            <v>0</v>
          </cell>
        </row>
        <row r="4748">
          <cell r="E4748" t="str">
            <v>D26002482</v>
          </cell>
          <cell r="AP4748">
            <v>0</v>
          </cell>
          <cell r="AQ4748">
            <v>0</v>
          </cell>
          <cell r="AV4748">
            <v>0</v>
          </cell>
        </row>
        <row r="4749">
          <cell r="E4749" t="str">
            <v>B26002380</v>
          </cell>
          <cell r="AP4749">
            <v>0</v>
          </cell>
          <cell r="AQ4749">
            <v>0</v>
          </cell>
          <cell r="AV4749">
            <v>0</v>
          </cell>
        </row>
        <row r="4750">
          <cell r="E4750" t="str">
            <v>D26002551</v>
          </cell>
          <cell r="AP4750">
            <v>0</v>
          </cell>
          <cell r="AQ4750">
            <v>0</v>
          </cell>
          <cell r="AV4750">
            <v>0</v>
          </cell>
        </row>
        <row r="4751">
          <cell r="E4751" t="str">
            <v>D26002612</v>
          </cell>
          <cell r="AP4751">
            <v>0</v>
          </cell>
          <cell r="AQ4751">
            <v>0</v>
          </cell>
          <cell r="AV4751">
            <v>0</v>
          </cell>
        </row>
        <row r="4752">
          <cell r="E4752" t="str">
            <v>B26002528</v>
          </cell>
          <cell r="AP4752">
            <v>0</v>
          </cell>
          <cell r="AQ4752">
            <v>0</v>
          </cell>
          <cell r="AV4752">
            <v>0</v>
          </cell>
        </row>
        <row r="4753">
          <cell r="E4753" t="str">
            <v>D26002868</v>
          </cell>
          <cell r="AP4753">
            <v>0</v>
          </cell>
          <cell r="AQ4753">
            <v>0</v>
          </cell>
          <cell r="AV4753">
            <v>0</v>
          </cell>
        </row>
        <row r="4754">
          <cell r="E4754" t="str">
            <v>B26002841</v>
          </cell>
          <cell r="AP4754">
            <v>0</v>
          </cell>
          <cell r="AQ4754">
            <v>0</v>
          </cell>
          <cell r="AV4754">
            <v>0</v>
          </cell>
        </row>
        <row r="4755">
          <cell r="E4755" t="str">
            <v>B26002841</v>
          </cell>
          <cell r="AP4755">
            <v>0</v>
          </cell>
          <cell r="AQ4755">
            <v>0</v>
          </cell>
          <cell r="AV4755">
            <v>0</v>
          </cell>
        </row>
        <row r="4756">
          <cell r="E4756" t="str">
            <v>D26003125</v>
          </cell>
          <cell r="AP4756">
            <v>0</v>
          </cell>
          <cell r="AQ4756">
            <v>0</v>
          </cell>
          <cell r="AV4756">
            <v>0</v>
          </cell>
        </row>
        <row r="4757">
          <cell r="E4757" t="str">
            <v>D26003234</v>
          </cell>
          <cell r="AP4757">
            <v>0</v>
          </cell>
          <cell r="AQ4757">
            <v>0</v>
          </cell>
          <cell r="AV4757">
            <v>0</v>
          </cell>
        </row>
        <row r="4758">
          <cell r="E4758" t="str">
            <v>T25001880</v>
          </cell>
          <cell r="AP4758">
            <v>0</v>
          </cell>
          <cell r="AQ4758">
            <v>0</v>
          </cell>
          <cell r="AV4758">
            <v>0</v>
          </cell>
        </row>
        <row r="4759">
          <cell r="E4759" t="str">
            <v>B26000964</v>
          </cell>
          <cell r="AP4759">
            <v>0</v>
          </cell>
          <cell r="AQ4759">
            <v>0</v>
          </cell>
          <cell r="AV4759">
            <v>0</v>
          </cell>
        </row>
        <row r="4760">
          <cell r="E4760" t="str">
            <v>B26000965</v>
          </cell>
          <cell r="AP4760">
            <v>0</v>
          </cell>
          <cell r="AQ4760">
            <v>0</v>
          </cell>
          <cell r="AV4760">
            <v>0</v>
          </cell>
        </row>
        <row r="4761">
          <cell r="E4761" t="str">
            <v>D26002347</v>
          </cell>
          <cell r="AP4761">
            <v>0</v>
          </cell>
          <cell r="AQ4761">
            <v>0</v>
          </cell>
          <cell r="AV4761">
            <v>0</v>
          </cell>
        </row>
        <row r="4762">
          <cell r="E4762" t="str">
            <v>B26001149</v>
          </cell>
          <cell r="AP4762">
            <v>0</v>
          </cell>
          <cell r="AQ4762">
            <v>0</v>
          </cell>
          <cell r="AV4762">
            <v>0</v>
          </cell>
        </row>
        <row r="4763">
          <cell r="E4763" t="str">
            <v>D26001262</v>
          </cell>
          <cell r="AP4763">
            <v>0</v>
          </cell>
          <cell r="AQ4763">
            <v>0</v>
          </cell>
          <cell r="AV4763">
            <v>0</v>
          </cell>
        </row>
        <row r="4764">
          <cell r="E4764" t="str">
            <v>D26001395</v>
          </cell>
          <cell r="AP4764">
            <v>0</v>
          </cell>
          <cell r="AQ4764">
            <v>0</v>
          </cell>
          <cell r="AV4764">
            <v>0</v>
          </cell>
        </row>
        <row r="4765">
          <cell r="E4765" t="str">
            <v>D26001803</v>
          </cell>
          <cell r="AP4765">
            <v>0</v>
          </cell>
          <cell r="AQ4765">
            <v>0</v>
          </cell>
          <cell r="AV4765">
            <v>0</v>
          </cell>
        </row>
        <row r="4766">
          <cell r="E4766" t="str">
            <v>D26002858</v>
          </cell>
          <cell r="AP4766">
            <v>0</v>
          </cell>
          <cell r="AQ4766">
            <v>0</v>
          </cell>
          <cell r="AV4766">
            <v>0</v>
          </cell>
        </row>
        <row r="4767">
          <cell r="E4767" t="str">
            <v>T26000228</v>
          </cell>
          <cell r="AP4767">
            <v>0</v>
          </cell>
          <cell r="AQ4767">
            <v>0</v>
          </cell>
          <cell r="AV4767">
            <v>0</v>
          </cell>
        </row>
        <row r="4768">
          <cell r="E4768" t="str">
            <v>B26001600</v>
          </cell>
          <cell r="AP4768">
            <v>0</v>
          </cell>
          <cell r="AQ4768">
            <v>0</v>
          </cell>
          <cell r="AV4768">
            <v>1830000</v>
          </cell>
        </row>
        <row r="4769">
          <cell r="E4769" t="str">
            <v>B26001601</v>
          </cell>
          <cell r="AP4769">
            <v>0</v>
          </cell>
          <cell r="AQ4769">
            <v>0</v>
          </cell>
          <cell r="AV4769">
            <v>2500000</v>
          </cell>
        </row>
        <row r="4770">
          <cell r="E4770" t="str">
            <v>B26001737</v>
          </cell>
          <cell r="AP4770">
            <v>0</v>
          </cell>
          <cell r="AQ4770">
            <v>0</v>
          </cell>
          <cell r="AV4770">
            <v>0</v>
          </cell>
        </row>
        <row r="4771">
          <cell r="E4771" t="str">
            <v>D26003026</v>
          </cell>
          <cell r="AP4771">
            <v>0</v>
          </cell>
          <cell r="AQ4771">
            <v>0</v>
          </cell>
          <cell r="AV4771">
            <v>0</v>
          </cell>
        </row>
        <row r="4772">
          <cell r="E4772" t="str">
            <v>D26000414</v>
          </cell>
          <cell r="AP4772">
            <v>0</v>
          </cell>
          <cell r="AQ4772">
            <v>0</v>
          </cell>
          <cell r="AV4772">
            <v>0</v>
          </cell>
        </row>
        <row r="4773">
          <cell r="E4773" t="str">
            <v>D26000734</v>
          </cell>
          <cell r="AP4773">
            <v>0</v>
          </cell>
          <cell r="AQ4773">
            <v>0</v>
          </cell>
          <cell r="AV4773">
            <v>0</v>
          </cell>
        </row>
        <row r="4774">
          <cell r="E4774" t="str">
            <v>D26001284</v>
          </cell>
          <cell r="AP4774">
            <v>0</v>
          </cell>
          <cell r="AQ4774">
            <v>0</v>
          </cell>
          <cell r="AV4774">
            <v>0</v>
          </cell>
        </row>
        <row r="4775">
          <cell r="E4775" t="str">
            <v>D26003091</v>
          </cell>
          <cell r="AP4775">
            <v>0</v>
          </cell>
          <cell r="AQ4775">
            <v>0</v>
          </cell>
          <cell r="AV4775">
            <v>0</v>
          </cell>
        </row>
        <row r="4776">
          <cell r="E4776" t="str">
            <v>B25012496</v>
          </cell>
          <cell r="AP4776">
            <v>0</v>
          </cell>
          <cell r="AQ4776">
            <v>0</v>
          </cell>
          <cell r="AV4776">
            <v>0</v>
          </cell>
        </row>
        <row r="4777">
          <cell r="E4777" t="str">
            <v>D25017825</v>
          </cell>
          <cell r="AP4777">
            <v>0</v>
          </cell>
          <cell r="AQ4777">
            <v>0</v>
          </cell>
          <cell r="AV4777">
            <v>0</v>
          </cell>
        </row>
        <row r="4778">
          <cell r="E4778" t="str">
            <v>B25015450</v>
          </cell>
          <cell r="AP4778">
            <v>0</v>
          </cell>
          <cell r="AQ4778">
            <v>0</v>
          </cell>
          <cell r="AV4778">
            <v>0</v>
          </cell>
        </row>
        <row r="4779">
          <cell r="E4779" t="str">
            <v>B25016277</v>
          </cell>
          <cell r="AP4779">
            <v>0</v>
          </cell>
          <cell r="AQ4779">
            <v>0</v>
          </cell>
          <cell r="AV4779">
            <v>0</v>
          </cell>
        </row>
        <row r="4780">
          <cell r="E4780" t="str">
            <v>B25016844</v>
          </cell>
          <cell r="AP4780">
            <v>0</v>
          </cell>
          <cell r="AQ4780">
            <v>0</v>
          </cell>
          <cell r="AV4780">
            <v>5000000</v>
          </cell>
        </row>
        <row r="4781">
          <cell r="E4781" t="str">
            <v>B26000009</v>
          </cell>
          <cell r="AP4781">
            <v>0</v>
          </cell>
          <cell r="AQ4781">
            <v>0</v>
          </cell>
          <cell r="AV4781">
            <v>0</v>
          </cell>
        </row>
        <row r="4782">
          <cell r="E4782" t="str">
            <v>D26000119</v>
          </cell>
          <cell r="AP4782">
            <v>0</v>
          </cell>
          <cell r="AQ4782">
            <v>0</v>
          </cell>
          <cell r="AV4782">
            <v>0</v>
          </cell>
        </row>
        <row r="4783">
          <cell r="E4783" t="str">
            <v>B26000200</v>
          </cell>
          <cell r="AP4783">
            <v>0</v>
          </cell>
          <cell r="AQ4783">
            <v>0</v>
          </cell>
          <cell r="AV4783">
            <v>0</v>
          </cell>
        </row>
        <row r="4784">
          <cell r="E4784" t="str">
            <v>D26000281</v>
          </cell>
          <cell r="AP4784">
            <v>0</v>
          </cell>
          <cell r="AQ4784">
            <v>0</v>
          </cell>
          <cell r="AV4784">
            <v>0</v>
          </cell>
        </row>
        <row r="4785">
          <cell r="E4785" t="str">
            <v>D26000374</v>
          </cell>
          <cell r="AP4785">
            <v>0</v>
          </cell>
          <cell r="AQ4785">
            <v>0</v>
          </cell>
          <cell r="AV4785">
            <v>0</v>
          </cell>
        </row>
        <row r="4786">
          <cell r="E4786" t="str">
            <v>D26000759</v>
          </cell>
          <cell r="AP4786">
            <v>0</v>
          </cell>
          <cell r="AQ4786">
            <v>0</v>
          </cell>
          <cell r="AV4786">
            <v>0</v>
          </cell>
        </row>
        <row r="4787">
          <cell r="E4787" t="str">
            <v>D26000773</v>
          </cell>
          <cell r="AP4787">
            <v>0</v>
          </cell>
          <cell r="AQ4787">
            <v>0</v>
          </cell>
          <cell r="AV4787">
            <v>0</v>
          </cell>
        </row>
        <row r="4788">
          <cell r="E4788" t="str">
            <v>D26000980</v>
          </cell>
          <cell r="AP4788">
            <v>0</v>
          </cell>
          <cell r="AQ4788">
            <v>0</v>
          </cell>
          <cell r="AV4788">
            <v>0</v>
          </cell>
        </row>
        <row r="4789">
          <cell r="E4789" t="str">
            <v>B26001098</v>
          </cell>
          <cell r="AP4789">
            <v>0</v>
          </cell>
          <cell r="AQ4789">
            <v>0</v>
          </cell>
          <cell r="AV4789">
            <v>0</v>
          </cell>
        </row>
        <row r="4790">
          <cell r="E4790" t="str">
            <v>B26001931</v>
          </cell>
          <cell r="AP4790">
            <v>0</v>
          </cell>
          <cell r="AQ4790">
            <v>0</v>
          </cell>
          <cell r="AV4790">
            <v>0</v>
          </cell>
        </row>
        <row r="4791">
          <cell r="E4791" t="str">
            <v>D26002064</v>
          </cell>
          <cell r="AP4791">
            <v>0</v>
          </cell>
          <cell r="AQ4791">
            <v>0</v>
          </cell>
          <cell r="AV4791">
            <v>0</v>
          </cell>
        </row>
        <row r="4792">
          <cell r="E4792" t="str">
            <v>B26002304</v>
          </cell>
          <cell r="AP4792">
            <v>0</v>
          </cell>
          <cell r="AQ4792">
            <v>0</v>
          </cell>
          <cell r="AV4792">
            <v>0</v>
          </cell>
        </row>
        <row r="4793">
          <cell r="E4793" t="str">
            <v>B26002375</v>
          </cell>
          <cell r="AP4793">
            <v>0</v>
          </cell>
          <cell r="AQ4793">
            <v>0</v>
          </cell>
          <cell r="AV4793">
            <v>0</v>
          </cell>
        </row>
        <row r="4794">
          <cell r="E4794" t="str">
            <v>B26002376</v>
          </cell>
          <cell r="AP4794">
            <v>0</v>
          </cell>
          <cell r="AQ4794">
            <v>0</v>
          </cell>
          <cell r="AV4794">
            <v>0</v>
          </cell>
        </row>
        <row r="4795">
          <cell r="E4795" t="str">
            <v>B26002593</v>
          </cell>
          <cell r="AP4795">
            <v>0</v>
          </cell>
          <cell r="AQ4795">
            <v>0</v>
          </cell>
          <cell r="AV4795">
            <v>0</v>
          </cell>
        </row>
        <row r="4796">
          <cell r="E4796" t="str">
            <v>D26003117</v>
          </cell>
          <cell r="AP4796">
            <v>0</v>
          </cell>
          <cell r="AQ4796">
            <v>0</v>
          </cell>
          <cell r="AV4796">
            <v>0</v>
          </cell>
        </row>
        <row r="4797">
          <cell r="E4797" t="str">
            <v>B26000622</v>
          </cell>
          <cell r="AP4797">
            <v>0</v>
          </cell>
          <cell r="AQ4797">
            <v>0</v>
          </cell>
          <cell r="AV4797">
            <v>0</v>
          </cell>
        </row>
        <row r="4798">
          <cell r="E4798" t="str">
            <v>B26000775</v>
          </cell>
          <cell r="AP4798">
            <v>0</v>
          </cell>
          <cell r="AQ4798">
            <v>0</v>
          </cell>
          <cell r="AV4798">
            <v>0</v>
          </cell>
        </row>
        <row r="4799">
          <cell r="E4799" t="str">
            <v>B26001262</v>
          </cell>
          <cell r="AP4799">
            <v>0</v>
          </cell>
          <cell r="AQ4799">
            <v>0</v>
          </cell>
          <cell r="AV4799">
            <v>0</v>
          </cell>
        </row>
        <row r="4800">
          <cell r="E4800" t="str">
            <v>T26000105</v>
          </cell>
          <cell r="AP4800">
            <v>0</v>
          </cell>
          <cell r="AQ4800">
            <v>0</v>
          </cell>
          <cell r="AV4800">
            <v>0</v>
          </cell>
        </row>
        <row r="4801">
          <cell r="E4801" t="str">
            <v>D26002855</v>
          </cell>
          <cell r="AP4801">
            <v>0</v>
          </cell>
          <cell r="AQ4801">
            <v>0</v>
          </cell>
          <cell r="AV4801">
            <v>0</v>
          </cell>
        </row>
        <row r="4802">
          <cell r="E4802" t="str">
            <v>B26002819</v>
          </cell>
          <cell r="AP4802">
            <v>0</v>
          </cell>
          <cell r="AQ4802">
            <v>0</v>
          </cell>
          <cell r="AV4802">
            <v>0</v>
          </cell>
        </row>
        <row r="4803">
          <cell r="E4803" t="str">
            <v>B26002820</v>
          </cell>
          <cell r="AP4803">
            <v>0</v>
          </cell>
          <cell r="AQ4803">
            <v>0</v>
          </cell>
          <cell r="AV4803">
            <v>0</v>
          </cell>
        </row>
        <row r="4804">
          <cell r="E4804" t="str">
            <v>D25019227</v>
          </cell>
          <cell r="AP4804">
            <v>0</v>
          </cell>
          <cell r="AQ4804">
            <v>0</v>
          </cell>
          <cell r="AV4804">
            <v>0</v>
          </cell>
        </row>
        <row r="4805">
          <cell r="E4805" t="str">
            <v>D25019279</v>
          </cell>
          <cell r="AP4805">
            <v>0</v>
          </cell>
          <cell r="AQ4805">
            <v>0</v>
          </cell>
          <cell r="AV4805">
            <v>0</v>
          </cell>
        </row>
        <row r="4806">
          <cell r="E4806" t="str">
            <v>D26001292</v>
          </cell>
          <cell r="AP4806">
            <v>0</v>
          </cell>
          <cell r="AQ4806">
            <v>0</v>
          </cell>
          <cell r="AV4806">
            <v>0</v>
          </cell>
        </row>
        <row r="4807">
          <cell r="E4807" t="str">
            <v>D26001420</v>
          </cell>
          <cell r="AP4807">
            <v>0</v>
          </cell>
          <cell r="AQ4807">
            <v>0</v>
          </cell>
          <cell r="AV4807">
            <v>0</v>
          </cell>
        </row>
        <row r="4808">
          <cell r="E4808" t="str">
            <v>D26001523</v>
          </cell>
          <cell r="AP4808">
            <v>0</v>
          </cell>
          <cell r="AQ4808">
            <v>0</v>
          </cell>
          <cell r="AV4808">
            <v>0</v>
          </cell>
        </row>
        <row r="4809">
          <cell r="E4809" t="str">
            <v>D26001981</v>
          </cell>
          <cell r="AP4809">
            <v>0</v>
          </cell>
          <cell r="AQ4809">
            <v>0</v>
          </cell>
          <cell r="AV4809">
            <v>0</v>
          </cell>
        </row>
        <row r="4810">
          <cell r="E4810" t="str">
            <v>D26002085</v>
          </cell>
          <cell r="AP4810">
            <v>0</v>
          </cell>
          <cell r="AQ4810">
            <v>0</v>
          </cell>
          <cell r="AV4810">
            <v>0</v>
          </cell>
        </row>
        <row r="4811">
          <cell r="E4811" t="str">
            <v>D26002140</v>
          </cell>
          <cell r="AP4811">
            <v>0</v>
          </cell>
          <cell r="AQ4811">
            <v>0</v>
          </cell>
          <cell r="AV4811">
            <v>0</v>
          </cell>
        </row>
        <row r="4812">
          <cell r="E4812" t="str">
            <v>B26002067</v>
          </cell>
          <cell r="AP4812">
            <v>0</v>
          </cell>
          <cell r="AQ4812">
            <v>0</v>
          </cell>
          <cell r="AV4812">
            <v>0</v>
          </cell>
        </row>
        <row r="4813">
          <cell r="E4813" t="str">
            <v>D26002422</v>
          </cell>
          <cell r="AP4813">
            <v>0</v>
          </cell>
          <cell r="AQ4813">
            <v>0</v>
          </cell>
          <cell r="AV4813">
            <v>0</v>
          </cell>
        </row>
        <row r="4814">
          <cell r="E4814" t="str">
            <v>D26002639</v>
          </cell>
          <cell r="AP4814">
            <v>0</v>
          </cell>
          <cell r="AQ4814">
            <v>0</v>
          </cell>
          <cell r="AV4814">
            <v>0</v>
          </cell>
        </row>
        <row r="4815">
          <cell r="E4815" t="str">
            <v>D26002333</v>
          </cell>
          <cell r="AP4815">
            <v>0</v>
          </cell>
          <cell r="AQ4815">
            <v>0</v>
          </cell>
          <cell r="AV4815">
            <v>0</v>
          </cell>
        </row>
        <row r="4816">
          <cell r="E4816" t="str">
            <v>B26002882</v>
          </cell>
          <cell r="AP4816">
            <v>0</v>
          </cell>
          <cell r="AQ4816">
            <v>0</v>
          </cell>
          <cell r="AV4816">
            <v>0</v>
          </cell>
        </row>
        <row r="4817">
          <cell r="E4817" t="str">
            <v>B26001309</v>
          </cell>
          <cell r="AP4817">
            <v>0</v>
          </cell>
          <cell r="AQ4817">
            <v>0</v>
          </cell>
          <cell r="AV4817">
            <v>0</v>
          </cell>
        </row>
        <row r="4818">
          <cell r="E4818" t="str">
            <v>T26000248</v>
          </cell>
          <cell r="AP4818">
            <v>0</v>
          </cell>
          <cell r="AQ4818">
            <v>0</v>
          </cell>
          <cell r="AV4818">
            <v>0</v>
          </cell>
        </row>
        <row r="4819">
          <cell r="E4819" t="str">
            <v>T26000249</v>
          </cell>
          <cell r="AP4819">
            <v>0</v>
          </cell>
          <cell r="AQ4819">
            <v>0</v>
          </cell>
          <cell r="AV4819">
            <v>0</v>
          </cell>
        </row>
        <row r="4820">
          <cell r="E4820" t="str">
            <v>D26000429</v>
          </cell>
          <cell r="AP4820">
            <v>0</v>
          </cell>
          <cell r="AQ4820">
            <v>0</v>
          </cell>
          <cell r="AV4820">
            <v>19050000</v>
          </cell>
        </row>
        <row r="4821">
          <cell r="E4821" t="str">
            <v>B25015859</v>
          </cell>
          <cell r="AP4821">
            <v>0</v>
          </cell>
          <cell r="AQ4821">
            <v>0</v>
          </cell>
          <cell r="AV4821">
            <v>0</v>
          </cell>
        </row>
        <row r="4822">
          <cell r="E4822" t="str">
            <v>D25018274</v>
          </cell>
          <cell r="AP4822">
            <v>0</v>
          </cell>
          <cell r="AQ4822">
            <v>0</v>
          </cell>
          <cell r="AV4822">
            <v>0</v>
          </cell>
        </row>
        <row r="4823">
          <cell r="E4823" t="str">
            <v>B26000337</v>
          </cell>
          <cell r="AP4823">
            <v>0</v>
          </cell>
          <cell r="AQ4823">
            <v>0</v>
          </cell>
          <cell r="AV4823">
            <v>0</v>
          </cell>
        </row>
        <row r="4824">
          <cell r="E4824" t="str">
            <v>D26000722</v>
          </cell>
          <cell r="AP4824">
            <v>0</v>
          </cell>
          <cell r="AQ4824">
            <v>0</v>
          </cell>
          <cell r="AV4824">
            <v>0</v>
          </cell>
        </row>
        <row r="4825">
          <cell r="E4825" t="str">
            <v>D26000854</v>
          </cell>
          <cell r="AP4825">
            <v>0</v>
          </cell>
          <cell r="AQ4825">
            <v>0</v>
          </cell>
          <cell r="AV4825">
            <v>0</v>
          </cell>
        </row>
        <row r="4826">
          <cell r="E4826" t="str">
            <v>D26001994</v>
          </cell>
          <cell r="AP4826">
            <v>0</v>
          </cell>
          <cell r="AQ4826">
            <v>0</v>
          </cell>
          <cell r="AV4826">
            <v>0</v>
          </cell>
        </row>
        <row r="4827">
          <cell r="E4827" t="str">
            <v>B26001975</v>
          </cell>
          <cell r="AP4827">
            <v>0</v>
          </cell>
          <cell r="AQ4827">
            <v>0</v>
          </cell>
          <cell r="AV4827">
            <v>0</v>
          </cell>
        </row>
        <row r="4828">
          <cell r="E4828" t="str">
            <v>D26002104</v>
          </cell>
          <cell r="AP4828">
            <v>0</v>
          </cell>
          <cell r="AQ4828">
            <v>0</v>
          </cell>
          <cell r="AV4828">
            <v>0</v>
          </cell>
        </row>
        <row r="4829">
          <cell r="E4829" t="str">
            <v>D26002112</v>
          </cell>
          <cell r="AP4829">
            <v>0</v>
          </cell>
          <cell r="AQ4829">
            <v>0</v>
          </cell>
          <cell r="AV4829">
            <v>0</v>
          </cell>
        </row>
        <row r="4830">
          <cell r="E4830" t="str">
            <v>D26002201</v>
          </cell>
          <cell r="AP4830">
            <v>0</v>
          </cell>
          <cell r="AQ4830">
            <v>0</v>
          </cell>
          <cell r="AV4830">
            <v>0</v>
          </cell>
        </row>
        <row r="4831">
          <cell r="E4831" t="str">
            <v>D26002215</v>
          </cell>
          <cell r="AP4831">
            <v>0</v>
          </cell>
          <cell r="AQ4831">
            <v>0</v>
          </cell>
          <cell r="AV4831">
            <v>0</v>
          </cell>
        </row>
        <row r="4832">
          <cell r="E4832" t="str">
            <v>D26002411</v>
          </cell>
          <cell r="AP4832">
            <v>0</v>
          </cell>
          <cell r="AQ4832">
            <v>0</v>
          </cell>
          <cell r="AV4832">
            <v>0</v>
          </cell>
        </row>
        <row r="4833">
          <cell r="E4833" t="str">
            <v>D26002528</v>
          </cell>
          <cell r="AP4833">
            <v>0</v>
          </cell>
          <cell r="AQ4833">
            <v>0</v>
          </cell>
          <cell r="AV4833">
            <v>0</v>
          </cell>
        </row>
        <row r="4834">
          <cell r="E4834" t="str">
            <v>D26003058</v>
          </cell>
          <cell r="AP4834">
            <v>0</v>
          </cell>
          <cell r="AQ4834">
            <v>0</v>
          </cell>
          <cell r="AV4834">
            <v>0</v>
          </cell>
        </row>
        <row r="4835">
          <cell r="E4835" t="str">
            <v>D26003059</v>
          </cell>
          <cell r="AP4835">
            <v>0</v>
          </cell>
          <cell r="AQ4835">
            <v>0</v>
          </cell>
          <cell r="AV4835">
            <v>0</v>
          </cell>
        </row>
        <row r="4836">
          <cell r="E4836" t="str">
            <v>D26003075</v>
          </cell>
          <cell r="AP4836">
            <v>0</v>
          </cell>
          <cell r="AQ4836">
            <v>0</v>
          </cell>
          <cell r="AV4836">
            <v>0</v>
          </cell>
        </row>
        <row r="4837">
          <cell r="E4837" t="str">
            <v>D26003080</v>
          </cell>
          <cell r="AP4837">
            <v>0</v>
          </cell>
          <cell r="AQ4837">
            <v>0</v>
          </cell>
          <cell r="AV4837">
            <v>0</v>
          </cell>
        </row>
        <row r="4838">
          <cell r="E4838" t="str">
            <v>B26002881</v>
          </cell>
          <cell r="AP4838">
            <v>0</v>
          </cell>
          <cell r="AQ4838">
            <v>0</v>
          </cell>
          <cell r="AV4838">
            <v>0</v>
          </cell>
        </row>
        <row r="4839">
          <cell r="E4839" t="str">
            <v>D26003111</v>
          </cell>
          <cell r="AP4839">
            <v>0</v>
          </cell>
          <cell r="AQ4839">
            <v>0</v>
          </cell>
          <cell r="AV4839">
            <v>0</v>
          </cell>
        </row>
        <row r="4840">
          <cell r="E4840" t="str">
            <v>B26002974</v>
          </cell>
          <cell r="AP4840">
            <v>0</v>
          </cell>
          <cell r="AQ4840">
            <v>0</v>
          </cell>
          <cell r="AV4840">
            <v>0</v>
          </cell>
        </row>
        <row r="4841">
          <cell r="E4841" t="str">
            <v>D26003292</v>
          </cell>
          <cell r="AP4841">
            <v>0</v>
          </cell>
          <cell r="AQ4841">
            <v>0</v>
          </cell>
          <cell r="AV4841">
            <v>0</v>
          </cell>
        </row>
        <row r="4842">
          <cell r="E4842" t="str">
            <v>B25016188</v>
          </cell>
          <cell r="AP4842">
            <v>0</v>
          </cell>
          <cell r="AQ4842">
            <v>0</v>
          </cell>
          <cell r="AV4842">
            <v>0</v>
          </cell>
        </row>
        <row r="4843">
          <cell r="E4843" t="str">
            <v>B26000859</v>
          </cell>
          <cell r="AP4843">
            <v>0</v>
          </cell>
          <cell r="AQ4843">
            <v>0</v>
          </cell>
          <cell r="AV4843">
            <v>0</v>
          </cell>
        </row>
        <row r="4844">
          <cell r="E4844" t="str">
            <v>T25001868</v>
          </cell>
          <cell r="AP4844">
            <v>0</v>
          </cell>
          <cell r="AQ4844">
            <v>0</v>
          </cell>
          <cell r="AV4844">
            <v>0</v>
          </cell>
        </row>
        <row r="4845">
          <cell r="E4845" t="str">
            <v>T26000066k</v>
          </cell>
          <cell r="AP4845">
            <v>0</v>
          </cell>
          <cell r="AQ4845">
            <v>0</v>
          </cell>
          <cell r="AV4845">
            <v>0</v>
          </cell>
        </row>
        <row r="4846">
          <cell r="E4846" t="str">
            <v>B26001273</v>
          </cell>
          <cell r="AP4846">
            <v>0</v>
          </cell>
          <cell r="AQ4846">
            <v>0</v>
          </cell>
          <cell r="AV4846">
            <v>0</v>
          </cell>
        </row>
        <row r="4847">
          <cell r="E4847" t="str">
            <v>B26001831</v>
          </cell>
          <cell r="AP4847">
            <v>0</v>
          </cell>
          <cell r="AQ4847">
            <v>0</v>
          </cell>
          <cell r="AV4847">
            <v>0</v>
          </cell>
        </row>
        <row r="4848">
          <cell r="E4848" t="str">
            <v>B26002310</v>
          </cell>
          <cell r="AP4848">
            <v>0</v>
          </cell>
          <cell r="AQ4848">
            <v>0</v>
          </cell>
          <cell r="AV4848">
            <v>0</v>
          </cell>
        </row>
        <row r="4849">
          <cell r="E4849" t="str">
            <v>B26002697</v>
          </cell>
          <cell r="AP4849">
            <v>0</v>
          </cell>
          <cell r="AQ4849">
            <v>0</v>
          </cell>
          <cell r="AV4849">
            <v>0</v>
          </cell>
        </row>
        <row r="4850">
          <cell r="E4850" t="str">
            <v>D26003209</v>
          </cell>
          <cell r="AP4850">
            <v>0</v>
          </cell>
          <cell r="AQ4850">
            <v>0</v>
          </cell>
          <cell r="AV4850">
            <v>0</v>
          </cell>
        </row>
        <row r="4851">
          <cell r="E4851" t="str">
            <v>T25001818</v>
          </cell>
          <cell r="AP4851">
            <v>0</v>
          </cell>
          <cell r="AQ4851">
            <v>0</v>
          </cell>
          <cell r="AV4851">
            <v>0</v>
          </cell>
        </row>
        <row r="4852">
          <cell r="E4852" t="str">
            <v>B26001944</v>
          </cell>
          <cell r="AP4852">
            <v>0</v>
          </cell>
          <cell r="AQ4852">
            <v>0</v>
          </cell>
          <cell r="AV4852">
            <v>70000000</v>
          </cell>
        </row>
        <row r="4853">
          <cell r="E4853" t="str">
            <v>B26001963</v>
          </cell>
          <cell r="AP4853">
            <v>0</v>
          </cell>
          <cell r="AQ4853">
            <v>0</v>
          </cell>
          <cell r="AV4853">
            <v>0</v>
          </cell>
        </row>
        <row r="4854">
          <cell r="E4854" t="str">
            <v>D26003084</v>
          </cell>
          <cell r="AP4854">
            <v>0</v>
          </cell>
          <cell r="AQ4854">
            <v>0</v>
          </cell>
          <cell r="AV4854">
            <v>0</v>
          </cell>
        </row>
        <row r="4855">
          <cell r="E4855" t="str">
            <v>B26000454</v>
          </cell>
          <cell r="AP4855">
            <v>0</v>
          </cell>
          <cell r="AQ4855">
            <v>0</v>
          </cell>
          <cell r="AV4855">
            <v>0</v>
          </cell>
        </row>
        <row r="4856">
          <cell r="E4856" t="str">
            <v>T25001515k</v>
          </cell>
          <cell r="AP4856">
            <v>0</v>
          </cell>
          <cell r="AQ4856">
            <v>0</v>
          </cell>
          <cell r="AV4856">
            <v>0</v>
          </cell>
        </row>
        <row r="4857">
          <cell r="E4857" t="str">
            <v>T25001519K</v>
          </cell>
          <cell r="AP4857">
            <v>0</v>
          </cell>
          <cell r="AQ4857">
            <v>0</v>
          </cell>
          <cell r="AV4857">
            <v>0</v>
          </cell>
        </row>
        <row r="4858">
          <cell r="E4858" t="str">
            <v>D26002285</v>
          </cell>
          <cell r="AP4858">
            <v>0</v>
          </cell>
          <cell r="AQ4858">
            <v>0</v>
          </cell>
          <cell r="AV4858">
            <v>0</v>
          </cell>
        </row>
        <row r="4859">
          <cell r="E4859" t="str">
            <v>D26002296</v>
          </cell>
          <cell r="AP4859">
            <v>0</v>
          </cell>
          <cell r="AQ4859">
            <v>0</v>
          </cell>
          <cell r="AV4859">
            <v>0</v>
          </cell>
        </row>
        <row r="4860">
          <cell r="E4860" t="str">
            <v>D25015675</v>
          </cell>
          <cell r="AP4860">
            <v>0</v>
          </cell>
          <cell r="AQ4860">
            <v>0</v>
          </cell>
          <cell r="AV4860">
            <v>9700000</v>
          </cell>
        </row>
        <row r="4861">
          <cell r="E4861" t="str">
            <v>B25014895</v>
          </cell>
          <cell r="AP4861">
            <v>0</v>
          </cell>
          <cell r="AQ4861">
            <v>0</v>
          </cell>
          <cell r="AV4861">
            <v>0</v>
          </cell>
        </row>
        <row r="4862">
          <cell r="E4862" t="str">
            <v>D25017233</v>
          </cell>
          <cell r="AP4862">
            <v>0</v>
          </cell>
          <cell r="AQ4862">
            <v>0</v>
          </cell>
          <cell r="AV4862">
            <v>0</v>
          </cell>
        </row>
        <row r="4863">
          <cell r="E4863" t="str">
            <v>B25015498</v>
          </cell>
          <cell r="AP4863">
            <v>0</v>
          </cell>
          <cell r="AQ4863">
            <v>0</v>
          </cell>
          <cell r="AV4863">
            <v>0</v>
          </cell>
        </row>
        <row r="4864">
          <cell r="E4864" t="str">
            <v>B25015508</v>
          </cell>
          <cell r="AP4864">
            <v>0</v>
          </cell>
          <cell r="AQ4864">
            <v>0</v>
          </cell>
          <cell r="AV4864">
            <v>0</v>
          </cell>
        </row>
        <row r="4865">
          <cell r="E4865" t="str">
            <v>B25015667</v>
          </cell>
          <cell r="AP4865">
            <v>0</v>
          </cell>
          <cell r="AQ4865">
            <v>0</v>
          </cell>
          <cell r="AV4865">
            <v>0</v>
          </cell>
        </row>
        <row r="4866">
          <cell r="E4866" t="str">
            <v>B25015981</v>
          </cell>
          <cell r="AP4866">
            <v>0</v>
          </cell>
          <cell r="AQ4866">
            <v>0</v>
          </cell>
          <cell r="AV4866">
            <v>0</v>
          </cell>
        </row>
        <row r="4867">
          <cell r="E4867" t="str">
            <v>T25001821</v>
          </cell>
          <cell r="AP4867">
            <v>0</v>
          </cell>
          <cell r="AQ4867">
            <v>0</v>
          </cell>
          <cell r="AV4867">
            <v>0</v>
          </cell>
        </row>
        <row r="4868">
          <cell r="E4868" t="str">
            <v>D25018765</v>
          </cell>
          <cell r="AP4868">
            <v>0</v>
          </cell>
          <cell r="AQ4868">
            <v>0</v>
          </cell>
          <cell r="AV4868">
            <v>300000</v>
          </cell>
        </row>
        <row r="4869">
          <cell r="E4869" t="str">
            <v>B25016753</v>
          </cell>
          <cell r="AP4869">
            <v>0</v>
          </cell>
          <cell r="AQ4869">
            <v>0</v>
          </cell>
          <cell r="AV4869">
            <v>0</v>
          </cell>
        </row>
        <row r="4870">
          <cell r="E4870" t="str">
            <v>T25001877</v>
          </cell>
          <cell r="AP4870">
            <v>0</v>
          </cell>
          <cell r="AQ4870">
            <v>0</v>
          </cell>
          <cell r="AV4870">
            <v>0</v>
          </cell>
        </row>
        <row r="4871">
          <cell r="E4871" t="str">
            <v>B25016907</v>
          </cell>
          <cell r="AP4871">
            <v>0</v>
          </cell>
          <cell r="AQ4871">
            <v>0</v>
          </cell>
          <cell r="AV4871">
            <v>0</v>
          </cell>
        </row>
        <row r="4872">
          <cell r="E4872" t="str">
            <v>B25016909</v>
          </cell>
          <cell r="AP4872">
            <v>0</v>
          </cell>
          <cell r="AQ4872">
            <v>0</v>
          </cell>
          <cell r="AV4872">
            <v>0</v>
          </cell>
        </row>
        <row r="4873">
          <cell r="E4873" t="str">
            <v>D26000033</v>
          </cell>
          <cell r="AP4873">
            <v>0</v>
          </cell>
          <cell r="AQ4873">
            <v>0</v>
          </cell>
          <cell r="AV4873">
            <v>0</v>
          </cell>
        </row>
        <row r="4874">
          <cell r="E4874" t="str">
            <v>D26000041</v>
          </cell>
          <cell r="AP4874">
            <v>0</v>
          </cell>
          <cell r="AQ4874">
            <v>0</v>
          </cell>
          <cell r="AV4874">
            <v>0</v>
          </cell>
        </row>
        <row r="4875">
          <cell r="E4875" t="str">
            <v>D26000042</v>
          </cell>
          <cell r="AP4875">
            <v>0</v>
          </cell>
          <cell r="AQ4875">
            <v>0</v>
          </cell>
          <cell r="AV4875">
            <v>0</v>
          </cell>
        </row>
        <row r="4876">
          <cell r="E4876" t="str">
            <v>B26000271</v>
          </cell>
          <cell r="AP4876">
            <v>0</v>
          </cell>
          <cell r="AQ4876">
            <v>0</v>
          </cell>
          <cell r="AV4876">
            <v>0</v>
          </cell>
        </row>
        <row r="4877">
          <cell r="E4877" t="str">
            <v>B26000335</v>
          </cell>
          <cell r="AP4877">
            <v>0</v>
          </cell>
          <cell r="AQ4877">
            <v>0</v>
          </cell>
          <cell r="AV4877">
            <v>0</v>
          </cell>
        </row>
        <row r="4878">
          <cell r="E4878" t="str">
            <v>D26000591</v>
          </cell>
          <cell r="AP4878">
            <v>0</v>
          </cell>
          <cell r="AQ4878">
            <v>0</v>
          </cell>
          <cell r="AV4878">
            <v>0</v>
          </cell>
        </row>
        <row r="4879">
          <cell r="E4879" t="str">
            <v>D26000816</v>
          </cell>
          <cell r="AP4879">
            <v>0</v>
          </cell>
          <cell r="AQ4879">
            <v>0</v>
          </cell>
          <cell r="AV4879">
            <v>0</v>
          </cell>
        </row>
        <row r="4880">
          <cell r="E4880" t="str">
            <v>D26000831</v>
          </cell>
          <cell r="AP4880">
            <v>0</v>
          </cell>
          <cell r="AQ4880">
            <v>0</v>
          </cell>
          <cell r="AV4880">
            <v>0</v>
          </cell>
        </row>
        <row r="4881">
          <cell r="E4881" t="str">
            <v>B26001161</v>
          </cell>
          <cell r="AP4881">
            <v>0</v>
          </cell>
          <cell r="AQ4881">
            <v>0</v>
          </cell>
          <cell r="AV4881">
            <v>0</v>
          </cell>
        </row>
        <row r="4882">
          <cell r="E4882" t="str">
            <v>D26001238</v>
          </cell>
          <cell r="AP4882">
            <v>0</v>
          </cell>
          <cell r="AQ4882">
            <v>0</v>
          </cell>
          <cell r="AV4882">
            <v>0</v>
          </cell>
        </row>
        <row r="4883">
          <cell r="E4883" t="str">
            <v>D26001378</v>
          </cell>
          <cell r="AP4883">
            <v>0</v>
          </cell>
          <cell r="AQ4883">
            <v>0</v>
          </cell>
          <cell r="AV4883">
            <v>0</v>
          </cell>
        </row>
        <row r="4884">
          <cell r="E4884" t="str">
            <v>D26001908</v>
          </cell>
          <cell r="AP4884">
            <v>0</v>
          </cell>
          <cell r="AQ4884">
            <v>0</v>
          </cell>
          <cell r="AV4884">
            <v>0</v>
          </cell>
        </row>
        <row r="4885">
          <cell r="E4885" t="str">
            <v>D26002060</v>
          </cell>
          <cell r="AP4885">
            <v>0</v>
          </cell>
          <cell r="AQ4885">
            <v>0</v>
          </cell>
          <cell r="AV4885">
            <v>0</v>
          </cell>
        </row>
        <row r="4886">
          <cell r="E4886" t="str">
            <v>B26002342</v>
          </cell>
          <cell r="AP4886">
            <v>0</v>
          </cell>
          <cell r="AQ4886">
            <v>0</v>
          </cell>
          <cell r="AV4886">
            <v>0</v>
          </cell>
        </row>
        <row r="4887">
          <cell r="E4887" t="str">
            <v>D26003155</v>
          </cell>
          <cell r="AP4887">
            <v>0</v>
          </cell>
          <cell r="AQ4887">
            <v>0</v>
          </cell>
          <cell r="AV4887">
            <v>0</v>
          </cell>
        </row>
        <row r="4888">
          <cell r="E4888" t="str">
            <v>D26003180</v>
          </cell>
          <cell r="AP4888">
            <v>0</v>
          </cell>
          <cell r="AQ4888">
            <v>0</v>
          </cell>
          <cell r="AV4888">
            <v>0</v>
          </cell>
        </row>
        <row r="4889">
          <cell r="E4889" t="str">
            <v>B26000718</v>
          </cell>
          <cell r="AP4889">
            <v>0</v>
          </cell>
          <cell r="AQ4889">
            <v>0</v>
          </cell>
          <cell r="AV4889">
            <v>0</v>
          </cell>
        </row>
        <row r="4890">
          <cell r="E4890" t="str">
            <v>D26001206</v>
          </cell>
          <cell r="AP4890">
            <v>0</v>
          </cell>
          <cell r="AQ4890">
            <v>0</v>
          </cell>
          <cell r="AV4890">
            <v>1175000</v>
          </cell>
        </row>
        <row r="4891">
          <cell r="E4891" t="str">
            <v>B26001142</v>
          </cell>
          <cell r="AP4891">
            <v>0</v>
          </cell>
          <cell r="AQ4891">
            <v>0</v>
          </cell>
          <cell r="AV4891">
            <v>0</v>
          </cell>
        </row>
        <row r="4892">
          <cell r="E4892" t="str">
            <v>B26001158</v>
          </cell>
          <cell r="AP4892">
            <v>0</v>
          </cell>
          <cell r="AQ4892">
            <v>0</v>
          </cell>
          <cell r="AV4892">
            <v>0</v>
          </cell>
        </row>
        <row r="4893">
          <cell r="E4893" t="str">
            <v>D26001411</v>
          </cell>
          <cell r="AP4893">
            <v>0</v>
          </cell>
          <cell r="AQ4893">
            <v>0</v>
          </cell>
          <cell r="AV4893">
            <v>2450000</v>
          </cell>
        </row>
        <row r="4894">
          <cell r="E4894" t="str">
            <v>D26001470</v>
          </cell>
          <cell r="AP4894">
            <v>0</v>
          </cell>
          <cell r="AQ4894">
            <v>0</v>
          </cell>
          <cell r="AV4894">
            <v>875000</v>
          </cell>
        </row>
        <row r="4895">
          <cell r="E4895" t="str">
            <v>B26002337</v>
          </cell>
          <cell r="AP4895">
            <v>0</v>
          </cell>
          <cell r="AQ4895">
            <v>0</v>
          </cell>
          <cell r="AV4895">
            <v>0</v>
          </cell>
        </row>
        <row r="4896">
          <cell r="E4896" t="str">
            <v>B26002338</v>
          </cell>
          <cell r="AP4896">
            <v>0</v>
          </cell>
          <cell r="AQ4896">
            <v>0</v>
          </cell>
          <cell r="AV4896">
            <v>0</v>
          </cell>
        </row>
        <row r="4897">
          <cell r="E4897" t="str">
            <v>B26003040</v>
          </cell>
          <cell r="AP4897">
            <v>0</v>
          </cell>
          <cell r="AQ4897">
            <v>0</v>
          </cell>
          <cell r="AV4897">
            <v>0</v>
          </cell>
        </row>
        <row r="4898">
          <cell r="E4898" t="str">
            <v>D26000488</v>
          </cell>
          <cell r="AP4898">
            <v>0</v>
          </cell>
          <cell r="AQ4898">
            <v>0</v>
          </cell>
          <cell r="AV4898">
            <v>0</v>
          </cell>
        </row>
        <row r="4899">
          <cell r="E4899" t="str">
            <v>D26000489</v>
          </cell>
          <cell r="AP4899">
            <v>0</v>
          </cell>
          <cell r="AQ4899">
            <v>0</v>
          </cell>
          <cell r="AV4899">
            <v>0</v>
          </cell>
        </row>
        <row r="4900">
          <cell r="E4900" t="str">
            <v>B26000388</v>
          </cell>
          <cell r="AP4900">
            <v>0</v>
          </cell>
          <cell r="AQ4900">
            <v>0</v>
          </cell>
          <cell r="AV4900">
            <v>0</v>
          </cell>
        </row>
        <row r="4901">
          <cell r="E4901" t="str">
            <v>B26000443</v>
          </cell>
          <cell r="AP4901">
            <v>0</v>
          </cell>
          <cell r="AQ4901">
            <v>0</v>
          </cell>
          <cell r="AV4901">
            <v>0</v>
          </cell>
        </row>
        <row r="4902">
          <cell r="E4902" t="str">
            <v>B26000476</v>
          </cell>
          <cell r="AP4902">
            <v>0</v>
          </cell>
          <cell r="AQ4902">
            <v>0</v>
          </cell>
          <cell r="AV4902">
            <v>0</v>
          </cell>
        </row>
        <row r="4903">
          <cell r="E4903" t="str">
            <v>B26001014</v>
          </cell>
          <cell r="AP4903">
            <v>0</v>
          </cell>
          <cell r="AQ4903">
            <v>0</v>
          </cell>
          <cell r="AV4903">
            <v>0</v>
          </cell>
        </row>
        <row r="4904">
          <cell r="E4904" t="str">
            <v>T26000101</v>
          </cell>
          <cell r="AP4904">
            <v>0</v>
          </cell>
          <cell r="AQ4904">
            <v>0</v>
          </cell>
          <cell r="AV4904">
            <v>0</v>
          </cell>
        </row>
        <row r="4905">
          <cell r="E4905" t="str">
            <v>B26001926</v>
          </cell>
          <cell r="AP4905">
            <v>0</v>
          </cell>
          <cell r="AQ4905">
            <v>0</v>
          </cell>
          <cell r="AV4905">
            <v>0</v>
          </cell>
        </row>
        <row r="4906">
          <cell r="E4906" t="str">
            <v>B26001927</v>
          </cell>
          <cell r="AP4906">
            <v>0</v>
          </cell>
          <cell r="AQ4906">
            <v>0</v>
          </cell>
          <cell r="AV4906">
            <v>0</v>
          </cell>
        </row>
        <row r="4907">
          <cell r="E4907" t="str">
            <v>B26001994</v>
          </cell>
          <cell r="AP4907">
            <v>0</v>
          </cell>
          <cell r="AQ4907">
            <v>0</v>
          </cell>
          <cell r="AV4907">
            <v>0</v>
          </cell>
        </row>
        <row r="4908">
          <cell r="E4908" t="str">
            <v>D26002693</v>
          </cell>
          <cell r="AP4908">
            <v>0</v>
          </cell>
          <cell r="AQ4908">
            <v>0</v>
          </cell>
          <cell r="AV4908">
            <v>0</v>
          </cell>
        </row>
        <row r="4909">
          <cell r="E4909" t="str">
            <v>D25017643</v>
          </cell>
          <cell r="AP4909">
            <v>0</v>
          </cell>
          <cell r="AQ4909">
            <v>0</v>
          </cell>
          <cell r="AV4909">
            <v>0</v>
          </cell>
        </row>
        <row r="4910">
          <cell r="E4910" t="str">
            <v>B25015410</v>
          </cell>
          <cell r="AP4910">
            <v>0</v>
          </cell>
          <cell r="AQ4910">
            <v>0</v>
          </cell>
          <cell r="AV4910">
            <v>0</v>
          </cell>
        </row>
        <row r="4911">
          <cell r="E4911" t="str">
            <v>B25015462</v>
          </cell>
          <cell r="AP4911">
            <v>0</v>
          </cell>
          <cell r="AQ4911">
            <v>0</v>
          </cell>
          <cell r="AV4911">
            <v>0</v>
          </cell>
        </row>
        <row r="4912">
          <cell r="E4912" t="str">
            <v>D25018207</v>
          </cell>
          <cell r="AP4912">
            <v>0</v>
          </cell>
          <cell r="AQ4912">
            <v>0</v>
          </cell>
          <cell r="AV4912">
            <v>0</v>
          </cell>
        </row>
        <row r="4913">
          <cell r="E4913" t="str">
            <v>D25019018</v>
          </cell>
          <cell r="AP4913">
            <v>0</v>
          </cell>
          <cell r="AQ4913">
            <v>0</v>
          </cell>
          <cell r="AV4913">
            <v>0</v>
          </cell>
        </row>
        <row r="4914">
          <cell r="E4914" t="str">
            <v>D25019607</v>
          </cell>
          <cell r="AP4914">
            <v>0</v>
          </cell>
          <cell r="AQ4914">
            <v>0</v>
          </cell>
          <cell r="AV4914">
            <v>0</v>
          </cell>
        </row>
        <row r="4915">
          <cell r="E4915" t="str">
            <v>B26000124</v>
          </cell>
          <cell r="AP4915">
            <v>0</v>
          </cell>
          <cell r="AQ4915">
            <v>0</v>
          </cell>
          <cell r="AV4915">
            <v>0</v>
          </cell>
        </row>
        <row r="4916">
          <cell r="E4916" t="str">
            <v>B26000372</v>
          </cell>
          <cell r="AP4916">
            <v>0</v>
          </cell>
          <cell r="AQ4916">
            <v>0</v>
          </cell>
          <cell r="AV4916">
            <v>0</v>
          </cell>
        </row>
        <row r="4917">
          <cell r="E4917" t="str">
            <v>B26000495</v>
          </cell>
          <cell r="AP4917">
            <v>0</v>
          </cell>
          <cell r="AQ4917">
            <v>0</v>
          </cell>
          <cell r="AV4917">
            <v>0</v>
          </cell>
        </row>
        <row r="4918">
          <cell r="E4918" t="str">
            <v>B26001120</v>
          </cell>
          <cell r="AP4918">
            <v>0</v>
          </cell>
          <cell r="AQ4918">
            <v>0</v>
          </cell>
          <cell r="AV4918">
            <v>0</v>
          </cell>
        </row>
        <row r="4919">
          <cell r="E4919" t="str">
            <v>B26001210</v>
          </cell>
          <cell r="AP4919">
            <v>0</v>
          </cell>
          <cell r="AQ4919">
            <v>0</v>
          </cell>
          <cell r="AV4919">
            <v>0</v>
          </cell>
        </row>
        <row r="4920">
          <cell r="E4920" t="str">
            <v>B26001520</v>
          </cell>
          <cell r="AP4920">
            <v>0</v>
          </cell>
          <cell r="AQ4920">
            <v>0</v>
          </cell>
          <cell r="AV4920">
            <v>0</v>
          </cell>
        </row>
        <row r="4921">
          <cell r="E4921" t="str">
            <v>B26001579</v>
          </cell>
          <cell r="AP4921">
            <v>0</v>
          </cell>
          <cell r="AQ4921">
            <v>0</v>
          </cell>
          <cell r="AV4921">
            <v>0</v>
          </cell>
        </row>
        <row r="4922">
          <cell r="E4922" t="str">
            <v>D26003214</v>
          </cell>
          <cell r="AP4922">
            <v>0</v>
          </cell>
          <cell r="AQ4922">
            <v>0</v>
          </cell>
          <cell r="AV4922">
            <v>0</v>
          </cell>
        </row>
        <row r="4923">
          <cell r="E4923" t="str">
            <v>D26003215</v>
          </cell>
          <cell r="AP4923">
            <v>0</v>
          </cell>
          <cell r="AQ4923">
            <v>0</v>
          </cell>
          <cell r="AV4923">
            <v>0</v>
          </cell>
        </row>
        <row r="4924">
          <cell r="E4924" t="str">
            <v>B26002685</v>
          </cell>
          <cell r="AP4924">
            <v>0</v>
          </cell>
          <cell r="AQ4924">
            <v>0</v>
          </cell>
          <cell r="AV4924">
            <v>0</v>
          </cell>
        </row>
        <row r="4925">
          <cell r="E4925" t="str">
            <v>Z26000291</v>
          </cell>
          <cell r="AP4925">
            <v>0</v>
          </cell>
          <cell r="AQ4925">
            <v>0</v>
          </cell>
          <cell r="AV4925">
            <v>0</v>
          </cell>
        </row>
        <row r="4926">
          <cell r="E4926" t="str">
            <v>Z26000370</v>
          </cell>
          <cell r="AP4926">
            <v>0</v>
          </cell>
          <cell r="AQ4926">
            <v>0</v>
          </cell>
          <cell r="AV4926">
            <v>0</v>
          </cell>
        </row>
        <row r="4927">
          <cell r="E4927" t="str">
            <v>Z26000526</v>
          </cell>
          <cell r="AP4927">
            <v>0</v>
          </cell>
          <cell r="AQ4927">
            <v>0</v>
          </cell>
          <cell r="AV4927">
            <v>0</v>
          </cell>
        </row>
        <row r="4928">
          <cell r="E4928" t="str">
            <v>Z26000571</v>
          </cell>
          <cell r="AP4928">
            <v>0</v>
          </cell>
          <cell r="AQ4928">
            <v>0</v>
          </cell>
          <cell r="AV4928">
            <v>8280000</v>
          </cell>
        </row>
        <row r="4929">
          <cell r="E4929" t="str">
            <v>Z26000576</v>
          </cell>
          <cell r="AP4929">
            <v>0</v>
          </cell>
          <cell r="AQ4929">
            <v>0</v>
          </cell>
          <cell r="AV4929">
            <v>1800000</v>
          </cell>
        </row>
        <row r="4930">
          <cell r="E4930" t="str">
            <v>Z26000613</v>
          </cell>
          <cell r="AP4930">
            <v>0</v>
          </cell>
          <cell r="AQ4930">
            <v>0</v>
          </cell>
          <cell r="AV4930">
            <v>0</v>
          </cell>
        </row>
        <row r="4931">
          <cell r="E4931" t="str">
            <v>Z26000623</v>
          </cell>
          <cell r="AP4931">
            <v>0</v>
          </cell>
          <cell r="AQ4931">
            <v>0</v>
          </cell>
          <cell r="AV4931">
            <v>0</v>
          </cell>
        </row>
        <row r="4932">
          <cell r="E4932" t="str">
            <v>Z26000628</v>
          </cell>
          <cell r="AP4932">
            <v>0</v>
          </cell>
          <cell r="AQ4932">
            <v>0</v>
          </cell>
          <cell r="AV4932">
            <v>0</v>
          </cell>
        </row>
        <row r="4933">
          <cell r="E4933" t="str">
            <v>Z26000629</v>
          </cell>
          <cell r="AP4933">
            <v>0</v>
          </cell>
          <cell r="AQ4933">
            <v>0</v>
          </cell>
          <cell r="AV4933">
            <v>0</v>
          </cell>
        </row>
        <row r="4934">
          <cell r="E4934" t="str">
            <v>D25019447</v>
          </cell>
          <cell r="AP4934">
            <v>0</v>
          </cell>
          <cell r="AQ4934">
            <v>0</v>
          </cell>
          <cell r="AV4934">
            <v>0</v>
          </cell>
        </row>
        <row r="4935">
          <cell r="E4935" t="str">
            <v>D26000051</v>
          </cell>
          <cell r="AP4935">
            <v>0</v>
          </cell>
          <cell r="AQ4935">
            <v>0</v>
          </cell>
          <cell r="AV4935">
            <v>0</v>
          </cell>
        </row>
        <row r="4936">
          <cell r="E4936" t="str">
            <v>D26000052</v>
          </cell>
          <cell r="AP4936">
            <v>0</v>
          </cell>
          <cell r="AQ4936">
            <v>0</v>
          </cell>
          <cell r="AV4936">
            <v>0</v>
          </cell>
        </row>
        <row r="4937">
          <cell r="E4937" t="str">
            <v>D26000069</v>
          </cell>
          <cell r="AP4937">
            <v>0</v>
          </cell>
          <cell r="AQ4937">
            <v>0</v>
          </cell>
          <cell r="AV4937">
            <v>0</v>
          </cell>
        </row>
        <row r="4938">
          <cell r="E4938" t="str">
            <v>B26000725</v>
          </cell>
          <cell r="AP4938">
            <v>0</v>
          </cell>
          <cell r="AQ4938">
            <v>0</v>
          </cell>
          <cell r="AV4938">
            <v>0</v>
          </cell>
        </row>
        <row r="4939">
          <cell r="E4939" t="str">
            <v>B26000727</v>
          </cell>
          <cell r="AP4939">
            <v>0</v>
          </cell>
          <cell r="AQ4939">
            <v>0</v>
          </cell>
          <cell r="AV4939">
            <v>0</v>
          </cell>
        </row>
        <row r="4940">
          <cell r="E4940" t="str">
            <v>B26000891</v>
          </cell>
          <cell r="AP4940">
            <v>0</v>
          </cell>
          <cell r="AQ4940">
            <v>0</v>
          </cell>
          <cell r="AV4940">
            <v>0</v>
          </cell>
        </row>
        <row r="4941">
          <cell r="E4941" t="str">
            <v>B26000892</v>
          </cell>
          <cell r="AP4941">
            <v>0</v>
          </cell>
          <cell r="AQ4941">
            <v>0</v>
          </cell>
          <cell r="AV4941">
            <v>0</v>
          </cell>
        </row>
        <row r="4942">
          <cell r="E4942" t="str">
            <v>B26000893</v>
          </cell>
          <cell r="AP4942">
            <v>0</v>
          </cell>
          <cell r="AQ4942">
            <v>0</v>
          </cell>
          <cell r="AV4942">
            <v>0</v>
          </cell>
        </row>
        <row r="4943">
          <cell r="E4943" t="str">
            <v>B26000923</v>
          </cell>
          <cell r="AP4943">
            <v>0</v>
          </cell>
          <cell r="AQ4943">
            <v>0</v>
          </cell>
          <cell r="AV4943">
            <v>0</v>
          </cell>
        </row>
        <row r="4944">
          <cell r="E4944" t="str">
            <v>B26000945</v>
          </cell>
          <cell r="AP4944">
            <v>0</v>
          </cell>
          <cell r="AQ4944">
            <v>0</v>
          </cell>
          <cell r="AV4944">
            <v>0</v>
          </cell>
        </row>
        <row r="4945">
          <cell r="E4945" t="str">
            <v>B26001018</v>
          </cell>
          <cell r="AP4945">
            <v>0</v>
          </cell>
          <cell r="AQ4945">
            <v>0</v>
          </cell>
          <cell r="AV4945">
            <v>0</v>
          </cell>
        </row>
        <row r="4946">
          <cell r="E4946" t="str">
            <v>B26001594</v>
          </cell>
          <cell r="AP4946">
            <v>0</v>
          </cell>
          <cell r="AQ4946">
            <v>0</v>
          </cell>
          <cell r="AV4946">
            <v>0</v>
          </cell>
        </row>
        <row r="4947">
          <cell r="E4947" t="str">
            <v>D26000087</v>
          </cell>
          <cell r="AP4947">
            <v>0</v>
          </cell>
          <cell r="AQ4947">
            <v>0</v>
          </cell>
          <cell r="AV4947">
            <v>40500000</v>
          </cell>
        </row>
        <row r="4948">
          <cell r="E4948" t="str">
            <v>D26000404</v>
          </cell>
          <cell r="AP4948">
            <v>0</v>
          </cell>
          <cell r="AQ4948">
            <v>0</v>
          </cell>
          <cell r="AV4948">
            <v>42714000</v>
          </cell>
        </row>
        <row r="4949">
          <cell r="E4949" t="str">
            <v>B26000928</v>
          </cell>
          <cell r="AP4949">
            <v>0</v>
          </cell>
          <cell r="AQ4949">
            <v>0</v>
          </cell>
          <cell r="AV4949">
            <v>0</v>
          </cell>
        </row>
        <row r="4950">
          <cell r="E4950" t="str">
            <v>D26001385</v>
          </cell>
          <cell r="AP4950">
            <v>0</v>
          </cell>
          <cell r="AQ4950">
            <v>0</v>
          </cell>
          <cell r="AV4950">
            <v>0</v>
          </cell>
        </row>
        <row r="4951">
          <cell r="E4951" t="str">
            <v>D26001436</v>
          </cell>
          <cell r="AP4951">
            <v>0</v>
          </cell>
          <cell r="AQ4951">
            <v>0</v>
          </cell>
          <cell r="AV4951">
            <v>0</v>
          </cell>
        </row>
        <row r="4952">
          <cell r="E4952" t="str">
            <v>D26001488</v>
          </cell>
          <cell r="AP4952">
            <v>0</v>
          </cell>
          <cell r="AQ4952">
            <v>0</v>
          </cell>
          <cell r="AV4952">
            <v>0</v>
          </cell>
        </row>
        <row r="4953">
          <cell r="E4953" t="str">
            <v>D26001503</v>
          </cell>
          <cell r="AP4953">
            <v>0</v>
          </cell>
          <cell r="AQ4953">
            <v>0</v>
          </cell>
          <cell r="AV4953">
            <v>0</v>
          </cell>
        </row>
        <row r="4954">
          <cell r="E4954" t="str">
            <v>D26001505</v>
          </cell>
          <cell r="AP4954">
            <v>0</v>
          </cell>
          <cell r="AQ4954">
            <v>0</v>
          </cell>
          <cell r="AV4954">
            <v>0</v>
          </cell>
        </row>
        <row r="4955">
          <cell r="E4955" t="str">
            <v>D26001527</v>
          </cell>
          <cell r="AP4955">
            <v>0</v>
          </cell>
          <cell r="AQ4955">
            <v>0</v>
          </cell>
          <cell r="AV4955">
            <v>0</v>
          </cell>
        </row>
        <row r="4956">
          <cell r="E4956" t="str">
            <v>D26001816</v>
          </cell>
          <cell r="AP4956">
            <v>0</v>
          </cell>
          <cell r="AQ4956">
            <v>0</v>
          </cell>
          <cell r="AV4956">
            <v>0</v>
          </cell>
        </row>
        <row r="4957">
          <cell r="E4957" t="str">
            <v>D26001831</v>
          </cell>
          <cell r="AP4957">
            <v>0</v>
          </cell>
          <cell r="AQ4957">
            <v>0</v>
          </cell>
          <cell r="AV4957">
            <v>0</v>
          </cell>
        </row>
        <row r="4958">
          <cell r="E4958" t="str">
            <v>D26001913</v>
          </cell>
          <cell r="AP4958">
            <v>0</v>
          </cell>
          <cell r="AQ4958">
            <v>0</v>
          </cell>
          <cell r="AV4958">
            <v>0</v>
          </cell>
        </row>
        <row r="4959">
          <cell r="E4959" t="str">
            <v>D26002222</v>
          </cell>
          <cell r="AP4959">
            <v>0</v>
          </cell>
          <cell r="AQ4959">
            <v>0</v>
          </cell>
          <cell r="AV4959">
            <v>0</v>
          </cell>
        </row>
        <row r="4960">
          <cell r="E4960" t="str">
            <v>D26002449</v>
          </cell>
          <cell r="AP4960">
            <v>0</v>
          </cell>
          <cell r="AQ4960">
            <v>0</v>
          </cell>
          <cell r="AV4960">
            <v>0</v>
          </cell>
        </row>
        <row r="4961">
          <cell r="E4961" t="str">
            <v>B26002507</v>
          </cell>
          <cell r="AP4961">
            <v>0</v>
          </cell>
          <cell r="AQ4961">
            <v>0</v>
          </cell>
          <cell r="AV4961">
            <v>0</v>
          </cell>
        </row>
        <row r="4962">
          <cell r="E4962" t="str">
            <v>B26002753</v>
          </cell>
          <cell r="AP4962">
            <v>0</v>
          </cell>
          <cell r="AQ4962">
            <v>0</v>
          </cell>
          <cell r="AV4962">
            <v>0</v>
          </cell>
        </row>
        <row r="4963">
          <cell r="E4963" t="str">
            <v>D26002967</v>
          </cell>
          <cell r="AP4963">
            <v>0</v>
          </cell>
          <cell r="AQ4963">
            <v>0</v>
          </cell>
          <cell r="AV4963">
            <v>0</v>
          </cell>
        </row>
        <row r="4964">
          <cell r="E4964" t="str">
            <v>B26000519</v>
          </cell>
          <cell r="AP4964">
            <v>0</v>
          </cell>
          <cell r="AQ4964">
            <v>0</v>
          </cell>
          <cell r="AV4964">
            <v>0</v>
          </cell>
        </row>
        <row r="4965">
          <cell r="E4965" t="str">
            <v>B26000520</v>
          </cell>
          <cell r="AP4965">
            <v>0</v>
          </cell>
          <cell r="AQ4965">
            <v>0</v>
          </cell>
          <cell r="AV4965">
            <v>0</v>
          </cell>
        </row>
        <row r="4966">
          <cell r="E4966" t="str">
            <v>B26000822</v>
          </cell>
          <cell r="AP4966">
            <v>0</v>
          </cell>
          <cell r="AQ4966">
            <v>0</v>
          </cell>
          <cell r="AV4966">
            <v>0</v>
          </cell>
        </row>
        <row r="4967">
          <cell r="E4967" t="str">
            <v>B26000833</v>
          </cell>
          <cell r="AP4967">
            <v>0</v>
          </cell>
          <cell r="AQ4967">
            <v>0</v>
          </cell>
          <cell r="AV4967">
            <v>0</v>
          </cell>
        </row>
        <row r="4968">
          <cell r="E4968" t="str">
            <v>B26000880</v>
          </cell>
          <cell r="AP4968">
            <v>0</v>
          </cell>
          <cell r="AQ4968">
            <v>0</v>
          </cell>
          <cell r="AV4968">
            <v>0</v>
          </cell>
        </row>
        <row r="4969">
          <cell r="E4969" t="str">
            <v>D26000985</v>
          </cell>
          <cell r="AP4969">
            <v>0</v>
          </cell>
          <cell r="AQ4969">
            <v>0</v>
          </cell>
          <cell r="AV4969">
            <v>0</v>
          </cell>
        </row>
        <row r="4970">
          <cell r="E4970" t="str">
            <v>B26000990</v>
          </cell>
          <cell r="AP4970">
            <v>0</v>
          </cell>
          <cell r="AQ4970">
            <v>0</v>
          </cell>
          <cell r="AV4970">
            <v>0</v>
          </cell>
        </row>
        <row r="4971">
          <cell r="E4971" t="str">
            <v>D26001048</v>
          </cell>
          <cell r="AP4971">
            <v>0</v>
          </cell>
          <cell r="AQ4971">
            <v>0</v>
          </cell>
          <cell r="AV4971">
            <v>0</v>
          </cell>
        </row>
        <row r="4972">
          <cell r="E4972" t="str">
            <v>D26001208</v>
          </cell>
          <cell r="AP4972">
            <v>0</v>
          </cell>
          <cell r="AQ4972">
            <v>0</v>
          </cell>
          <cell r="AV4972">
            <v>0</v>
          </cell>
        </row>
        <row r="4973">
          <cell r="E4973" t="str">
            <v>D26001271</v>
          </cell>
          <cell r="AP4973">
            <v>0</v>
          </cell>
          <cell r="AQ4973">
            <v>0</v>
          </cell>
          <cell r="AV4973">
            <v>0</v>
          </cell>
        </row>
        <row r="4974">
          <cell r="E4974" t="str">
            <v>D26001278</v>
          </cell>
          <cell r="AP4974">
            <v>0</v>
          </cell>
          <cell r="AQ4974">
            <v>0</v>
          </cell>
          <cell r="AV4974">
            <v>0</v>
          </cell>
        </row>
        <row r="4975">
          <cell r="E4975" t="str">
            <v>B26001235</v>
          </cell>
          <cell r="AP4975">
            <v>0</v>
          </cell>
          <cell r="AQ4975">
            <v>0</v>
          </cell>
          <cell r="AV4975">
            <v>0</v>
          </cell>
        </row>
        <row r="4976">
          <cell r="E4976" t="str">
            <v>D26001374</v>
          </cell>
          <cell r="AP4976">
            <v>0</v>
          </cell>
          <cell r="AQ4976">
            <v>0</v>
          </cell>
          <cell r="AV4976">
            <v>0</v>
          </cell>
        </row>
        <row r="4977">
          <cell r="E4977" t="str">
            <v>B26001631</v>
          </cell>
          <cell r="AP4977">
            <v>0</v>
          </cell>
          <cell r="AQ4977">
            <v>0</v>
          </cell>
          <cell r="AV4977">
            <v>0</v>
          </cell>
        </row>
        <row r="4978">
          <cell r="E4978" t="str">
            <v>D26001788</v>
          </cell>
          <cell r="AP4978">
            <v>0</v>
          </cell>
          <cell r="AQ4978">
            <v>0</v>
          </cell>
          <cell r="AV4978">
            <v>0</v>
          </cell>
        </row>
        <row r="4979">
          <cell r="E4979" t="str">
            <v>B26001829</v>
          </cell>
          <cell r="AP4979">
            <v>0</v>
          </cell>
          <cell r="AQ4979">
            <v>0</v>
          </cell>
          <cell r="AV4979">
            <v>0</v>
          </cell>
        </row>
        <row r="4980">
          <cell r="E4980" t="str">
            <v>B26001836</v>
          </cell>
          <cell r="AP4980">
            <v>0</v>
          </cell>
          <cell r="AQ4980">
            <v>0</v>
          </cell>
          <cell r="AV4980">
            <v>0</v>
          </cell>
        </row>
        <row r="4981">
          <cell r="E4981" t="str">
            <v>B26001837</v>
          </cell>
          <cell r="AP4981">
            <v>0</v>
          </cell>
          <cell r="AQ4981">
            <v>0</v>
          </cell>
          <cell r="AV4981">
            <v>0</v>
          </cell>
        </row>
        <row r="4982">
          <cell r="E4982" t="str">
            <v>D26001944</v>
          </cell>
          <cell r="AP4982">
            <v>0</v>
          </cell>
          <cell r="AQ4982">
            <v>0</v>
          </cell>
          <cell r="AV4982">
            <v>0</v>
          </cell>
        </row>
        <row r="4983">
          <cell r="E4983" t="str">
            <v>B26001905</v>
          </cell>
          <cell r="AP4983">
            <v>0</v>
          </cell>
          <cell r="AQ4983">
            <v>0</v>
          </cell>
          <cell r="AV4983">
            <v>0</v>
          </cell>
        </row>
        <row r="4984">
          <cell r="E4984" t="str">
            <v>D26002147</v>
          </cell>
          <cell r="AP4984">
            <v>0</v>
          </cell>
          <cell r="AQ4984">
            <v>0</v>
          </cell>
          <cell r="AV4984">
            <v>0</v>
          </cell>
        </row>
        <row r="4985">
          <cell r="E4985" t="str">
            <v>B26002158</v>
          </cell>
          <cell r="AP4985">
            <v>0</v>
          </cell>
          <cell r="AQ4985">
            <v>0</v>
          </cell>
          <cell r="AV4985">
            <v>0</v>
          </cell>
        </row>
        <row r="4986">
          <cell r="E4986" t="str">
            <v>D26002307</v>
          </cell>
          <cell r="AP4986">
            <v>0</v>
          </cell>
          <cell r="AQ4986">
            <v>0</v>
          </cell>
          <cell r="AV4986">
            <v>0</v>
          </cell>
        </row>
        <row r="4987">
          <cell r="E4987" t="str">
            <v>B26002431</v>
          </cell>
          <cell r="AP4987">
            <v>0</v>
          </cell>
          <cell r="AQ4987">
            <v>0</v>
          </cell>
          <cell r="AV4987">
            <v>0</v>
          </cell>
        </row>
        <row r="4988">
          <cell r="E4988" t="str">
            <v>B26002432</v>
          </cell>
          <cell r="AP4988">
            <v>0</v>
          </cell>
          <cell r="AQ4988">
            <v>0</v>
          </cell>
          <cell r="AV4988">
            <v>0</v>
          </cell>
        </row>
        <row r="4989">
          <cell r="E4989" t="str">
            <v>D26002642</v>
          </cell>
          <cell r="AP4989">
            <v>0</v>
          </cell>
          <cell r="AQ4989">
            <v>0</v>
          </cell>
          <cell r="AV4989">
            <v>0</v>
          </cell>
        </row>
        <row r="4990">
          <cell r="E4990" t="str">
            <v>B26002573</v>
          </cell>
          <cell r="AP4990">
            <v>0</v>
          </cell>
          <cell r="AQ4990">
            <v>0</v>
          </cell>
          <cell r="AV4990">
            <v>0</v>
          </cell>
        </row>
        <row r="4991">
          <cell r="E4991" t="str">
            <v>D26002769</v>
          </cell>
          <cell r="AP4991">
            <v>0</v>
          </cell>
          <cell r="AQ4991">
            <v>0</v>
          </cell>
          <cell r="AV4991">
            <v>0</v>
          </cell>
        </row>
        <row r="4992">
          <cell r="E4992" t="str">
            <v>D26002898</v>
          </cell>
          <cell r="AP4992">
            <v>0</v>
          </cell>
          <cell r="AQ4992">
            <v>0</v>
          </cell>
          <cell r="AV4992">
            <v>0</v>
          </cell>
        </row>
        <row r="4993">
          <cell r="E4993" t="str">
            <v>D26002899</v>
          </cell>
          <cell r="AP4993">
            <v>0</v>
          </cell>
          <cell r="AQ4993">
            <v>0</v>
          </cell>
          <cell r="AV4993">
            <v>0</v>
          </cell>
        </row>
        <row r="4994">
          <cell r="E4994" t="str">
            <v>D26002900</v>
          </cell>
          <cell r="AP4994">
            <v>0</v>
          </cell>
          <cell r="AQ4994">
            <v>0</v>
          </cell>
          <cell r="AV4994">
            <v>0</v>
          </cell>
        </row>
        <row r="4995">
          <cell r="E4995" t="str">
            <v>D26003258</v>
          </cell>
          <cell r="AP4995">
            <v>0</v>
          </cell>
          <cell r="AQ4995">
            <v>0</v>
          </cell>
          <cell r="AV4995">
            <v>0</v>
          </cell>
        </row>
        <row r="4996">
          <cell r="E4996" t="str">
            <v>B25016192</v>
          </cell>
          <cell r="AP4996">
            <v>0</v>
          </cell>
          <cell r="AQ4996">
            <v>0</v>
          </cell>
          <cell r="AV4996">
            <v>0</v>
          </cell>
        </row>
        <row r="4997">
          <cell r="E4997" t="str">
            <v>B26002994</v>
          </cell>
          <cell r="AP4997">
            <v>0</v>
          </cell>
          <cell r="AQ4997">
            <v>0</v>
          </cell>
          <cell r="AV4997">
            <v>425000</v>
          </cell>
        </row>
        <row r="4998">
          <cell r="E4998" t="str">
            <v>D25018171</v>
          </cell>
          <cell r="AP4998">
            <v>0</v>
          </cell>
          <cell r="AQ4998">
            <v>0</v>
          </cell>
          <cell r="AV4998">
            <v>0</v>
          </cell>
        </row>
        <row r="4999">
          <cell r="E4999" t="str">
            <v>D25018568</v>
          </cell>
          <cell r="AP4999">
            <v>0</v>
          </cell>
          <cell r="AQ4999">
            <v>0</v>
          </cell>
          <cell r="AV4999">
            <v>0</v>
          </cell>
        </row>
        <row r="5000">
          <cell r="E5000" t="str">
            <v>D25019184</v>
          </cell>
          <cell r="AP5000">
            <v>0</v>
          </cell>
          <cell r="AQ5000">
            <v>0</v>
          </cell>
          <cell r="AV5000">
            <v>0</v>
          </cell>
        </row>
        <row r="5001">
          <cell r="E5001" t="str">
            <v>D25019476</v>
          </cell>
          <cell r="AP5001">
            <v>0</v>
          </cell>
          <cell r="AQ5001">
            <v>0</v>
          </cell>
          <cell r="AV5001">
            <v>0</v>
          </cell>
        </row>
        <row r="5002">
          <cell r="E5002" t="str">
            <v>D25019477</v>
          </cell>
          <cell r="AP5002">
            <v>0</v>
          </cell>
          <cell r="AQ5002">
            <v>0</v>
          </cell>
          <cell r="AV5002">
            <v>0</v>
          </cell>
        </row>
        <row r="5003">
          <cell r="E5003" t="str">
            <v>B25017143</v>
          </cell>
          <cell r="AP5003">
            <v>0</v>
          </cell>
          <cell r="AQ5003">
            <v>0</v>
          </cell>
          <cell r="AV5003">
            <v>0</v>
          </cell>
        </row>
        <row r="5004">
          <cell r="E5004" t="str">
            <v>D26000064</v>
          </cell>
          <cell r="AP5004">
            <v>0</v>
          </cell>
          <cell r="AQ5004">
            <v>0</v>
          </cell>
          <cell r="AV5004">
            <v>0</v>
          </cell>
        </row>
        <row r="5005">
          <cell r="E5005" t="str">
            <v>D26000065</v>
          </cell>
          <cell r="AP5005">
            <v>0</v>
          </cell>
          <cell r="AQ5005">
            <v>0</v>
          </cell>
          <cell r="AV5005">
            <v>0</v>
          </cell>
        </row>
        <row r="5006">
          <cell r="E5006" t="str">
            <v>D26002003</v>
          </cell>
          <cell r="AP5006">
            <v>0</v>
          </cell>
          <cell r="AQ5006">
            <v>0</v>
          </cell>
          <cell r="AV5006">
            <v>0</v>
          </cell>
        </row>
        <row r="5007">
          <cell r="E5007" t="str">
            <v>D26002039</v>
          </cell>
          <cell r="AP5007">
            <v>0</v>
          </cell>
          <cell r="AQ5007">
            <v>0</v>
          </cell>
          <cell r="AV5007">
            <v>0</v>
          </cell>
        </row>
        <row r="5008">
          <cell r="E5008" t="str">
            <v>B26002398</v>
          </cell>
          <cell r="AP5008">
            <v>0</v>
          </cell>
          <cell r="AQ5008">
            <v>0</v>
          </cell>
          <cell r="AV5008">
            <v>0</v>
          </cell>
        </row>
        <row r="5009">
          <cell r="E5009" t="str">
            <v>T25001776</v>
          </cell>
          <cell r="AP5009">
            <v>0</v>
          </cell>
          <cell r="AQ5009">
            <v>0</v>
          </cell>
          <cell r="AV5009">
            <v>0</v>
          </cell>
        </row>
        <row r="5010">
          <cell r="E5010" t="str">
            <v>Z26000017</v>
          </cell>
          <cell r="AP5010">
            <v>0</v>
          </cell>
          <cell r="AQ5010">
            <v>0</v>
          </cell>
          <cell r="AV5010">
            <v>0</v>
          </cell>
        </row>
        <row r="5011">
          <cell r="E5011" t="str">
            <v>Z26000389</v>
          </cell>
          <cell r="AP5011">
            <v>0</v>
          </cell>
          <cell r="AQ5011">
            <v>0</v>
          </cell>
          <cell r="AV5011">
            <v>0</v>
          </cell>
        </row>
        <row r="5012">
          <cell r="E5012" t="str">
            <v>Z26000615</v>
          </cell>
          <cell r="AP5012">
            <v>0</v>
          </cell>
          <cell r="AQ5012">
            <v>0</v>
          </cell>
          <cell r="AV5012">
            <v>0</v>
          </cell>
        </row>
        <row r="5013">
          <cell r="E5013" t="str">
            <v>D26002417</v>
          </cell>
          <cell r="AP5013">
            <v>0</v>
          </cell>
          <cell r="AQ5013">
            <v>0</v>
          </cell>
          <cell r="AV5013">
            <v>0</v>
          </cell>
        </row>
        <row r="5014">
          <cell r="E5014" t="str">
            <v>D26002418</v>
          </cell>
          <cell r="AP5014">
            <v>0</v>
          </cell>
          <cell r="AQ5014">
            <v>0</v>
          </cell>
          <cell r="AV5014">
            <v>0</v>
          </cell>
        </row>
        <row r="5015">
          <cell r="E5015" t="str">
            <v>D26002419</v>
          </cell>
          <cell r="AP5015">
            <v>0</v>
          </cell>
          <cell r="AQ5015">
            <v>0</v>
          </cell>
          <cell r="AV5015">
            <v>0</v>
          </cell>
        </row>
        <row r="5016">
          <cell r="E5016" t="str">
            <v>B26002446</v>
          </cell>
          <cell r="AP5016">
            <v>0</v>
          </cell>
          <cell r="AQ5016">
            <v>0</v>
          </cell>
          <cell r="AV5016">
            <v>0</v>
          </cell>
        </row>
        <row r="5017">
          <cell r="E5017" t="str">
            <v>B26002447</v>
          </cell>
          <cell r="AP5017">
            <v>0</v>
          </cell>
          <cell r="AQ5017">
            <v>0</v>
          </cell>
          <cell r="AV5017">
            <v>0</v>
          </cell>
        </row>
        <row r="5018">
          <cell r="E5018" t="str">
            <v>B26002448</v>
          </cell>
          <cell r="AP5018">
            <v>0</v>
          </cell>
          <cell r="AQ5018">
            <v>0</v>
          </cell>
          <cell r="AV5018">
            <v>0</v>
          </cell>
        </row>
        <row r="5019">
          <cell r="E5019" t="str">
            <v>B26002611</v>
          </cell>
          <cell r="AP5019">
            <v>0</v>
          </cell>
          <cell r="AQ5019">
            <v>0</v>
          </cell>
          <cell r="AV5019">
            <v>0</v>
          </cell>
        </row>
        <row r="5020">
          <cell r="E5020" t="str">
            <v>B26002703</v>
          </cell>
          <cell r="AP5020">
            <v>0</v>
          </cell>
          <cell r="AQ5020">
            <v>0</v>
          </cell>
          <cell r="AV5020">
            <v>0</v>
          </cell>
        </row>
        <row r="5021">
          <cell r="E5021" t="str">
            <v>Z25003241</v>
          </cell>
          <cell r="AP5021">
            <v>0</v>
          </cell>
          <cell r="AQ5021">
            <v>0</v>
          </cell>
          <cell r="AV5021">
            <v>0</v>
          </cell>
        </row>
        <row r="5022">
          <cell r="E5022" t="str">
            <v>Z26000025</v>
          </cell>
          <cell r="AP5022">
            <v>0</v>
          </cell>
          <cell r="AQ5022">
            <v>0</v>
          </cell>
          <cell r="AV5022">
            <v>0</v>
          </cell>
        </row>
        <row r="5023">
          <cell r="E5023" t="str">
            <v>Z26000237</v>
          </cell>
          <cell r="AP5023">
            <v>0</v>
          </cell>
          <cell r="AQ5023">
            <v>0</v>
          </cell>
          <cell r="AV5023">
            <v>0</v>
          </cell>
        </row>
        <row r="5024">
          <cell r="E5024" t="str">
            <v>Z26000392</v>
          </cell>
          <cell r="AP5024">
            <v>0</v>
          </cell>
          <cell r="AQ5024">
            <v>0</v>
          </cell>
          <cell r="AV5024">
            <v>0</v>
          </cell>
        </row>
        <row r="5025">
          <cell r="E5025" t="str">
            <v>T26000156</v>
          </cell>
          <cell r="AP5025">
            <v>0</v>
          </cell>
          <cell r="AQ5025">
            <v>0</v>
          </cell>
          <cell r="AV5025">
            <v>0</v>
          </cell>
        </row>
        <row r="5026">
          <cell r="E5026" t="str">
            <v>D25018685</v>
          </cell>
          <cell r="AP5026">
            <v>0</v>
          </cell>
          <cell r="AQ5026">
            <v>0</v>
          </cell>
          <cell r="AV5026">
            <v>0</v>
          </cell>
        </row>
        <row r="5027">
          <cell r="E5027" t="str">
            <v>D25018685</v>
          </cell>
          <cell r="AP5027">
            <v>0</v>
          </cell>
          <cell r="AQ5027">
            <v>0</v>
          </cell>
          <cell r="AV5027">
            <v>0</v>
          </cell>
        </row>
        <row r="5028">
          <cell r="E5028" t="str">
            <v>D25018685</v>
          </cell>
          <cell r="AP5028">
            <v>0</v>
          </cell>
          <cell r="AQ5028">
            <v>0</v>
          </cell>
          <cell r="AV5028">
            <v>0</v>
          </cell>
        </row>
        <row r="5029">
          <cell r="E5029" t="str">
            <v>B25016581</v>
          </cell>
          <cell r="AP5029">
            <v>0</v>
          </cell>
          <cell r="AQ5029">
            <v>0</v>
          </cell>
          <cell r="AV5029">
            <v>0</v>
          </cell>
        </row>
        <row r="5030">
          <cell r="E5030" t="str">
            <v>D25019309</v>
          </cell>
          <cell r="AP5030">
            <v>0</v>
          </cell>
          <cell r="AQ5030">
            <v>0</v>
          </cell>
          <cell r="AV5030">
            <v>0</v>
          </cell>
        </row>
        <row r="5031">
          <cell r="E5031" t="str">
            <v>B25016921</v>
          </cell>
          <cell r="AP5031">
            <v>0</v>
          </cell>
          <cell r="AQ5031">
            <v>0</v>
          </cell>
          <cell r="AV5031">
            <v>0</v>
          </cell>
        </row>
        <row r="5032">
          <cell r="E5032" t="str">
            <v>B25016989</v>
          </cell>
          <cell r="AP5032">
            <v>0</v>
          </cell>
          <cell r="AQ5032">
            <v>0</v>
          </cell>
          <cell r="AV5032">
            <v>0</v>
          </cell>
        </row>
        <row r="5033">
          <cell r="E5033" t="str">
            <v>D25019644</v>
          </cell>
          <cell r="AP5033">
            <v>0</v>
          </cell>
          <cell r="AQ5033">
            <v>0</v>
          </cell>
          <cell r="AV5033">
            <v>0</v>
          </cell>
        </row>
        <row r="5034">
          <cell r="E5034" t="str">
            <v>B26000063</v>
          </cell>
          <cell r="AP5034">
            <v>0</v>
          </cell>
          <cell r="AQ5034">
            <v>0</v>
          </cell>
          <cell r="AV5034">
            <v>0</v>
          </cell>
        </row>
        <row r="5035">
          <cell r="E5035" t="str">
            <v>B26000309</v>
          </cell>
          <cell r="AP5035">
            <v>0</v>
          </cell>
          <cell r="AQ5035">
            <v>0</v>
          </cell>
          <cell r="AV5035">
            <v>0</v>
          </cell>
        </row>
        <row r="5036">
          <cell r="E5036" t="str">
            <v>B26000320</v>
          </cell>
          <cell r="AP5036">
            <v>0</v>
          </cell>
          <cell r="AQ5036">
            <v>0</v>
          </cell>
          <cell r="AV5036">
            <v>0</v>
          </cell>
        </row>
        <row r="5037">
          <cell r="E5037" t="str">
            <v>B26000492</v>
          </cell>
          <cell r="AP5037">
            <v>0</v>
          </cell>
          <cell r="AQ5037">
            <v>0</v>
          </cell>
          <cell r="AV5037">
            <v>0</v>
          </cell>
        </row>
        <row r="5038">
          <cell r="E5038" t="str">
            <v>B26000604</v>
          </cell>
          <cell r="AP5038">
            <v>0</v>
          </cell>
          <cell r="AQ5038">
            <v>0</v>
          </cell>
          <cell r="AV5038">
            <v>0</v>
          </cell>
        </row>
        <row r="5039">
          <cell r="E5039" t="str">
            <v>B26000732</v>
          </cell>
          <cell r="AP5039">
            <v>0</v>
          </cell>
          <cell r="AQ5039">
            <v>0</v>
          </cell>
          <cell r="AV5039">
            <v>0</v>
          </cell>
        </row>
        <row r="5040">
          <cell r="E5040" t="str">
            <v>B26001066</v>
          </cell>
          <cell r="AP5040">
            <v>0</v>
          </cell>
          <cell r="AQ5040">
            <v>0</v>
          </cell>
          <cell r="AV5040">
            <v>0</v>
          </cell>
        </row>
        <row r="5041">
          <cell r="E5041" t="str">
            <v>B26001148</v>
          </cell>
          <cell r="AP5041">
            <v>0</v>
          </cell>
          <cell r="AQ5041">
            <v>0</v>
          </cell>
          <cell r="AV5041">
            <v>0</v>
          </cell>
        </row>
        <row r="5042">
          <cell r="E5042" t="str">
            <v>B26001443</v>
          </cell>
          <cell r="AP5042">
            <v>0</v>
          </cell>
          <cell r="AQ5042">
            <v>0</v>
          </cell>
          <cell r="AV5042">
            <v>0</v>
          </cell>
        </row>
        <row r="5043">
          <cell r="E5043" t="str">
            <v>B26001443</v>
          </cell>
          <cell r="AP5043">
            <v>0</v>
          </cell>
          <cell r="AQ5043">
            <v>0</v>
          </cell>
          <cell r="AV5043">
            <v>0</v>
          </cell>
        </row>
        <row r="5044">
          <cell r="E5044" t="str">
            <v>B26001448</v>
          </cell>
          <cell r="AP5044">
            <v>0</v>
          </cell>
          <cell r="AQ5044">
            <v>0</v>
          </cell>
          <cell r="AV5044">
            <v>0</v>
          </cell>
        </row>
        <row r="5045">
          <cell r="E5045" t="str">
            <v>B26001750</v>
          </cell>
          <cell r="AP5045">
            <v>0</v>
          </cell>
          <cell r="AQ5045">
            <v>0</v>
          </cell>
          <cell r="AV5045">
            <v>0</v>
          </cell>
        </row>
        <row r="5046">
          <cell r="E5046" t="str">
            <v>D26002090</v>
          </cell>
          <cell r="AP5046">
            <v>0</v>
          </cell>
          <cell r="AQ5046">
            <v>92295000</v>
          </cell>
          <cell r="AV5046">
            <v>0</v>
          </cell>
        </row>
        <row r="5047">
          <cell r="E5047" t="str">
            <v>D26002117</v>
          </cell>
          <cell r="AP5047">
            <v>0</v>
          </cell>
          <cell r="AQ5047">
            <v>128760000</v>
          </cell>
          <cell r="AV5047">
            <v>0</v>
          </cell>
        </row>
        <row r="5048">
          <cell r="E5048" t="str">
            <v>D26002129</v>
          </cell>
          <cell r="AP5048">
            <v>0</v>
          </cell>
          <cell r="AQ5048">
            <v>0</v>
          </cell>
          <cell r="AV5048">
            <v>0</v>
          </cell>
        </row>
        <row r="5049">
          <cell r="E5049" t="str">
            <v>D26002141</v>
          </cell>
          <cell r="AP5049">
            <v>0</v>
          </cell>
          <cell r="AQ5049">
            <v>0</v>
          </cell>
          <cell r="AV5049">
            <v>0</v>
          </cell>
        </row>
        <row r="5050">
          <cell r="E5050" t="str">
            <v>B26002079</v>
          </cell>
          <cell r="AP5050">
            <v>0</v>
          </cell>
          <cell r="AQ5050">
            <v>70000000</v>
          </cell>
          <cell r="AV5050">
            <v>0</v>
          </cell>
        </row>
        <row r="5051">
          <cell r="E5051" t="str">
            <v>D26002287</v>
          </cell>
          <cell r="AP5051">
            <v>0</v>
          </cell>
          <cell r="AQ5051">
            <v>228750000</v>
          </cell>
          <cell r="AV5051">
            <v>0</v>
          </cell>
        </row>
        <row r="5052">
          <cell r="E5052" t="str">
            <v>D26002288</v>
          </cell>
          <cell r="AP5052">
            <v>0</v>
          </cell>
          <cell r="AQ5052">
            <v>77000000</v>
          </cell>
          <cell r="AV5052">
            <v>0</v>
          </cell>
        </row>
        <row r="5053">
          <cell r="E5053" t="str">
            <v>B26002177</v>
          </cell>
          <cell r="AP5053">
            <v>0</v>
          </cell>
          <cell r="AQ5053">
            <v>13040000</v>
          </cell>
          <cell r="AV5053">
            <v>0</v>
          </cell>
        </row>
        <row r="5054">
          <cell r="E5054" t="str">
            <v>D26002321</v>
          </cell>
          <cell r="AP5054">
            <v>0</v>
          </cell>
          <cell r="AQ5054">
            <v>7325000</v>
          </cell>
          <cell r="AV5054">
            <v>0</v>
          </cell>
        </row>
        <row r="5055">
          <cell r="E5055" t="str">
            <v>D26002327</v>
          </cell>
          <cell r="AP5055">
            <v>0</v>
          </cell>
          <cell r="AQ5055">
            <v>10625000</v>
          </cell>
          <cell r="AV5055">
            <v>0</v>
          </cell>
        </row>
        <row r="5056">
          <cell r="E5056" t="str">
            <v>B26002203</v>
          </cell>
          <cell r="AP5056">
            <v>0</v>
          </cell>
          <cell r="AQ5056">
            <v>10625000</v>
          </cell>
          <cell r="AV5056">
            <v>0</v>
          </cell>
        </row>
        <row r="5057">
          <cell r="E5057" t="str">
            <v>B26002235</v>
          </cell>
          <cell r="AP5057">
            <v>0</v>
          </cell>
          <cell r="AQ5057">
            <v>43200000</v>
          </cell>
          <cell r="AV5057">
            <v>0</v>
          </cell>
        </row>
        <row r="5058">
          <cell r="E5058" t="str">
            <v>D26002866</v>
          </cell>
          <cell r="AP5058">
            <v>0</v>
          </cell>
          <cell r="AQ5058">
            <v>0</v>
          </cell>
          <cell r="AV5058">
            <v>0</v>
          </cell>
        </row>
        <row r="5059">
          <cell r="E5059" t="str">
            <v>D26002922</v>
          </cell>
          <cell r="AP5059">
            <v>0</v>
          </cell>
          <cell r="AQ5059">
            <v>0</v>
          </cell>
          <cell r="AV5059">
            <v>0</v>
          </cell>
        </row>
        <row r="5060">
          <cell r="E5060" t="str">
            <v>D26002923</v>
          </cell>
          <cell r="AP5060">
            <v>0</v>
          </cell>
          <cell r="AQ5060">
            <v>0</v>
          </cell>
          <cell r="AV5060">
            <v>0</v>
          </cell>
        </row>
        <row r="5061">
          <cell r="E5061" t="str">
            <v>B26002945</v>
          </cell>
          <cell r="AP5061">
            <v>0</v>
          </cell>
          <cell r="AQ5061">
            <v>0</v>
          </cell>
          <cell r="AV5061">
            <v>0</v>
          </cell>
        </row>
        <row r="5062">
          <cell r="E5062" t="str">
            <v>D26003255</v>
          </cell>
          <cell r="AP5062">
            <v>0</v>
          </cell>
          <cell r="AQ5062">
            <v>0</v>
          </cell>
          <cell r="AV5062">
            <v>0</v>
          </cell>
        </row>
        <row r="5063">
          <cell r="E5063" t="str">
            <v>D26003314</v>
          </cell>
          <cell r="AP5063">
            <v>0</v>
          </cell>
          <cell r="AQ5063">
            <v>0</v>
          </cell>
          <cell r="AV5063">
            <v>0</v>
          </cell>
        </row>
        <row r="5064">
          <cell r="E5064" t="str">
            <v>D26000278</v>
          </cell>
          <cell r="AP5064">
            <v>0</v>
          </cell>
          <cell r="AQ5064">
            <v>0</v>
          </cell>
          <cell r="AV5064">
            <v>0</v>
          </cell>
        </row>
        <row r="5065">
          <cell r="E5065" t="str">
            <v>D26000894</v>
          </cell>
          <cell r="AP5065">
            <v>0</v>
          </cell>
          <cell r="AQ5065">
            <v>0</v>
          </cell>
          <cell r="AV5065">
            <v>0</v>
          </cell>
        </row>
        <row r="5066">
          <cell r="E5066" t="str">
            <v>B26001850</v>
          </cell>
          <cell r="AP5066">
            <v>0</v>
          </cell>
          <cell r="AQ5066">
            <v>0</v>
          </cell>
          <cell r="AV5066">
            <v>0</v>
          </cell>
        </row>
        <row r="5067">
          <cell r="E5067" t="str">
            <v>D26001986</v>
          </cell>
          <cell r="AP5067">
            <v>0</v>
          </cell>
          <cell r="AQ5067">
            <v>0</v>
          </cell>
          <cell r="AV5067">
            <v>0</v>
          </cell>
        </row>
        <row r="5068">
          <cell r="E5068" t="str">
            <v>B26002848</v>
          </cell>
          <cell r="AP5068">
            <v>0</v>
          </cell>
          <cell r="AQ5068">
            <v>0</v>
          </cell>
          <cell r="AV5068">
            <v>0</v>
          </cell>
        </row>
        <row r="5069">
          <cell r="E5069" t="str">
            <v>B26002951</v>
          </cell>
          <cell r="AP5069">
            <v>0</v>
          </cell>
          <cell r="AQ5069">
            <v>0</v>
          </cell>
          <cell r="AV5069">
            <v>0</v>
          </cell>
        </row>
        <row r="5070">
          <cell r="E5070" t="str">
            <v>B26003062</v>
          </cell>
          <cell r="AP5070">
            <v>0</v>
          </cell>
          <cell r="AQ5070">
            <v>0</v>
          </cell>
          <cell r="AV5070">
            <v>0</v>
          </cell>
        </row>
        <row r="5071">
          <cell r="E5071" t="str">
            <v>D26001666</v>
          </cell>
          <cell r="AP5071">
            <v>0</v>
          </cell>
          <cell r="AQ5071">
            <v>0</v>
          </cell>
          <cell r="AV5071">
            <v>0</v>
          </cell>
        </row>
        <row r="5072">
          <cell r="E5072" t="str">
            <v>R25000016</v>
          </cell>
          <cell r="AP5072">
            <v>0</v>
          </cell>
          <cell r="AQ5072">
            <v>0</v>
          </cell>
          <cell r="AV5072">
            <v>0</v>
          </cell>
        </row>
        <row r="5073">
          <cell r="E5073" t="str">
            <v>B26000594</v>
          </cell>
          <cell r="AP5073">
            <v>0</v>
          </cell>
          <cell r="AQ5073">
            <v>0</v>
          </cell>
          <cell r="AV5073">
            <v>0</v>
          </cell>
        </row>
        <row r="5074">
          <cell r="E5074" t="str">
            <v>B26000595</v>
          </cell>
          <cell r="AP5074">
            <v>0</v>
          </cell>
          <cell r="AQ5074">
            <v>0</v>
          </cell>
          <cell r="AV5074">
            <v>0</v>
          </cell>
        </row>
        <row r="5075">
          <cell r="E5075" t="str">
            <v>D26000651</v>
          </cell>
          <cell r="AP5075">
            <v>0</v>
          </cell>
          <cell r="AQ5075">
            <v>0</v>
          </cell>
          <cell r="AV5075">
            <v>0</v>
          </cell>
        </row>
        <row r="5076">
          <cell r="E5076" t="str">
            <v>D26002896</v>
          </cell>
          <cell r="AP5076">
            <v>0</v>
          </cell>
          <cell r="AQ5076">
            <v>0</v>
          </cell>
          <cell r="AV5076">
            <v>0</v>
          </cell>
        </row>
        <row r="5077">
          <cell r="E5077" t="str">
            <v>D26002946</v>
          </cell>
          <cell r="AP5077">
            <v>0</v>
          </cell>
          <cell r="AQ5077">
            <v>0</v>
          </cell>
          <cell r="AV5077">
            <v>0</v>
          </cell>
        </row>
        <row r="5078">
          <cell r="E5078" t="str">
            <v>T25001865</v>
          </cell>
          <cell r="AP5078">
            <v>0</v>
          </cell>
          <cell r="AQ5078">
            <v>0</v>
          </cell>
          <cell r="AV5078">
            <v>0</v>
          </cell>
        </row>
        <row r="5079">
          <cell r="E5079" t="str">
            <v>D26003265</v>
          </cell>
          <cell r="AP5079">
            <v>0</v>
          </cell>
          <cell r="AQ5079">
            <v>0</v>
          </cell>
          <cell r="AV5079">
            <v>0</v>
          </cell>
        </row>
        <row r="5080">
          <cell r="E5080" t="str">
            <v>B26002705</v>
          </cell>
          <cell r="AP5080">
            <v>0</v>
          </cell>
          <cell r="AQ5080">
            <v>0</v>
          </cell>
          <cell r="AV5080">
            <v>0</v>
          </cell>
        </row>
        <row r="5081">
          <cell r="E5081" t="str">
            <v>D26002935</v>
          </cell>
          <cell r="AP5081">
            <v>0</v>
          </cell>
          <cell r="AQ5081">
            <v>0</v>
          </cell>
          <cell r="AV5081">
            <v>0</v>
          </cell>
        </row>
        <row r="5082">
          <cell r="E5082" t="str">
            <v>D26003090</v>
          </cell>
          <cell r="AP5082">
            <v>0</v>
          </cell>
          <cell r="AQ5082">
            <v>0</v>
          </cell>
          <cell r="AV5082">
            <v>0</v>
          </cell>
        </row>
        <row r="5083">
          <cell r="E5083" t="str">
            <v>T26000227</v>
          </cell>
          <cell r="AP5083">
            <v>0</v>
          </cell>
          <cell r="AQ5083">
            <v>0</v>
          </cell>
          <cell r="AV5083">
            <v>0</v>
          </cell>
        </row>
        <row r="5084">
          <cell r="E5084" t="str">
            <v>T26000088k</v>
          </cell>
          <cell r="AP5084">
            <v>0</v>
          </cell>
          <cell r="AQ5084">
            <v>0</v>
          </cell>
          <cell r="AV5084">
            <v>0</v>
          </cell>
        </row>
        <row r="5085">
          <cell r="E5085" t="str">
            <v>B26001517</v>
          </cell>
          <cell r="AP5085">
            <v>0</v>
          </cell>
          <cell r="AQ5085">
            <v>0</v>
          </cell>
          <cell r="AV5085">
            <v>0</v>
          </cell>
        </row>
        <row r="5086">
          <cell r="E5086" t="str">
            <v>D26003185</v>
          </cell>
          <cell r="AP5086">
            <v>0</v>
          </cell>
          <cell r="AQ5086">
            <v>0</v>
          </cell>
          <cell r="AV5086">
            <v>0</v>
          </cell>
        </row>
        <row r="5087">
          <cell r="E5087" t="str">
            <v>D26003317</v>
          </cell>
          <cell r="AP5087">
            <v>0</v>
          </cell>
          <cell r="AQ5087">
            <v>0</v>
          </cell>
          <cell r="AV5087">
            <v>0</v>
          </cell>
        </row>
        <row r="5088">
          <cell r="E5088" t="str">
            <v>D26003318</v>
          </cell>
          <cell r="AP5088">
            <v>0</v>
          </cell>
          <cell r="AQ5088">
            <v>0</v>
          </cell>
          <cell r="AV5088">
            <v>0</v>
          </cell>
        </row>
        <row r="5089">
          <cell r="E5089" t="str">
            <v>B26002403</v>
          </cell>
          <cell r="AP5089">
            <v>0</v>
          </cell>
          <cell r="AQ5089">
            <v>0</v>
          </cell>
          <cell r="AV5089">
            <v>0</v>
          </cell>
        </row>
        <row r="5090">
          <cell r="E5090" t="str">
            <v>D26000282</v>
          </cell>
          <cell r="AP5090">
            <v>0</v>
          </cell>
          <cell r="AQ5090">
            <v>0</v>
          </cell>
          <cell r="AV5090">
            <v>0</v>
          </cell>
        </row>
        <row r="5091">
          <cell r="E5091" t="str">
            <v>B26000045</v>
          </cell>
          <cell r="AP5091">
            <v>0</v>
          </cell>
          <cell r="AQ5091">
            <v>0</v>
          </cell>
          <cell r="AV5091">
            <v>0</v>
          </cell>
        </row>
        <row r="5092">
          <cell r="E5092" t="str">
            <v>B26000446</v>
          </cell>
          <cell r="AP5092">
            <v>0</v>
          </cell>
          <cell r="AQ5092">
            <v>0</v>
          </cell>
          <cell r="AV5092">
            <v>0</v>
          </cell>
        </row>
        <row r="5093">
          <cell r="E5093" t="str">
            <v>D26000516</v>
          </cell>
          <cell r="AP5093">
            <v>0</v>
          </cell>
          <cell r="AQ5093">
            <v>0</v>
          </cell>
          <cell r="AV5093">
            <v>0</v>
          </cell>
        </row>
        <row r="5094">
          <cell r="E5094" t="str">
            <v>D26001546</v>
          </cell>
          <cell r="AP5094">
            <v>0</v>
          </cell>
          <cell r="AQ5094">
            <v>0</v>
          </cell>
          <cell r="AV5094">
            <v>0</v>
          </cell>
        </row>
        <row r="5095">
          <cell r="E5095" t="str">
            <v>D25019527</v>
          </cell>
          <cell r="AP5095">
            <v>0</v>
          </cell>
          <cell r="AQ5095">
            <v>0</v>
          </cell>
          <cell r="AV5095">
            <v>10000000</v>
          </cell>
        </row>
        <row r="5096">
          <cell r="E5096" t="str">
            <v>D25019529</v>
          </cell>
          <cell r="AP5096">
            <v>0</v>
          </cell>
          <cell r="AQ5096">
            <v>0</v>
          </cell>
          <cell r="AV5096">
            <v>0</v>
          </cell>
        </row>
        <row r="5097">
          <cell r="E5097" t="str">
            <v>B26002483</v>
          </cell>
          <cell r="AP5097">
            <v>0</v>
          </cell>
          <cell r="AQ5097">
            <v>0</v>
          </cell>
          <cell r="AV5097">
            <v>0</v>
          </cell>
        </row>
        <row r="5098">
          <cell r="E5098" t="str">
            <v>B26002485</v>
          </cell>
          <cell r="AP5098">
            <v>0</v>
          </cell>
          <cell r="AQ5098">
            <v>0</v>
          </cell>
          <cell r="AV5098">
            <v>0</v>
          </cell>
        </row>
        <row r="5099">
          <cell r="E5099" t="str">
            <v>B26002486</v>
          </cell>
          <cell r="AP5099">
            <v>0</v>
          </cell>
          <cell r="AQ5099">
            <v>0</v>
          </cell>
          <cell r="AV5099">
            <v>0</v>
          </cell>
        </row>
        <row r="5100">
          <cell r="E5100" t="str">
            <v>B26002492</v>
          </cell>
          <cell r="AP5100">
            <v>0</v>
          </cell>
          <cell r="AQ5100">
            <v>0</v>
          </cell>
          <cell r="AV5100">
            <v>0</v>
          </cell>
        </row>
        <row r="5101">
          <cell r="E5101" t="str">
            <v>D26000491</v>
          </cell>
          <cell r="AP5101">
            <v>0</v>
          </cell>
          <cell r="AQ5101">
            <v>0</v>
          </cell>
          <cell r="AV5101">
            <v>0</v>
          </cell>
        </row>
        <row r="5102">
          <cell r="E5102" t="str">
            <v>D26000947</v>
          </cell>
          <cell r="AP5102">
            <v>0</v>
          </cell>
          <cell r="AQ5102">
            <v>0</v>
          </cell>
          <cell r="AV5102">
            <v>0</v>
          </cell>
        </row>
        <row r="5103">
          <cell r="E5103" t="str">
            <v>D26000987</v>
          </cell>
          <cell r="AP5103">
            <v>0</v>
          </cell>
          <cell r="AQ5103">
            <v>0</v>
          </cell>
          <cell r="AV5103">
            <v>0</v>
          </cell>
        </row>
        <row r="5104">
          <cell r="E5104" t="str">
            <v>D26001963</v>
          </cell>
          <cell r="AP5104">
            <v>0</v>
          </cell>
          <cell r="AQ5104">
            <v>0</v>
          </cell>
          <cell r="AV5104">
            <v>0</v>
          </cell>
        </row>
        <row r="5105">
          <cell r="E5105" t="str">
            <v>D26002726</v>
          </cell>
          <cell r="AP5105">
            <v>0</v>
          </cell>
          <cell r="AQ5105">
            <v>0</v>
          </cell>
          <cell r="AV5105">
            <v>0</v>
          </cell>
        </row>
        <row r="5106">
          <cell r="E5106" t="str">
            <v>B26001280</v>
          </cell>
          <cell r="AP5106">
            <v>0</v>
          </cell>
          <cell r="AQ5106">
            <v>0</v>
          </cell>
          <cell r="AV5106">
            <v>0</v>
          </cell>
        </row>
        <row r="5107">
          <cell r="E5107" t="str">
            <v>B26001284</v>
          </cell>
          <cell r="AP5107">
            <v>0</v>
          </cell>
          <cell r="AQ5107">
            <v>0</v>
          </cell>
          <cell r="AV5107">
            <v>0</v>
          </cell>
        </row>
        <row r="5108">
          <cell r="E5108" t="str">
            <v>B26000499</v>
          </cell>
          <cell r="AP5108">
            <v>0</v>
          </cell>
          <cell r="AQ5108">
            <v>0</v>
          </cell>
          <cell r="AV5108">
            <v>0</v>
          </cell>
        </row>
        <row r="5109">
          <cell r="E5109" t="str">
            <v>B26000500</v>
          </cell>
          <cell r="AP5109">
            <v>0</v>
          </cell>
          <cell r="AQ5109">
            <v>0</v>
          </cell>
          <cell r="AV5109">
            <v>0</v>
          </cell>
        </row>
        <row r="5110">
          <cell r="E5110" t="str">
            <v>B26000507</v>
          </cell>
          <cell r="AP5110">
            <v>0</v>
          </cell>
          <cell r="AQ5110">
            <v>0</v>
          </cell>
          <cell r="AV5110">
            <v>0</v>
          </cell>
        </row>
        <row r="5111">
          <cell r="E5111" t="str">
            <v>B26000890</v>
          </cell>
          <cell r="AP5111">
            <v>0</v>
          </cell>
          <cell r="AQ5111">
            <v>0</v>
          </cell>
          <cell r="AV5111">
            <v>0</v>
          </cell>
        </row>
        <row r="5112">
          <cell r="E5112" t="str">
            <v>D26001435</v>
          </cell>
          <cell r="AP5112">
            <v>0</v>
          </cell>
          <cell r="AQ5112">
            <v>0</v>
          </cell>
          <cell r="AV5112">
            <v>0</v>
          </cell>
        </row>
        <row r="5113">
          <cell r="E5113" t="str">
            <v>D26001660</v>
          </cell>
          <cell r="AP5113">
            <v>0</v>
          </cell>
          <cell r="AQ5113">
            <v>0</v>
          </cell>
          <cell r="AV5113">
            <v>0</v>
          </cell>
        </row>
        <row r="5114">
          <cell r="E5114" t="str">
            <v>B26001842</v>
          </cell>
          <cell r="AP5114">
            <v>0</v>
          </cell>
          <cell r="AQ5114">
            <v>0</v>
          </cell>
          <cell r="AV5114">
            <v>0</v>
          </cell>
        </row>
        <row r="5115">
          <cell r="E5115" t="str">
            <v>B26001999</v>
          </cell>
          <cell r="AP5115">
            <v>0</v>
          </cell>
          <cell r="AQ5115">
            <v>0</v>
          </cell>
          <cell r="AV5115">
            <v>0</v>
          </cell>
        </row>
        <row r="5116">
          <cell r="E5116" t="str">
            <v>D26002597</v>
          </cell>
          <cell r="AP5116">
            <v>0</v>
          </cell>
          <cell r="AQ5116">
            <v>0</v>
          </cell>
          <cell r="AV5116">
            <v>0</v>
          </cell>
        </row>
        <row r="5117">
          <cell r="E5117" t="str">
            <v>D26002861</v>
          </cell>
          <cell r="AP5117">
            <v>0</v>
          </cell>
          <cell r="AQ5117">
            <v>0</v>
          </cell>
          <cell r="AV5117">
            <v>0</v>
          </cell>
        </row>
        <row r="5118">
          <cell r="E5118" t="str">
            <v>B26002849</v>
          </cell>
          <cell r="AP5118">
            <v>0</v>
          </cell>
          <cell r="AQ5118">
            <v>0</v>
          </cell>
          <cell r="AV5118">
            <v>0</v>
          </cell>
        </row>
        <row r="5119">
          <cell r="E5119" t="str">
            <v>B25014926</v>
          </cell>
          <cell r="AP5119">
            <v>0</v>
          </cell>
          <cell r="AQ5119">
            <v>0</v>
          </cell>
          <cell r="AV5119">
            <v>0</v>
          </cell>
        </row>
        <row r="5120">
          <cell r="E5120" t="str">
            <v>B25015763</v>
          </cell>
          <cell r="AP5120">
            <v>0</v>
          </cell>
          <cell r="AQ5120">
            <v>0</v>
          </cell>
          <cell r="AV5120">
            <v>0</v>
          </cell>
        </row>
        <row r="5121">
          <cell r="E5121" t="str">
            <v>B26000022</v>
          </cell>
          <cell r="AP5121">
            <v>0</v>
          </cell>
          <cell r="AQ5121">
            <v>0</v>
          </cell>
          <cell r="AV5121">
            <v>0</v>
          </cell>
        </row>
        <row r="5122">
          <cell r="E5122" t="str">
            <v>D26000091</v>
          </cell>
          <cell r="AP5122">
            <v>0</v>
          </cell>
          <cell r="AQ5122">
            <v>0</v>
          </cell>
          <cell r="AV5122">
            <v>0</v>
          </cell>
        </row>
        <row r="5123">
          <cell r="E5123" t="str">
            <v>B26000175</v>
          </cell>
          <cell r="AP5123">
            <v>0</v>
          </cell>
          <cell r="AQ5123">
            <v>0</v>
          </cell>
          <cell r="AV5123">
            <v>0</v>
          </cell>
        </row>
        <row r="5124">
          <cell r="E5124" t="str">
            <v>D26000626</v>
          </cell>
          <cell r="AP5124">
            <v>0</v>
          </cell>
          <cell r="AQ5124">
            <v>0</v>
          </cell>
          <cell r="AV5124">
            <v>0</v>
          </cell>
        </row>
        <row r="5125">
          <cell r="E5125" t="str">
            <v>D26001467</v>
          </cell>
          <cell r="AP5125">
            <v>0</v>
          </cell>
          <cell r="AQ5125">
            <v>0</v>
          </cell>
          <cell r="AV5125">
            <v>0</v>
          </cell>
        </row>
        <row r="5126">
          <cell r="E5126" t="str">
            <v>B26001668</v>
          </cell>
          <cell r="AP5126">
            <v>0</v>
          </cell>
          <cell r="AQ5126">
            <v>0</v>
          </cell>
          <cell r="AV5126">
            <v>0</v>
          </cell>
        </row>
        <row r="5127">
          <cell r="E5127" t="str">
            <v>B26001796</v>
          </cell>
          <cell r="AP5127">
            <v>0</v>
          </cell>
          <cell r="AQ5127">
            <v>0</v>
          </cell>
          <cell r="AV5127">
            <v>0</v>
          </cell>
        </row>
        <row r="5128">
          <cell r="E5128" t="str">
            <v>D26002427</v>
          </cell>
          <cell r="AP5128">
            <v>0</v>
          </cell>
          <cell r="AQ5128">
            <v>0</v>
          </cell>
          <cell r="AV5128">
            <v>0</v>
          </cell>
        </row>
        <row r="5129">
          <cell r="E5129" t="str">
            <v>D26002588</v>
          </cell>
          <cell r="AP5129">
            <v>0</v>
          </cell>
          <cell r="AQ5129">
            <v>0</v>
          </cell>
          <cell r="AV5129">
            <v>0</v>
          </cell>
        </row>
        <row r="5130">
          <cell r="E5130" t="str">
            <v>D26002616</v>
          </cell>
          <cell r="AP5130">
            <v>0</v>
          </cell>
          <cell r="AQ5130">
            <v>0</v>
          </cell>
          <cell r="AV5130">
            <v>0</v>
          </cell>
        </row>
        <row r="5131">
          <cell r="E5131" t="str">
            <v>D26002631</v>
          </cell>
          <cell r="AP5131">
            <v>0</v>
          </cell>
          <cell r="AQ5131">
            <v>0</v>
          </cell>
          <cell r="AV5131">
            <v>0</v>
          </cell>
        </row>
        <row r="5132">
          <cell r="E5132" t="str">
            <v>B26002554</v>
          </cell>
          <cell r="AP5132">
            <v>0</v>
          </cell>
          <cell r="AQ5132">
            <v>0</v>
          </cell>
          <cell r="AV5132">
            <v>0</v>
          </cell>
        </row>
        <row r="5133">
          <cell r="E5133" t="str">
            <v>Z25003313</v>
          </cell>
          <cell r="AP5133">
            <v>0</v>
          </cell>
          <cell r="AQ5133">
            <v>0</v>
          </cell>
          <cell r="AV5133">
            <v>0</v>
          </cell>
        </row>
        <row r="5134">
          <cell r="E5134" t="str">
            <v>Z26000010</v>
          </cell>
          <cell r="AP5134">
            <v>0</v>
          </cell>
          <cell r="AQ5134">
            <v>0</v>
          </cell>
          <cell r="AV5134">
            <v>0</v>
          </cell>
        </row>
        <row r="5135">
          <cell r="E5135" t="str">
            <v>Z26000013</v>
          </cell>
          <cell r="AP5135">
            <v>0</v>
          </cell>
          <cell r="AQ5135">
            <v>0</v>
          </cell>
          <cell r="AV5135">
            <v>0</v>
          </cell>
        </row>
        <row r="5136">
          <cell r="E5136" t="str">
            <v>Z26000149</v>
          </cell>
          <cell r="AP5136">
            <v>0</v>
          </cell>
          <cell r="AQ5136">
            <v>0</v>
          </cell>
          <cell r="AV5136">
            <v>0</v>
          </cell>
        </row>
        <row r="5137">
          <cell r="E5137" t="str">
            <v>Z26000172</v>
          </cell>
          <cell r="AP5137">
            <v>0</v>
          </cell>
          <cell r="AQ5137">
            <v>0</v>
          </cell>
          <cell r="AV5137">
            <v>0</v>
          </cell>
        </row>
        <row r="5138">
          <cell r="E5138" t="str">
            <v>Z26000186</v>
          </cell>
          <cell r="AP5138">
            <v>0</v>
          </cell>
          <cell r="AQ5138">
            <v>0</v>
          </cell>
          <cell r="AV5138">
            <v>0</v>
          </cell>
        </row>
        <row r="5139">
          <cell r="E5139" t="str">
            <v>Z26000189</v>
          </cell>
          <cell r="AP5139">
            <v>0</v>
          </cell>
          <cell r="AQ5139">
            <v>0</v>
          </cell>
          <cell r="AV5139">
            <v>0</v>
          </cell>
        </row>
        <row r="5140">
          <cell r="E5140" t="str">
            <v>Z26000201</v>
          </cell>
          <cell r="AP5140">
            <v>0</v>
          </cell>
          <cell r="AQ5140">
            <v>0</v>
          </cell>
          <cell r="AV5140">
            <v>0</v>
          </cell>
        </row>
        <row r="5141">
          <cell r="E5141" t="str">
            <v>Z26000309</v>
          </cell>
          <cell r="AP5141">
            <v>0</v>
          </cell>
          <cell r="AQ5141">
            <v>0</v>
          </cell>
          <cell r="AV5141">
            <v>0</v>
          </cell>
        </row>
        <row r="5142">
          <cell r="E5142" t="str">
            <v>Z26000337</v>
          </cell>
          <cell r="AP5142">
            <v>0</v>
          </cell>
          <cell r="AQ5142">
            <v>0</v>
          </cell>
          <cell r="AV5142">
            <v>0</v>
          </cell>
        </row>
        <row r="5143">
          <cell r="E5143" t="str">
            <v>Z26000386</v>
          </cell>
          <cell r="AP5143">
            <v>0</v>
          </cell>
          <cell r="AQ5143">
            <v>0</v>
          </cell>
          <cell r="AV5143">
            <v>0</v>
          </cell>
        </row>
        <row r="5144">
          <cell r="E5144" t="str">
            <v>Z26000479</v>
          </cell>
          <cell r="AP5144">
            <v>0</v>
          </cell>
          <cell r="AQ5144">
            <v>0</v>
          </cell>
          <cell r="AV5144">
            <v>0</v>
          </cell>
        </row>
        <row r="5145">
          <cell r="E5145" t="str">
            <v>Z26000516</v>
          </cell>
          <cell r="AP5145">
            <v>0</v>
          </cell>
          <cell r="AQ5145">
            <v>0</v>
          </cell>
          <cell r="AV5145">
            <v>0</v>
          </cell>
        </row>
        <row r="5146">
          <cell r="E5146" t="str">
            <v>Z26000517</v>
          </cell>
          <cell r="AP5146">
            <v>0</v>
          </cell>
          <cell r="AQ5146">
            <v>0</v>
          </cell>
          <cell r="AV5146">
            <v>0</v>
          </cell>
        </row>
        <row r="5147">
          <cell r="E5147" t="str">
            <v>Z26000619</v>
          </cell>
          <cell r="AP5147">
            <v>0</v>
          </cell>
          <cell r="AQ5147">
            <v>0</v>
          </cell>
          <cell r="AV5147">
            <v>0</v>
          </cell>
        </row>
        <row r="5148">
          <cell r="E5148" t="str">
            <v>Z26000620</v>
          </cell>
          <cell r="AP5148">
            <v>0</v>
          </cell>
          <cell r="AQ5148">
            <v>0</v>
          </cell>
          <cell r="AV5148">
            <v>0</v>
          </cell>
        </row>
        <row r="5149">
          <cell r="E5149" t="str">
            <v>B26002212</v>
          </cell>
          <cell r="AP5149">
            <v>0</v>
          </cell>
          <cell r="AQ5149">
            <v>0</v>
          </cell>
          <cell r="AV5149">
            <v>0</v>
          </cell>
        </row>
        <row r="5150">
          <cell r="E5150" t="str">
            <v>B26002746</v>
          </cell>
          <cell r="AP5150">
            <v>0</v>
          </cell>
          <cell r="AQ5150">
            <v>0</v>
          </cell>
          <cell r="AV5150">
            <v>0</v>
          </cell>
        </row>
        <row r="5151">
          <cell r="E5151" t="str">
            <v>B26002747</v>
          </cell>
          <cell r="AP5151">
            <v>0</v>
          </cell>
          <cell r="AQ5151">
            <v>0</v>
          </cell>
          <cell r="AV5151">
            <v>0</v>
          </cell>
        </row>
        <row r="5152">
          <cell r="E5152" t="str">
            <v>B26002748</v>
          </cell>
          <cell r="AP5152">
            <v>0</v>
          </cell>
          <cell r="AQ5152">
            <v>0</v>
          </cell>
          <cell r="AV5152">
            <v>0</v>
          </cell>
        </row>
        <row r="5153">
          <cell r="E5153" t="str">
            <v>B26002749</v>
          </cell>
          <cell r="AP5153">
            <v>0</v>
          </cell>
          <cell r="AQ5153">
            <v>0</v>
          </cell>
          <cell r="AV5153">
            <v>0</v>
          </cell>
        </row>
        <row r="5154">
          <cell r="E5154" t="str">
            <v>B26002750</v>
          </cell>
          <cell r="AP5154">
            <v>0</v>
          </cell>
          <cell r="AQ5154">
            <v>0</v>
          </cell>
          <cell r="AV5154">
            <v>0</v>
          </cell>
        </row>
        <row r="5155">
          <cell r="E5155" t="str">
            <v>D26003188</v>
          </cell>
          <cell r="AP5155">
            <v>0</v>
          </cell>
          <cell r="AQ5155">
            <v>0</v>
          </cell>
          <cell r="AV5155">
            <v>330000</v>
          </cell>
        </row>
        <row r="5156">
          <cell r="E5156" t="str">
            <v>D25017659</v>
          </cell>
          <cell r="AP5156">
            <v>0</v>
          </cell>
          <cell r="AQ5156">
            <v>0</v>
          </cell>
          <cell r="AV5156">
            <v>0</v>
          </cell>
        </row>
        <row r="5157">
          <cell r="E5157" t="str">
            <v>D25018842</v>
          </cell>
          <cell r="AP5157">
            <v>0</v>
          </cell>
          <cell r="AQ5157">
            <v>0</v>
          </cell>
          <cell r="AV5157">
            <v>0</v>
          </cell>
        </row>
        <row r="5158">
          <cell r="E5158" t="str">
            <v>D26003107</v>
          </cell>
          <cell r="AP5158">
            <v>0</v>
          </cell>
          <cell r="AQ5158">
            <v>0</v>
          </cell>
          <cell r="AV5158">
            <v>2600000</v>
          </cell>
        </row>
        <row r="5159">
          <cell r="E5159" t="str">
            <v>D25019103</v>
          </cell>
          <cell r="AP5159">
            <v>0</v>
          </cell>
          <cell r="AQ5159">
            <v>0</v>
          </cell>
          <cell r="AV5159">
            <v>0</v>
          </cell>
        </row>
        <row r="5160">
          <cell r="E5160" t="str">
            <v>B26001621</v>
          </cell>
          <cell r="AP5160">
            <v>0</v>
          </cell>
          <cell r="AQ5160">
            <v>0</v>
          </cell>
          <cell r="AV5160">
            <v>0</v>
          </cell>
        </row>
        <row r="5161">
          <cell r="E5161" t="str">
            <v>B26001622</v>
          </cell>
          <cell r="AP5161">
            <v>0</v>
          </cell>
          <cell r="AQ5161">
            <v>0</v>
          </cell>
          <cell r="AV5161">
            <v>0</v>
          </cell>
        </row>
        <row r="5162">
          <cell r="E5162" t="str">
            <v>B26001666</v>
          </cell>
          <cell r="AP5162">
            <v>0</v>
          </cell>
          <cell r="AQ5162">
            <v>0</v>
          </cell>
          <cell r="AV5162">
            <v>0</v>
          </cell>
        </row>
        <row r="5163">
          <cell r="E5163" t="str">
            <v>B26000189</v>
          </cell>
          <cell r="AP5163">
            <v>0</v>
          </cell>
          <cell r="AQ5163">
            <v>0</v>
          </cell>
          <cell r="AV5163">
            <v>0</v>
          </cell>
        </row>
        <row r="5164">
          <cell r="E5164" t="str">
            <v>T26000019</v>
          </cell>
          <cell r="AP5164">
            <v>0</v>
          </cell>
          <cell r="AQ5164">
            <v>0</v>
          </cell>
          <cell r="AV5164">
            <v>0</v>
          </cell>
        </row>
        <row r="5165">
          <cell r="E5165" t="str">
            <v>D26000364</v>
          </cell>
          <cell r="AP5165">
            <v>0</v>
          </cell>
          <cell r="AQ5165">
            <v>0</v>
          </cell>
          <cell r="AV5165">
            <v>0</v>
          </cell>
        </row>
        <row r="5166">
          <cell r="E5166" t="str">
            <v>B26001172</v>
          </cell>
          <cell r="AP5166">
            <v>0</v>
          </cell>
          <cell r="AQ5166">
            <v>0</v>
          </cell>
          <cell r="AV5166">
            <v>0</v>
          </cell>
        </row>
        <row r="5167">
          <cell r="E5167" t="str">
            <v>B26001176</v>
          </cell>
          <cell r="AP5167">
            <v>0</v>
          </cell>
          <cell r="AQ5167">
            <v>0</v>
          </cell>
          <cell r="AV5167">
            <v>0</v>
          </cell>
        </row>
        <row r="5168">
          <cell r="E5168" t="str">
            <v>B26001460</v>
          </cell>
          <cell r="AP5168">
            <v>0</v>
          </cell>
          <cell r="AQ5168">
            <v>0</v>
          </cell>
          <cell r="AV5168">
            <v>0</v>
          </cell>
        </row>
        <row r="5169">
          <cell r="E5169" t="str">
            <v>D26001601</v>
          </cell>
          <cell r="AP5169">
            <v>0</v>
          </cell>
          <cell r="AQ5169">
            <v>0</v>
          </cell>
          <cell r="AV5169">
            <v>0</v>
          </cell>
        </row>
        <row r="5170">
          <cell r="E5170" t="str">
            <v>D26001602</v>
          </cell>
          <cell r="AP5170">
            <v>0</v>
          </cell>
          <cell r="AQ5170">
            <v>0</v>
          </cell>
          <cell r="AV5170">
            <v>0</v>
          </cell>
        </row>
        <row r="5171">
          <cell r="E5171" t="str">
            <v>D26002151</v>
          </cell>
          <cell r="AP5171">
            <v>0</v>
          </cell>
          <cell r="AQ5171">
            <v>0</v>
          </cell>
          <cell r="AV5171">
            <v>0</v>
          </cell>
        </row>
        <row r="5172">
          <cell r="E5172" t="str">
            <v>D26002958</v>
          </cell>
          <cell r="AP5172">
            <v>0</v>
          </cell>
          <cell r="AQ5172">
            <v>0</v>
          </cell>
          <cell r="AV5172">
            <v>0</v>
          </cell>
        </row>
        <row r="5173">
          <cell r="E5173" t="str">
            <v>B26000385</v>
          </cell>
          <cell r="AP5173">
            <v>0</v>
          </cell>
          <cell r="AQ5173">
            <v>0</v>
          </cell>
          <cell r="AV5173">
            <v>0</v>
          </cell>
        </row>
        <row r="5174">
          <cell r="E5174" t="str">
            <v>D26000832</v>
          </cell>
          <cell r="AP5174">
            <v>0</v>
          </cell>
          <cell r="AQ5174">
            <v>0</v>
          </cell>
          <cell r="AV5174">
            <v>0</v>
          </cell>
        </row>
        <row r="5175">
          <cell r="E5175" t="str">
            <v>T26000146</v>
          </cell>
          <cell r="AP5175">
            <v>0</v>
          </cell>
          <cell r="AQ5175">
            <v>0</v>
          </cell>
          <cell r="AV5175">
            <v>0</v>
          </cell>
        </row>
        <row r="5176">
          <cell r="E5176" t="str">
            <v>B26002248</v>
          </cell>
          <cell r="AP5176">
            <v>0</v>
          </cell>
          <cell r="AQ5176">
            <v>0</v>
          </cell>
          <cell r="AV5176">
            <v>0</v>
          </cell>
        </row>
        <row r="5177">
          <cell r="E5177" t="str">
            <v>B26002866</v>
          </cell>
          <cell r="AP5177">
            <v>0</v>
          </cell>
          <cell r="AQ5177">
            <v>0</v>
          </cell>
          <cell r="AV5177">
            <v>0</v>
          </cell>
        </row>
        <row r="5178">
          <cell r="E5178" t="str">
            <v>D26001564</v>
          </cell>
          <cell r="AP5178">
            <v>0</v>
          </cell>
          <cell r="AQ5178">
            <v>0</v>
          </cell>
          <cell r="AV5178">
            <v>0</v>
          </cell>
        </row>
        <row r="5179">
          <cell r="E5179" t="str">
            <v>D26002781</v>
          </cell>
          <cell r="AP5179">
            <v>0</v>
          </cell>
          <cell r="AQ5179">
            <v>0</v>
          </cell>
          <cell r="AV5179">
            <v>0</v>
          </cell>
        </row>
        <row r="5180">
          <cell r="E5180" t="str">
            <v>B26002828</v>
          </cell>
          <cell r="AP5180">
            <v>0</v>
          </cell>
          <cell r="AQ5180">
            <v>0</v>
          </cell>
          <cell r="AV5180">
            <v>0</v>
          </cell>
        </row>
        <row r="5181">
          <cell r="E5181" t="str">
            <v>B26000433</v>
          </cell>
          <cell r="AP5181">
            <v>0</v>
          </cell>
          <cell r="AQ5181">
            <v>0</v>
          </cell>
          <cell r="AV5181">
            <v>0</v>
          </cell>
        </row>
        <row r="5182">
          <cell r="E5182" t="str">
            <v>B26000689</v>
          </cell>
          <cell r="AP5182">
            <v>0</v>
          </cell>
          <cell r="AQ5182">
            <v>0</v>
          </cell>
          <cell r="AV5182">
            <v>0</v>
          </cell>
        </row>
        <row r="5183">
          <cell r="E5183" t="str">
            <v>B26000818</v>
          </cell>
          <cell r="AP5183">
            <v>0</v>
          </cell>
          <cell r="AQ5183">
            <v>0</v>
          </cell>
          <cell r="AV5183">
            <v>0</v>
          </cell>
        </row>
        <row r="5184">
          <cell r="E5184" t="str">
            <v>B26000934</v>
          </cell>
          <cell r="AP5184">
            <v>0</v>
          </cell>
          <cell r="AQ5184">
            <v>0</v>
          </cell>
          <cell r="AV5184">
            <v>0</v>
          </cell>
        </row>
        <row r="5185">
          <cell r="E5185" t="str">
            <v>B26001429</v>
          </cell>
          <cell r="AP5185">
            <v>0</v>
          </cell>
          <cell r="AQ5185">
            <v>0</v>
          </cell>
          <cell r="AV5185">
            <v>0</v>
          </cell>
        </row>
        <row r="5186">
          <cell r="E5186" t="str">
            <v>B26001660</v>
          </cell>
          <cell r="AP5186">
            <v>0</v>
          </cell>
          <cell r="AQ5186">
            <v>0</v>
          </cell>
          <cell r="AV5186">
            <v>0</v>
          </cell>
        </row>
        <row r="5187">
          <cell r="E5187" t="str">
            <v>D26002942</v>
          </cell>
          <cell r="AP5187">
            <v>0</v>
          </cell>
          <cell r="AQ5187">
            <v>0</v>
          </cell>
          <cell r="AV5187">
            <v>0</v>
          </cell>
        </row>
        <row r="5188">
          <cell r="E5188" t="str">
            <v>D26002943</v>
          </cell>
          <cell r="AP5188">
            <v>0</v>
          </cell>
          <cell r="AQ5188">
            <v>0</v>
          </cell>
          <cell r="AV5188">
            <v>0</v>
          </cell>
        </row>
        <row r="5189">
          <cell r="E5189" t="str">
            <v>D26002956</v>
          </cell>
          <cell r="AP5189">
            <v>0</v>
          </cell>
          <cell r="AQ5189">
            <v>0</v>
          </cell>
          <cell r="AV5189">
            <v>0</v>
          </cell>
        </row>
        <row r="5190">
          <cell r="E5190" t="str">
            <v>D26002960</v>
          </cell>
          <cell r="AP5190">
            <v>0</v>
          </cell>
          <cell r="AQ5190">
            <v>0</v>
          </cell>
          <cell r="AV5190">
            <v>0</v>
          </cell>
        </row>
        <row r="5191">
          <cell r="E5191" t="str">
            <v>D26000268</v>
          </cell>
          <cell r="AP5191">
            <v>0</v>
          </cell>
          <cell r="AQ5191">
            <v>0</v>
          </cell>
          <cell r="AV5191">
            <v>0</v>
          </cell>
        </row>
        <row r="5192">
          <cell r="E5192" t="str">
            <v>D26000275</v>
          </cell>
          <cell r="AP5192">
            <v>0</v>
          </cell>
          <cell r="AQ5192">
            <v>0</v>
          </cell>
          <cell r="AV5192">
            <v>0</v>
          </cell>
        </row>
        <row r="5193">
          <cell r="E5193" t="str">
            <v>D26000355</v>
          </cell>
          <cell r="AP5193">
            <v>0</v>
          </cell>
          <cell r="AQ5193">
            <v>0</v>
          </cell>
          <cell r="AV5193">
            <v>0</v>
          </cell>
        </row>
        <row r="5194">
          <cell r="E5194" t="str">
            <v>D26000788</v>
          </cell>
          <cell r="AP5194">
            <v>0</v>
          </cell>
          <cell r="AQ5194">
            <v>0</v>
          </cell>
          <cell r="AV5194">
            <v>0</v>
          </cell>
        </row>
        <row r="5195">
          <cell r="E5195" t="str">
            <v>D26001044</v>
          </cell>
          <cell r="AP5195">
            <v>0</v>
          </cell>
          <cell r="AQ5195">
            <v>0</v>
          </cell>
          <cell r="AV5195">
            <v>0</v>
          </cell>
        </row>
        <row r="5196">
          <cell r="E5196" t="str">
            <v>D26001231</v>
          </cell>
          <cell r="AP5196">
            <v>0</v>
          </cell>
          <cell r="AQ5196">
            <v>0</v>
          </cell>
          <cell r="AV5196">
            <v>0</v>
          </cell>
        </row>
        <row r="5197">
          <cell r="E5197" t="str">
            <v>D26001274</v>
          </cell>
          <cell r="AP5197">
            <v>0</v>
          </cell>
          <cell r="AQ5197">
            <v>0</v>
          </cell>
          <cell r="AV5197">
            <v>0</v>
          </cell>
        </row>
        <row r="5198">
          <cell r="E5198" t="str">
            <v>D26001280</v>
          </cell>
          <cell r="AP5198">
            <v>0</v>
          </cell>
          <cell r="AQ5198">
            <v>0</v>
          </cell>
          <cell r="AV5198">
            <v>0</v>
          </cell>
        </row>
        <row r="5199">
          <cell r="E5199" t="str">
            <v>B26001232</v>
          </cell>
          <cell r="AP5199">
            <v>0</v>
          </cell>
          <cell r="AQ5199">
            <v>0</v>
          </cell>
          <cell r="AV5199">
            <v>0</v>
          </cell>
        </row>
        <row r="5200">
          <cell r="E5200" t="str">
            <v>D26001779</v>
          </cell>
          <cell r="AP5200">
            <v>0</v>
          </cell>
          <cell r="AQ5200">
            <v>0</v>
          </cell>
          <cell r="AV5200">
            <v>0</v>
          </cell>
        </row>
        <row r="5201">
          <cell r="E5201" t="str">
            <v>D26001782</v>
          </cell>
          <cell r="AP5201">
            <v>0</v>
          </cell>
          <cell r="AQ5201">
            <v>0</v>
          </cell>
          <cell r="AV5201">
            <v>0</v>
          </cell>
        </row>
        <row r="5202">
          <cell r="E5202" t="str">
            <v>B26001945</v>
          </cell>
          <cell r="AP5202">
            <v>0</v>
          </cell>
          <cell r="AQ5202">
            <v>0</v>
          </cell>
          <cell r="AV5202">
            <v>0</v>
          </cell>
        </row>
        <row r="5203">
          <cell r="E5203" t="str">
            <v>B26002019</v>
          </cell>
          <cell r="AP5203">
            <v>0</v>
          </cell>
          <cell r="AQ5203">
            <v>0</v>
          </cell>
          <cell r="AV5203">
            <v>0</v>
          </cell>
        </row>
        <row r="5204">
          <cell r="E5204" t="str">
            <v>D26002429</v>
          </cell>
          <cell r="AP5204">
            <v>0</v>
          </cell>
          <cell r="AQ5204">
            <v>0</v>
          </cell>
          <cell r="AV5204">
            <v>0</v>
          </cell>
        </row>
        <row r="5205">
          <cell r="E5205" t="str">
            <v>B25016320</v>
          </cell>
          <cell r="AP5205">
            <v>0</v>
          </cell>
          <cell r="AQ5205">
            <v>0</v>
          </cell>
          <cell r="AV5205">
            <v>0</v>
          </cell>
        </row>
        <row r="5206">
          <cell r="E5206" t="str">
            <v>T26000242</v>
          </cell>
          <cell r="AP5206">
            <v>0</v>
          </cell>
          <cell r="AQ5206">
            <v>0</v>
          </cell>
          <cell r="AV5206">
            <v>12400000</v>
          </cell>
        </row>
        <row r="5207">
          <cell r="E5207" t="str">
            <v>B26001436</v>
          </cell>
          <cell r="AP5207">
            <v>0</v>
          </cell>
          <cell r="AQ5207">
            <v>0</v>
          </cell>
          <cell r="AV5207">
            <v>0</v>
          </cell>
        </row>
        <row r="5208">
          <cell r="E5208" t="str">
            <v>D26002262</v>
          </cell>
          <cell r="AP5208">
            <v>0</v>
          </cell>
          <cell r="AQ5208">
            <v>0</v>
          </cell>
          <cell r="AV5208">
            <v>0</v>
          </cell>
        </row>
        <row r="5209">
          <cell r="E5209" t="str">
            <v>T26000046</v>
          </cell>
          <cell r="AP5209">
            <v>0</v>
          </cell>
          <cell r="AQ5209">
            <v>0</v>
          </cell>
          <cell r="AV5209">
            <v>0</v>
          </cell>
        </row>
        <row r="5210">
          <cell r="E5210" t="str">
            <v>B26002157</v>
          </cell>
          <cell r="AP5210">
            <v>0</v>
          </cell>
          <cell r="AQ5210">
            <v>0</v>
          </cell>
          <cell r="AV5210">
            <v>0</v>
          </cell>
        </row>
        <row r="5211">
          <cell r="E5211" t="str">
            <v>D26002652</v>
          </cell>
          <cell r="AP5211">
            <v>0</v>
          </cell>
          <cell r="AQ5211">
            <v>0</v>
          </cell>
          <cell r="AV5211">
            <v>0</v>
          </cell>
        </row>
        <row r="5212">
          <cell r="E5212" t="str">
            <v>T25001900</v>
          </cell>
          <cell r="AP5212">
            <v>0</v>
          </cell>
          <cell r="AQ5212">
            <v>0</v>
          </cell>
          <cell r="AV5212">
            <v>0</v>
          </cell>
        </row>
        <row r="5213">
          <cell r="E5213" t="str">
            <v>T25001901</v>
          </cell>
          <cell r="AP5213">
            <v>0</v>
          </cell>
          <cell r="AQ5213">
            <v>0</v>
          </cell>
          <cell r="AV5213">
            <v>0</v>
          </cell>
        </row>
        <row r="5214">
          <cell r="E5214" t="str">
            <v>B26002733</v>
          </cell>
          <cell r="AP5214">
            <v>0</v>
          </cell>
          <cell r="AQ5214">
            <v>0</v>
          </cell>
          <cell r="AV5214">
            <v>0</v>
          </cell>
        </row>
        <row r="5215">
          <cell r="E5215" t="str">
            <v>B26002734</v>
          </cell>
          <cell r="AP5215">
            <v>0</v>
          </cell>
          <cell r="AQ5215">
            <v>0</v>
          </cell>
          <cell r="AV5215">
            <v>0</v>
          </cell>
        </row>
        <row r="5216">
          <cell r="E5216" t="str">
            <v>B26002771</v>
          </cell>
          <cell r="AP5216">
            <v>0</v>
          </cell>
          <cell r="AQ5216">
            <v>0</v>
          </cell>
          <cell r="AV5216">
            <v>0</v>
          </cell>
        </row>
        <row r="5217">
          <cell r="E5217" t="str">
            <v>B26001386</v>
          </cell>
          <cell r="AP5217">
            <v>0</v>
          </cell>
          <cell r="AQ5217">
            <v>0</v>
          </cell>
          <cell r="AV5217">
            <v>0</v>
          </cell>
        </row>
        <row r="5218">
          <cell r="E5218" t="str">
            <v>B26002267</v>
          </cell>
          <cell r="AP5218">
            <v>0</v>
          </cell>
          <cell r="AQ5218">
            <v>0</v>
          </cell>
          <cell r="AV5218">
            <v>0</v>
          </cell>
        </row>
        <row r="5219">
          <cell r="E5219" t="str">
            <v>D26003148</v>
          </cell>
          <cell r="AP5219">
            <v>0</v>
          </cell>
          <cell r="AQ5219">
            <v>0</v>
          </cell>
          <cell r="AV5219">
            <v>0</v>
          </cell>
        </row>
        <row r="5220">
          <cell r="E5220" t="str">
            <v>C26000177</v>
          </cell>
          <cell r="AP5220">
            <v>0</v>
          </cell>
          <cell r="AQ5220">
            <v>0</v>
          </cell>
          <cell r="AV5220">
            <v>0</v>
          </cell>
        </row>
        <row r="5221">
          <cell r="E5221" t="str">
            <v>B26000305</v>
          </cell>
          <cell r="AP5221">
            <v>0</v>
          </cell>
          <cell r="AQ5221">
            <v>0</v>
          </cell>
          <cell r="AV5221">
            <v>0</v>
          </cell>
        </row>
        <row r="5222">
          <cell r="E5222" t="str">
            <v>D26000342</v>
          </cell>
          <cell r="AP5222">
            <v>0</v>
          </cell>
          <cell r="AQ5222">
            <v>0</v>
          </cell>
          <cell r="AV5222">
            <v>0</v>
          </cell>
        </row>
        <row r="5223">
          <cell r="E5223" t="str">
            <v>B26001263</v>
          </cell>
          <cell r="AP5223">
            <v>0</v>
          </cell>
          <cell r="AQ5223">
            <v>0</v>
          </cell>
          <cell r="AV5223">
            <v>0</v>
          </cell>
        </row>
        <row r="5224">
          <cell r="E5224" t="str">
            <v>B26002094</v>
          </cell>
          <cell r="AP5224">
            <v>0</v>
          </cell>
          <cell r="AQ5224">
            <v>0</v>
          </cell>
          <cell r="AV5224">
            <v>0</v>
          </cell>
        </row>
        <row r="5225">
          <cell r="E5225" t="str">
            <v>B26002715</v>
          </cell>
          <cell r="AP5225">
            <v>0</v>
          </cell>
          <cell r="AQ5225">
            <v>0</v>
          </cell>
          <cell r="AV5225">
            <v>0</v>
          </cell>
        </row>
        <row r="5226">
          <cell r="E5226" t="str">
            <v>B26002769</v>
          </cell>
          <cell r="AP5226">
            <v>0</v>
          </cell>
          <cell r="AQ5226">
            <v>0</v>
          </cell>
          <cell r="AV5226">
            <v>0</v>
          </cell>
        </row>
        <row r="5227">
          <cell r="E5227" t="str">
            <v>B26002856</v>
          </cell>
          <cell r="AP5227">
            <v>0</v>
          </cell>
          <cell r="AQ5227">
            <v>0</v>
          </cell>
          <cell r="AV5227">
            <v>0</v>
          </cell>
        </row>
        <row r="5228">
          <cell r="E5228" t="str">
            <v>B26002915</v>
          </cell>
          <cell r="AP5228">
            <v>0</v>
          </cell>
          <cell r="AQ5228">
            <v>0</v>
          </cell>
          <cell r="AV5228">
            <v>0</v>
          </cell>
        </row>
        <row r="5229">
          <cell r="E5229" t="str">
            <v>B26002926</v>
          </cell>
          <cell r="AP5229">
            <v>0</v>
          </cell>
          <cell r="AQ5229">
            <v>0</v>
          </cell>
          <cell r="AV5229">
            <v>0</v>
          </cell>
        </row>
        <row r="5230">
          <cell r="E5230" t="str">
            <v>B26002927</v>
          </cell>
          <cell r="AP5230">
            <v>0</v>
          </cell>
          <cell r="AQ5230">
            <v>0</v>
          </cell>
          <cell r="AV5230">
            <v>0</v>
          </cell>
        </row>
        <row r="5231">
          <cell r="E5231" t="str">
            <v>D26003259</v>
          </cell>
          <cell r="AP5231">
            <v>0</v>
          </cell>
          <cell r="AQ5231">
            <v>0</v>
          </cell>
          <cell r="AV5231">
            <v>0</v>
          </cell>
        </row>
        <row r="5232">
          <cell r="E5232" t="str">
            <v>B26003072</v>
          </cell>
          <cell r="AP5232">
            <v>0</v>
          </cell>
          <cell r="AQ5232">
            <v>0</v>
          </cell>
          <cell r="AV5232">
            <v>0</v>
          </cell>
        </row>
        <row r="5233">
          <cell r="E5233" t="str">
            <v>T26000259</v>
          </cell>
          <cell r="AP5233">
            <v>0</v>
          </cell>
          <cell r="AQ5233">
            <v>0</v>
          </cell>
          <cell r="AV5233">
            <v>0</v>
          </cell>
        </row>
        <row r="5234">
          <cell r="E5234" t="str">
            <v>D25019627</v>
          </cell>
          <cell r="AP5234">
            <v>0</v>
          </cell>
          <cell r="AQ5234">
            <v>0</v>
          </cell>
          <cell r="AV5234">
            <v>0</v>
          </cell>
        </row>
        <row r="5235">
          <cell r="E5235" t="str">
            <v>B26003099</v>
          </cell>
          <cell r="AP5235">
            <v>0</v>
          </cell>
          <cell r="AQ5235">
            <v>0</v>
          </cell>
          <cell r="AV5235">
            <v>0</v>
          </cell>
        </row>
        <row r="5236">
          <cell r="E5236" t="str">
            <v>T26000262</v>
          </cell>
          <cell r="AP5236">
            <v>0</v>
          </cell>
          <cell r="AQ5236">
            <v>0</v>
          </cell>
          <cell r="AV5236">
            <v>0</v>
          </cell>
        </row>
        <row r="5237">
          <cell r="E5237" t="str">
            <v>D26000402</v>
          </cell>
          <cell r="AP5237">
            <v>0</v>
          </cell>
          <cell r="AQ5237">
            <v>0</v>
          </cell>
          <cell r="AV5237">
            <v>0</v>
          </cell>
        </row>
        <row r="5238">
          <cell r="E5238" t="str">
            <v>D26002598</v>
          </cell>
          <cell r="AP5238">
            <v>0</v>
          </cell>
          <cell r="AQ5238">
            <v>0</v>
          </cell>
          <cell r="AV5238">
            <v>0</v>
          </cell>
        </row>
        <row r="5239">
          <cell r="E5239" t="str">
            <v>D26002599</v>
          </cell>
          <cell r="AP5239">
            <v>0</v>
          </cell>
          <cell r="AQ5239">
            <v>0</v>
          </cell>
          <cell r="AV5239">
            <v>0</v>
          </cell>
        </row>
        <row r="5240">
          <cell r="E5240" t="str">
            <v>D26002647</v>
          </cell>
          <cell r="AP5240">
            <v>0</v>
          </cell>
          <cell r="AQ5240">
            <v>0</v>
          </cell>
          <cell r="AV5240">
            <v>0</v>
          </cell>
        </row>
        <row r="5241">
          <cell r="E5241" t="str">
            <v>T26000038</v>
          </cell>
          <cell r="AP5241">
            <v>0</v>
          </cell>
          <cell r="AQ5241">
            <v>0</v>
          </cell>
          <cell r="AV5241">
            <v>0</v>
          </cell>
        </row>
        <row r="5242">
          <cell r="E5242" t="str">
            <v>D26001347</v>
          </cell>
          <cell r="AP5242">
            <v>0</v>
          </cell>
          <cell r="AQ5242">
            <v>0</v>
          </cell>
          <cell r="AV5242">
            <v>0</v>
          </cell>
        </row>
        <row r="5243">
          <cell r="E5243" t="str">
            <v>D26002161</v>
          </cell>
          <cell r="AP5243">
            <v>0</v>
          </cell>
          <cell r="AQ5243">
            <v>0</v>
          </cell>
          <cell r="AV5243">
            <v>0</v>
          </cell>
        </row>
        <row r="5244">
          <cell r="E5244" t="str">
            <v>B26002285</v>
          </cell>
          <cell r="AP5244">
            <v>0</v>
          </cell>
          <cell r="AQ5244">
            <v>0</v>
          </cell>
          <cell r="AV5244">
            <v>0</v>
          </cell>
        </row>
        <row r="5245">
          <cell r="E5245" t="str">
            <v>D26002470</v>
          </cell>
          <cell r="AP5245">
            <v>0</v>
          </cell>
          <cell r="AQ5245">
            <v>0</v>
          </cell>
          <cell r="AV5245">
            <v>0</v>
          </cell>
        </row>
        <row r="5246">
          <cell r="E5246" t="str">
            <v>D26002744</v>
          </cell>
          <cell r="AP5246">
            <v>0</v>
          </cell>
          <cell r="AQ5246">
            <v>0</v>
          </cell>
          <cell r="AV5246">
            <v>0</v>
          </cell>
        </row>
        <row r="5247">
          <cell r="E5247" t="str">
            <v>B26002885</v>
          </cell>
          <cell r="AP5247">
            <v>0</v>
          </cell>
          <cell r="AQ5247">
            <v>0</v>
          </cell>
          <cell r="AV5247">
            <v>0</v>
          </cell>
        </row>
        <row r="5248">
          <cell r="E5248" t="str">
            <v>B26002917</v>
          </cell>
          <cell r="AP5248">
            <v>0</v>
          </cell>
          <cell r="AQ5248">
            <v>0</v>
          </cell>
          <cell r="AV5248">
            <v>0</v>
          </cell>
        </row>
        <row r="5249">
          <cell r="E5249" t="str">
            <v>Z26000263</v>
          </cell>
          <cell r="AP5249">
            <v>0</v>
          </cell>
          <cell r="AQ5249">
            <v>0</v>
          </cell>
          <cell r="AV5249">
            <v>0</v>
          </cell>
        </row>
        <row r="5250">
          <cell r="E5250" t="str">
            <v>Z26000265</v>
          </cell>
          <cell r="AP5250">
            <v>0</v>
          </cell>
          <cell r="AQ5250">
            <v>0</v>
          </cell>
          <cell r="AV5250">
            <v>0</v>
          </cell>
        </row>
        <row r="5251">
          <cell r="E5251" t="str">
            <v>Z26000578</v>
          </cell>
          <cell r="AP5251">
            <v>0</v>
          </cell>
          <cell r="AQ5251">
            <v>0</v>
          </cell>
          <cell r="AV5251">
            <v>0</v>
          </cell>
        </row>
        <row r="5252">
          <cell r="E5252" t="str">
            <v>Z26000590</v>
          </cell>
          <cell r="AP5252">
            <v>0</v>
          </cell>
          <cell r="AQ5252">
            <v>0</v>
          </cell>
          <cell r="AV5252">
            <v>123200000</v>
          </cell>
        </row>
        <row r="5253">
          <cell r="E5253" t="str">
            <v>B26002870</v>
          </cell>
          <cell r="AP5253">
            <v>0</v>
          </cell>
          <cell r="AQ5253">
            <v>0</v>
          </cell>
          <cell r="AV5253">
            <v>0</v>
          </cell>
        </row>
        <row r="5254">
          <cell r="E5254" t="str">
            <v>D25016178</v>
          </cell>
          <cell r="AP5254">
            <v>0</v>
          </cell>
          <cell r="AQ5254">
            <v>0</v>
          </cell>
          <cell r="AV5254">
            <v>0</v>
          </cell>
        </row>
        <row r="5255">
          <cell r="E5255" t="str">
            <v>D25018900</v>
          </cell>
          <cell r="AP5255">
            <v>0</v>
          </cell>
          <cell r="AQ5255">
            <v>0</v>
          </cell>
          <cell r="AV5255">
            <v>0</v>
          </cell>
        </row>
        <row r="5256">
          <cell r="E5256" t="str">
            <v>D25018997</v>
          </cell>
          <cell r="AP5256">
            <v>0</v>
          </cell>
          <cell r="AQ5256">
            <v>0</v>
          </cell>
          <cell r="AV5256">
            <v>0</v>
          </cell>
        </row>
        <row r="5257">
          <cell r="E5257" t="str">
            <v>D25018998</v>
          </cell>
          <cell r="AP5257">
            <v>0</v>
          </cell>
          <cell r="AQ5257">
            <v>0</v>
          </cell>
          <cell r="AV5257">
            <v>0</v>
          </cell>
        </row>
        <row r="5258">
          <cell r="E5258" t="str">
            <v>D25019266</v>
          </cell>
          <cell r="AP5258">
            <v>0</v>
          </cell>
          <cell r="AQ5258">
            <v>0</v>
          </cell>
          <cell r="AV5258">
            <v>0</v>
          </cell>
        </row>
        <row r="5259">
          <cell r="E5259" t="str">
            <v>D26001678</v>
          </cell>
          <cell r="AP5259">
            <v>0</v>
          </cell>
          <cell r="AQ5259">
            <v>0</v>
          </cell>
          <cell r="AV5259">
            <v>0</v>
          </cell>
        </row>
        <row r="5260">
          <cell r="E5260" t="str">
            <v>D26001679</v>
          </cell>
          <cell r="AP5260">
            <v>0</v>
          </cell>
          <cell r="AQ5260">
            <v>0</v>
          </cell>
          <cell r="AV5260">
            <v>0</v>
          </cell>
        </row>
        <row r="5261">
          <cell r="E5261" t="str">
            <v>D26001680</v>
          </cell>
          <cell r="AP5261">
            <v>0</v>
          </cell>
          <cell r="AQ5261">
            <v>0</v>
          </cell>
          <cell r="AV5261">
            <v>0</v>
          </cell>
        </row>
        <row r="5262">
          <cell r="E5262" t="str">
            <v>T26000108</v>
          </cell>
          <cell r="AP5262">
            <v>0</v>
          </cell>
          <cell r="AQ5262">
            <v>0</v>
          </cell>
          <cell r="AV5262">
            <v>0</v>
          </cell>
        </row>
        <row r="5263">
          <cell r="E5263" t="str">
            <v>D26002649</v>
          </cell>
          <cell r="AP5263">
            <v>0</v>
          </cell>
          <cell r="AQ5263">
            <v>0</v>
          </cell>
          <cell r="AV5263">
            <v>0</v>
          </cell>
        </row>
        <row r="5264">
          <cell r="E5264" t="str">
            <v>D26002650</v>
          </cell>
          <cell r="AP5264">
            <v>0</v>
          </cell>
          <cell r="AQ5264">
            <v>0</v>
          </cell>
          <cell r="AV5264">
            <v>0</v>
          </cell>
        </row>
        <row r="5265">
          <cell r="E5265" t="str">
            <v>D26002651</v>
          </cell>
          <cell r="AP5265">
            <v>0</v>
          </cell>
          <cell r="AQ5265">
            <v>0</v>
          </cell>
          <cell r="AV5265">
            <v>0</v>
          </cell>
        </row>
        <row r="5266">
          <cell r="E5266" t="str">
            <v>D26002673</v>
          </cell>
          <cell r="AP5266">
            <v>0</v>
          </cell>
          <cell r="AQ5266">
            <v>0</v>
          </cell>
          <cell r="AV5266">
            <v>0</v>
          </cell>
        </row>
        <row r="5267">
          <cell r="E5267" t="str">
            <v>T26000202</v>
          </cell>
          <cell r="AP5267">
            <v>0</v>
          </cell>
          <cell r="AQ5267">
            <v>0</v>
          </cell>
          <cell r="AV5267">
            <v>0</v>
          </cell>
        </row>
        <row r="5268">
          <cell r="E5268" t="str">
            <v>D26001658</v>
          </cell>
          <cell r="AP5268">
            <v>0</v>
          </cell>
          <cell r="AQ5268">
            <v>0</v>
          </cell>
          <cell r="AV5268">
            <v>0</v>
          </cell>
        </row>
        <row r="5269">
          <cell r="E5269" t="str">
            <v>B26002355</v>
          </cell>
          <cell r="AP5269">
            <v>0</v>
          </cell>
          <cell r="AQ5269">
            <v>0</v>
          </cell>
          <cell r="AV5269">
            <v>0</v>
          </cell>
        </row>
        <row r="5270">
          <cell r="E5270" t="str">
            <v>D26002704</v>
          </cell>
          <cell r="AP5270">
            <v>0</v>
          </cell>
          <cell r="AQ5270">
            <v>0</v>
          </cell>
          <cell r="AV5270">
            <v>0</v>
          </cell>
        </row>
        <row r="5271">
          <cell r="E5271" t="str">
            <v>B26002673</v>
          </cell>
          <cell r="AP5271">
            <v>0</v>
          </cell>
          <cell r="AQ5271">
            <v>0</v>
          </cell>
          <cell r="AV5271">
            <v>0</v>
          </cell>
        </row>
        <row r="5272">
          <cell r="E5272" t="str">
            <v>D25013475</v>
          </cell>
          <cell r="AP5272">
            <v>0</v>
          </cell>
          <cell r="AQ5272">
            <v>0</v>
          </cell>
          <cell r="AV5272">
            <v>0</v>
          </cell>
        </row>
        <row r="5273">
          <cell r="E5273" t="str">
            <v>B25012121</v>
          </cell>
          <cell r="AP5273">
            <v>0</v>
          </cell>
          <cell r="AQ5273">
            <v>0</v>
          </cell>
          <cell r="AV5273">
            <v>0</v>
          </cell>
        </row>
        <row r="5274">
          <cell r="E5274" t="str">
            <v>B26000258</v>
          </cell>
          <cell r="AP5274">
            <v>0</v>
          </cell>
          <cell r="AQ5274">
            <v>0</v>
          </cell>
          <cell r="AV5274">
            <v>0</v>
          </cell>
        </row>
        <row r="5275">
          <cell r="E5275" t="str">
            <v>B26000259</v>
          </cell>
          <cell r="AP5275">
            <v>0</v>
          </cell>
          <cell r="AQ5275">
            <v>0</v>
          </cell>
          <cell r="AV5275">
            <v>0</v>
          </cell>
        </row>
        <row r="5276">
          <cell r="E5276" t="str">
            <v>D26000417</v>
          </cell>
          <cell r="AP5276">
            <v>0</v>
          </cell>
          <cell r="AQ5276">
            <v>0</v>
          </cell>
          <cell r="AV5276">
            <v>0</v>
          </cell>
        </row>
        <row r="5277">
          <cell r="E5277" t="str">
            <v>D26000895</v>
          </cell>
          <cell r="AP5277">
            <v>0</v>
          </cell>
          <cell r="AQ5277">
            <v>0</v>
          </cell>
          <cell r="AV5277">
            <v>0</v>
          </cell>
        </row>
        <row r="5278">
          <cell r="E5278" t="str">
            <v>B26001318</v>
          </cell>
          <cell r="AP5278">
            <v>0</v>
          </cell>
          <cell r="AQ5278">
            <v>0</v>
          </cell>
          <cell r="AV5278">
            <v>0</v>
          </cell>
        </row>
        <row r="5279">
          <cell r="E5279" t="str">
            <v>B26001322</v>
          </cell>
          <cell r="AP5279">
            <v>0</v>
          </cell>
          <cell r="AQ5279">
            <v>0</v>
          </cell>
          <cell r="AV5279">
            <v>0</v>
          </cell>
        </row>
        <row r="5280">
          <cell r="E5280" t="str">
            <v>B26002103</v>
          </cell>
          <cell r="AP5280">
            <v>0</v>
          </cell>
          <cell r="AQ5280">
            <v>0</v>
          </cell>
          <cell r="AV5280">
            <v>0</v>
          </cell>
        </row>
        <row r="5281">
          <cell r="E5281" t="str">
            <v>B26002105</v>
          </cell>
          <cell r="AP5281">
            <v>0</v>
          </cell>
          <cell r="AQ5281">
            <v>0</v>
          </cell>
          <cell r="AV5281">
            <v>0</v>
          </cell>
        </row>
        <row r="5282">
          <cell r="E5282" t="str">
            <v>D26002524</v>
          </cell>
          <cell r="AP5282">
            <v>0</v>
          </cell>
          <cell r="AQ5282">
            <v>0</v>
          </cell>
          <cell r="AV5282">
            <v>0</v>
          </cell>
        </row>
        <row r="5283">
          <cell r="E5283" t="str">
            <v>D26002679</v>
          </cell>
          <cell r="AP5283">
            <v>0</v>
          </cell>
          <cell r="AQ5283">
            <v>0</v>
          </cell>
          <cell r="AV5283">
            <v>0</v>
          </cell>
        </row>
        <row r="5284">
          <cell r="E5284" t="str">
            <v>D26002711</v>
          </cell>
          <cell r="AP5284">
            <v>0</v>
          </cell>
          <cell r="AQ5284">
            <v>0</v>
          </cell>
          <cell r="AV5284">
            <v>0</v>
          </cell>
        </row>
        <row r="5285">
          <cell r="E5285" t="str">
            <v>B26002182</v>
          </cell>
          <cell r="AP5285">
            <v>0</v>
          </cell>
          <cell r="AQ5285">
            <v>0</v>
          </cell>
          <cell r="AV5285">
            <v>0</v>
          </cell>
        </row>
        <row r="5286">
          <cell r="E5286" t="str">
            <v>D26002294</v>
          </cell>
          <cell r="AP5286">
            <v>0</v>
          </cell>
          <cell r="AQ5286">
            <v>0</v>
          </cell>
          <cell r="AV5286">
            <v>0</v>
          </cell>
        </row>
        <row r="5287">
          <cell r="E5287" t="str">
            <v>D25019668</v>
          </cell>
          <cell r="AP5287">
            <v>0</v>
          </cell>
          <cell r="AQ5287">
            <v>0</v>
          </cell>
          <cell r="AV5287">
            <v>3500000</v>
          </cell>
        </row>
        <row r="5288">
          <cell r="E5288" t="str">
            <v>D26001064</v>
          </cell>
          <cell r="AP5288">
            <v>0</v>
          </cell>
          <cell r="AQ5288">
            <v>0</v>
          </cell>
          <cell r="AV5288">
            <v>2020500</v>
          </cell>
        </row>
        <row r="5289">
          <cell r="E5289" t="str">
            <v>D26001223</v>
          </cell>
          <cell r="AP5289">
            <v>0</v>
          </cell>
          <cell r="AQ5289">
            <v>0</v>
          </cell>
          <cell r="AV5289">
            <v>0</v>
          </cell>
        </row>
        <row r="5290">
          <cell r="E5290" t="str">
            <v>B26001371</v>
          </cell>
          <cell r="AP5290">
            <v>0</v>
          </cell>
          <cell r="AQ5290">
            <v>0</v>
          </cell>
          <cell r="AV5290">
            <v>3210000</v>
          </cell>
        </row>
        <row r="5291">
          <cell r="E5291" t="str">
            <v>B26002252</v>
          </cell>
          <cell r="AP5291">
            <v>0</v>
          </cell>
          <cell r="AQ5291">
            <v>0</v>
          </cell>
          <cell r="AV5291">
            <v>0</v>
          </cell>
        </row>
        <row r="5292">
          <cell r="E5292" t="str">
            <v>B26002253</v>
          </cell>
          <cell r="AP5292">
            <v>0</v>
          </cell>
          <cell r="AQ5292">
            <v>0</v>
          </cell>
          <cell r="AV5292">
            <v>0</v>
          </cell>
        </row>
        <row r="5293">
          <cell r="E5293" t="str">
            <v>B26002347</v>
          </cell>
          <cell r="AP5293">
            <v>0</v>
          </cell>
          <cell r="AQ5293">
            <v>0</v>
          </cell>
          <cell r="AV5293">
            <v>0</v>
          </cell>
        </row>
        <row r="5294">
          <cell r="E5294" t="str">
            <v>T26000026</v>
          </cell>
          <cell r="AP5294">
            <v>0</v>
          </cell>
          <cell r="AQ5294">
            <v>0</v>
          </cell>
          <cell r="AV5294">
            <v>0</v>
          </cell>
        </row>
        <row r="5295">
          <cell r="E5295" t="str">
            <v>T26000076</v>
          </cell>
          <cell r="AP5295">
            <v>0</v>
          </cell>
          <cell r="AQ5295">
            <v>0</v>
          </cell>
          <cell r="AV5295">
            <v>0</v>
          </cell>
        </row>
        <row r="5296">
          <cell r="E5296" t="str">
            <v>B26001736</v>
          </cell>
          <cell r="AP5296">
            <v>0</v>
          </cell>
          <cell r="AQ5296">
            <v>0</v>
          </cell>
          <cell r="AV5296">
            <v>0</v>
          </cell>
        </row>
        <row r="5297">
          <cell r="E5297" t="str">
            <v>B26001022</v>
          </cell>
          <cell r="AP5297">
            <v>0</v>
          </cell>
          <cell r="AQ5297">
            <v>0</v>
          </cell>
          <cell r="AV5297">
            <v>0</v>
          </cell>
        </row>
        <row r="5298">
          <cell r="E5298" t="str">
            <v>D26001563</v>
          </cell>
          <cell r="AP5298">
            <v>0</v>
          </cell>
          <cell r="AQ5298">
            <v>0</v>
          </cell>
          <cell r="AV5298">
            <v>0</v>
          </cell>
        </row>
        <row r="5299">
          <cell r="E5299" t="str">
            <v>D26001570</v>
          </cell>
          <cell r="AP5299">
            <v>0</v>
          </cell>
          <cell r="AQ5299">
            <v>0</v>
          </cell>
          <cell r="AV5299">
            <v>0</v>
          </cell>
        </row>
        <row r="5300">
          <cell r="E5300" t="str">
            <v>D26001586</v>
          </cell>
          <cell r="AP5300">
            <v>0</v>
          </cell>
          <cell r="AQ5300">
            <v>0</v>
          </cell>
          <cell r="AV5300">
            <v>0</v>
          </cell>
        </row>
        <row r="5301">
          <cell r="E5301" t="str">
            <v>D26001864</v>
          </cell>
          <cell r="AP5301">
            <v>0</v>
          </cell>
          <cell r="AQ5301">
            <v>0</v>
          </cell>
          <cell r="AV5301">
            <v>0</v>
          </cell>
        </row>
        <row r="5302">
          <cell r="E5302" t="str">
            <v>D26002353</v>
          </cell>
          <cell r="AP5302">
            <v>0</v>
          </cell>
          <cell r="AQ5302">
            <v>0</v>
          </cell>
          <cell r="AV5302">
            <v>0</v>
          </cell>
        </row>
        <row r="5303">
          <cell r="E5303" t="str">
            <v>B26000228</v>
          </cell>
          <cell r="AP5303">
            <v>0</v>
          </cell>
          <cell r="AQ5303">
            <v>0</v>
          </cell>
          <cell r="AV5303">
            <v>0</v>
          </cell>
        </row>
        <row r="5304">
          <cell r="E5304" t="str">
            <v>D26000408</v>
          </cell>
          <cell r="AP5304">
            <v>0</v>
          </cell>
          <cell r="AQ5304">
            <v>0</v>
          </cell>
          <cell r="AV5304">
            <v>0</v>
          </cell>
        </row>
        <row r="5305">
          <cell r="E5305" t="str">
            <v>N26000010</v>
          </cell>
          <cell r="AP5305">
            <v>0</v>
          </cell>
          <cell r="AQ5305">
            <v>0</v>
          </cell>
          <cell r="AV5305">
            <v>0</v>
          </cell>
        </row>
        <row r="5306">
          <cell r="E5306" t="str">
            <v>B26001056</v>
          </cell>
          <cell r="AP5306">
            <v>0</v>
          </cell>
          <cell r="AQ5306">
            <v>0</v>
          </cell>
          <cell r="AV5306">
            <v>0</v>
          </cell>
        </row>
        <row r="5307">
          <cell r="E5307" t="str">
            <v>D26001762</v>
          </cell>
          <cell r="AP5307">
            <v>0</v>
          </cell>
          <cell r="AQ5307">
            <v>0</v>
          </cell>
          <cell r="AV5307">
            <v>0</v>
          </cell>
        </row>
        <row r="5308">
          <cell r="E5308" t="str">
            <v>B26002088</v>
          </cell>
          <cell r="AP5308">
            <v>0</v>
          </cell>
          <cell r="AQ5308">
            <v>0</v>
          </cell>
          <cell r="AV5308">
            <v>0</v>
          </cell>
        </row>
        <row r="5309">
          <cell r="E5309" t="str">
            <v>B26002359</v>
          </cell>
          <cell r="AP5309">
            <v>0</v>
          </cell>
          <cell r="AQ5309">
            <v>0</v>
          </cell>
          <cell r="AV5309">
            <v>0</v>
          </cell>
        </row>
        <row r="5310">
          <cell r="E5310" t="str">
            <v>B26002631</v>
          </cell>
          <cell r="AP5310">
            <v>0</v>
          </cell>
          <cell r="AQ5310">
            <v>0</v>
          </cell>
          <cell r="AV5310">
            <v>0</v>
          </cell>
        </row>
        <row r="5311">
          <cell r="E5311" t="str">
            <v>D26002808</v>
          </cell>
          <cell r="AP5311">
            <v>0</v>
          </cell>
          <cell r="AQ5311">
            <v>0</v>
          </cell>
          <cell r="AV5311">
            <v>0</v>
          </cell>
        </row>
        <row r="5312">
          <cell r="E5312" t="str">
            <v>D26003201</v>
          </cell>
          <cell r="AP5312">
            <v>0</v>
          </cell>
          <cell r="AQ5312">
            <v>0</v>
          </cell>
          <cell r="AV5312">
            <v>0</v>
          </cell>
        </row>
        <row r="5313">
          <cell r="E5313" t="str">
            <v>D26003217</v>
          </cell>
          <cell r="AP5313">
            <v>0</v>
          </cell>
          <cell r="AQ5313">
            <v>0</v>
          </cell>
          <cell r="AV5313">
            <v>0</v>
          </cell>
        </row>
        <row r="5314">
          <cell r="E5314" t="str">
            <v>D26001390</v>
          </cell>
          <cell r="AP5314">
            <v>0</v>
          </cell>
          <cell r="AQ5314">
            <v>0</v>
          </cell>
          <cell r="AV5314">
            <v>0</v>
          </cell>
        </row>
        <row r="5315">
          <cell r="E5315" t="str">
            <v>D26001463</v>
          </cell>
          <cell r="AP5315">
            <v>0</v>
          </cell>
          <cell r="AQ5315">
            <v>0</v>
          </cell>
          <cell r="AV5315">
            <v>0</v>
          </cell>
        </row>
        <row r="5316">
          <cell r="E5316" t="str">
            <v>B26001447</v>
          </cell>
          <cell r="AP5316">
            <v>0</v>
          </cell>
          <cell r="AQ5316">
            <v>0</v>
          </cell>
          <cell r="AV5316">
            <v>0</v>
          </cell>
        </row>
        <row r="5317">
          <cell r="E5317" t="str">
            <v>D26001532</v>
          </cell>
          <cell r="AP5317">
            <v>0</v>
          </cell>
          <cell r="AQ5317">
            <v>0</v>
          </cell>
          <cell r="AV5317">
            <v>0</v>
          </cell>
        </row>
        <row r="5318">
          <cell r="E5318" t="str">
            <v>D26001698</v>
          </cell>
          <cell r="AP5318">
            <v>0</v>
          </cell>
          <cell r="AQ5318">
            <v>0</v>
          </cell>
          <cell r="AV5318">
            <v>0</v>
          </cell>
        </row>
        <row r="5319">
          <cell r="E5319" t="str">
            <v>D26001699</v>
          </cell>
          <cell r="AP5319">
            <v>0</v>
          </cell>
          <cell r="AQ5319">
            <v>0</v>
          </cell>
          <cell r="AV5319">
            <v>0</v>
          </cell>
        </row>
        <row r="5320">
          <cell r="E5320" t="str">
            <v>B26001644</v>
          </cell>
          <cell r="AP5320">
            <v>0</v>
          </cell>
          <cell r="AQ5320">
            <v>0</v>
          </cell>
          <cell r="AV5320">
            <v>0</v>
          </cell>
        </row>
        <row r="5321">
          <cell r="E5321" t="str">
            <v>B26001743</v>
          </cell>
          <cell r="AP5321">
            <v>0</v>
          </cell>
          <cell r="AQ5321">
            <v>0</v>
          </cell>
          <cell r="AV5321">
            <v>0</v>
          </cell>
        </row>
        <row r="5322">
          <cell r="E5322" t="str">
            <v>B26001744</v>
          </cell>
          <cell r="AP5322">
            <v>0</v>
          </cell>
          <cell r="AQ5322">
            <v>0</v>
          </cell>
          <cell r="AV5322">
            <v>0</v>
          </cell>
        </row>
        <row r="5323">
          <cell r="E5323" t="str">
            <v>D26001925</v>
          </cell>
          <cell r="AP5323">
            <v>0</v>
          </cell>
          <cell r="AQ5323">
            <v>0</v>
          </cell>
          <cell r="AV5323">
            <v>0</v>
          </cell>
        </row>
        <row r="5324">
          <cell r="E5324" t="str">
            <v>B26002086</v>
          </cell>
          <cell r="AP5324">
            <v>0</v>
          </cell>
          <cell r="AQ5324">
            <v>0</v>
          </cell>
          <cell r="AV5324">
            <v>0</v>
          </cell>
        </row>
        <row r="5325">
          <cell r="E5325" t="str">
            <v>B26002087</v>
          </cell>
          <cell r="AP5325">
            <v>0</v>
          </cell>
          <cell r="AQ5325">
            <v>0</v>
          </cell>
          <cell r="AV5325">
            <v>0</v>
          </cell>
        </row>
        <row r="5326">
          <cell r="E5326" t="str">
            <v>B26002413</v>
          </cell>
          <cell r="AP5326">
            <v>0</v>
          </cell>
          <cell r="AQ5326">
            <v>0</v>
          </cell>
          <cell r="AV5326">
            <v>0</v>
          </cell>
        </row>
        <row r="5327">
          <cell r="E5327" t="str">
            <v>B26002433</v>
          </cell>
          <cell r="AP5327">
            <v>0</v>
          </cell>
          <cell r="AQ5327">
            <v>0</v>
          </cell>
          <cell r="AV5327">
            <v>0</v>
          </cell>
        </row>
        <row r="5328">
          <cell r="E5328" t="str">
            <v>D26002660</v>
          </cell>
          <cell r="AP5328">
            <v>0</v>
          </cell>
          <cell r="AQ5328">
            <v>0</v>
          </cell>
          <cell r="AV5328">
            <v>0</v>
          </cell>
        </row>
        <row r="5329">
          <cell r="E5329" t="str">
            <v>B26003027</v>
          </cell>
          <cell r="AP5329">
            <v>0</v>
          </cell>
          <cell r="AQ5329">
            <v>0</v>
          </cell>
          <cell r="AV5329">
            <v>0</v>
          </cell>
        </row>
        <row r="5330">
          <cell r="E5330" t="str">
            <v>B26003033</v>
          </cell>
          <cell r="AP5330">
            <v>0</v>
          </cell>
          <cell r="AQ5330">
            <v>0</v>
          </cell>
          <cell r="AV5330">
            <v>0</v>
          </cell>
        </row>
        <row r="5331">
          <cell r="E5331" t="str">
            <v>L26000008</v>
          </cell>
          <cell r="AP5331">
            <v>0</v>
          </cell>
          <cell r="AQ5331">
            <v>0</v>
          </cell>
          <cell r="AV5331">
            <v>0</v>
          </cell>
        </row>
        <row r="5332">
          <cell r="E5332" t="str">
            <v>B25016195</v>
          </cell>
          <cell r="AP5332">
            <v>0</v>
          </cell>
          <cell r="AQ5332">
            <v>0</v>
          </cell>
          <cell r="AV5332">
            <v>100000000</v>
          </cell>
        </row>
        <row r="5333">
          <cell r="E5333" t="str">
            <v>B25016195</v>
          </cell>
          <cell r="AP5333">
            <v>0</v>
          </cell>
          <cell r="AQ5333">
            <v>0</v>
          </cell>
          <cell r="AV5333">
            <v>150000000</v>
          </cell>
        </row>
        <row r="5334">
          <cell r="E5334" t="str">
            <v>D25018882</v>
          </cell>
          <cell r="AP5334">
            <v>0</v>
          </cell>
          <cell r="AQ5334">
            <v>0</v>
          </cell>
          <cell r="AV5334">
            <v>0</v>
          </cell>
        </row>
        <row r="5335">
          <cell r="E5335" t="str">
            <v>D25019123</v>
          </cell>
          <cell r="AP5335">
            <v>0</v>
          </cell>
          <cell r="AQ5335">
            <v>0</v>
          </cell>
          <cell r="AV5335">
            <v>0</v>
          </cell>
        </row>
        <row r="5336">
          <cell r="E5336" t="str">
            <v>D26000372</v>
          </cell>
          <cell r="AP5336">
            <v>0</v>
          </cell>
          <cell r="AQ5336">
            <v>0</v>
          </cell>
          <cell r="AV5336">
            <v>0</v>
          </cell>
        </row>
        <row r="5337">
          <cell r="E5337" t="str">
            <v>D26000562</v>
          </cell>
          <cell r="AP5337">
            <v>0</v>
          </cell>
          <cell r="AQ5337">
            <v>0</v>
          </cell>
          <cell r="AV5337">
            <v>0</v>
          </cell>
        </row>
        <row r="5338">
          <cell r="E5338" t="str">
            <v>D26000795</v>
          </cell>
          <cell r="AP5338">
            <v>0</v>
          </cell>
          <cell r="AQ5338">
            <v>0</v>
          </cell>
          <cell r="AV5338">
            <v>0</v>
          </cell>
        </row>
        <row r="5339">
          <cell r="E5339" t="str">
            <v>D26001163</v>
          </cell>
          <cell r="AP5339">
            <v>0</v>
          </cell>
          <cell r="AQ5339">
            <v>0</v>
          </cell>
          <cell r="AV5339">
            <v>0</v>
          </cell>
        </row>
        <row r="5340">
          <cell r="E5340" t="str">
            <v>D26001164</v>
          </cell>
          <cell r="AP5340">
            <v>0</v>
          </cell>
          <cell r="AQ5340">
            <v>0</v>
          </cell>
          <cell r="AV5340">
            <v>0</v>
          </cell>
        </row>
        <row r="5341">
          <cell r="E5341" t="str">
            <v>D26001731</v>
          </cell>
          <cell r="AP5341">
            <v>0</v>
          </cell>
          <cell r="AQ5341">
            <v>0</v>
          </cell>
          <cell r="AV5341">
            <v>0</v>
          </cell>
        </row>
        <row r="5342">
          <cell r="E5342" t="str">
            <v>D26001755</v>
          </cell>
          <cell r="AP5342">
            <v>0</v>
          </cell>
          <cell r="AQ5342">
            <v>0</v>
          </cell>
          <cell r="AV5342">
            <v>0</v>
          </cell>
        </row>
        <row r="5343">
          <cell r="E5343" t="str">
            <v>B26001805</v>
          </cell>
          <cell r="AP5343">
            <v>0</v>
          </cell>
          <cell r="AQ5343">
            <v>0</v>
          </cell>
          <cell r="AV5343">
            <v>0</v>
          </cell>
        </row>
        <row r="5344">
          <cell r="E5344" t="str">
            <v>D26002032</v>
          </cell>
          <cell r="AP5344">
            <v>0</v>
          </cell>
          <cell r="AQ5344">
            <v>0</v>
          </cell>
          <cell r="AV5344">
            <v>0</v>
          </cell>
        </row>
        <row r="5345">
          <cell r="E5345" t="str">
            <v>D26002266</v>
          </cell>
          <cell r="AP5345">
            <v>0</v>
          </cell>
          <cell r="AQ5345">
            <v>0</v>
          </cell>
          <cell r="AV5345">
            <v>0</v>
          </cell>
        </row>
        <row r="5346">
          <cell r="E5346" t="str">
            <v>D26002328</v>
          </cell>
          <cell r="AP5346">
            <v>0</v>
          </cell>
          <cell r="AQ5346">
            <v>0</v>
          </cell>
          <cell r="AV5346">
            <v>0</v>
          </cell>
        </row>
        <row r="5347">
          <cell r="E5347" t="str">
            <v>D26002672</v>
          </cell>
          <cell r="AP5347">
            <v>0</v>
          </cell>
          <cell r="AQ5347">
            <v>0</v>
          </cell>
          <cell r="AV5347">
            <v>0</v>
          </cell>
        </row>
        <row r="5348">
          <cell r="E5348" t="str">
            <v>D26002996</v>
          </cell>
          <cell r="AP5348">
            <v>0</v>
          </cell>
          <cell r="AQ5348">
            <v>0</v>
          </cell>
          <cell r="AV5348">
            <v>0</v>
          </cell>
        </row>
        <row r="5349">
          <cell r="E5349" t="str">
            <v>D26000365</v>
          </cell>
          <cell r="AP5349">
            <v>0</v>
          </cell>
          <cell r="AQ5349">
            <v>0</v>
          </cell>
          <cell r="AV5349">
            <v>0</v>
          </cell>
        </row>
        <row r="5350">
          <cell r="E5350" t="str">
            <v>Z26000203</v>
          </cell>
          <cell r="AP5350">
            <v>0</v>
          </cell>
          <cell r="AQ5350">
            <v>0</v>
          </cell>
          <cell r="AV5350">
            <v>0</v>
          </cell>
        </row>
        <row r="5351">
          <cell r="E5351" t="str">
            <v>Z26000312</v>
          </cell>
          <cell r="AP5351">
            <v>0</v>
          </cell>
          <cell r="AQ5351">
            <v>0</v>
          </cell>
          <cell r="AV5351">
            <v>0</v>
          </cell>
        </row>
        <row r="5352">
          <cell r="E5352" t="str">
            <v>D26001870</v>
          </cell>
          <cell r="AP5352">
            <v>0</v>
          </cell>
          <cell r="AQ5352">
            <v>0</v>
          </cell>
          <cell r="AV5352">
            <v>0</v>
          </cell>
        </row>
        <row r="5353">
          <cell r="E5353" t="str">
            <v>Z26000338</v>
          </cell>
          <cell r="AP5353">
            <v>0</v>
          </cell>
          <cell r="AQ5353">
            <v>0</v>
          </cell>
          <cell r="AV5353">
            <v>0</v>
          </cell>
        </row>
        <row r="5354">
          <cell r="E5354" t="str">
            <v>Z26000357</v>
          </cell>
          <cell r="AP5354">
            <v>0</v>
          </cell>
          <cell r="AQ5354">
            <v>0</v>
          </cell>
          <cell r="AV5354">
            <v>0</v>
          </cell>
        </row>
        <row r="5355">
          <cell r="E5355" t="str">
            <v>D26002245</v>
          </cell>
          <cell r="AP5355">
            <v>0</v>
          </cell>
          <cell r="AQ5355">
            <v>0</v>
          </cell>
          <cell r="AV5355">
            <v>0</v>
          </cell>
        </row>
        <row r="5356">
          <cell r="E5356" t="str">
            <v>Z26000469</v>
          </cell>
          <cell r="AP5356">
            <v>0</v>
          </cell>
          <cell r="AQ5356">
            <v>0</v>
          </cell>
          <cell r="AV5356">
            <v>0</v>
          </cell>
        </row>
        <row r="5357">
          <cell r="E5357" t="str">
            <v>D26003173</v>
          </cell>
          <cell r="AP5357">
            <v>0</v>
          </cell>
          <cell r="AQ5357">
            <v>0</v>
          </cell>
          <cell r="AV5357">
            <v>0</v>
          </cell>
        </row>
        <row r="5358">
          <cell r="E5358" t="str">
            <v>D25018251</v>
          </cell>
          <cell r="AP5358">
            <v>0</v>
          </cell>
          <cell r="AQ5358">
            <v>0</v>
          </cell>
          <cell r="AV5358">
            <v>0</v>
          </cell>
        </row>
        <row r="5359">
          <cell r="E5359" t="str">
            <v>D25018302</v>
          </cell>
          <cell r="AP5359">
            <v>0</v>
          </cell>
          <cell r="AQ5359">
            <v>0</v>
          </cell>
          <cell r="AV5359">
            <v>0</v>
          </cell>
        </row>
        <row r="5360">
          <cell r="E5360" t="str">
            <v>D25018453</v>
          </cell>
          <cell r="AP5360">
            <v>0</v>
          </cell>
          <cell r="AQ5360">
            <v>0</v>
          </cell>
          <cell r="AV5360">
            <v>0</v>
          </cell>
        </row>
        <row r="5361">
          <cell r="E5361" t="str">
            <v>D25018491</v>
          </cell>
          <cell r="AP5361">
            <v>0</v>
          </cell>
          <cell r="AQ5361">
            <v>0</v>
          </cell>
          <cell r="AV5361">
            <v>0</v>
          </cell>
        </row>
        <row r="5362">
          <cell r="E5362" t="str">
            <v>D25019005</v>
          </cell>
          <cell r="AP5362">
            <v>0</v>
          </cell>
          <cell r="AQ5362">
            <v>0</v>
          </cell>
          <cell r="AV5362">
            <v>0</v>
          </cell>
        </row>
        <row r="5363">
          <cell r="E5363" t="str">
            <v>D26000062</v>
          </cell>
          <cell r="AP5363">
            <v>0</v>
          </cell>
          <cell r="AQ5363">
            <v>0</v>
          </cell>
          <cell r="AV5363">
            <v>0</v>
          </cell>
        </row>
        <row r="5364">
          <cell r="E5364" t="str">
            <v>B26000565</v>
          </cell>
          <cell r="AP5364">
            <v>0</v>
          </cell>
          <cell r="AQ5364">
            <v>0</v>
          </cell>
          <cell r="AV5364">
            <v>0</v>
          </cell>
        </row>
        <row r="5365">
          <cell r="E5365" t="str">
            <v>D26000552</v>
          </cell>
          <cell r="AP5365">
            <v>0</v>
          </cell>
          <cell r="AQ5365">
            <v>0</v>
          </cell>
          <cell r="AV5365">
            <v>0</v>
          </cell>
        </row>
        <row r="5366">
          <cell r="E5366" t="str">
            <v>D26000595</v>
          </cell>
          <cell r="AP5366">
            <v>0</v>
          </cell>
          <cell r="AQ5366">
            <v>0</v>
          </cell>
          <cell r="AV5366">
            <v>0</v>
          </cell>
        </row>
        <row r="5367">
          <cell r="E5367" t="str">
            <v>D26000710</v>
          </cell>
          <cell r="AP5367">
            <v>0</v>
          </cell>
          <cell r="AQ5367">
            <v>0</v>
          </cell>
          <cell r="AV5367">
            <v>0</v>
          </cell>
        </row>
        <row r="5368">
          <cell r="E5368" t="str">
            <v>D26000721</v>
          </cell>
          <cell r="AP5368">
            <v>0</v>
          </cell>
          <cell r="AQ5368">
            <v>0</v>
          </cell>
          <cell r="AV5368">
            <v>0</v>
          </cell>
        </row>
        <row r="5369">
          <cell r="E5369" t="str">
            <v>D26000951</v>
          </cell>
          <cell r="AP5369">
            <v>0</v>
          </cell>
          <cell r="AQ5369">
            <v>0</v>
          </cell>
          <cell r="AV5369">
            <v>0</v>
          </cell>
        </row>
        <row r="5370">
          <cell r="E5370" t="str">
            <v>D26001083</v>
          </cell>
          <cell r="AP5370">
            <v>0</v>
          </cell>
          <cell r="AQ5370">
            <v>0</v>
          </cell>
          <cell r="AV5370">
            <v>0</v>
          </cell>
        </row>
        <row r="5371">
          <cell r="E5371" t="str">
            <v>D26001088</v>
          </cell>
          <cell r="AP5371">
            <v>0</v>
          </cell>
          <cell r="AQ5371">
            <v>0</v>
          </cell>
          <cell r="AV5371">
            <v>0</v>
          </cell>
        </row>
        <row r="5372">
          <cell r="E5372" t="str">
            <v>D26001122</v>
          </cell>
          <cell r="AP5372">
            <v>0</v>
          </cell>
          <cell r="AQ5372">
            <v>0</v>
          </cell>
          <cell r="AV5372">
            <v>0</v>
          </cell>
        </row>
        <row r="5373">
          <cell r="E5373" t="str">
            <v>D26001377</v>
          </cell>
          <cell r="AP5373">
            <v>0</v>
          </cell>
          <cell r="AQ5373">
            <v>0</v>
          </cell>
          <cell r="AV5373">
            <v>0</v>
          </cell>
        </row>
        <row r="5374">
          <cell r="E5374" t="str">
            <v>D26001477</v>
          </cell>
          <cell r="AP5374">
            <v>0</v>
          </cell>
          <cell r="AQ5374">
            <v>0</v>
          </cell>
          <cell r="AV5374">
            <v>0</v>
          </cell>
        </row>
        <row r="5375">
          <cell r="E5375" t="str">
            <v>D26001497</v>
          </cell>
          <cell r="AP5375">
            <v>0</v>
          </cell>
          <cell r="AQ5375">
            <v>0</v>
          </cell>
          <cell r="AV5375">
            <v>0</v>
          </cell>
        </row>
        <row r="5376">
          <cell r="E5376" t="str">
            <v>D26001499</v>
          </cell>
          <cell r="AP5376">
            <v>0</v>
          </cell>
          <cell r="AQ5376">
            <v>0</v>
          </cell>
          <cell r="AV5376">
            <v>0</v>
          </cell>
        </row>
        <row r="5377">
          <cell r="E5377" t="str">
            <v>D26001746</v>
          </cell>
          <cell r="AP5377">
            <v>0</v>
          </cell>
          <cell r="AQ5377">
            <v>0</v>
          </cell>
          <cell r="AV5377">
            <v>0</v>
          </cell>
        </row>
        <row r="5378">
          <cell r="E5378" t="str">
            <v>B26001715</v>
          </cell>
          <cell r="AP5378">
            <v>0</v>
          </cell>
          <cell r="AQ5378">
            <v>0</v>
          </cell>
          <cell r="AV5378">
            <v>0</v>
          </cell>
        </row>
        <row r="5379">
          <cell r="E5379" t="str">
            <v>D26001861</v>
          </cell>
          <cell r="AP5379">
            <v>0</v>
          </cell>
          <cell r="AQ5379">
            <v>0</v>
          </cell>
          <cell r="AV5379">
            <v>0</v>
          </cell>
        </row>
        <row r="5380">
          <cell r="E5380" t="str">
            <v>D26001877</v>
          </cell>
          <cell r="AP5380">
            <v>0</v>
          </cell>
          <cell r="AQ5380">
            <v>0</v>
          </cell>
          <cell r="AV5380">
            <v>0</v>
          </cell>
        </row>
        <row r="5381">
          <cell r="E5381" t="str">
            <v>B26001801</v>
          </cell>
          <cell r="AP5381">
            <v>0</v>
          </cell>
          <cell r="AQ5381">
            <v>0</v>
          </cell>
          <cell r="AV5381">
            <v>0</v>
          </cell>
        </row>
        <row r="5382">
          <cell r="E5382" t="str">
            <v>B26001900</v>
          </cell>
          <cell r="AP5382">
            <v>0</v>
          </cell>
          <cell r="AQ5382">
            <v>0</v>
          </cell>
          <cell r="AV5382">
            <v>0</v>
          </cell>
        </row>
        <row r="5383">
          <cell r="E5383" t="str">
            <v>D26002095</v>
          </cell>
          <cell r="AP5383">
            <v>0</v>
          </cell>
          <cell r="AQ5383">
            <v>0</v>
          </cell>
          <cell r="AV5383">
            <v>0</v>
          </cell>
        </row>
        <row r="5384">
          <cell r="E5384" t="str">
            <v>D26002324</v>
          </cell>
          <cell r="AP5384">
            <v>0</v>
          </cell>
          <cell r="AQ5384">
            <v>0</v>
          </cell>
          <cell r="AV5384">
            <v>0</v>
          </cell>
        </row>
        <row r="5385">
          <cell r="E5385" t="str">
            <v>B26002216</v>
          </cell>
          <cell r="AP5385">
            <v>0</v>
          </cell>
          <cell r="AQ5385">
            <v>0</v>
          </cell>
          <cell r="AV5385">
            <v>0</v>
          </cell>
        </row>
        <row r="5386">
          <cell r="E5386" t="str">
            <v>B26002277</v>
          </cell>
          <cell r="AP5386">
            <v>0</v>
          </cell>
          <cell r="AQ5386">
            <v>0</v>
          </cell>
          <cell r="AV5386">
            <v>0</v>
          </cell>
        </row>
        <row r="5387">
          <cell r="E5387" t="str">
            <v>D26002593</v>
          </cell>
          <cell r="AP5387">
            <v>0</v>
          </cell>
          <cell r="AQ5387">
            <v>0</v>
          </cell>
          <cell r="AV5387">
            <v>0</v>
          </cell>
        </row>
        <row r="5388">
          <cell r="E5388" t="str">
            <v>B26002520</v>
          </cell>
          <cell r="AP5388">
            <v>0</v>
          </cell>
          <cell r="AQ5388">
            <v>0</v>
          </cell>
          <cell r="AV5388">
            <v>0</v>
          </cell>
        </row>
        <row r="5389">
          <cell r="E5389" t="str">
            <v>D26002712</v>
          </cell>
          <cell r="AP5389">
            <v>0</v>
          </cell>
          <cell r="AQ5389">
            <v>0</v>
          </cell>
          <cell r="AV5389">
            <v>0</v>
          </cell>
        </row>
        <row r="5390">
          <cell r="E5390" t="str">
            <v>D26003202</v>
          </cell>
          <cell r="AP5390">
            <v>0</v>
          </cell>
          <cell r="AQ5390">
            <v>0</v>
          </cell>
          <cell r="AV5390">
            <v>0</v>
          </cell>
        </row>
        <row r="5391">
          <cell r="E5391" t="str">
            <v>D26003225</v>
          </cell>
          <cell r="AP5391">
            <v>0</v>
          </cell>
          <cell r="AQ5391">
            <v>0</v>
          </cell>
          <cell r="AV5391">
            <v>0</v>
          </cell>
        </row>
        <row r="5392">
          <cell r="E5392" t="str">
            <v>D26003253</v>
          </cell>
          <cell r="AP5392">
            <v>0</v>
          </cell>
          <cell r="AQ5392">
            <v>0</v>
          </cell>
          <cell r="AV5392">
            <v>0</v>
          </cell>
        </row>
        <row r="5393">
          <cell r="E5393" t="str">
            <v>D26002514</v>
          </cell>
          <cell r="AP5393">
            <v>0</v>
          </cell>
          <cell r="AQ5393">
            <v>0</v>
          </cell>
          <cell r="AV5393">
            <v>0</v>
          </cell>
        </row>
        <row r="5394">
          <cell r="E5394" t="str">
            <v>D26002515</v>
          </cell>
          <cell r="AP5394">
            <v>0</v>
          </cell>
          <cell r="AQ5394">
            <v>0</v>
          </cell>
          <cell r="AV5394">
            <v>0</v>
          </cell>
        </row>
        <row r="5395">
          <cell r="E5395" t="str">
            <v>D26002728</v>
          </cell>
          <cell r="AP5395">
            <v>0</v>
          </cell>
          <cell r="AQ5395">
            <v>0</v>
          </cell>
          <cell r="AV5395">
            <v>0</v>
          </cell>
        </row>
        <row r="5396">
          <cell r="E5396" t="str">
            <v>B26002968</v>
          </cell>
          <cell r="AP5396">
            <v>0</v>
          </cell>
          <cell r="AQ5396">
            <v>0</v>
          </cell>
          <cell r="AV5396">
            <v>0</v>
          </cell>
        </row>
        <row r="5397">
          <cell r="E5397" t="str">
            <v>B26002969</v>
          </cell>
          <cell r="AP5397">
            <v>0</v>
          </cell>
          <cell r="AQ5397">
            <v>0</v>
          </cell>
          <cell r="AV5397">
            <v>0</v>
          </cell>
        </row>
        <row r="5398">
          <cell r="E5398" t="str">
            <v>D26001640</v>
          </cell>
          <cell r="AP5398">
            <v>0</v>
          </cell>
          <cell r="AQ5398">
            <v>0</v>
          </cell>
          <cell r="AV5398">
            <v>0</v>
          </cell>
        </row>
        <row r="5399">
          <cell r="E5399" t="str">
            <v>B26001677</v>
          </cell>
          <cell r="AP5399">
            <v>0</v>
          </cell>
          <cell r="AQ5399">
            <v>0</v>
          </cell>
          <cell r="AV5399">
            <v>0</v>
          </cell>
        </row>
        <row r="5400">
          <cell r="E5400" t="str">
            <v>D26001575</v>
          </cell>
          <cell r="AP5400">
            <v>0</v>
          </cell>
          <cell r="AQ5400">
            <v>0</v>
          </cell>
          <cell r="AV5400">
            <v>0</v>
          </cell>
        </row>
        <row r="5401">
          <cell r="E5401" t="str">
            <v>B26001946</v>
          </cell>
          <cell r="AP5401">
            <v>0</v>
          </cell>
          <cell r="AQ5401">
            <v>0</v>
          </cell>
          <cell r="AV5401">
            <v>0</v>
          </cell>
        </row>
        <row r="5402">
          <cell r="E5402" t="str">
            <v>B26002070</v>
          </cell>
          <cell r="AP5402">
            <v>0</v>
          </cell>
          <cell r="AQ5402">
            <v>0</v>
          </cell>
          <cell r="AV5402">
            <v>0</v>
          </cell>
        </row>
        <row r="5403">
          <cell r="E5403" t="str">
            <v>D26002200</v>
          </cell>
          <cell r="AP5403">
            <v>0</v>
          </cell>
          <cell r="AQ5403">
            <v>0</v>
          </cell>
          <cell r="AV5403">
            <v>0</v>
          </cell>
        </row>
        <row r="5404">
          <cell r="E5404" t="str">
            <v>D26001653</v>
          </cell>
          <cell r="AP5404">
            <v>0</v>
          </cell>
          <cell r="AQ5404">
            <v>0</v>
          </cell>
          <cell r="AV5404">
            <v>40000000</v>
          </cell>
        </row>
        <row r="5405">
          <cell r="E5405" t="str">
            <v>D26002452</v>
          </cell>
          <cell r="AP5405">
            <v>0</v>
          </cell>
          <cell r="AQ5405">
            <v>0</v>
          </cell>
          <cell r="AV5405">
            <v>0</v>
          </cell>
        </row>
        <row r="5406">
          <cell r="E5406" t="str">
            <v>B26001772</v>
          </cell>
          <cell r="AP5406">
            <v>0</v>
          </cell>
          <cell r="AQ5406">
            <v>0</v>
          </cell>
          <cell r="AV5406">
            <v>0</v>
          </cell>
        </row>
        <row r="5407">
          <cell r="E5407" t="str">
            <v>B26003058</v>
          </cell>
          <cell r="AP5407">
            <v>0</v>
          </cell>
          <cell r="AQ5407">
            <v>0</v>
          </cell>
          <cell r="AV5407">
            <v>0</v>
          </cell>
        </row>
        <row r="5408">
          <cell r="E5408" t="str">
            <v>B26000016</v>
          </cell>
          <cell r="AP5408">
            <v>0</v>
          </cell>
          <cell r="AQ5408">
            <v>0</v>
          </cell>
          <cell r="AV5408">
            <v>0</v>
          </cell>
        </row>
        <row r="5409">
          <cell r="E5409" t="str">
            <v>D26000276</v>
          </cell>
          <cell r="AP5409">
            <v>0</v>
          </cell>
          <cell r="AQ5409">
            <v>0</v>
          </cell>
          <cell r="AV5409">
            <v>0</v>
          </cell>
        </row>
        <row r="5410">
          <cell r="E5410" t="str">
            <v>D26001002</v>
          </cell>
          <cell r="AP5410">
            <v>0</v>
          </cell>
          <cell r="AQ5410">
            <v>0</v>
          </cell>
          <cell r="AV5410">
            <v>0</v>
          </cell>
        </row>
        <row r="5411">
          <cell r="E5411" t="str">
            <v>D26001158</v>
          </cell>
          <cell r="AP5411">
            <v>0</v>
          </cell>
          <cell r="AQ5411">
            <v>0</v>
          </cell>
          <cell r="AV5411">
            <v>0</v>
          </cell>
        </row>
        <row r="5412">
          <cell r="E5412" t="str">
            <v>D26001418</v>
          </cell>
          <cell r="AP5412">
            <v>0</v>
          </cell>
          <cell r="AQ5412">
            <v>0</v>
          </cell>
          <cell r="AV5412">
            <v>0</v>
          </cell>
        </row>
        <row r="5413">
          <cell r="E5413" t="str">
            <v>B26001370</v>
          </cell>
          <cell r="AP5413">
            <v>0</v>
          </cell>
          <cell r="AQ5413">
            <v>0</v>
          </cell>
          <cell r="AV5413">
            <v>0</v>
          </cell>
        </row>
        <row r="5414">
          <cell r="E5414" t="str">
            <v>D26001439</v>
          </cell>
          <cell r="AP5414">
            <v>0</v>
          </cell>
          <cell r="AQ5414">
            <v>0</v>
          </cell>
          <cell r="AV5414">
            <v>0</v>
          </cell>
        </row>
        <row r="5415">
          <cell r="E5415" t="str">
            <v>B26001690</v>
          </cell>
          <cell r="AP5415">
            <v>0</v>
          </cell>
          <cell r="AQ5415">
            <v>0</v>
          </cell>
          <cell r="AV5415">
            <v>0</v>
          </cell>
        </row>
        <row r="5416">
          <cell r="E5416" t="str">
            <v>D26001776</v>
          </cell>
          <cell r="AP5416">
            <v>0</v>
          </cell>
          <cell r="AQ5416">
            <v>0</v>
          </cell>
          <cell r="AV5416">
            <v>0</v>
          </cell>
        </row>
        <row r="5417">
          <cell r="E5417" t="str">
            <v>B26001814</v>
          </cell>
          <cell r="AP5417">
            <v>0</v>
          </cell>
          <cell r="AQ5417">
            <v>0</v>
          </cell>
          <cell r="AV5417">
            <v>0</v>
          </cell>
        </row>
        <row r="5418">
          <cell r="E5418" t="str">
            <v>D26001916</v>
          </cell>
          <cell r="AP5418">
            <v>0</v>
          </cell>
          <cell r="AQ5418">
            <v>0</v>
          </cell>
          <cell r="AV5418">
            <v>0</v>
          </cell>
        </row>
        <row r="5419">
          <cell r="E5419" t="str">
            <v>B26002064</v>
          </cell>
          <cell r="AP5419">
            <v>0</v>
          </cell>
          <cell r="AQ5419">
            <v>0</v>
          </cell>
          <cell r="AV5419">
            <v>0</v>
          </cell>
        </row>
        <row r="5420">
          <cell r="E5420" t="str">
            <v>T26000153</v>
          </cell>
          <cell r="AP5420">
            <v>0</v>
          </cell>
          <cell r="AQ5420">
            <v>0</v>
          </cell>
          <cell r="AV5420">
            <v>0</v>
          </cell>
        </row>
        <row r="5421">
          <cell r="E5421" t="str">
            <v>B26002242</v>
          </cell>
          <cell r="AP5421">
            <v>0</v>
          </cell>
          <cell r="AQ5421">
            <v>0</v>
          </cell>
          <cell r="AV5421">
            <v>0</v>
          </cell>
        </row>
        <row r="5422">
          <cell r="E5422" t="str">
            <v>B26002243</v>
          </cell>
          <cell r="AP5422">
            <v>0</v>
          </cell>
          <cell r="AQ5422">
            <v>0</v>
          </cell>
          <cell r="AV5422">
            <v>0</v>
          </cell>
        </row>
        <row r="5423">
          <cell r="E5423" t="str">
            <v>D26002557</v>
          </cell>
          <cell r="AP5423">
            <v>0</v>
          </cell>
          <cell r="AQ5423">
            <v>0</v>
          </cell>
          <cell r="AV5423">
            <v>0</v>
          </cell>
        </row>
        <row r="5424">
          <cell r="E5424" t="str">
            <v>B26002743</v>
          </cell>
          <cell r="AP5424">
            <v>0</v>
          </cell>
          <cell r="AQ5424">
            <v>0</v>
          </cell>
          <cell r="AV5424">
            <v>0</v>
          </cell>
        </row>
        <row r="5425">
          <cell r="E5425" t="str">
            <v>B26002744</v>
          </cell>
          <cell r="AP5425">
            <v>0</v>
          </cell>
          <cell r="AQ5425">
            <v>0</v>
          </cell>
          <cell r="AV5425">
            <v>0</v>
          </cell>
        </row>
        <row r="5426">
          <cell r="E5426" t="str">
            <v>D26002937</v>
          </cell>
          <cell r="AP5426">
            <v>0</v>
          </cell>
          <cell r="AQ5426">
            <v>0</v>
          </cell>
          <cell r="AV5426">
            <v>0</v>
          </cell>
        </row>
        <row r="5427">
          <cell r="E5427" t="str">
            <v>B26002763</v>
          </cell>
          <cell r="AP5427">
            <v>0</v>
          </cell>
          <cell r="AQ5427">
            <v>0</v>
          </cell>
          <cell r="AV5427">
            <v>0</v>
          </cell>
        </row>
        <row r="5428">
          <cell r="E5428" t="str">
            <v>D26003004</v>
          </cell>
          <cell r="AP5428">
            <v>0</v>
          </cell>
          <cell r="AQ5428">
            <v>0</v>
          </cell>
          <cell r="AV5428">
            <v>0</v>
          </cell>
        </row>
        <row r="5429">
          <cell r="E5429" t="str">
            <v>B26002858</v>
          </cell>
          <cell r="AP5429">
            <v>0</v>
          </cell>
          <cell r="AQ5429">
            <v>0</v>
          </cell>
          <cell r="AV5429">
            <v>0</v>
          </cell>
        </row>
        <row r="5430">
          <cell r="E5430" t="str">
            <v>D25017834</v>
          </cell>
          <cell r="AP5430">
            <v>0</v>
          </cell>
          <cell r="AQ5430">
            <v>0</v>
          </cell>
          <cell r="AV5430">
            <v>0</v>
          </cell>
        </row>
        <row r="5431">
          <cell r="E5431" t="str">
            <v>D26001027</v>
          </cell>
          <cell r="AP5431">
            <v>0</v>
          </cell>
          <cell r="AQ5431">
            <v>0</v>
          </cell>
          <cell r="AV5431">
            <v>5100000</v>
          </cell>
        </row>
        <row r="5432">
          <cell r="E5432" t="str">
            <v>B26002188</v>
          </cell>
          <cell r="AP5432">
            <v>0</v>
          </cell>
          <cell r="AQ5432">
            <v>0</v>
          </cell>
          <cell r="AV5432">
            <v>16836500</v>
          </cell>
        </row>
        <row r="5433">
          <cell r="E5433" t="str">
            <v>B26003008</v>
          </cell>
          <cell r="AP5433">
            <v>0</v>
          </cell>
          <cell r="AQ5433">
            <v>0</v>
          </cell>
          <cell r="AV5433">
            <v>0</v>
          </cell>
        </row>
        <row r="5434">
          <cell r="E5434" t="str">
            <v>R25000105</v>
          </cell>
          <cell r="AP5434">
            <v>0</v>
          </cell>
          <cell r="AQ5434">
            <v>0</v>
          </cell>
          <cell r="AV5434">
            <v>0</v>
          </cell>
        </row>
        <row r="5435">
          <cell r="E5435" t="str">
            <v>B26001397</v>
          </cell>
          <cell r="AP5435">
            <v>0</v>
          </cell>
          <cell r="AQ5435">
            <v>0</v>
          </cell>
          <cell r="AV5435">
            <v>0</v>
          </cell>
        </row>
        <row r="5436">
          <cell r="E5436" t="str">
            <v>B26001398</v>
          </cell>
          <cell r="AP5436">
            <v>0</v>
          </cell>
          <cell r="AQ5436">
            <v>0</v>
          </cell>
          <cell r="AV5436">
            <v>0</v>
          </cell>
        </row>
        <row r="5437">
          <cell r="E5437" t="str">
            <v>D26002134</v>
          </cell>
          <cell r="AP5437">
            <v>0</v>
          </cell>
          <cell r="AQ5437">
            <v>0</v>
          </cell>
          <cell r="AV5437">
            <v>0</v>
          </cell>
        </row>
        <row r="5438">
          <cell r="E5438" t="str">
            <v>D26002232</v>
          </cell>
          <cell r="AP5438">
            <v>0</v>
          </cell>
          <cell r="AQ5438">
            <v>0</v>
          </cell>
          <cell r="AV5438">
            <v>0</v>
          </cell>
        </row>
        <row r="5439">
          <cell r="E5439" t="str">
            <v>D26002234</v>
          </cell>
          <cell r="AP5439">
            <v>0</v>
          </cell>
          <cell r="AQ5439">
            <v>0</v>
          </cell>
          <cell r="AV5439">
            <v>0</v>
          </cell>
        </row>
        <row r="5440">
          <cell r="E5440" t="str">
            <v>T26000170</v>
          </cell>
          <cell r="AP5440">
            <v>0</v>
          </cell>
          <cell r="AQ5440">
            <v>0</v>
          </cell>
          <cell r="AV5440">
            <v>0</v>
          </cell>
        </row>
        <row r="5441">
          <cell r="E5441" t="str">
            <v>D26003302</v>
          </cell>
          <cell r="AP5441">
            <v>0</v>
          </cell>
          <cell r="AQ5441">
            <v>0</v>
          </cell>
          <cell r="AV5441">
            <v>10200000</v>
          </cell>
        </row>
        <row r="5442">
          <cell r="E5442" t="str">
            <v>B26002361</v>
          </cell>
          <cell r="AP5442">
            <v>0</v>
          </cell>
          <cell r="AQ5442">
            <v>0</v>
          </cell>
          <cell r="AV5442">
            <v>0</v>
          </cell>
        </row>
        <row r="5443">
          <cell r="E5443" t="str">
            <v>B26002367</v>
          </cell>
          <cell r="AP5443">
            <v>0</v>
          </cell>
          <cell r="AQ5443">
            <v>0</v>
          </cell>
          <cell r="AV5443">
            <v>0</v>
          </cell>
        </row>
        <row r="5444">
          <cell r="E5444" t="str">
            <v>D26001584</v>
          </cell>
          <cell r="AP5444">
            <v>0</v>
          </cell>
          <cell r="AQ5444">
            <v>0</v>
          </cell>
          <cell r="AV5444">
            <v>0</v>
          </cell>
        </row>
        <row r="5445">
          <cell r="E5445" t="str">
            <v>D26001585</v>
          </cell>
          <cell r="AP5445">
            <v>0</v>
          </cell>
          <cell r="AQ5445">
            <v>0</v>
          </cell>
          <cell r="AV5445">
            <v>0</v>
          </cell>
        </row>
        <row r="5446">
          <cell r="E5446" t="str">
            <v>D26001614</v>
          </cell>
          <cell r="AP5446">
            <v>0</v>
          </cell>
          <cell r="AQ5446">
            <v>0</v>
          </cell>
          <cell r="AV5446">
            <v>0</v>
          </cell>
        </row>
        <row r="5447">
          <cell r="E5447" t="str">
            <v>B26002559</v>
          </cell>
          <cell r="AP5447">
            <v>0</v>
          </cell>
          <cell r="AQ5447">
            <v>0</v>
          </cell>
          <cell r="AV5447">
            <v>0</v>
          </cell>
        </row>
        <row r="5448">
          <cell r="E5448" t="str">
            <v>B26002560</v>
          </cell>
          <cell r="AP5448">
            <v>0</v>
          </cell>
          <cell r="AQ5448">
            <v>0</v>
          </cell>
          <cell r="AV5448">
            <v>0</v>
          </cell>
        </row>
        <row r="5449">
          <cell r="E5449" t="str">
            <v>B26002561</v>
          </cell>
          <cell r="AP5449">
            <v>0</v>
          </cell>
          <cell r="AQ5449">
            <v>0</v>
          </cell>
          <cell r="AV5449">
            <v>0</v>
          </cell>
        </row>
        <row r="5450">
          <cell r="E5450" t="str">
            <v>B25016269</v>
          </cell>
          <cell r="AP5450">
            <v>0</v>
          </cell>
          <cell r="AQ5450">
            <v>0</v>
          </cell>
          <cell r="AV5450">
            <v>0</v>
          </cell>
        </row>
        <row r="5451">
          <cell r="E5451" t="str">
            <v>D25018993</v>
          </cell>
          <cell r="AP5451">
            <v>0</v>
          </cell>
          <cell r="AQ5451">
            <v>0</v>
          </cell>
          <cell r="AV5451">
            <v>0</v>
          </cell>
        </row>
        <row r="5452">
          <cell r="E5452" t="str">
            <v>T25001505</v>
          </cell>
          <cell r="AP5452">
            <v>0</v>
          </cell>
          <cell r="AQ5452">
            <v>0</v>
          </cell>
          <cell r="AV5452">
            <v>0</v>
          </cell>
        </row>
        <row r="5453">
          <cell r="E5453" t="str">
            <v>D26000048</v>
          </cell>
          <cell r="AP5453">
            <v>0</v>
          </cell>
          <cell r="AQ5453">
            <v>0</v>
          </cell>
          <cell r="AV5453">
            <v>0</v>
          </cell>
        </row>
        <row r="5454">
          <cell r="E5454" t="str">
            <v>B26001784</v>
          </cell>
          <cell r="AP5454">
            <v>0</v>
          </cell>
          <cell r="AQ5454">
            <v>0</v>
          </cell>
          <cell r="AV5454">
            <v>0</v>
          </cell>
        </row>
        <row r="5455">
          <cell r="E5455" t="str">
            <v>B26002991</v>
          </cell>
          <cell r="AP5455">
            <v>0</v>
          </cell>
          <cell r="AQ5455">
            <v>0</v>
          </cell>
          <cell r="AV5455">
            <v>0</v>
          </cell>
        </row>
        <row r="5456">
          <cell r="E5456" t="str">
            <v>B26003063</v>
          </cell>
          <cell r="AP5456">
            <v>0</v>
          </cell>
          <cell r="AQ5456">
            <v>0</v>
          </cell>
          <cell r="AV5456">
            <v>0</v>
          </cell>
        </row>
        <row r="5457">
          <cell r="E5457" t="str">
            <v>D26002658</v>
          </cell>
          <cell r="AP5457">
            <v>0</v>
          </cell>
          <cell r="AQ5457">
            <v>0</v>
          </cell>
          <cell r="AV5457">
            <v>0</v>
          </cell>
        </row>
        <row r="5458">
          <cell r="E5458" t="str">
            <v>D26003140</v>
          </cell>
          <cell r="AP5458">
            <v>0</v>
          </cell>
          <cell r="AQ5458">
            <v>0</v>
          </cell>
          <cell r="AV5458">
            <v>6300000</v>
          </cell>
        </row>
        <row r="5459">
          <cell r="E5459" t="str">
            <v>D26003170</v>
          </cell>
          <cell r="AP5459">
            <v>0</v>
          </cell>
          <cell r="AQ5459">
            <v>0</v>
          </cell>
          <cell r="AV5459">
            <v>4620000</v>
          </cell>
        </row>
        <row r="5460">
          <cell r="E5460" t="str">
            <v>T26000013</v>
          </cell>
          <cell r="AP5460">
            <v>0</v>
          </cell>
          <cell r="AQ5460">
            <v>0</v>
          </cell>
          <cell r="AV5460">
            <v>0</v>
          </cell>
        </row>
        <row r="5461">
          <cell r="E5461" t="str">
            <v>B26002186</v>
          </cell>
          <cell r="AP5461">
            <v>0</v>
          </cell>
          <cell r="AQ5461">
            <v>0</v>
          </cell>
          <cell r="AV5461">
            <v>0</v>
          </cell>
        </row>
        <row r="5462">
          <cell r="E5462" t="str">
            <v>D26003216</v>
          </cell>
          <cell r="AP5462">
            <v>0</v>
          </cell>
          <cell r="AQ5462">
            <v>0</v>
          </cell>
          <cell r="AV5462">
            <v>0</v>
          </cell>
        </row>
        <row r="5463">
          <cell r="E5463" t="str">
            <v>T25001864</v>
          </cell>
          <cell r="AP5463">
            <v>0</v>
          </cell>
          <cell r="AQ5463">
            <v>0</v>
          </cell>
          <cell r="AV5463">
            <v>0</v>
          </cell>
        </row>
        <row r="5464">
          <cell r="E5464" t="str">
            <v>B26001890</v>
          </cell>
          <cell r="AP5464">
            <v>0</v>
          </cell>
          <cell r="AQ5464">
            <v>0</v>
          </cell>
          <cell r="AV5464">
            <v>0</v>
          </cell>
        </row>
        <row r="5465">
          <cell r="E5465" t="str">
            <v>B26002563</v>
          </cell>
          <cell r="AP5465">
            <v>0</v>
          </cell>
          <cell r="AQ5465">
            <v>0</v>
          </cell>
          <cell r="AV5465">
            <v>0</v>
          </cell>
        </row>
        <row r="5466">
          <cell r="E5466" t="str">
            <v>B26002564</v>
          </cell>
          <cell r="AP5466">
            <v>0</v>
          </cell>
          <cell r="AQ5466">
            <v>0</v>
          </cell>
          <cell r="AV5466">
            <v>0</v>
          </cell>
        </row>
        <row r="5467">
          <cell r="E5467" t="str">
            <v>T26000185</v>
          </cell>
          <cell r="AP5467">
            <v>0</v>
          </cell>
          <cell r="AQ5467">
            <v>0</v>
          </cell>
          <cell r="AV5467">
            <v>0</v>
          </cell>
        </row>
        <row r="5468">
          <cell r="E5468" t="str">
            <v>D26002822</v>
          </cell>
          <cell r="AP5468">
            <v>0</v>
          </cell>
          <cell r="AQ5468">
            <v>0</v>
          </cell>
          <cell r="AV5468">
            <v>0</v>
          </cell>
        </row>
        <row r="5469">
          <cell r="E5469" t="str">
            <v>B26002936</v>
          </cell>
          <cell r="AP5469">
            <v>0</v>
          </cell>
          <cell r="AQ5469">
            <v>0</v>
          </cell>
          <cell r="AV5469">
            <v>0</v>
          </cell>
        </row>
        <row r="5470">
          <cell r="E5470" t="str">
            <v>B26002944</v>
          </cell>
          <cell r="AP5470">
            <v>0</v>
          </cell>
          <cell r="AQ5470">
            <v>0</v>
          </cell>
          <cell r="AV5470">
            <v>0</v>
          </cell>
        </row>
        <row r="5471">
          <cell r="E5471" t="str">
            <v>T26000241</v>
          </cell>
          <cell r="AP5471">
            <v>0</v>
          </cell>
          <cell r="AQ5471">
            <v>0</v>
          </cell>
          <cell r="AV5471">
            <v>0</v>
          </cell>
        </row>
        <row r="5472">
          <cell r="E5472" t="str">
            <v>B26001507</v>
          </cell>
          <cell r="AP5472">
            <v>0</v>
          </cell>
          <cell r="AQ5472">
            <v>0</v>
          </cell>
          <cell r="AV5472">
            <v>0</v>
          </cell>
        </row>
        <row r="5473">
          <cell r="E5473" t="str">
            <v>D26001750</v>
          </cell>
          <cell r="AP5473">
            <v>0</v>
          </cell>
          <cell r="AQ5473">
            <v>0</v>
          </cell>
          <cell r="AV5473">
            <v>0</v>
          </cell>
        </row>
        <row r="5474">
          <cell r="E5474" t="str">
            <v>D26000813</v>
          </cell>
          <cell r="AP5474">
            <v>0</v>
          </cell>
          <cell r="AQ5474">
            <v>0</v>
          </cell>
          <cell r="AV5474">
            <v>0</v>
          </cell>
        </row>
        <row r="5475">
          <cell r="E5475" t="str">
            <v>D26000815</v>
          </cell>
          <cell r="AP5475">
            <v>0</v>
          </cell>
          <cell r="AQ5475">
            <v>0</v>
          </cell>
          <cell r="AV5475">
            <v>0</v>
          </cell>
        </row>
        <row r="5476">
          <cell r="E5476" t="str">
            <v>B26000922</v>
          </cell>
          <cell r="AP5476">
            <v>0</v>
          </cell>
          <cell r="AQ5476">
            <v>0</v>
          </cell>
          <cell r="AV5476">
            <v>0</v>
          </cell>
        </row>
        <row r="5477">
          <cell r="E5477" t="str">
            <v>D26000949</v>
          </cell>
          <cell r="AP5477">
            <v>0</v>
          </cell>
          <cell r="AQ5477">
            <v>0</v>
          </cell>
          <cell r="AV5477">
            <v>0</v>
          </cell>
        </row>
        <row r="5478">
          <cell r="E5478" t="str">
            <v>D26001054</v>
          </cell>
          <cell r="AP5478">
            <v>0</v>
          </cell>
          <cell r="AQ5478">
            <v>0</v>
          </cell>
          <cell r="AV5478">
            <v>0</v>
          </cell>
        </row>
        <row r="5479">
          <cell r="E5479" t="str">
            <v>B26001005</v>
          </cell>
          <cell r="AP5479">
            <v>0</v>
          </cell>
          <cell r="AQ5479">
            <v>0</v>
          </cell>
          <cell r="AV5479">
            <v>0</v>
          </cell>
        </row>
        <row r="5480">
          <cell r="E5480" t="str">
            <v>D26001288</v>
          </cell>
          <cell r="AP5480">
            <v>0</v>
          </cell>
          <cell r="AQ5480">
            <v>0</v>
          </cell>
          <cell r="AV5480">
            <v>0</v>
          </cell>
        </row>
        <row r="5481">
          <cell r="E5481" t="str">
            <v>B26001504</v>
          </cell>
          <cell r="AP5481">
            <v>0</v>
          </cell>
          <cell r="AQ5481">
            <v>0</v>
          </cell>
          <cell r="AV5481">
            <v>0</v>
          </cell>
        </row>
        <row r="5482">
          <cell r="E5482" t="str">
            <v>D26001650</v>
          </cell>
          <cell r="AP5482">
            <v>0</v>
          </cell>
          <cell r="AQ5482">
            <v>0</v>
          </cell>
          <cell r="AV5482">
            <v>0</v>
          </cell>
        </row>
        <row r="5483">
          <cell r="E5483" t="str">
            <v>B26002015</v>
          </cell>
          <cell r="AP5483">
            <v>0</v>
          </cell>
          <cell r="AQ5483">
            <v>0</v>
          </cell>
          <cell r="AV5483">
            <v>0</v>
          </cell>
        </row>
        <row r="5484">
          <cell r="E5484" t="str">
            <v>B26002017</v>
          </cell>
          <cell r="AP5484">
            <v>0</v>
          </cell>
          <cell r="AQ5484">
            <v>0</v>
          </cell>
          <cell r="AV5484">
            <v>0</v>
          </cell>
        </row>
        <row r="5485">
          <cell r="E5485" t="str">
            <v>D26002209</v>
          </cell>
          <cell r="AP5485">
            <v>0</v>
          </cell>
          <cell r="AQ5485">
            <v>0</v>
          </cell>
          <cell r="AV5485">
            <v>0</v>
          </cell>
        </row>
        <row r="5486">
          <cell r="E5486" t="str">
            <v>D26002223</v>
          </cell>
          <cell r="AP5486">
            <v>0</v>
          </cell>
          <cell r="AQ5486">
            <v>0</v>
          </cell>
          <cell r="AV5486">
            <v>0</v>
          </cell>
        </row>
        <row r="5487">
          <cell r="E5487" t="str">
            <v>D26002224</v>
          </cell>
          <cell r="AP5487">
            <v>0</v>
          </cell>
          <cell r="AQ5487">
            <v>0</v>
          </cell>
          <cell r="AV5487">
            <v>0</v>
          </cell>
        </row>
        <row r="5488">
          <cell r="E5488" t="str">
            <v>D26002526</v>
          </cell>
          <cell r="AP5488">
            <v>0</v>
          </cell>
          <cell r="AQ5488">
            <v>0</v>
          </cell>
          <cell r="AV5488">
            <v>0</v>
          </cell>
        </row>
        <row r="5489">
          <cell r="E5489" t="str">
            <v>D26002527</v>
          </cell>
          <cell r="AP5489">
            <v>0</v>
          </cell>
          <cell r="AQ5489">
            <v>0</v>
          </cell>
          <cell r="AV5489">
            <v>0</v>
          </cell>
        </row>
        <row r="5490">
          <cell r="E5490" t="str">
            <v>D26002705</v>
          </cell>
          <cell r="AP5490">
            <v>0</v>
          </cell>
          <cell r="AQ5490">
            <v>0</v>
          </cell>
          <cell r="AV5490">
            <v>0</v>
          </cell>
        </row>
        <row r="5491">
          <cell r="E5491" t="str">
            <v>B26002677</v>
          </cell>
          <cell r="AP5491">
            <v>0</v>
          </cell>
          <cell r="AQ5491">
            <v>0</v>
          </cell>
          <cell r="AV5491">
            <v>0</v>
          </cell>
        </row>
        <row r="5492">
          <cell r="E5492" t="str">
            <v>D26002849</v>
          </cell>
          <cell r="AP5492">
            <v>0</v>
          </cell>
          <cell r="AQ5492">
            <v>0</v>
          </cell>
          <cell r="AV5492">
            <v>0</v>
          </cell>
        </row>
        <row r="5493">
          <cell r="E5493" t="str">
            <v>B26002710</v>
          </cell>
          <cell r="AP5493">
            <v>0</v>
          </cell>
          <cell r="AQ5493">
            <v>0</v>
          </cell>
          <cell r="AV5493">
            <v>0</v>
          </cell>
        </row>
        <row r="5494">
          <cell r="E5494" t="str">
            <v>B26002876</v>
          </cell>
          <cell r="AP5494">
            <v>0</v>
          </cell>
          <cell r="AQ5494">
            <v>0</v>
          </cell>
          <cell r="AV5494">
            <v>0</v>
          </cell>
        </row>
        <row r="5495">
          <cell r="E5495" t="str">
            <v>B26001861</v>
          </cell>
          <cell r="AP5495">
            <v>0</v>
          </cell>
          <cell r="AQ5495">
            <v>0</v>
          </cell>
          <cell r="AV5495">
            <v>0</v>
          </cell>
        </row>
        <row r="5496">
          <cell r="E5496" t="str">
            <v>B26000112</v>
          </cell>
          <cell r="AP5496">
            <v>0</v>
          </cell>
          <cell r="AQ5496">
            <v>0</v>
          </cell>
          <cell r="AV5496">
            <v>0</v>
          </cell>
        </row>
        <row r="5497">
          <cell r="E5497" t="str">
            <v>D26000018</v>
          </cell>
          <cell r="AP5497">
            <v>0</v>
          </cell>
          <cell r="AQ5497">
            <v>0</v>
          </cell>
          <cell r="AV5497">
            <v>0</v>
          </cell>
        </row>
        <row r="5498">
          <cell r="E5498" t="str">
            <v>D26000046</v>
          </cell>
          <cell r="AP5498">
            <v>0</v>
          </cell>
          <cell r="AQ5498">
            <v>0</v>
          </cell>
          <cell r="AV5498">
            <v>0</v>
          </cell>
        </row>
        <row r="5499">
          <cell r="E5499" t="str">
            <v>B26000501</v>
          </cell>
          <cell r="AP5499">
            <v>0</v>
          </cell>
          <cell r="AQ5499">
            <v>0</v>
          </cell>
          <cell r="AV5499">
            <v>0</v>
          </cell>
        </row>
        <row r="5500">
          <cell r="E5500" t="str">
            <v>B26000886</v>
          </cell>
          <cell r="AP5500">
            <v>0</v>
          </cell>
          <cell r="AQ5500">
            <v>0</v>
          </cell>
          <cell r="AV5500">
            <v>0</v>
          </cell>
        </row>
        <row r="5501">
          <cell r="E5501" t="str">
            <v>B26001641</v>
          </cell>
          <cell r="AP5501">
            <v>0</v>
          </cell>
          <cell r="AQ5501">
            <v>0</v>
          </cell>
          <cell r="AV5501">
            <v>0</v>
          </cell>
        </row>
        <row r="5502">
          <cell r="E5502" t="str">
            <v>B26001662</v>
          </cell>
          <cell r="AP5502">
            <v>0</v>
          </cell>
          <cell r="AQ5502">
            <v>0</v>
          </cell>
          <cell r="AV5502">
            <v>0</v>
          </cell>
        </row>
        <row r="5503">
          <cell r="E5503" t="str">
            <v>B26001663</v>
          </cell>
          <cell r="AP5503">
            <v>0</v>
          </cell>
          <cell r="AQ5503">
            <v>0</v>
          </cell>
          <cell r="AV5503">
            <v>0</v>
          </cell>
        </row>
        <row r="5504">
          <cell r="E5504" t="str">
            <v>D26001966</v>
          </cell>
          <cell r="AP5504">
            <v>0</v>
          </cell>
          <cell r="AQ5504">
            <v>0</v>
          </cell>
          <cell r="AV5504">
            <v>0</v>
          </cell>
        </row>
        <row r="5505">
          <cell r="E5505" t="str">
            <v>D26002018</v>
          </cell>
          <cell r="AP5505">
            <v>0</v>
          </cell>
          <cell r="AQ5505">
            <v>0</v>
          </cell>
          <cell r="AV5505">
            <v>0</v>
          </cell>
        </row>
        <row r="5506">
          <cell r="E5506" t="str">
            <v>B26002011</v>
          </cell>
          <cell r="AP5506">
            <v>0</v>
          </cell>
          <cell r="AQ5506">
            <v>0</v>
          </cell>
          <cell r="AV5506">
            <v>0</v>
          </cell>
        </row>
        <row r="5507">
          <cell r="E5507" t="str">
            <v>D26002269</v>
          </cell>
          <cell r="AP5507">
            <v>0</v>
          </cell>
          <cell r="AQ5507">
            <v>0</v>
          </cell>
          <cell r="AV5507">
            <v>0</v>
          </cell>
        </row>
        <row r="5508">
          <cell r="E5508" t="str">
            <v>D26002517</v>
          </cell>
          <cell r="AP5508">
            <v>0</v>
          </cell>
          <cell r="AQ5508">
            <v>0</v>
          </cell>
          <cell r="AV5508">
            <v>0</v>
          </cell>
        </row>
        <row r="5509">
          <cell r="E5509" t="str">
            <v>D26002619</v>
          </cell>
          <cell r="AP5509">
            <v>0</v>
          </cell>
          <cell r="AQ5509">
            <v>0</v>
          </cell>
          <cell r="AV5509">
            <v>0</v>
          </cell>
        </row>
        <row r="5510">
          <cell r="E5510" t="str">
            <v>D26002623</v>
          </cell>
          <cell r="AP5510">
            <v>0</v>
          </cell>
          <cell r="AQ5510">
            <v>0</v>
          </cell>
          <cell r="AV5510">
            <v>0</v>
          </cell>
        </row>
        <row r="5511">
          <cell r="E5511" t="str">
            <v>D26002841</v>
          </cell>
          <cell r="AP5511">
            <v>0</v>
          </cell>
          <cell r="AQ5511">
            <v>0</v>
          </cell>
          <cell r="AV5511">
            <v>0</v>
          </cell>
        </row>
        <row r="5512">
          <cell r="E5512" t="str">
            <v>D26003005</v>
          </cell>
          <cell r="AP5512">
            <v>0</v>
          </cell>
          <cell r="AQ5512">
            <v>0</v>
          </cell>
          <cell r="AV5512">
            <v>0</v>
          </cell>
        </row>
        <row r="5513">
          <cell r="E5513" t="str">
            <v>D26003018</v>
          </cell>
          <cell r="AP5513">
            <v>0</v>
          </cell>
          <cell r="AQ5513">
            <v>0</v>
          </cell>
          <cell r="AV5513">
            <v>0</v>
          </cell>
        </row>
        <row r="5514">
          <cell r="E5514" t="str">
            <v>D26003085</v>
          </cell>
          <cell r="AP5514">
            <v>0</v>
          </cell>
          <cell r="AQ5514">
            <v>0</v>
          </cell>
          <cell r="AV5514">
            <v>0</v>
          </cell>
        </row>
        <row r="5515">
          <cell r="E5515" t="str">
            <v>D26003181</v>
          </cell>
          <cell r="AP5515">
            <v>0</v>
          </cell>
          <cell r="AQ5515">
            <v>0</v>
          </cell>
          <cell r="AV5515">
            <v>0</v>
          </cell>
        </row>
        <row r="5516">
          <cell r="E5516" t="str">
            <v>D26003194</v>
          </cell>
          <cell r="AP5516">
            <v>0</v>
          </cell>
          <cell r="AQ5516">
            <v>0</v>
          </cell>
          <cell r="AV5516">
            <v>0</v>
          </cell>
        </row>
        <row r="5517">
          <cell r="E5517" t="str">
            <v>D26003267</v>
          </cell>
          <cell r="AP5517">
            <v>0</v>
          </cell>
          <cell r="AQ5517">
            <v>0</v>
          </cell>
          <cell r="AV5517">
            <v>0</v>
          </cell>
        </row>
        <row r="5518">
          <cell r="E5518" t="str">
            <v>D26003310</v>
          </cell>
          <cell r="AP5518">
            <v>0</v>
          </cell>
          <cell r="AQ5518">
            <v>0</v>
          </cell>
          <cell r="AV5518">
            <v>268000000</v>
          </cell>
        </row>
        <row r="5519">
          <cell r="E5519" t="str">
            <v>D26003315</v>
          </cell>
          <cell r="AP5519">
            <v>0</v>
          </cell>
          <cell r="AQ5519">
            <v>0</v>
          </cell>
          <cell r="AV5519">
            <v>0</v>
          </cell>
        </row>
        <row r="5520">
          <cell r="E5520" t="str">
            <v>D26001459</v>
          </cell>
          <cell r="AP5520">
            <v>0</v>
          </cell>
          <cell r="AQ5520">
            <v>0</v>
          </cell>
          <cell r="AV5520">
            <v>0</v>
          </cell>
        </row>
        <row r="5521">
          <cell r="E5521" t="str">
            <v>D26003154</v>
          </cell>
          <cell r="AP5521">
            <v>0</v>
          </cell>
          <cell r="AQ5521">
            <v>0</v>
          </cell>
          <cell r="AV5521">
            <v>0</v>
          </cell>
        </row>
        <row r="5522">
          <cell r="E5522" t="str">
            <v>D26000910</v>
          </cell>
          <cell r="AP5522">
            <v>0</v>
          </cell>
          <cell r="AQ5522">
            <v>0</v>
          </cell>
          <cell r="AV5522">
            <v>0</v>
          </cell>
        </row>
        <row r="5523">
          <cell r="E5523" t="str">
            <v>B26001311</v>
          </cell>
          <cell r="AP5523">
            <v>0</v>
          </cell>
          <cell r="AQ5523">
            <v>0</v>
          </cell>
          <cell r="AV5523">
            <v>0</v>
          </cell>
        </row>
        <row r="5524">
          <cell r="E5524" t="str">
            <v>D26001748</v>
          </cell>
          <cell r="AP5524">
            <v>0</v>
          </cell>
          <cell r="AQ5524">
            <v>0</v>
          </cell>
          <cell r="AV5524">
            <v>0</v>
          </cell>
        </row>
        <row r="5525">
          <cell r="E5525" t="str">
            <v>D26001754</v>
          </cell>
          <cell r="AP5525">
            <v>0</v>
          </cell>
          <cell r="AQ5525">
            <v>0</v>
          </cell>
          <cell r="AV5525">
            <v>0</v>
          </cell>
        </row>
        <row r="5526">
          <cell r="E5526" t="str">
            <v>D26001873</v>
          </cell>
          <cell r="AP5526">
            <v>0</v>
          </cell>
          <cell r="AQ5526">
            <v>0</v>
          </cell>
          <cell r="AV5526">
            <v>0</v>
          </cell>
        </row>
        <row r="5527">
          <cell r="E5527" t="str">
            <v>D26001874</v>
          </cell>
          <cell r="AP5527">
            <v>0</v>
          </cell>
          <cell r="AQ5527">
            <v>0</v>
          </cell>
          <cell r="AV5527">
            <v>0</v>
          </cell>
        </row>
        <row r="5528">
          <cell r="E5528" t="str">
            <v>D26002261</v>
          </cell>
          <cell r="AP5528">
            <v>0</v>
          </cell>
          <cell r="AQ5528">
            <v>0</v>
          </cell>
          <cell r="AV5528">
            <v>0</v>
          </cell>
        </row>
        <row r="5529">
          <cell r="E5529" t="str">
            <v>B26002234</v>
          </cell>
          <cell r="AP5529">
            <v>0</v>
          </cell>
          <cell r="AQ5529">
            <v>0</v>
          </cell>
          <cell r="AV5529">
            <v>0</v>
          </cell>
        </row>
        <row r="5530">
          <cell r="E5530" t="str">
            <v>D26002397</v>
          </cell>
          <cell r="AP5530">
            <v>0</v>
          </cell>
          <cell r="AQ5530">
            <v>0</v>
          </cell>
          <cell r="AV5530">
            <v>0</v>
          </cell>
        </row>
        <row r="5531">
          <cell r="E5531" t="str">
            <v>B26002607</v>
          </cell>
          <cell r="AP5531">
            <v>0</v>
          </cell>
          <cell r="AQ5531">
            <v>0</v>
          </cell>
          <cell r="AV5531">
            <v>0</v>
          </cell>
        </row>
        <row r="5532">
          <cell r="E5532" t="str">
            <v>D26002892</v>
          </cell>
          <cell r="AP5532">
            <v>0</v>
          </cell>
          <cell r="AQ5532">
            <v>0</v>
          </cell>
          <cell r="AV5532">
            <v>0</v>
          </cell>
        </row>
        <row r="5533">
          <cell r="E5533" t="str">
            <v>B26002790</v>
          </cell>
          <cell r="AP5533">
            <v>0</v>
          </cell>
          <cell r="AQ5533">
            <v>0</v>
          </cell>
          <cell r="AV5533">
            <v>0</v>
          </cell>
        </row>
        <row r="5534">
          <cell r="E5534" t="str">
            <v>D26003083</v>
          </cell>
          <cell r="AP5534">
            <v>0</v>
          </cell>
          <cell r="AQ5534">
            <v>0</v>
          </cell>
          <cell r="AV5534">
            <v>0</v>
          </cell>
        </row>
        <row r="5535">
          <cell r="E5535" t="str">
            <v>B26002986</v>
          </cell>
          <cell r="AP5535">
            <v>0</v>
          </cell>
          <cell r="AQ5535">
            <v>0</v>
          </cell>
          <cell r="AV5535">
            <v>0</v>
          </cell>
        </row>
        <row r="5536">
          <cell r="E5536" t="str">
            <v>D26001957</v>
          </cell>
          <cell r="AP5536">
            <v>0</v>
          </cell>
          <cell r="AQ5536">
            <v>0</v>
          </cell>
          <cell r="AV5536">
            <v>0</v>
          </cell>
        </row>
        <row r="5537">
          <cell r="E5537" t="str">
            <v>D26002618</v>
          </cell>
          <cell r="AP5537">
            <v>0</v>
          </cell>
          <cell r="AQ5537">
            <v>0</v>
          </cell>
          <cell r="AV5537">
            <v>0</v>
          </cell>
        </row>
        <row r="5538">
          <cell r="E5538" t="str">
            <v>B26000422</v>
          </cell>
          <cell r="AP5538">
            <v>0</v>
          </cell>
          <cell r="AQ5538">
            <v>0</v>
          </cell>
          <cell r="AV5538">
            <v>0</v>
          </cell>
        </row>
        <row r="5539">
          <cell r="E5539" t="str">
            <v>B26000424</v>
          </cell>
          <cell r="AP5539">
            <v>0</v>
          </cell>
          <cell r="AQ5539">
            <v>0</v>
          </cell>
          <cell r="AV5539">
            <v>0</v>
          </cell>
        </row>
        <row r="5540">
          <cell r="E5540" t="str">
            <v>D26001155</v>
          </cell>
          <cell r="AP5540">
            <v>0</v>
          </cell>
          <cell r="AQ5540">
            <v>0</v>
          </cell>
          <cell r="AV5540">
            <v>0</v>
          </cell>
        </row>
        <row r="5541">
          <cell r="E5541" t="str">
            <v>D26001207</v>
          </cell>
          <cell r="AP5541">
            <v>0</v>
          </cell>
          <cell r="AQ5541">
            <v>0</v>
          </cell>
          <cell r="AV5541">
            <v>0</v>
          </cell>
        </row>
        <row r="5542">
          <cell r="E5542" t="str">
            <v>D26001364</v>
          </cell>
          <cell r="AP5542">
            <v>0</v>
          </cell>
          <cell r="AQ5542">
            <v>0</v>
          </cell>
          <cell r="AV5542">
            <v>0</v>
          </cell>
        </row>
        <row r="5543">
          <cell r="E5543" t="str">
            <v>B26001541</v>
          </cell>
          <cell r="AP5543">
            <v>0</v>
          </cell>
          <cell r="AQ5543">
            <v>0</v>
          </cell>
          <cell r="AV5543">
            <v>0</v>
          </cell>
        </row>
        <row r="5544">
          <cell r="E5544" t="str">
            <v>B26001636</v>
          </cell>
          <cell r="AP5544">
            <v>0</v>
          </cell>
          <cell r="AQ5544">
            <v>0</v>
          </cell>
          <cell r="AV5544">
            <v>0</v>
          </cell>
        </row>
        <row r="5545">
          <cell r="E5545" t="str">
            <v>B26001637</v>
          </cell>
          <cell r="AP5545">
            <v>0</v>
          </cell>
          <cell r="AQ5545">
            <v>0</v>
          </cell>
          <cell r="AV5545">
            <v>0</v>
          </cell>
        </row>
        <row r="5546">
          <cell r="E5546" t="str">
            <v>D26001739</v>
          </cell>
          <cell r="AP5546">
            <v>0</v>
          </cell>
          <cell r="AQ5546">
            <v>0</v>
          </cell>
          <cell r="AV5546">
            <v>0</v>
          </cell>
        </row>
        <row r="5547">
          <cell r="E5547" t="str">
            <v>B26001723</v>
          </cell>
          <cell r="AP5547">
            <v>0</v>
          </cell>
          <cell r="AQ5547">
            <v>0</v>
          </cell>
          <cell r="AV5547">
            <v>0</v>
          </cell>
        </row>
        <row r="5548">
          <cell r="E5548" t="str">
            <v>D26001844</v>
          </cell>
          <cell r="AP5548">
            <v>0</v>
          </cell>
          <cell r="AQ5548">
            <v>0</v>
          </cell>
          <cell r="AV5548">
            <v>0</v>
          </cell>
        </row>
        <row r="5549">
          <cell r="E5549" t="str">
            <v>B26002084</v>
          </cell>
          <cell r="AP5549">
            <v>0</v>
          </cell>
          <cell r="AQ5549">
            <v>0</v>
          </cell>
          <cell r="AV5549">
            <v>0</v>
          </cell>
        </row>
        <row r="5550">
          <cell r="E5550" t="str">
            <v>B26002498</v>
          </cell>
          <cell r="AP5550">
            <v>0</v>
          </cell>
          <cell r="AQ5550">
            <v>0</v>
          </cell>
          <cell r="AV5550">
            <v>0</v>
          </cell>
        </row>
        <row r="5551">
          <cell r="E5551" t="str">
            <v>D26002770</v>
          </cell>
          <cell r="AP5551">
            <v>0</v>
          </cell>
          <cell r="AQ5551">
            <v>0</v>
          </cell>
          <cell r="AV5551">
            <v>0</v>
          </cell>
        </row>
        <row r="5552">
          <cell r="E5552" t="str">
            <v>D26002881</v>
          </cell>
          <cell r="AP5552">
            <v>0</v>
          </cell>
          <cell r="AQ5552">
            <v>0</v>
          </cell>
          <cell r="AV5552">
            <v>0</v>
          </cell>
        </row>
        <row r="5553">
          <cell r="E5553" t="str">
            <v>B26002851</v>
          </cell>
          <cell r="AP5553">
            <v>0</v>
          </cell>
          <cell r="AQ5553">
            <v>0</v>
          </cell>
          <cell r="AV5553">
            <v>0</v>
          </cell>
        </row>
        <row r="5554">
          <cell r="E5554" t="str">
            <v>D26003316</v>
          </cell>
          <cell r="AP5554">
            <v>0</v>
          </cell>
          <cell r="AQ5554">
            <v>0</v>
          </cell>
          <cell r="AV5554">
            <v>0</v>
          </cell>
        </row>
        <row r="5555">
          <cell r="E5555" t="str">
            <v>C26000098</v>
          </cell>
          <cell r="AP5555">
            <v>0</v>
          </cell>
          <cell r="AQ5555">
            <v>0</v>
          </cell>
          <cell r="AV5555">
            <v>0</v>
          </cell>
        </row>
        <row r="5556">
          <cell r="E5556" t="str">
            <v>T25001650K</v>
          </cell>
          <cell r="AP5556">
            <v>0</v>
          </cell>
          <cell r="AQ5556">
            <v>0</v>
          </cell>
          <cell r="AV5556">
            <v>0</v>
          </cell>
        </row>
        <row r="5557">
          <cell r="E5557" t="str">
            <v>B26000483</v>
          </cell>
          <cell r="AP5557">
            <v>0</v>
          </cell>
          <cell r="AQ5557">
            <v>0</v>
          </cell>
          <cell r="AV5557">
            <v>0</v>
          </cell>
        </row>
        <row r="5558">
          <cell r="E5558" t="str">
            <v>B26000849</v>
          </cell>
          <cell r="AP5558">
            <v>0</v>
          </cell>
          <cell r="AQ5558">
            <v>0</v>
          </cell>
          <cell r="AV5558">
            <v>0</v>
          </cell>
        </row>
        <row r="5559">
          <cell r="E5559" t="str">
            <v>B26001718</v>
          </cell>
          <cell r="AP5559">
            <v>0</v>
          </cell>
          <cell r="AQ5559">
            <v>0</v>
          </cell>
          <cell r="AV5559">
            <v>0</v>
          </cell>
        </row>
        <row r="5560">
          <cell r="E5560" t="str">
            <v>D26002373</v>
          </cell>
          <cell r="AP5560">
            <v>0</v>
          </cell>
          <cell r="AQ5560">
            <v>0</v>
          </cell>
          <cell r="AV5560">
            <v>0</v>
          </cell>
        </row>
        <row r="5561">
          <cell r="E5561" t="str">
            <v>D26003128</v>
          </cell>
          <cell r="AP5561">
            <v>0</v>
          </cell>
          <cell r="AQ5561">
            <v>0</v>
          </cell>
          <cell r="AV5561">
            <v>0</v>
          </cell>
        </row>
        <row r="5562">
          <cell r="E5562" t="str">
            <v>B26003038</v>
          </cell>
          <cell r="AP5562">
            <v>0</v>
          </cell>
          <cell r="AQ5562">
            <v>0</v>
          </cell>
          <cell r="AV5562">
            <v>822500</v>
          </cell>
        </row>
        <row r="5563">
          <cell r="E5563" t="str">
            <v>D26003236</v>
          </cell>
          <cell r="AP5563">
            <v>0</v>
          </cell>
          <cell r="AQ5563">
            <v>0</v>
          </cell>
          <cell r="AV5563">
            <v>5052500</v>
          </cell>
        </row>
        <row r="5564">
          <cell r="E5564" t="str">
            <v>B26000104</v>
          </cell>
          <cell r="AP5564">
            <v>0</v>
          </cell>
          <cell r="AQ5564">
            <v>0</v>
          </cell>
          <cell r="AV5564">
            <v>0</v>
          </cell>
        </row>
        <row r="5565">
          <cell r="E5565" t="str">
            <v>D26000509</v>
          </cell>
          <cell r="AP5565">
            <v>0</v>
          </cell>
          <cell r="AQ5565">
            <v>0</v>
          </cell>
          <cell r="AV5565">
            <v>0</v>
          </cell>
        </row>
        <row r="5566">
          <cell r="E5566" t="str">
            <v>D26000984</v>
          </cell>
          <cell r="AP5566">
            <v>0</v>
          </cell>
          <cell r="AQ5566">
            <v>0</v>
          </cell>
          <cell r="AV5566">
            <v>0</v>
          </cell>
        </row>
        <row r="5567">
          <cell r="E5567" t="str">
            <v>B26000961</v>
          </cell>
          <cell r="AP5567">
            <v>0</v>
          </cell>
          <cell r="AQ5567">
            <v>0</v>
          </cell>
          <cell r="AV5567">
            <v>0</v>
          </cell>
        </row>
        <row r="5568">
          <cell r="E5568" t="str">
            <v>D26001056</v>
          </cell>
          <cell r="AP5568">
            <v>0</v>
          </cell>
          <cell r="AQ5568">
            <v>0</v>
          </cell>
          <cell r="AV5568">
            <v>0</v>
          </cell>
        </row>
        <row r="5569">
          <cell r="E5569" t="str">
            <v>D26001312</v>
          </cell>
          <cell r="AP5569">
            <v>0</v>
          </cell>
          <cell r="AQ5569">
            <v>0</v>
          </cell>
          <cell r="AV5569">
            <v>0</v>
          </cell>
        </row>
        <row r="5570">
          <cell r="E5570" t="str">
            <v>B26001407</v>
          </cell>
          <cell r="AP5570">
            <v>0</v>
          </cell>
          <cell r="AQ5570">
            <v>0</v>
          </cell>
          <cell r="AV5570">
            <v>0</v>
          </cell>
        </row>
        <row r="5571">
          <cell r="E5571" t="str">
            <v>B26001408</v>
          </cell>
          <cell r="AP5571">
            <v>0</v>
          </cell>
          <cell r="AQ5571">
            <v>0</v>
          </cell>
          <cell r="AV5571">
            <v>0</v>
          </cell>
        </row>
        <row r="5572">
          <cell r="E5572" t="str">
            <v>B26001709</v>
          </cell>
          <cell r="AP5572">
            <v>0</v>
          </cell>
          <cell r="AQ5572">
            <v>0</v>
          </cell>
          <cell r="AV5572">
            <v>0</v>
          </cell>
        </row>
        <row r="5573">
          <cell r="E5573" t="str">
            <v>D26001768</v>
          </cell>
          <cell r="AP5573">
            <v>0</v>
          </cell>
          <cell r="AQ5573">
            <v>0</v>
          </cell>
          <cell r="AV5573">
            <v>0</v>
          </cell>
        </row>
        <row r="5574">
          <cell r="E5574" t="str">
            <v>B26001754</v>
          </cell>
          <cell r="AP5574">
            <v>0</v>
          </cell>
          <cell r="AQ5574">
            <v>0</v>
          </cell>
          <cell r="AV5574">
            <v>0</v>
          </cell>
        </row>
        <row r="5575">
          <cell r="E5575" t="str">
            <v>B26001755</v>
          </cell>
          <cell r="AP5575">
            <v>0</v>
          </cell>
          <cell r="AQ5575">
            <v>0</v>
          </cell>
          <cell r="AV5575">
            <v>0</v>
          </cell>
        </row>
        <row r="5576">
          <cell r="E5576" t="str">
            <v>D26001978</v>
          </cell>
          <cell r="AP5576">
            <v>0</v>
          </cell>
          <cell r="AQ5576">
            <v>0</v>
          </cell>
          <cell r="AV5576">
            <v>0</v>
          </cell>
        </row>
        <row r="5577">
          <cell r="E5577" t="str">
            <v>T26000140</v>
          </cell>
          <cell r="AP5577">
            <v>0</v>
          </cell>
          <cell r="AQ5577">
            <v>0</v>
          </cell>
          <cell r="AV5577">
            <v>0</v>
          </cell>
        </row>
        <row r="5578">
          <cell r="E5578" t="str">
            <v>B26001996</v>
          </cell>
          <cell r="AP5578">
            <v>0</v>
          </cell>
          <cell r="AQ5578">
            <v>0</v>
          </cell>
          <cell r="AV5578">
            <v>0</v>
          </cell>
        </row>
        <row r="5579">
          <cell r="E5579" t="str">
            <v>B26001997</v>
          </cell>
          <cell r="AP5579">
            <v>0</v>
          </cell>
          <cell r="AQ5579">
            <v>0</v>
          </cell>
          <cell r="AV5579">
            <v>0</v>
          </cell>
        </row>
        <row r="5580">
          <cell r="E5580" t="str">
            <v>D26002135</v>
          </cell>
          <cell r="AP5580">
            <v>0</v>
          </cell>
          <cell r="AQ5580">
            <v>0</v>
          </cell>
          <cell r="AV5580">
            <v>0</v>
          </cell>
        </row>
        <row r="5581">
          <cell r="E5581" t="str">
            <v>D26002379</v>
          </cell>
          <cell r="AP5581">
            <v>0</v>
          </cell>
          <cell r="AQ5581">
            <v>0</v>
          </cell>
          <cell r="AV5581">
            <v>0</v>
          </cell>
        </row>
        <row r="5582">
          <cell r="E5582" t="str">
            <v>D26002380</v>
          </cell>
          <cell r="AP5582">
            <v>0</v>
          </cell>
          <cell r="AQ5582">
            <v>0</v>
          </cell>
          <cell r="AV5582">
            <v>0</v>
          </cell>
        </row>
        <row r="5583">
          <cell r="E5583" t="str">
            <v>B26002331</v>
          </cell>
          <cell r="AP5583">
            <v>0</v>
          </cell>
          <cell r="AQ5583">
            <v>0</v>
          </cell>
          <cell r="AV5583">
            <v>0</v>
          </cell>
        </row>
        <row r="5584">
          <cell r="E5584" t="str">
            <v>B26002332</v>
          </cell>
          <cell r="AP5584">
            <v>0</v>
          </cell>
          <cell r="AQ5584">
            <v>0</v>
          </cell>
          <cell r="AV5584">
            <v>0</v>
          </cell>
        </row>
        <row r="5585">
          <cell r="E5585" t="str">
            <v>B26002365</v>
          </cell>
          <cell r="AP5585">
            <v>0</v>
          </cell>
          <cell r="AQ5585">
            <v>0</v>
          </cell>
          <cell r="AV5585">
            <v>0</v>
          </cell>
        </row>
        <row r="5586">
          <cell r="E5586" t="str">
            <v>B26002437</v>
          </cell>
          <cell r="AP5586">
            <v>0</v>
          </cell>
          <cell r="AQ5586">
            <v>0</v>
          </cell>
          <cell r="AV5586">
            <v>0</v>
          </cell>
        </row>
        <row r="5587">
          <cell r="E5587" t="str">
            <v>B26002438</v>
          </cell>
          <cell r="AP5587">
            <v>0</v>
          </cell>
          <cell r="AQ5587">
            <v>0</v>
          </cell>
          <cell r="AV5587">
            <v>0</v>
          </cell>
        </row>
        <row r="5588">
          <cell r="E5588" t="str">
            <v>D26002797</v>
          </cell>
          <cell r="AP5588">
            <v>0</v>
          </cell>
          <cell r="AQ5588">
            <v>0</v>
          </cell>
          <cell r="AV5588">
            <v>0</v>
          </cell>
        </row>
        <row r="5589">
          <cell r="E5589" t="str">
            <v>D26002798</v>
          </cell>
          <cell r="AP5589">
            <v>0</v>
          </cell>
          <cell r="AQ5589">
            <v>0</v>
          </cell>
          <cell r="AV5589">
            <v>0</v>
          </cell>
        </row>
        <row r="5590">
          <cell r="E5590" t="str">
            <v>B26002835</v>
          </cell>
          <cell r="AP5590">
            <v>0</v>
          </cell>
          <cell r="AQ5590">
            <v>0</v>
          </cell>
          <cell r="AV5590">
            <v>0</v>
          </cell>
        </row>
        <row r="5591">
          <cell r="E5591" t="str">
            <v>D26003036</v>
          </cell>
          <cell r="AP5591">
            <v>0</v>
          </cell>
          <cell r="AQ5591">
            <v>0</v>
          </cell>
          <cell r="AV5591">
            <v>0</v>
          </cell>
        </row>
        <row r="5592">
          <cell r="E5592" t="str">
            <v>B26002890</v>
          </cell>
          <cell r="AP5592">
            <v>0</v>
          </cell>
          <cell r="AQ5592">
            <v>0</v>
          </cell>
          <cell r="AV5592">
            <v>0</v>
          </cell>
        </row>
        <row r="5593">
          <cell r="E5593" t="str">
            <v>B26003014</v>
          </cell>
          <cell r="AP5593">
            <v>0</v>
          </cell>
          <cell r="AQ5593">
            <v>0</v>
          </cell>
          <cell r="AV5593">
            <v>0</v>
          </cell>
        </row>
        <row r="5594">
          <cell r="E5594" t="str">
            <v>D26003284</v>
          </cell>
          <cell r="AP5594">
            <v>0</v>
          </cell>
          <cell r="AQ5594">
            <v>0</v>
          </cell>
          <cell r="AV5594">
            <v>0</v>
          </cell>
        </row>
        <row r="5595">
          <cell r="E5595" t="str">
            <v>B26001530</v>
          </cell>
          <cell r="AP5595">
            <v>0</v>
          </cell>
          <cell r="AQ5595">
            <v>0</v>
          </cell>
          <cell r="AV5595">
            <v>6750000</v>
          </cell>
        </row>
        <row r="5596">
          <cell r="E5596" t="str">
            <v>B26002547</v>
          </cell>
          <cell r="AP5596">
            <v>0</v>
          </cell>
          <cell r="AQ5596">
            <v>0</v>
          </cell>
          <cell r="AV5596">
            <v>0</v>
          </cell>
        </row>
        <row r="5597">
          <cell r="E5597" t="str">
            <v>D26002972</v>
          </cell>
          <cell r="AP5597">
            <v>0</v>
          </cell>
          <cell r="AQ5597">
            <v>0</v>
          </cell>
          <cell r="AV5597">
            <v>0</v>
          </cell>
        </row>
        <row r="5598">
          <cell r="E5598" t="str">
            <v>N26000030</v>
          </cell>
          <cell r="AP5598">
            <v>0</v>
          </cell>
          <cell r="AQ5598">
            <v>0</v>
          </cell>
          <cell r="AV5598">
            <v>0</v>
          </cell>
        </row>
        <row r="5599">
          <cell r="E5599" t="str">
            <v>B26002961</v>
          </cell>
          <cell r="AP5599">
            <v>0</v>
          </cell>
          <cell r="AQ5599">
            <v>0</v>
          </cell>
          <cell r="AV5599">
            <v>0</v>
          </cell>
        </row>
        <row r="5600">
          <cell r="E5600" t="str">
            <v>Z26000593</v>
          </cell>
          <cell r="AP5600">
            <v>0</v>
          </cell>
          <cell r="AQ5600">
            <v>0</v>
          </cell>
          <cell r="AV5600">
            <v>0</v>
          </cell>
        </row>
        <row r="5601">
          <cell r="E5601" t="str">
            <v>B26001093</v>
          </cell>
          <cell r="AP5601">
            <v>0</v>
          </cell>
          <cell r="AQ5601">
            <v>0</v>
          </cell>
          <cell r="AV5601">
            <v>1332500</v>
          </cell>
        </row>
        <row r="5602">
          <cell r="E5602" t="str">
            <v>B26000861</v>
          </cell>
          <cell r="AP5602">
            <v>0</v>
          </cell>
          <cell r="AQ5602">
            <v>0</v>
          </cell>
          <cell r="AV5602">
            <v>0</v>
          </cell>
        </row>
        <row r="5603">
          <cell r="E5603" t="str">
            <v>B26000967</v>
          </cell>
          <cell r="AP5603">
            <v>0</v>
          </cell>
          <cell r="AQ5603">
            <v>0</v>
          </cell>
          <cell r="AV5603">
            <v>0</v>
          </cell>
        </row>
        <row r="5604">
          <cell r="E5604" t="str">
            <v>D26001363</v>
          </cell>
          <cell r="AP5604">
            <v>0</v>
          </cell>
          <cell r="AQ5604">
            <v>0</v>
          </cell>
          <cell r="AV5604">
            <v>0</v>
          </cell>
        </row>
        <row r="5605">
          <cell r="E5605" t="str">
            <v>T26000238</v>
          </cell>
          <cell r="AP5605">
            <v>0</v>
          </cell>
          <cell r="AQ5605">
            <v>0</v>
          </cell>
          <cell r="AV5605">
            <v>0</v>
          </cell>
        </row>
        <row r="5606">
          <cell r="E5606" t="str">
            <v>B26002178</v>
          </cell>
          <cell r="AP5606">
            <v>0</v>
          </cell>
          <cell r="AQ5606">
            <v>0</v>
          </cell>
          <cell r="AV5606">
            <v>0</v>
          </cell>
        </row>
        <row r="5607">
          <cell r="E5607" t="str">
            <v>D26002355</v>
          </cell>
          <cell r="AP5607">
            <v>0</v>
          </cell>
          <cell r="AQ5607">
            <v>0</v>
          </cell>
          <cell r="AV5607">
            <v>0</v>
          </cell>
        </row>
        <row r="5608">
          <cell r="E5608" t="str">
            <v>D26002854</v>
          </cell>
          <cell r="AP5608">
            <v>0</v>
          </cell>
          <cell r="AQ5608">
            <v>0</v>
          </cell>
          <cell r="AV5608">
            <v>0</v>
          </cell>
        </row>
        <row r="5609">
          <cell r="E5609" t="str">
            <v>B26001364</v>
          </cell>
          <cell r="AP5609">
            <v>0</v>
          </cell>
          <cell r="AQ5609">
            <v>0</v>
          </cell>
          <cell r="AV5609">
            <v>0</v>
          </cell>
        </row>
        <row r="5610">
          <cell r="E5610" t="str">
            <v>B26002344</v>
          </cell>
          <cell r="AP5610">
            <v>0</v>
          </cell>
          <cell r="AQ5610">
            <v>0</v>
          </cell>
          <cell r="AV5610">
            <v>0</v>
          </cell>
        </row>
        <row r="5611">
          <cell r="E5611" t="str">
            <v>B26002766</v>
          </cell>
          <cell r="AP5611">
            <v>0</v>
          </cell>
          <cell r="AQ5611">
            <v>0</v>
          </cell>
          <cell r="AV5611">
            <v>0</v>
          </cell>
        </row>
        <row r="5612">
          <cell r="E5612" t="str">
            <v>B26002767</v>
          </cell>
          <cell r="AP5612">
            <v>0</v>
          </cell>
          <cell r="AQ5612">
            <v>0</v>
          </cell>
          <cell r="AV5612">
            <v>0</v>
          </cell>
        </row>
        <row r="5613">
          <cell r="E5613" t="str">
            <v>T24000579</v>
          </cell>
          <cell r="AP5613">
            <v>0</v>
          </cell>
          <cell r="AQ5613">
            <v>0</v>
          </cell>
          <cell r="AV5613">
            <v>0</v>
          </cell>
        </row>
        <row r="5614">
          <cell r="E5614" t="str">
            <v>T26000094</v>
          </cell>
          <cell r="AP5614">
            <v>0</v>
          </cell>
          <cell r="AQ5614">
            <v>0</v>
          </cell>
          <cell r="AV5614">
            <v>0</v>
          </cell>
        </row>
        <row r="5615">
          <cell r="E5615" t="str">
            <v>T26000095</v>
          </cell>
          <cell r="AP5615">
            <v>0</v>
          </cell>
          <cell r="AQ5615">
            <v>0</v>
          </cell>
          <cell r="AV5615">
            <v>0</v>
          </cell>
        </row>
        <row r="5616">
          <cell r="E5616" t="str">
            <v>B26002626</v>
          </cell>
          <cell r="AP5616">
            <v>0</v>
          </cell>
          <cell r="AQ5616">
            <v>0</v>
          </cell>
          <cell r="AV5616">
            <v>2350000</v>
          </cell>
        </row>
        <row r="5617">
          <cell r="E5617" t="str">
            <v>B25016963</v>
          </cell>
          <cell r="AP5617">
            <v>0</v>
          </cell>
          <cell r="AQ5617">
            <v>0</v>
          </cell>
          <cell r="AV5617">
            <v>4375000</v>
          </cell>
        </row>
        <row r="5618">
          <cell r="E5618" t="str">
            <v>B26000087</v>
          </cell>
          <cell r="AP5618">
            <v>0</v>
          </cell>
          <cell r="AQ5618">
            <v>0</v>
          </cell>
          <cell r="AV5618">
            <v>0</v>
          </cell>
        </row>
        <row r="5619">
          <cell r="E5619" t="str">
            <v>D26002198</v>
          </cell>
          <cell r="AP5619">
            <v>0</v>
          </cell>
          <cell r="AQ5619">
            <v>0</v>
          </cell>
          <cell r="AV5619">
            <v>0</v>
          </cell>
        </row>
        <row r="5620">
          <cell r="E5620" t="str">
            <v>B26002163</v>
          </cell>
          <cell r="AP5620">
            <v>0</v>
          </cell>
          <cell r="AQ5620">
            <v>0</v>
          </cell>
          <cell r="AV5620">
            <v>0</v>
          </cell>
        </row>
        <row r="5621">
          <cell r="E5621" t="str">
            <v>D26000285</v>
          </cell>
          <cell r="AP5621">
            <v>0</v>
          </cell>
          <cell r="AQ5621">
            <v>0</v>
          </cell>
          <cell r="AV5621">
            <v>0</v>
          </cell>
        </row>
        <row r="5622">
          <cell r="E5622" t="str">
            <v>D26000339</v>
          </cell>
          <cell r="AP5622">
            <v>0</v>
          </cell>
          <cell r="AQ5622">
            <v>0</v>
          </cell>
          <cell r="AV5622">
            <v>0</v>
          </cell>
        </row>
        <row r="5623">
          <cell r="E5623" t="str">
            <v>D26000436</v>
          </cell>
          <cell r="AP5623">
            <v>0</v>
          </cell>
          <cell r="AQ5623">
            <v>0</v>
          </cell>
          <cell r="AV5623">
            <v>0</v>
          </cell>
        </row>
        <row r="5624">
          <cell r="E5624" t="str">
            <v>D26001086</v>
          </cell>
          <cell r="AP5624">
            <v>0</v>
          </cell>
          <cell r="AQ5624">
            <v>0</v>
          </cell>
          <cell r="AV5624">
            <v>0</v>
          </cell>
        </row>
        <row r="5625">
          <cell r="E5625" t="str">
            <v>D26001227</v>
          </cell>
          <cell r="AP5625">
            <v>0</v>
          </cell>
          <cell r="AQ5625">
            <v>0</v>
          </cell>
          <cell r="AV5625">
            <v>0</v>
          </cell>
        </row>
        <row r="5626">
          <cell r="E5626" t="str">
            <v>D26001471</v>
          </cell>
          <cell r="AP5626">
            <v>0</v>
          </cell>
          <cell r="AQ5626">
            <v>0</v>
          </cell>
          <cell r="AV5626">
            <v>0</v>
          </cell>
        </row>
        <row r="5627">
          <cell r="E5627" t="str">
            <v>D26002048</v>
          </cell>
          <cell r="AP5627">
            <v>0</v>
          </cell>
          <cell r="AQ5627">
            <v>0</v>
          </cell>
          <cell r="AV5627">
            <v>0</v>
          </cell>
        </row>
        <row r="5628">
          <cell r="E5628" t="str">
            <v>B26002097</v>
          </cell>
          <cell r="AP5628">
            <v>0</v>
          </cell>
          <cell r="AQ5628">
            <v>0</v>
          </cell>
          <cell r="AV5628">
            <v>0</v>
          </cell>
        </row>
        <row r="5629">
          <cell r="E5629" t="str">
            <v>B26002151</v>
          </cell>
          <cell r="AP5629">
            <v>0</v>
          </cell>
          <cell r="AQ5629">
            <v>0</v>
          </cell>
          <cell r="AV5629">
            <v>0</v>
          </cell>
        </row>
        <row r="5630">
          <cell r="E5630" t="str">
            <v>D26002246</v>
          </cell>
          <cell r="AP5630">
            <v>0</v>
          </cell>
          <cell r="AQ5630">
            <v>0</v>
          </cell>
          <cell r="AV5630">
            <v>0</v>
          </cell>
        </row>
        <row r="5631">
          <cell r="E5631" t="str">
            <v>D26002303</v>
          </cell>
          <cell r="AP5631">
            <v>0</v>
          </cell>
          <cell r="AQ5631">
            <v>0</v>
          </cell>
          <cell r="AV5631">
            <v>0</v>
          </cell>
        </row>
        <row r="5632">
          <cell r="E5632" t="str">
            <v>D26002363</v>
          </cell>
          <cell r="AP5632">
            <v>0</v>
          </cell>
          <cell r="AQ5632">
            <v>0</v>
          </cell>
          <cell r="AV5632">
            <v>0</v>
          </cell>
        </row>
        <row r="5633">
          <cell r="E5633" t="str">
            <v>B26002205</v>
          </cell>
          <cell r="AP5633">
            <v>0</v>
          </cell>
          <cell r="AQ5633">
            <v>0</v>
          </cell>
          <cell r="AV5633">
            <v>0</v>
          </cell>
        </row>
        <row r="5634">
          <cell r="E5634" t="str">
            <v>B26002351</v>
          </cell>
          <cell r="AP5634">
            <v>0</v>
          </cell>
          <cell r="AQ5634">
            <v>0</v>
          </cell>
          <cell r="AV5634">
            <v>0</v>
          </cell>
        </row>
        <row r="5635">
          <cell r="E5635" t="str">
            <v>B26002439</v>
          </cell>
          <cell r="AP5635">
            <v>0</v>
          </cell>
          <cell r="AQ5635">
            <v>0</v>
          </cell>
          <cell r="AV5635">
            <v>0</v>
          </cell>
        </row>
        <row r="5636">
          <cell r="E5636" t="str">
            <v>B26002440</v>
          </cell>
          <cell r="AP5636">
            <v>0</v>
          </cell>
          <cell r="AQ5636">
            <v>0</v>
          </cell>
          <cell r="AV5636">
            <v>0</v>
          </cell>
        </row>
        <row r="5637">
          <cell r="E5637" t="str">
            <v>B26002477</v>
          </cell>
          <cell r="AP5637">
            <v>0</v>
          </cell>
          <cell r="AQ5637">
            <v>0</v>
          </cell>
          <cell r="AV5637">
            <v>0</v>
          </cell>
        </row>
        <row r="5638">
          <cell r="E5638" t="str">
            <v>B26002530</v>
          </cell>
          <cell r="AP5638">
            <v>0</v>
          </cell>
          <cell r="AQ5638">
            <v>0</v>
          </cell>
          <cell r="AV5638">
            <v>0</v>
          </cell>
        </row>
        <row r="5639">
          <cell r="E5639" t="str">
            <v>B26002594</v>
          </cell>
          <cell r="AP5639">
            <v>0</v>
          </cell>
          <cell r="AQ5639">
            <v>0</v>
          </cell>
          <cell r="AV5639">
            <v>0</v>
          </cell>
        </row>
        <row r="5640">
          <cell r="E5640" t="str">
            <v>D26002765</v>
          </cell>
          <cell r="AP5640">
            <v>0</v>
          </cell>
          <cell r="AQ5640">
            <v>0</v>
          </cell>
          <cell r="AV5640">
            <v>0</v>
          </cell>
        </row>
        <row r="5641">
          <cell r="E5641" t="str">
            <v>B26002681</v>
          </cell>
          <cell r="AP5641">
            <v>0</v>
          </cell>
          <cell r="AQ5641">
            <v>0</v>
          </cell>
          <cell r="AV5641">
            <v>0</v>
          </cell>
        </row>
        <row r="5642">
          <cell r="E5642" t="str">
            <v>B26002830</v>
          </cell>
          <cell r="AP5642">
            <v>0</v>
          </cell>
          <cell r="AQ5642">
            <v>0</v>
          </cell>
          <cell r="AV5642">
            <v>0</v>
          </cell>
        </row>
        <row r="5643">
          <cell r="E5643" t="str">
            <v>B26002831</v>
          </cell>
          <cell r="AP5643">
            <v>0</v>
          </cell>
          <cell r="AQ5643">
            <v>0</v>
          </cell>
          <cell r="AV5643">
            <v>0</v>
          </cell>
        </row>
        <row r="5644">
          <cell r="E5644" t="str">
            <v>D26003069</v>
          </cell>
          <cell r="AP5644">
            <v>0</v>
          </cell>
          <cell r="AQ5644">
            <v>0</v>
          </cell>
          <cell r="AV5644">
            <v>0</v>
          </cell>
        </row>
        <row r="5645">
          <cell r="E5645" t="str">
            <v>D25017697</v>
          </cell>
          <cell r="AP5645">
            <v>0</v>
          </cell>
          <cell r="AQ5645">
            <v>0</v>
          </cell>
          <cell r="AV5645">
            <v>0</v>
          </cell>
        </row>
        <row r="5646">
          <cell r="E5646" t="str">
            <v>D26002415</v>
          </cell>
          <cell r="AP5646">
            <v>0</v>
          </cell>
          <cell r="AQ5646">
            <v>0</v>
          </cell>
          <cell r="AV5646">
            <v>0</v>
          </cell>
        </row>
        <row r="5647">
          <cell r="E5647" t="str">
            <v>B26002271</v>
          </cell>
          <cell r="AP5647">
            <v>0</v>
          </cell>
          <cell r="AQ5647">
            <v>0</v>
          </cell>
          <cell r="AV5647">
            <v>0</v>
          </cell>
        </row>
        <row r="5648">
          <cell r="E5648" t="str">
            <v>D26002483</v>
          </cell>
          <cell r="AP5648">
            <v>0</v>
          </cell>
          <cell r="AQ5648">
            <v>0</v>
          </cell>
          <cell r="AV5648">
            <v>0</v>
          </cell>
        </row>
        <row r="5649">
          <cell r="E5649" t="str">
            <v>B26003071</v>
          </cell>
          <cell r="AP5649">
            <v>0</v>
          </cell>
          <cell r="AQ5649">
            <v>0</v>
          </cell>
          <cell r="AV5649">
            <v>0</v>
          </cell>
        </row>
        <row r="5651">
          <cell r="E5651" t="str">
            <v>x</v>
          </cell>
          <cell r="AP5651" t="str">
            <v>x</v>
          </cell>
          <cell r="AQ5651" t="str">
            <v>x</v>
          </cell>
          <cell r="AV5651" t="str">
            <v>x</v>
          </cell>
        </row>
        <row r="5652">
          <cell r="AP5652">
            <v>500</v>
          </cell>
          <cell r="AQ5652">
            <v>4430557500</v>
          </cell>
          <cell r="AV5652">
            <v>4184778750</v>
          </cell>
        </row>
        <row r="5653">
          <cell r="AQ5653">
            <v>4430557500</v>
          </cell>
        </row>
        <row r="5654">
          <cell r="AQ5654">
            <v>0</v>
          </cell>
        </row>
        <row r="5655">
          <cell r="AQ5655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topLeftCell="A4" workbookViewId="0">
      <selection activeCell="L17" sqref="L17"/>
    </sheetView>
  </sheetViews>
  <sheetFormatPr defaultRowHeight="15" x14ac:dyDescent="0.25"/>
  <cols>
    <col min="2" max="2" width="10.140625" customWidth="1"/>
    <col min="5" max="5" width="12" customWidth="1"/>
    <col min="12" max="12" width="15.85546875" customWidth="1"/>
  </cols>
  <sheetData>
    <row r="1" spans="1:20" ht="25.5" x14ac:dyDescent="0.25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" t="s">
        <v>1</v>
      </c>
      <c r="M1" s="2" t="s">
        <v>2</v>
      </c>
      <c r="N1" s="3" t="s">
        <v>3</v>
      </c>
      <c r="O1" s="1" t="s">
        <v>4</v>
      </c>
      <c r="P1" s="1" t="s">
        <v>4</v>
      </c>
      <c r="Q1" s="110" t="s">
        <v>5</v>
      </c>
      <c r="R1" s="110"/>
      <c r="S1" s="110"/>
      <c r="T1" s="3" t="s">
        <v>4</v>
      </c>
    </row>
    <row r="2" spans="1:20" ht="36" x14ac:dyDescent="0.25">
      <c r="A2" s="4" t="s">
        <v>6</v>
      </c>
      <c r="B2" s="5" t="s">
        <v>7</v>
      </c>
      <c r="C2" s="6" t="s">
        <v>8</v>
      </c>
      <c r="D2" s="7" t="s">
        <v>9</v>
      </c>
      <c r="E2" s="111" t="s">
        <v>10</v>
      </c>
      <c r="F2" s="111"/>
      <c r="G2" s="8" t="s">
        <v>11</v>
      </c>
      <c r="H2" s="9" t="s">
        <v>12</v>
      </c>
      <c r="I2" s="10" t="s">
        <v>13</v>
      </c>
      <c r="J2" s="112" t="s">
        <v>14</v>
      </c>
      <c r="K2" s="112"/>
      <c r="L2" s="11" t="s">
        <v>33</v>
      </c>
      <c r="M2" s="12" t="s">
        <v>15</v>
      </c>
      <c r="N2" s="13" t="s">
        <v>16</v>
      </c>
      <c r="O2" s="11" t="s">
        <v>17</v>
      </c>
      <c r="P2" s="11" t="s">
        <v>18</v>
      </c>
      <c r="Q2" s="14" t="s">
        <v>19</v>
      </c>
      <c r="R2" s="14" t="s">
        <v>20</v>
      </c>
      <c r="S2" s="14" t="s">
        <v>2</v>
      </c>
      <c r="T2" s="13" t="s">
        <v>21</v>
      </c>
    </row>
    <row r="3" spans="1:20" x14ac:dyDescent="0.25">
      <c r="A3" s="15" t="s">
        <v>22</v>
      </c>
      <c r="B3" s="16">
        <f>+E3+G3+H3+J3</f>
        <v>21262.056612</v>
      </c>
      <c r="C3" s="17">
        <v>0.96</v>
      </c>
      <c r="D3" s="33">
        <f>+F3</f>
        <v>0.95550291689722833</v>
      </c>
      <c r="E3" s="16">
        <v>20315.957112</v>
      </c>
      <c r="F3" s="18">
        <f t="shared" ref="F3:F4" si="0">+E3/B3</f>
        <v>0.95550291689722833</v>
      </c>
      <c r="G3" s="16">
        <v>924.97349999999994</v>
      </c>
      <c r="H3" s="16">
        <v>21.126000000000001</v>
      </c>
      <c r="I3" s="18">
        <f t="shared" ref="I3:I4" si="1">+(G3+H3)/B3</f>
        <v>4.4497083102771673E-2</v>
      </c>
      <c r="J3" s="16">
        <v>0</v>
      </c>
      <c r="K3" s="18">
        <f t="shared" ref="K3:K4" si="2">+J3/B3</f>
        <v>0</v>
      </c>
      <c r="L3" s="130">
        <v>0.125</v>
      </c>
      <c r="M3" s="130">
        <v>0.86428775225108878</v>
      </c>
      <c r="N3" s="19"/>
      <c r="O3" s="19">
        <v>9</v>
      </c>
      <c r="P3" s="19"/>
      <c r="Q3" s="35"/>
      <c r="R3" s="35"/>
      <c r="S3" s="18">
        <v>1</v>
      </c>
      <c r="T3" s="20">
        <v>0</v>
      </c>
    </row>
    <row r="4" spans="1:20" x14ac:dyDescent="0.25">
      <c r="A4" s="15" t="s">
        <v>23</v>
      </c>
      <c r="B4" s="16">
        <f>+E4+G4+H4+J4</f>
        <v>23379.630799999999</v>
      </c>
      <c r="C4" s="17">
        <v>0.96</v>
      </c>
      <c r="D4" s="131">
        <f>AVERAGE(F3:F4)</f>
        <v>0.96371723982442614</v>
      </c>
      <c r="E4" s="16">
        <v>22723.401099999999</v>
      </c>
      <c r="F4" s="17">
        <f t="shared" si="0"/>
        <v>0.97193156275162396</v>
      </c>
      <c r="G4" s="16">
        <v>651.12969999999996</v>
      </c>
      <c r="H4" s="16">
        <v>5.0999999999999996</v>
      </c>
      <c r="I4" s="18">
        <f t="shared" si="1"/>
        <v>2.8068437248376054E-2</v>
      </c>
      <c r="J4" s="16">
        <v>0</v>
      </c>
      <c r="K4" s="17">
        <f t="shared" si="2"/>
        <v>0</v>
      </c>
      <c r="L4" s="132">
        <v>0.54545454545454541</v>
      </c>
      <c r="M4" s="34">
        <v>0.84073871030468028</v>
      </c>
      <c r="N4" s="19"/>
      <c r="O4" s="19"/>
      <c r="P4" s="19"/>
      <c r="Q4" s="35"/>
      <c r="R4" s="35"/>
      <c r="S4" s="18">
        <v>1</v>
      </c>
      <c r="T4" s="20">
        <v>0</v>
      </c>
    </row>
    <row r="7" spans="1:20" x14ac:dyDescent="0.25">
      <c r="A7" s="113" t="s">
        <v>0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</row>
    <row r="8" spans="1:20" x14ac:dyDescent="0.25">
      <c r="A8" s="115" t="s">
        <v>6</v>
      </c>
      <c r="B8" s="116" t="s">
        <v>24</v>
      </c>
      <c r="C8" s="117"/>
      <c r="D8" s="117"/>
      <c r="E8" s="117"/>
      <c r="F8" s="117"/>
      <c r="G8" s="117"/>
      <c r="H8" s="118"/>
      <c r="I8" s="119" t="s">
        <v>8</v>
      </c>
      <c r="J8" s="120"/>
      <c r="K8" s="21" t="s">
        <v>25</v>
      </c>
      <c r="L8" s="21" t="s">
        <v>34</v>
      </c>
    </row>
    <row r="9" spans="1:20" x14ac:dyDescent="0.25">
      <c r="A9" s="115"/>
      <c r="B9" s="121" t="s">
        <v>26</v>
      </c>
      <c r="C9" s="122"/>
      <c r="D9" s="122"/>
      <c r="E9" s="123"/>
      <c r="F9" s="103" t="s">
        <v>27</v>
      </c>
      <c r="G9" s="104"/>
      <c r="H9" s="105"/>
      <c r="I9" s="106" t="s">
        <v>28</v>
      </c>
      <c r="J9" s="107"/>
      <c r="K9" s="22" t="s">
        <v>29</v>
      </c>
      <c r="L9" s="22" t="s">
        <v>35</v>
      </c>
    </row>
    <row r="10" spans="1:20" x14ac:dyDescent="0.25">
      <c r="A10" s="115"/>
      <c r="B10" s="23" t="s">
        <v>8</v>
      </c>
      <c r="C10" s="24" t="s">
        <v>2</v>
      </c>
      <c r="D10" s="24" t="s">
        <v>30</v>
      </c>
      <c r="E10" s="25" t="s">
        <v>31</v>
      </c>
      <c r="F10" s="24" t="s">
        <v>2</v>
      </c>
      <c r="G10" s="24" t="s">
        <v>30</v>
      </c>
      <c r="H10" s="25" t="s">
        <v>31</v>
      </c>
      <c r="I10" s="26" t="s">
        <v>30</v>
      </c>
      <c r="J10" s="26" t="s">
        <v>31</v>
      </c>
      <c r="K10" s="27" t="s">
        <v>32</v>
      </c>
      <c r="L10" s="27" t="s">
        <v>32</v>
      </c>
    </row>
    <row r="11" spans="1:20" x14ac:dyDescent="0.25">
      <c r="A11" s="28" t="s">
        <v>22</v>
      </c>
      <c r="B11" s="29">
        <v>0.97</v>
      </c>
      <c r="C11" s="29">
        <v>0.96649832032869809</v>
      </c>
      <c r="D11" s="30">
        <v>16508.550369999997</v>
      </c>
      <c r="E11" s="30">
        <v>572.2349999999999</v>
      </c>
      <c r="F11" s="36">
        <v>0.96649832032869809</v>
      </c>
      <c r="G11" s="31">
        <v>16508.550369999997</v>
      </c>
      <c r="H11" s="31">
        <v>572.2349999999999</v>
      </c>
      <c r="I11" s="37" t="s">
        <v>36</v>
      </c>
      <c r="J11" s="37" t="s">
        <v>37</v>
      </c>
      <c r="K11" s="32">
        <v>0</v>
      </c>
      <c r="L11" s="38">
        <v>0.34970760976740572</v>
      </c>
    </row>
    <row r="12" spans="1:20" x14ac:dyDescent="0.25">
      <c r="A12" s="28" t="s">
        <v>23</v>
      </c>
      <c r="B12" s="29">
        <v>0.97</v>
      </c>
      <c r="C12" s="29">
        <v>0.96555500289603158</v>
      </c>
      <c r="D12" s="30">
        <v>34231.023107000001</v>
      </c>
      <c r="E12" s="30">
        <v>1221.1499999999999</v>
      </c>
      <c r="F12" s="36">
        <v>0.9646779541486088</v>
      </c>
      <c r="G12" s="31">
        <v>17722.472737000007</v>
      </c>
      <c r="H12" s="31">
        <v>648.91499999999996</v>
      </c>
      <c r="I12" s="37" t="s">
        <v>36</v>
      </c>
      <c r="J12" s="37" t="s">
        <v>37</v>
      </c>
      <c r="K12" s="32">
        <v>0</v>
      </c>
      <c r="L12" s="38">
        <v>0.57497700091996318</v>
      </c>
    </row>
    <row r="15" spans="1:20" x14ac:dyDescent="0.25">
      <c r="A15" s="39" t="s">
        <v>38</v>
      </c>
      <c r="B15" s="39" t="s">
        <v>39</v>
      </c>
      <c r="C15" s="39" t="s">
        <v>40</v>
      </c>
      <c r="D15" s="39" t="s">
        <v>41</v>
      </c>
      <c r="E15" s="39" t="s">
        <v>42</v>
      </c>
      <c r="F15" s="39" t="s">
        <v>43</v>
      </c>
      <c r="G15" s="39" t="s">
        <v>44</v>
      </c>
      <c r="H15" s="39" t="s">
        <v>45</v>
      </c>
    </row>
    <row r="16" spans="1:20" x14ac:dyDescent="0.25">
      <c r="A16" s="108">
        <v>1</v>
      </c>
      <c r="B16" s="40" t="s">
        <v>46</v>
      </c>
      <c r="C16" s="41">
        <v>387</v>
      </c>
      <c r="D16" s="42">
        <v>468</v>
      </c>
      <c r="E16" s="42">
        <v>609</v>
      </c>
      <c r="F16" s="42">
        <v>453</v>
      </c>
      <c r="G16" s="42">
        <v>438</v>
      </c>
      <c r="H16" s="42">
        <v>889</v>
      </c>
    </row>
    <row r="17" spans="1:8" x14ac:dyDescent="0.25">
      <c r="A17" s="108"/>
      <c r="B17" s="40" t="s">
        <v>47</v>
      </c>
      <c r="C17" s="41">
        <v>357</v>
      </c>
      <c r="D17" s="42">
        <v>457</v>
      </c>
      <c r="E17" s="41">
        <v>562</v>
      </c>
      <c r="F17" s="42">
        <v>415</v>
      </c>
      <c r="G17" s="42">
        <v>415</v>
      </c>
      <c r="H17" s="42">
        <v>861</v>
      </c>
    </row>
    <row r="18" spans="1:8" x14ac:dyDescent="0.25">
      <c r="A18" s="108"/>
      <c r="B18" s="40" t="s">
        <v>8</v>
      </c>
      <c r="C18" s="41">
        <v>30</v>
      </c>
      <c r="D18" s="41">
        <v>11</v>
      </c>
      <c r="E18" s="41">
        <v>47</v>
      </c>
      <c r="F18" s="42">
        <v>38</v>
      </c>
      <c r="G18" s="41">
        <v>23</v>
      </c>
      <c r="H18" s="41">
        <v>28</v>
      </c>
    </row>
    <row r="19" spans="1:8" x14ac:dyDescent="0.25">
      <c r="A19" s="108"/>
      <c r="B19" s="133" t="s">
        <v>2</v>
      </c>
      <c r="C19" s="134">
        <v>0.92248062015503873</v>
      </c>
      <c r="D19" s="134">
        <v>0.97649572649572647</v>
      </c>
      <c r="E19" s="134">
        <v>0.92282430213464695</v>
      </c>
      <c r="F19" s="134">
        <v>0.91611479028697573</v>
      </c>
      <c r="G19" s="134">
        <v>0.94748858447488582</v>
      </c>
      <c r="H19" s="134">
        <v>0.96850393700787396</v>
      </c>
    </row>
    <row r="20" spans="1:8" x14ac:dyDescent="0.25">
      <c r="A20" s="108">
        <v>2</v>
      </c>
      <c r="B20" s="40" t="s">
        <v>46</v>
      </c>
      <c r="C20" s="41">
        <v>387</v>
      </c>
      <c r="D20" s="42">
        <v>468</v>
      </c>
      <c r="E20" s="42">
        <v>609</v>
      </c>
      <c r="F20" s="42">
        <v>453</v>
      </c>
      <c r="G20" s="42">
        <v>440</v>
      </c>
      <c r="H20" s="42">
        <v>889</v>
      </c>
    </row>
    <row r="21" spans="1:8" x14ac:dyDescent="0.25">
      <c r="A21" s="108"/>
      <c r="B21" s="40" t="s">
        <v>47</v>
      </c>
      <c r="C21" s="41">
        <v>363</v>
      </c>
      <c r="D21" s="42">
        <v>455</v>
      </c>
      <c r="E21" s="41">
        <v>564</v>
      </c>
      <c r="F21" s="42">
        <v>425</v>
      </c>
      <c r="G21" s="42">
        <v>404</v>
      </c>
      <c r="H21" s="42">
        <v>863</v>
      </c>
    </row>
    <row r="22" spans="1:8" x14ac:dyDescent="0.25">
      <c r="A22" s="108"/>
      <c r="B22" s="40" t="s">
        <v>8</v>
      </c>
      <c r="C22" s="41">
        <v>24</v>
      </c>
      <c r="D22" s="41">
        <v>13</v>
      </c>
      <c r="E22" s="41">
        <v>45</v>
      </c>
      <c r="F22" s="41">
        <v>28</v>
      </c>
      <c r="G22" s="41">
        <v>36</v>
      </c>
      <c r="H22" s="41">
        <v>26</v>
      </c>
    </row>
    <row r="23" spans="1:8" x14ac:dyDescent="0.25">
      <c r="A23" s="108"/>
      <c r="B23" s="135" t="s">
        <v>2</v>
      </c>
      <c r="C23" s="136">
        <v>0.93798449612403101</v>
      </c>
      <c r="D23" s="137">
        <v>0.97222222222222221</v>
      </c>
      <c r="E23" s="136">
        <v>0.92610837438423643</v>
      </c>
      <c r="F23" s="136">
        <v>0.9381898454746137</v>
      </c>
      <c r="G23" s="137">
        <v>0.91818181818181821</v>
      </c>
      <c r="H23" s="136">
        <v>0.97075365579302586</v>
      </c>
    </row>
  </sheetData>
  <mergeCells count="13">
    <mergeCell ref="I9:J9"/>
    <mergeCell ref="A16:A19"/>
    <mergeCell ref="A20:A23"/>
    <mergeCell ref="A1:K1"/>
    <mergeCell ref="Q1:S1"/>
    <mergeCell ref="E2:F2"/>
    <mergeCell ref="J2:K2"/>
    <mergeCell ref="A7:L7"/>
    <mergeCell ref="I8:J8"/>
    <mergeCell ref="A8:A10"/>
    <mergeCell ref="B8:H8"/>
    <mergeCell ref="B9:E9"/>
    <mergeCell ref="F9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36"/>
  <sheetViews>
    <sheetView zoomScale="80" zoomScaleNormal="80" workbookViewId="0">
      <pane ySplit="6" topLeftCell="A7" activePane="bottomLeft" state="frozen"/>
      <selection pane="bottomLeft" activeCell="N20" sqref="N20"/>
    </sheetView>
  </sheetViews>
  <sheetFormatPr defaultRowHeight="15" x14ac:dyDescent="0.25"/>
  <cols>
    <col min="1" max="1" width="4.5703125" customWidth="1"/>
    <col min="2" max="2" width="29.85546875" customWidth="1"/>
    <col min="3" max="9" width="5.7109375" customWidth="1"/>
    <col min="10" max="10" width="5" customWidth="1"/>
    <col min="11" max="33" width="5.7109375" customWidth="1"/>
    <col min="34" max="34" width="11.140625" customWidth="1"/>
    <col min="35" max="39" width="5.7109375" customWidth="1"/>
    <col min="40" max="41" width="5.85546875" customWidth="1"/>
  </cols>
  <sheetData>
    <row r="1" spans="1:55" ht="17.25" x14ac:dyDescent="0.25">
      <c r="A1" s="124" t="s">
        <v>48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</row>
    <row r="2" spans="1:55" x14ac:dyDescent="0.25">
      <c r="A2" s="125" t="s">
        <v>172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44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</row>
    <row r="3" spans="1:55" x14ac:dyDescent="0.25">
      <c r="A3" s="45"/>
      <c r="B3" s="46" t="s">
        <v>49</v>
      </c>
      <c r="C3" s="43" t="s">
        <v>50</v>
      </c>
      <c r="D3" s="47" t="s">
        <v>51</v>
      </c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</row>
    <row r="4" spans="1:55" x14ac:dyDescent="0.25">
      <c r="A4" s="46"/>
      <c r="B4" s="46" t="s">
        <v>52</v>
      </c>
      <c r="C4" s="43" t="s">
        <v>50</v>
      </c>
      <c r="D4" s="47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5" spans="1:55" x14ac:dyDescent="0.25">
      <c r="A5" s="46"/>
      <c r="B5" s="46" t="s">
        <v>53</v>
      </c>
      <c r="C5" s="43" t="s">
        <v>50</v>
      </c>
      <c r="D5" s="47" t="s">
        <v>54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</row>
    <row r="6" spans="1:55" s="50" customFormat="1" ht="12.75" customHeight="1" x14ac:dyDescent="0.15">
      <c r="A6" s="48" t="s">
        <v>55</v>
      </c>
      <c r="B6" s="48" t="s">
        <v>56</v>
      </c>
      <c r="C6" s="48">
        <v>1</v>
      </c>
      <c r="D6" s="48">
        <v>2</v>
      </c>
      <c r="E6" s="48">
        <v>3</v>
      </c>
      <c r="F6" s="48">
        <v>4</v>
      </c>
      <c r="G6" s="48">
        <v>5</v>
      </c>
      <c r="H6" s="48">
        <v>6</v>
      </c>
      <c r="I6" s="48">
        <v>7</v>
      </c>
      <c r="J6" s="48">
        <v>8</v>
      </c>
      <c r="K6" s="48">
        <v>9</v>
      </c>
      <c r="L6" s="48">
        <v>10</v>
      </c>
      <c r="M6" s="48">
        <v>11</v>
      </c>
      <c r="N6" s="48">
        <v>12</v>
      </c>
      <c r="O6" s="48">
        <v>13</v>
      </c>
      <c r="P6" s="48">
        <v>14</v>
      </c>
      <c r="Q6" s="48">
        <v>15</v>
      </c>
      <c r="R6" s="48">
        <v>16</v>
      </c>
      <c r="S6" s="48">
        <v>17</v>
      </c>
      <c r="T6" s="48">
        <v>18</v>
      </c>
      <c r="U6" s="48">
        <v>19</v>
      </c>
      <c r="V6" s="48">
        <v>20</v>
      </c>
      <c r="W6" s="48">
        <v>21</v>
      </c>
      <c r="X6" s="48">
        <v>22</v>
      </c>
      <c r="Y6" s="48">
        <v>23</v>
      </c>
      <c r="Z6" s="48">
        <v>24</v>
      </c>
      <c r="AA6" s="48">
        <v>25</v>
      </c>
      <c r="AB6" s="48">
        <v>26</v>
      </c>
      <c r="AC6" s="48">
        <v>27</v>
      </c>
      <c r="AD6" s="48">
        <v>28</v>
      </c>
      <c r="AE6" s="48">
        <v>29</v>
      </c>
      <c r="AF6" s="48">
        <v>30</v>
      </c>
      <c r="AG6" s="48">
        <v>31</v>
      </c>
      <c r="AH6" s="49" t="s">
        <v>57</v>
      </c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</row>
    <row r="7" spans="1:55" s="50" customFormat="1" ht="12.95" customHeight="1" x14ac:dyDescent="0.15">
      <c r="A7" s="51">
        <v>1</v>
      </c>
      <c r="B7" s="52" t="s">
        <v>58</v>
      </c>
      <c r="C7" s="53"/>
      <c r="D7" s="53"/>
      <c r="E7" s="53"/>
      <c r="F7" s="53"/>
      <c r="G7" s="53"/>
      <c r="H7" s="53"/>
      <c r="I7" s="53"/>
      <c r="J7" s="53"/>
      <c r="K7" s="53" t="s">
        <v>59</v>
      </c>
      <c r="L7" s="53"/>
      <c r="M7" s="53"/>
      <c r="N7" s="53"/>
      <c r="O7" s="53" t="s">
        <v>60</v>
      </c>
      <c r="P7" s="53"/>
      <c r="Q7" s="53"/>
      <c r="R7" s="53"/>
      <c r="S7" s="53"/>
      <c r="T7" s="53"/>
      <c r="U7" s="53" t="s">
        <v>61</v>
      </c>
      <c r="V7" s="53"/>
      <c r="W7" s="53"/>
      <c r="X7" s="53"/>
      <c r="Y7" s="53"/>
      <c r="Z7" s="53"/>
      <c r="AA7" s="53"/>
      <c r="AB7" s="53" t="s">
        <v>60</v>
      </c>
      <c r="AC7" s="53"/>
      <c r="AD7" s="53" t="s">
        <v>61</v>
      </c>
      <c r="AE7" s="53"/>
      <c r="AF7" s="53"/>
      <c r="AG7" s="53"/>
      <c r="AH7" s="54"/>
      <c r="AI7" s="126" t="s">
        <v>62</v>
      </c>
      <c r="AJ7" s="127"/>
      <c r="AK7" s="127"/>
      <c r="AL7" s="55"/>
      <c r="AM7" s="127" t="s">
        <v>10</v>
      </c>
      <c r="AN7" s="127"/>
      <c r="AO7" s="127"/>
      <c r="AP7" s="55"/>
      <c r="AQ7" s="55"/>
      <c r="AR7" s="55"/>
      <c r="AS7" s="55"/>
      <c r="AT7" s="55"/>
      <c r="AU7" s="55"/>
      <c r="AV7" s="45"/>
      <c r="AW7" s="45"/>
      <c r="AX7" s="45"/>
      <c r="AY7" s="45"/>
      <c r="AZ7" s="45"/>
      <c r="BA7" s="45"/>
      <c r="BB7" s="45"/>
      <c r="BC7" s="45"/>
    </row>
    <row r="8" spans="1:55" s="50" customFormat="1" ht="12.95" customHeight="1" x14ac:dyDescent="0.15">
      <c r="A8" s="51">
        <f>1+A7</f>
        <v>2</v>
      </c>
      <c r="B8" s="52" t="s">
        <v>64</v>
      </c>
      <c r="C8" s="53"/>
      <c r="D8" s="53" t="s">
        <v>60</v>
      </c>
      <c r="E8" s="53" t="s">
        <v>61</v>
      </c>
      <c r="F8" s="53"/>
      <c r="G8" s="53"/>
      <c r="H8" s="53" t="s">
        <v>60</v>
      </c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 t="s">
        <v>59</v>
      </c>
      <c r="U8" s="53"/>
      <c r="V8" s="53"/>
      <c r="W8" s="53"/>
      <c r="X8" s="53"/>
      <c r="Y8" s="53"/>
      <c r="Z8" s="53"/>
      <c r="AA8" s="53"/>
      <c r="AB8" s="53" t="s">
        <v>60</v>
      </c>
      <c r="AC8" s="53" t="s">
        <v>59</v>
      </c>
      <c r="AD8" s="53" t="s">
        <v>61</v>
      </c>
      <c r="AE8" s="56"/>
      <c r="AF8" s="53"/>
      <c r="AG8" s="53"/>
      <c r="AH8" s="57"/>
      <c r="AI8" s="58" t="s">
        <v>60</v>
      </c>
      <c r="AJ8" s="59" t="s">
        <v>59</v>
      </c>
      <c r="AK8" s="60" t="s">
        <v>61</v>
      </c>
      <c r="AL8" s="55"/>
      <c r="AM8" s="58" t="s">
        <v>60</v>
      </c>
      <c r="AN8" s="59" t="s">
        <v>59</v>
      </c>
      <c r="AO8" s="60" t="s">
        <v>61</v>
      </c>
      <c r="AP8" s="55"/>
      <c r="AQ8" s="55"/>
      <c r="AR8" s="55"/>
      <c r="AS8" s="55"/>
      <c r="AT8" s="55"/>
      <c r="AU8" s="55"/>
      <c r="AV8" s="45"/>
      <c r="AW8" s="45"/>
      <c r="AX8" s="45"/>
      <c r="AY8" s="45"/>
      <c r="AZ8" s="45"/>
      <c r="BA8" s="45"/>
      <c r="BB8" s="45"/>
      <c r="BC8" s="45"/>
    </row>
    <row r="9" spans="1:55" s="50" customFormat="1" ht="12.95" customHeight="1" x14ac:dyDescent="0.15">
      <c r="A9" s="51">
        <f t="shared" ref="A9:A63" si="0">1+A8</f>
        <v>3</v>
      </c>
      <c r="B9" s="52" t="s">
        <v>65</v>
      </c>
      <c r="C9" s="53"/>
      <c r="D9" s="53"/>
      <c r="E9" s="53" t="s">
        <v>60</v>
      </c>
      <c r="F9" s="53" t="s">
        <v>61</v>
      </c>
      <c r="G9" s="53"/>
      <c r="H9" s="53" t="s">
        <v>60</v>
      </c>
      <c r="I9" s="53"/>
      <c r="J9" s="53"/>
      <c r="K9" s="53" t="s">
        <v>61</v>
      </c>
      <c r="L9" s="53"/>
      <c r="M9" s="53"/>
      <c r="N9" s="53" t="s">
        <v>60</v>
      </c>
      <c r="O9" s="53" t="s">
        <v>61</v>
      </c>
      <c r="P9" s="53"/>
      <c r="Q9" s="53"/>
      <c r="R9" s="53" t="s">
        <v>60</v>
      </c>
      <c r="S9" s="53"/>
      <c r="T9" s="53" t="s">
        <v>61</v>
      </c>
      <c r="U9" s="53"/>
      <c r="V9" s="53"/>
      <c r="W9" s="53"/>
      <c r="X9" s="53"/>
      <c r="Y9" s="53" t="s">
        <v>60</v>
      </c>
      <c r="Z9" s="53" t="s">
        <v>61</v>
      </c>
      <c r="AA9" s="53"/>
      <c r="AB9" s="53" t="s">
        <v>60</v>
      </c>
      <c r="AC9" s="53" t="s">
        <v>61</v>
      </c>
      <c r="AD9" s="53"/>
      <c r="AE9" s="53"/>
      <c r="AF9" s="53"/>
      <c r="AG9" s="53"/>
      <c r="AH9" s="54"/>
      <c r="AI9" s="54">
        <f>COUNTIF(C7:AG63,"T")</f>
        <v>99</v>
      </c>
      <c r="AJ9" s="54">
        <f>COUNTIF(C7:AG63,"TB")</f>
        <v>38</v>
      </c>
      <c r="AK9" s="54">
        <f>COUNTIF(C7:AG63,"B")</f>
        <v>75</v>
      </c>
      <c r="AL9" s="55"/>
      <c r="AM9" s="54">
        <f>COUNTIF(C71:AG135,"T")</f>
        <v>38</v>
      </c>
      <c r="AN9" s="54">
        <f>COUNTIF(C75:AG135,"TB")</f>
        <v>9</v>
      </c>
      <c r="AO9" s="54">
        <f>COUNTIF(C71:AG135,"B")</f>
        <v>41</v>
      </c>
      <c r="AP9" s="55"/>
      <c r="AQ9" s="55"/>
      <c r="AR9" s="55"/>
      <c r="AS9" s="55"/>
      <c r="AT9" s="55"/>
      <c r="AU9" s="55"/>
      <c r="AV9" s="45"/>
      <c r="AW9" s="45"/>
      <c r="AX9" s="45"/>
      <c r="AY9" s="45"/>
      <c r="AZ9" s="45"/>
      <c r="BA9" s="45"/>
      <c r="BB9" s="45"/>
      <c r="BC9" s="45"/>
    </row>
    <row r="10" spans="1:55" s="50" customFormat="1" ht="12.95" customHeight="1" x14ac:dyDescent="0.15">
      <c r="A10" s="51">
        <f t="shared" si="0"/>
        <v>4</v>
      </c>
      <c r="B10" s="52" t="s">
        <v>133</v>
      </c>
      <c r="C10" s="53"/>
      <c r="D10" s="53" t="s">
        <v>60</v>
      </c>
      <c r="E10" s="53" t="s">
        <v>61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 t="s">
        <v>61</v>
      </c>
      <c r="V10" s="53"/>
      <c r="W10" s="53"/>
      <c r="X10" s="53"/>
      <c r="Y10" s="53"/>
      <c r="Z10" s="53"/>
      <c r="AA10" s="53"/>
      <c r="AB10" s="53" t="s">
        <v>60</v>
      </c>
      <c r="AC10" s="53"/>
      <c r="AD10" s="53"/>
      <c r="AE10" s="53"/>
      <c r="AF10" s="53"/>
      <c r="AG10" s="53"/>
      <c r="AH10" s="54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45"/>
      <c r="AW10" s="45"/>
      <c r="AX10" s="45"/>
      <c r="AY10" s="45"/>
      <c r="AZ10" s="45"/>
      <c r="BA10" s="45"/>
      <c r="BB10" s="45"/>
      <c r="BC10" s="45"/>
    </row>
    <row r="11" spans="1:55" s="50" customFormat="1" ht="12.95" customHeight="1" x14ac:dyDescent="0.15">
      <c r="A11" s="51">
        <f t="shared" si="0"/>
        <v>5</v>
      </c>
      <c r="B11" s="52" t="s">
        <v>128</v>
      </c>
      <c r="C11" s="53"/>
      <c r="D11" s="53"/>
      <c r="E11" s="53"/>
      <c r="F11" s="53"/>
      <c r="G11" s="53"/>
      <c r="H11" s="53"/>
      <c r="I11" s="53" t="s">
        <v>60</v>
      </c>
      <c r="J11" s="53"/>
      <c r="K11" s="53"/>
      <c r="L11" s="53"/>
      <c r="M11" s="53" t="s">
        <v>60</v>
      </c>
      <c r="N11" s="53" t="s">
        <v>60</v>
      </c>
      <c r="O11" s="53"/>
      <c r="P11" s="53"/>
      <c r="Q11" s="53"/>
      <c r="R11" s="53"/>
      <c r="S11" s="53"/>
      <c r="T11" s="53" t="s">
        <v>61</v>
      </c>
      <c r="U11" s="53"/>
      <c r="V11" s="53"/>
      <c r="W11" s="53"/>
      <c r="X11" s="53"/>
      <c r="Y11" s="53"/>
      <c r="Z11" s="53"/>
      <c r="AA11" s="53"/>
      <c r="AB11" s="53" t="s">
        <v>60</v>
      </c>
      <c r="AC11" s="53"/>
      <c r="AD11" s="53"/>
      <c r="AE11" s="53"/>
      <c r="AF11" s="53"/>
      <c r="AG11" s="53"/>
      <c r="AH11" s="54"/>
      <c r="AI11" s="61" t="s">
        <v>60</v>
      </c>
      <c r="AJ11" s="61" t="s">
        <v>61</v>
      </c>
      <c r="AK11" s="55"/>
      <c r="AL11" s="62">
        <f>AJ12/AI12</f>
        <v>0.88586956521739135</v>
      </c>
      <c r="AM11" s="55"/>
      <c r="AN11" s="55"/>
      <c r="AO11" s="55"/>
      <c r="AP11" s="55"/>
      <c r="AQ11" s="55"/>
      <c r="AR11" s="55"/>
      <c r="AS11" s="55"/>
      <c r="AT11" s="55"/>
      <c r="AU11" s="55"/>
      <c r="AV11" s="45"/>
      <c r="AW11" s="45"/>
      <c r="AX11" s="45"/>
      <c r="AY11" s="45"/>
      <c r="AZ11" s="45"/>
      <c r="BA11" s="45"/>
      <c r="BB11" s="45"/>
      <c r="BC11" s="45"/>
    </row>
    <row r="12" spans="1:55" s="50" customFormat="1" ht="12.95" customHeight="1" x14ac:dyDescent="0.15">
      <c r="A12" s="51">
        <f t="shared" si="0"/>
        <v>6</v>
      </c>
      <c r="B12" s="52" t="s">
        <v>154</v>
      </c>
      <c r="C12" s="53"/>
      <c r="D12" s="53"/>
      <c r="E12" s="53" t="s">
        <v>60</v>
      </c>
      <c r="F12" s="53"/>
      <c r="G12" s="53"/>
      <c r="H12" s="53"/>
      <c r="I12" s="53"/>
      <c r="J12" s="53"/>
      <c r="K12" s="53"/>
      <c r="L12" s="53" t="s">
        <v>61</v>
      </c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  <c r="AI12" s="55">
        <f>AI9+AJ9+AM9+AN9</f>
        <v>184</v>
      </c>
      <c r="AJ12" s="55">
        <f>AJ9+AK9+AN9+AO9</f>
        <v>163</v>
      </c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45"/>
      <c r="AW12" s="45"/>
      <c r="AX12" s="45"/>
      <c r="AY12" s="45"/>
      <c r="AZ12" s="45"/>
      <c r="BA12" s="45"/>
      <c r="BB12" s="45"/>
      <c r="BC12" s="45"/>
    </row>
    <row r="13" spans="1:55" s="50" customFormat="1" ht="12.95" customHeight="1" x14ac:dyDescent="0.15">
      <c r="A13" s="51">
        <f t="shared" si="0"/>
        <v>7</v>
      </c>
      <c r="B13" s="52" t="s">
        <v>67</v>
      </c>
      <c r="C13" s="53"/>
      <c r="D13" s="53"/>
      <c r="E13" s="53"/>
      <c r="F13" s="53"/>
      <c r="G13" s="53" t="s">
        <v>60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 t="s">
        <v>61</v>
      </c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4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45"/>
      <c r="AW13" s="45"/>
      <c r="AX13" s="45"/>
      <c r="AY13" s="45"/>
      <c r="AZ13" s="45"/>
      <c r="BA13" s="45"/>
      <c r="BB13" s="45"/>
      <c r="BC13" s="45"/>
    </row>
    <row r="14" spans="1:55" s="50" customFormat="1" ht="12.95" customHeight="1" x14ac:dyDescent="0.15">
      <c r="A14" s="51">
        <f t="shared" si="0"/>
        <v>8</v>
      </c>
      <c r="B14" s="52" t="s">
        <v>68</v>
      </c>
      <c r="C14" s="53"/>
      <c r="D14" s="53" t="s">
        <v>60</v>
      </c>
      <c r="E14" s="53"/>
      <c r="F14" s="53"/>
      <c r="G14" s="53" t="s">
        <v>61</v>
      </c>
      <c r="H14" s="53"/>
      <c r="I14" s="53"/>
      <c r="J14" s="53"/>
      <c r="K14" s="53"/>
      <c r="L14" s="53"/>
      <c r="M14" s="53" t="s">
        <v>59</v>
      </c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 t="s">
        <v>59</v>
      </c>
      <c r="Z14" s="53"/>
      <c r="AA14" s="53"/>
      <c r="AB14" s="53" t="s">
        <v>60</v>
      </c>
      <c r="AC14" s="53"/>
      <c r="AD14" s="53"/>
      <c r="AE14" s="53"/>
      <c r="AF14" s="53"/>
      <c r="AG14" s="53"/>
      <c r="AH14" s="54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45"/>
      <c r="AW14" s="45"/>
      <c r="AX14" s="45"/>
      <c r="AY14" s="45"/>
      <c r="AZ14" s="45"/>
      <c r="BA14" s="45"/>
      <c r="BB14" s="45"/>
      <c r="BC14" s="45"/>
    </row>
    <row r="15" spans="1:55" s="50" customFormat="1" ht="12.95" customHeight="1" x14ac:dyDescent="0.15">
      <c r="A15" s="51">
        <f t="shared" si="0"/>
        <v>9</v>
      </c>
      <c r="B15" s="52" t="s">
        <v>69</v>
      </c>
      <c r="C15" s="53"/>
      <c r="D15" s="53" t="s">
        <v>60</v>
      </c>
      <c r="E15" s="53" t="s">
        <v>61</v>
      </c>
      <c r="F15" s="53"/>
      <c r="G15" s="53"/>
      <c r="H15" s="53"/>
      <c r="I15" s="53" t="s">
        <v>60</v>
      </c>
      <c r="J15" s="53"/>
      <c r="K15" s="53"/>
      <c r="L15" s="53"/>
      <c r="M15" s="53" t="s">
        <v>61</v>
      </c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 t="s">
        <v>60</v>
      </c>
      <c r="Z15" s="53" t="s">
        <v>61</v>
      </c>
      <c r="AA15" s="53"/>
      <c r="AB15" s="53"/>
      <c r="AC15" s="53"/>
      <c r="AD15" s="53"/>
      <c r="AE15" s="53"/>
      <c r="AF15" s="53"/>
      <c r="AG15" s="53"/>
      <c r="AH15" s="54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45"/>
      <c r="AW15" s="45"/>
      <c r="AX15" s="45"/>
      <c r="AY15" s="45"/>
      <c r="AZ15" s="45"/>
      <c r="BA15" s="45"/>
      <c r="BB15" s="45"/>
      <c r="BC15" s="45"/>
    </row>
    <row r="16" spans="1:55" s="50" customFormat="1" ht="12.95" customHeight="1" x14ac:dyDescent="0.15">
      <c r="A16" s="51">
        <f t="shared" si="0"/>
        <v>10</v>
      </c>
      <c r="B16" s="52" t="s">
        <v>70</v>
      </c>
      <c r="C16" s="53"/>
      <c r="D16" s="53" t="s">
        <v>60</v>
      </c>
      <c r="E16" s="53" t="s">
        <v>61</v>
      </c>
      <c r="F16" s="53"/>
      <c r="G16" s="53"/>
      <c r="H16" s="53"/>
      <c r="I16" s="53" t="s">
        <v>60</v>
      </c>
      <c r="J16" s="53"/>
      <c r="K16" s="53"/>
      <c r="L16" s="53"/>
      <c r="M16" s="53" t="s">
        <v>61</v>
      </c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 t="s">
        <v>60</v>
      </c>
      <c r="Z16" s="53" t="s">
        <v>61</v>
      </c>
      <c r="AA16" s="53"/>
      <c r="AB16" s="53"/>
      <c r="AC16" s="53"/>
      <c r="AD16" s="53"/>
      <c r="AE16" s="53"/>
      <c r="AF16" s="53"/>
      <c r="AG16" s="53"/>
      <c r="AH16" s="54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45"/>
      <c r="AW16" s="45"/>
      <c r="AX16" s="45"/>
      <c r="AY16" s="45"/>
      <c r="AZ16" s="45"/>
      <c r="BA16" s="45"/>
      <c r="BB16" s="45"/>
      <c r="BC16" s="45"/>
    </row>
    <row r="17" spans="1:55" s="50" customFormat="1" ht="12.95" customHeight="1" x14ac:dyDescent="0.15">
      <c r="A17" s="51">
        <f t="shared" si="0"/>
        <v>11</v>
      </c>
      <c r="B17" s="52" t="s">
        <v>71</v>
      </c>
      <c r="C17" s="53"/>
      <c r="D17" s="53"/>
      <c r="E17" s="53"/>
      <c r="F17" s="53"/>
      <c r="G17" s="53" t="s">
        <v>60</v>
      </c>
      <c r="H17" s="53"/>
      <c r="I17" s="53"/>
      <c r="J17" s="53"/>
      <c r="K17" s="53"/>
      <c r="L17" s="53" t="s">
        <v>59</v>
      </c>
      <c r="M17" s="53"/>
      <c r="N17" s="53"/>
      <c r="O17" s="53"/>
      <c r="P17" s="53"/>
      <c r="Q17" s="53"/>
      <c r="R17" s="53"/>
      <c r="S17" s="53"/>
      <c r="T17" s="53" t="s">
        <v>60</v>
      </c>
      <c r="U17" s="53" t="s">
        <v>61</v>
      </c>
      <c r="V17" s="53"/>
      <c r="W17" s="53"/>
      <c r="X17" s="53"/>
      <c r="Y17" s="53"/>
      <c r="Z17" s="53"/>
      <c r="AA17" s="53" t="s">
        <v>60</v>
      </c>
      <c r="AB17" s="53"/>
      <c r="AC17" s="53"/>
      <c r="AD17" s="53"/>
      <c r="AE17" s="53"/>
      <c r="AF17" s="53"/>
      <c r="AG17" s="53"/>
      <c r="AH17" s="54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45"/>
      <c r="AW17" s="45"/>
      <c r="AX17" s="45"/>
      <c r="AY17" s="45"/>
      <c r="AZ17" s="45"/>
      <c r="BA17" s="45"/>
      <c r="BB17" s="45"/>
      <c r="BC17" s="45"/>
    </row>
    <row r="18" spans="1:55" s="50" customFormat="1" ht="12.75" customHeight="1" x14ac:dyDescent="0.15">
      <c r="A18" s="51">
        <f t="shared" si="0"/>
        <v>12</v>
      </c>
      <c r="B18" s="52" t="s">
        <v>72</v>
      </c>
      <c r="C18" s="53"/>
      <c r="D18" s="53"/>
      <c r="E18" s="53" t="s">
        <v>60</v>
      </c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4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45"/>
      <c r="AW18" s="45"/>
      <c r="AX18" s="45"/>
      <c r="AY18" s="45"/>
      <c r="AZ18" s="45"/>
      <c r="BA18" s="45"/>
      <c r="BB18" s="45"/>
      <c r="BC18" s="45"/>
    </row>
    <row r="19" spans="1:55" s="50" customFormat="1" ht="12.95" customHeight="1" x14ac:dyDescent="0.15">
      <c r="A19" s="51">
        <f t="shared" si="0"/>
        <v>13</v>
      </c>
      <c r="B19" s="52" t="s">
        <v>74</v>
      </c>
      <c r="C19" s="53"/>
      <c r="D19" s="53" t="s">
        <v>60</v>
      </c>
      <c r="E19" s="53" t="s">
        <v>61</v>
      </c>
      <c r="F19" s="53"/>
      <c r="G19" s="53"/>
      <c r="H19" s="53"/>
      <c r="I19" s="53"/>
      <c r="J19" s="53" t="s">
        <v>60</v>
      </c>
      <c r="K19" s="53" t="s">
        <v>61</v>
      </c>
      <c r="L19" s="53"/>
      <c r="M19" s="53"/>
      <c r="N19" s="53"/>
      <c r="O19" s="53"/>
      <c r="P19" s="53"/>
      <c r="Q19" s="53"/>
      <c r="R19" s="53" t="s">
        <v>60</v>
      </c>
      <c r="S19" s="53"/>
      <c r="T19" s="53" t="s">
        <v>61</v>
      </c>
      <c r="U19" s="53"/>
      <c r="V19" s="53"/>
      <c r="W19" s="53"/>
      <c r="X19" s="53"/>
      <c r="Y19" s="53"/>
      <c r="Z19" s="53"/>
      <c r="AA19" s="53" t="s">
        <v>59</v>
      </c>
      <c r="AB19" s="53"/>
      <c r="AC19" s="53"/>
      <c r="AD19" s="53"/>
      <c r="AE19" s="53"/>
      <c r="AF19" s="53"/>
      <c r="AG19" s="53"/>
      <c r="AH19" s="54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45"/>
      <c r="AW19" s="45"/>
      <c r="AX19" s="45"/>
      <c r="AY19" s="45"/>
      <c r="AZ19" s="45"/>
      <c r="BA19" s="45"/>
      <c r="BB19" s="45"/>
      <c r="BC19" s="45"/>
    </row>
    <row r="20" spans="1:55" s="50" customFormat="1" ht="12.95" customHeight="1" x14ac:dyDescent="0.15">
      <c r="A20" s="51">
        <f t="shared" si="0"/>
        <v>14</v>
      </c>
      <c r="B20" s="52" t="s">
        <v>157</v>
      </c>
      <c r="C20" s="53"/>
      <c r="D20" s="53"/>
      <c r="E20" s="53" t="s">
        <v>60</v>
      </c>
      <c r="F20" s="53" t="s">
        <v>61</v>
      </c>
      <c r="G20" s="53"/>
      <c r="H20" s="53" t="s">
        <v>61</v>
      </c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4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45"/>
      <c r="AW20" s="45"/>
      <c r="AX20" s="45"/>
      <c r="AY20" s="45"/>
      <c r="AZ20" s="45"/>
      <c r="BA20" s="45"/>
      <c r="BB20" s="45"/>
      <c r="BC20" s="45"/>
    </row>
    <row r="21" spans="1:55" s="50" customFormat="1" ht="12.95" customHeight="1" x14ac:dyDescent="0.15">
      <c r="A21" s="51">
        <f t="shared" si="0"/>
        <v>15</v>
      </c>
      <c r="B21" s="52" t="s">
        <v>131</v>
      </c>
      <c r="C21" s="53"/>
      <c r="D21" s="53" t="s">
        <v>60</v>
      </c>
      <c r="E21" s="53" t="s">
        <v>61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4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45"/>
      <c r="AW21" s="45"/>
      <c r="AX21" s="45"/>
      <c r="AY21" s="45"/>
      <c r="AZ21" s="45"/>
      <c r="BA21" s="45"/>
      <c r="BB21" s="45"/>
      <c r="BC21" s="45"/>
    </row>
    <row r="22" spans="1:55" s="50" customFormat="1" ht="12.95" customHeight="1" x14ac:dyDescent="0.15">
      <c r="A22" s="51">
        <f t="shared" si="0"/>
        <v>16</v>
      </c>
      <c r="B22" s="52" t="s">
        <v>75</v>
      </c>
      <c r="C22" s="53"/>
      <c r="D22" s="53"/>
      <c r="E22" s="53"/>
      <c r="F22" s="53"/>
      <c r="G22" s="53" t="s">
        <v>59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 t="s">
        <v>60</v>
      </c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4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45"/>
      <c r="AW22" s="45"/>
      <c r="AX22" s="45"/>
      <c r="AY22" s="45"/>
      <c r="AZ22" s="45"/>
      <c r="BA22" s="45"/>
      <c r="BB22" s="45"/>
      <c r="BC22" s="45"/>
    </row>
    <row r="23" spans="1:55" s="50" customFormat="1" ht="12.95" customHeight="1" x14ac:dyDescent="0.15">
      <c r="A23" s="51">
        <f t="shared" si="0"/>
        <v>17</v>
      </c>
      <c r="B23" s="52" t="s">
        <v>76</v>
      </c>
      <c r="C23" s="53"/>
      <c r="D23" s="53"/>
      <c r="E23" s="53"/>
      <c r="F23" s="53" t="s">
        <v>60</v>
      </c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4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45"/>
      <c r="AW23" s="45"/>
      <c r="AX23" s="45"/>
      <c r="AY23" s="45"/>
      <c r="AZ23" s="45"/>
      <c r="BA23" s="45"/>
      <c r="BB23" s="45"/>
      <c r="BC23" s="45"/>
    </row>
    <row r="24" spans="1:55" s="50" customFormat="1" ht="12.95" customHeight="1" x14ac:dyDescent="0.15">
      <c r="A24" s="51">
        <f t="shared" si="0"/>
        <v>18</v>
      </c>
      <c r="B24" s="52" t="s">
        <v>125</v>
      </c>
      <c r="C24" s="53"/>
      <c r="D24" s="53"/>
      <c r="E24" s="53" t="s">
        <v>61</v>
      </c>
      <c r="F24" s="53"/>
      <c r="G24" s="53" t="s">
        <v>60</v>
      </c>
      <c r="H24" s="53" t="s">
        <v>61</v>
      </c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 t="s">
        <v>61</v>
      </c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4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45"/>
      <c r="AW24" s="45"/>
      <c r="AX24" s="45"/>
      <c r="AY24" s="45"/>
      <c r="AZ24" s="45"/>
      <c r="BA24" s="45"/>
      <c r="BB24" s="45"/>
      <c r="BC24" s="45"/>
    </row>
    <row r="25" spans="1:55" s="50" customFormat="1" ht="12.75" customHeight="1" x14ac:dyDescent="0.15">
      <c r="A25" s="51">
        <f t="shared" si="0"/>
        <v>19</v>
      </c>
      <c r="B25" s="52" t="s">
        <v>77</v>
      </c>
      <c r="C25" s="53"/>
      <c r="D25" s="53"/>
      <c r="E25" s="53" t="s">
        <v>60</v>
      </c>
      <c r="F25" s="53"/>
      <c r="G25" s="53"/>
      <c r="H25" s="53"/>
      <c r="I25" s="53"/>
      <c r="J25" s="53"/>
      <c r="K25" s="53"/>
      <c r="L25" s="53"/>
      <c r="M25" s="53" t="s">
        <v>61</v>
      </c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 t="s">
        <v>60</v>
      </c>
      <c r="Z25" s="53"/>
      <c r="AA25" s="53" t="s">
        <v>61</v>
      </c>
      <c r="AB25" s="53"/>
      <c r="AC25" s="53"/>
      <c r="AD25" s="53"/>
      <c r="AE25" s="53"/>
      <c r="AF25" s="53"/>
      <c r="AG25" s="53"/>
      <c r="AH25" s="54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45"/>
      <c r="AW25" s="45"/>
      <c r="AX25" s="45"/>
      <c r="AY25" s="45"/>
      <c r="AZ25" s="45"/>
      <c r="BA25" s="45"/>
      <c r="BB25" s="45"/>
      <c r="BC25" s="45"/>
    </row>
    <row r="26" spans="1:55" s="50" customFormat="1" ht="12.75" customHeight="1" x14ac:dyDescent="0.15">
      <c r="A26" s="51">
        <f t="shared" si="0"/>
        <v>20</v>
      </c>
      <c r="B26" s="52" t="s">
        <v>78</v>
      </c>
      <c r="C26" s="53"/>
      <c r="D26" s="53"/>
      <c r="E26" s="53"/>
      <c r="F26" s="53"/>
      <c r="G26" s="53" t="s">
        <v>59</v>
      </c>
      <c r="H26" s="53"/>
      <c r="I26" s="53"/>
      <c r="J26" s="53"/>
      <c r="K26" s="53"/>
      <c r="L26" s="53"/>
      <c r="M26" s="53" t="s">
        <v>60</v>
      </c>
      <c r="N26" s="53"/>
      <c r="O26" s="53"/>
      <c r="P26" s="53"/>
      <c r="Q26" s="53"/>
      <c r="R26" s="53" t="s">
        <v>61</v>
      </c>
      <c r="S26" s="53"/>
      <c r="T26" s="53"/>
      <c r="U26" s="53"/>
      <c r="V26" s="53"/>
      <c r="W26" s="53"/>
      <c r="X26" s="53"/>
      <c r="Y26" s="53" t="s">
        <v>60</v>
      </c>
      <c r="Z26" s="53"/>
      <c r="AA26" s="53"/>
      <c r="AB26" s="53"/>
      <c r="AC26" s="53"/>
      <c r="AD26" s="53" t="s">
        <v>61</v>
      </c>
      <c r="AE26" s="53"/>
      <c r="AF26" s="53"/>
      <c r="AG26" s="53"/>
      <c r="AH26" s="54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45"/>
      <c r="AW26" s="45"/>
      <c r="AX26" s="45"/>
      <c r="AY26" s="45"/>
      <c r="AZ26" s="45"/>
      <c r="BA26" s="45"/>
      <c r="BB26" s="45"/>
      <c r="BC26" s="45"/>
    </row>
    <row r="27" spans="1:55" s="50" customFormat="1" ht="12.95" customHeight="1" x14ac:dyDescent="0.15">
      <c r="A27" s="51">
        <f t="shared" si="0"/>
        <v>21</v>
      </c>
      <c r="B27" s="52" t="s">
        <v>129</v>
      </c>
      <c r="C27" s="53"/>
      <c r="D27" s="53" t="s">
        <v>59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 t="s">
        <v>60</v>
      </c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4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45"/>
      <c r="AW27" s="45"/>
      <c r="AX27" s="45"/>
      <c r="AY27" s="45"/>
      <c r="AZ27" s="45"/>
      <c r="BA27" s="45"/>
      <c r="BB27" s="45"/>
      <c r="BC27" s="45"/>
    </row>
    <row r="28" spans="1:55" s="50" customFormat="1" ht="12.95" customHeight="1" x14ac:dyDescent="0.15">
      <c r="A28" s="51">
        <f t="shared" si="0"/>
        <v>22</v>
      </c>
      <c r="B28" s="52" t="s">
        <v>80</v>
      </c>
      <c r="C28" s="53"/>
      <c r="D28" s="53"/>
      <c r="E28" s="53"/>
      <c r="F28" s="53"/>
      <c r="G28" s="53" t="s">
        <v>59</v>
      </c>
      <c r="H28" s="53"/>
      <c r="I28" s="53"/>
      <c r="J28" s="53"/>
      <c r="K28" s="53"/>
      <c r="L28" s="53" t="s">
        <v>59</v>
      </c>
      <c r="M28" s="53"/>
      <c r="N28" s="53"/>
      <c r="O28" s="53"/>
      <c r="P28" s="53"/>
      <c r="Q28" s="53"/>
      <c r="R28" s="53" t="s">
        <v>60</v>
      </c>
      <c r="S28" s="53"/>
      <c r="T28" s="53" t="s">
        <v>60</v>
      </c>
      <c r="U28" s="53"/>
      <c r="V28" s="53"/>
      <c r="W28" s="53"/>
      <c r="X28" s="53"/>
      <c r="Y28" s="53"/>
      <c r="Z28" s="53" t="s">
        <v>60</v>
      </c>
      <c r="AA28" s="53" t="s">
        <v>60</v>
      </c>
      <c r="AB28" s="53"/>
      <c r="AC28" s="53"/>
      <c r="AD28" s="53"/>
      <c r="AE28" s="53"/>
      <c r="AF28" s="53"/>
      <c r="AG28" s="53"/>
      <c r="AH28" s="54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45"/>
      <c r="AW28" s="45"/>
      <c r="AX28" s="45"/>
      <c r="AY28" s="45"/>
      <c r="AZ28" s="45"/>
      <c r="BA28" s="45"/>
      <c r="BB28" s="45"/>
      <c r="BC28" s="45"/>
    </row>
    <row r="29" spans="1:55" s="50" customFormat="1" ht="12.95" customHeight="1" x14ac:dyDescent="0.15">
      <c r="A29" s="51">
        <f t="shared" si="0"/>
        <v>23</v>
      </c>
      <c r="B29" s="52" t="s">
        <v>151</v>
      </c>
      <c r="C29" s="53"/>
      <c r="D29" s="53" t="s">
        <v>60</v>
      </c>
      <c r="E29" s="53"/>
      <c r="F29" s="53"/>
      <c r="G29" s="53"/>
      <c r="H29" s="53"/>
      <c r="I29" s="53"/>
      <c r="J29" s="53"/>
      <c r="K29" s="53"/>
      <c r="L29" s="53"/>
      <c r="M29" s="53"/>
      <c r="N29" s="53" t="s">
        <v>60</v>
      </c>
      <c r="O29" s="53" t="s">
        <v>61</v>
      </c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 t="s">
        <v>60</v>
      </c>
      <c r="AB29" s="53"/>
      <c r="AC29" s="53"/>
      <c r="AD29" s="53"/>
      <c r="AE29" s="53"/>
      <c r="AF29" s="53"/>
      <c r="AG29" s="53"/>
      <c r="AH29" s="54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45"/>
      <c r="AW29" s="45"/>
      <c r="AX29" s="45"/>
      <c r="AY29" s="45"/>
      <c r="AZ29" s="45"/>
      <c r="BA29" s="45"/>
      <c r="BB29" s="45"/>
      <c r="BC29" s="45"/>
    </row>
    <row r="30" spans="1:55" s="50" customFormat="1" ht="12.95" customHeight="1" x14ac:dyDescent="0.15">
      <c r="A30" s="51">
        <f t="shared" si="0"/>
        <v>24</v>
      </c>
      <c r="B30" s="52" t="s">
        <v>81</v>
      </c>
      <c r="C30" s="53"/>
      <c r="D30" s="53"/>
      <c r="E30" s="53" t="s">
        <v>60</v>
      </c>
      <c r="F30" s="53"/>
      <c r="G30" s="53"/>
      <c r="H30" s="53" t="s">
        <v>61</v>
      </c>
      <c r="I30" s="53"/>
      <c r="J30" s="53"/>
      <c r="K30" s="53"/>
      <c r="L30" s="53"/>
      <c r="M30" s="53"/>
      <c r="N30" s="53" t="s">
        <v>60</v>
      </c>
      <c r="O30" s="53" t="s">
        <v>61</v>
      </c>
      <c r="P30" s="53"/>
      <c r="Q30" s="53"/>
      <c r="R30" s="53"/>
      <c r="S30" s="53"/>
      <c r="T30" s="53"/>
      <c r="U30" s="53"/>
      <c r="V30" s="53" t="s">
        <v>61</v>
      </c>
      <c r="W30" s="53"/>
      <c r="X30" s="53"/>
      <c r="Y30" s="53"/>
      <c r="Z30" s="53"/>
      <c r="AA30" s="53"/>
      <c r="AB30" s="53"/>
      <c r="AC30" s="53" t="s">
        <v>59</v>
      </c>
      <c r="AD30" s="53"/>
      <c r="AE30" s="53"/>
      <c r="AF30" s="53"/>
      <c r="AG30" s="53"/>
      <c r="AH30" s="54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45"/>
      <c r="AW30" s="45"/>
      <c r="AX30" s="45"/>
      <c r="AY30" s="45"/>
      <c r="AZ30" s="45"/>
      <c r="BA30" s="45"/>
      <c r="BB30" s="45"/>
      <c r="BC30" s="45"/>
    </row>
    <row r="31" spans="1:55" s="50" customFormat="1" ht="12.75" customHeight="1" x14ac:dyDescent="0.15">
      <c r="A31" s="51">
        <f t="shared" si="0"/>
        <v>25</v>
      </c>
      <c r="B31" s="52" t="s">
        <v>82</v>
      </c>
      <c r="C31" s="53"/>
      <c r="D31" s="53"/>
      <c r="E31" s="53" t="s">
        <v>60</v>
      </c>
      <c r="F31" s="53"/>
      <c r="G31" s="53" t="s">
        <v>61</v>
      </c>
      <c r="H31" s="53" t="s">
        <v>60</v>
      </c>
      <c r="I31" s="53"/>
      <c r="J31" s="53" t="s">
        <v>61</v>
      </c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4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45"/>
      <c r="AW31" s="45"/>
      <c r="AX31" s="45"/>
      <c r="AY31" s="45"/>
      <c r="AZ31" s="45"/>
      <c r="BA31" s="45"/>
      <c r="BB31" s="45"/>
      <c r="BC31" s="45"/>
    </row>
    <row r="32" spans="1:55" s="50" customFormat="1" ht="12.95" customHeight="1" x14ac:dyDescent="0.15">
      <c r="A32" s="51">
        <f t="shared" si="0"/>
        <v>26</v>
      </c>
      <c r="B32" s="52" t="s">
        <v>83</v>
      </c>
      <c r="C32" s="53"/>
      <c r="D32" s="53"/>
      <c r="E32" s="53" t="s">
        <v>60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 t="s">
        <v>60</v>
      </c>
      <c r="Z32" s="53" t="s">
        <v>61</v>
      </c>
      <c r="AA32" s="53"/>
      <c r="AB32" s="53"/>
      <c r="AC32" s="53"/>
      <c r="AD32" s="53"/>
      <c r="AE32" s="53"/>
      <c r="AF32" s="53"/>
      <c r="AG32" s="53"/>
      <c r="AH32" s="54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45"/>
      <c r="AW32" s="45"/>
      <c r="AX32" s="45"/>
      <c r="AY32" s="45"/>
      <c r="AZ32" s="45"/>
      <c r="BA32" s="45"/>
      <c r="BB32" s="45"/>
      <c r="BC32" s="45"/>
    </row>
    <row r="33" spans="1:55" s="50" customFormat="1" ht="12.95" customHeight="1" x14ac:dyDescent="0.15">
      <c r="A33" s="51">
        <f t="shared" si="0"/>
        <v>27</v>
      </c>
      <c r="B33" s="52" t="s">
        <v>136</v>
      </c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4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45"/>
      <c r="AW33" s="45"/>
      <c r="AX33" s="45"/>
      <c r="AY33" s="45"/>
      <c r="AZ33" s="45"/>
      <c r="BA33" s="45"/>
      <c r="BB33" s="45"/>
      <c r="BC33" s="45"/>
    </row>
    <row r="34" spans="1:55" s="50" customFormat="1" ht="12.95" customHeight="1" x14ac:dyDescent="0.15">
      <c r="A34" s="51">
        <f t="shared" si="0"/>
        <v>28</v>
      </c>
      <c r="B34" s="52" t="s">
        <v>85</v>
      </c>
      <c r="C34" s="53"/>
      <c r="D34" s="53" t="s">
        <v>60</v>
      </c>
      <c r="E34" s="53"/>
      <c r="F34" s="53" t="s">
        <v>61</v>
      </c>
      <c r="G34" s="53"/>
      <c r="H34" s="53"/>
      <c r="I34" s="53"/>
      <c r="J34" s="53"/>
      <c r="K34" s="53"/>
      <c r="L34" s="53"/>
      <c r="M34" s="53" t="s">
        <v>61</v>
      </c>
      <c r="N34" s="53"/>
      <c r="O34" s="53"/>
      <c r="P34" s="53"/>
      <c r="Q34" s="53"/>
      <c r="R34" s="53"/>
      <c r="S34" s="53"/>
      <c r="T34" s="53" t="s">
        <v>61</v>
      </c>
      <c r="U34" s="53"/>
      <c r="V34" s="53"/>
      <c r="W34" s="53"/>
      <c r="X34" s="53"/>
      <c r="Y34" s="53"/>
      <c r="Z34" s="53"/>
      <c r="AA34" s="53" t="s">
        <v>59</v>
      </c>
      <c r="AB34" s="53"/>
      <c r="AC34" s="53"/>
      <c r="AD34" s="53"/>
      <c r="AE34" s="53"/>
      <c r="AF34" s="53"/>
      <c r="AG34" s="53"/>
      <c r="AH34" s="54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45"/>
      <c r="AW34" s="45"/>
      <c r="AX34" s="45"/>
      <c r="AY34" s="45"/>
      <c r="AZ34" s="45"/>
      <c r="BA34" s="45"/>
      <c r="BB34" s="45"/>
      <c r="BC34" s="45"/>
    </row>
    <row r="35" spans="1:55" s="50" customFormat="1" ht="12.75" customHeight="1" x14ac:dyDescent="0.15">
      <c r="A35" s="51">
        <f t="shared" si="0"/>
        <v>29</v>
      </c>
      <c r="B35" s="52" t="s">
        <v>86</v>
      </c>
      <c r="C35" s="53"/>
      <c r="D35" s="53" t="s">
        <v>60</v>
      </c>
      <c r="E35" s="53"/>
      <c r="F35" s="53"/>
      <c r="G35" s="53" t="s">
        <v>61</v>
      </c>
      <c r="H35" s="53" t="s">
        <v>60</v>
      </c>
      <c r="I35" s="53"/>
      <c r="J35" s="53"/>
      <c r="K35" s="53"/>
      <c r="L35" s="53" t="s">
        <v>60</v>
      </c>
      <c r="M35" s="53"/>
      <c r="N35" s="53"/>
      <c r="O35" s="53" t="s">
        <v>61</v>
      </c>
      <c r="P35" s="53"/>
      <c r="Q35" s="53"/>
      <c r="R35" s="53" t="s">
        <v>60</v>
      </c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 t="s">
        <v>60</v>
      </c>
      <c r="AD35" s="53"/>
      <c r="AE35" s="53"/>
      <c r="AF35" s="53"/>
      <c r="AG35" s="53"/>
      <c r="AH35" s="54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45"/>
      <c r="AW35" s="45"/>
      <c r="AX35" s="45"/>
      <c r="AY35" s="45"/>
      <c r="AZ35" s="45"/>
      <c r="BA35" s="45"/>
      <c r="BB35" s="45"/>
      <c r="BC35" s="45"/>
    </row>
    <row r="36" spans="1:55" s="50" customFormat="1" ht="12.95" customHeight="1" x14ac:dyDescent="0.15">
      <c r="A36" s="51">
        <f t="shared" si="0"/>
        <v>30</v>
      </c>
      <c r="B36" s="52" t="s">
        <v>90</v>
      </c>
      <c r="C36" s="53"/>
      <c r="D36" s="53" t="s">
        <v>61</v>
      </c>
      <c r="E36" s="53"/>
      <c r="F36" s="53" t="s">
        <v>61</v>
      </c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 t="s">
        <v>59</v>
      </c>
      <c r="S36" s="53"/>
      <c r="T36" s="53"/>
      <c r="U36" s="53"/>
      <c r="V36" s="53"/>
      <c r="W36" s="53"/>
      <c r="X36" s="53"/>
      <c r="Y36" s="53" t="s">
        <v>59</v>
      </c>
      <c r="Z36" s="53"/>
      <c r="AA36" s="53"/>
      <c r="AB36" s="53"/>
      <c r="AC36" s="53"/>
      <c r="AD36" s="53"/>
      <c r="AE36" s="53"/>
      <c r="AF36" s="53"/>
      <c r="AG36" s="53"/>
      <c r="AH36" s="54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45"/>
      <c r="AW36" s="45"/>
      <c r="AX36" s="45"/>
      <c r="AY36" s="45"/>
      <c r="AZ36" s="45"/>
      <c r="BA36" s="45"/>
      <c r="BB36" s="45"/>
      <c r="BC36" s="45"/>
    </row>
    <row r="37" spans="1:55" s="50" customFormat="1" ht="12.95" customHeight="1" x14ac:dyDescent="0.15">
      <c r="A37" s="51">
        <f t="shared" si="0"/>
        <v>31</v>
      </c>
      <c r="B37" s="52" t="s">
        <v>149</v>
      </c>
      <c r="C37" s="53"/>
      <c r="D37" s="53"/>
      <c r="E37" s="53"/>
      <c r="F37" s="53"/>
      <c r="G37" s="53"/>
      <c r="H37" s="53" t="s">
        <v>59</v>
      </c>
      <c r="I37" s="53"/>
      <c r="J37" s="53"/>
      <c r="K37" s="53"/>
      <c r="L37" s="53" t="s">
        <v>60</v>
      </c>
      <c r="M37" s="53"/>
      <c r="N37" s="53"/>
      <c r="O37" s="53"/>
      <c r="P37" s="53"/>
      <c r="Q37" s="53"/>
      <c r="R37" s="53"/>
      <c r="S37" s="53"/>
      <c r="T37" s="53"/>
      <c r="U37" s="53" t="s">
        <v>61</v>
      </c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4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45"/>
      <c r="AW37" s="45"/>
      <c r="AX37" s="45"/>
      <c r="AY37" s="45"/>
      <c r="AZ37" s="45"/>
      <c r="BA37" s="45"/>
      <c r="BB37" s="45"/>
      <c r="BC37" s="45"/>
    </row>
    <row r="38" spans="1:55" s="50" customFormat="1" ht="12.95" customHeight="1" x14ac:dyDescent="0.15">
      <c r="A38" s="51">
        <f t="shared" si="0"/>
        <v>32</v>
      </c>
      <c r="B38" s="52" t="s">
        <v>137</v>
      </c>
      <c r="C38" s="53"/>
      <c r="D38" s="53"/>
      <c r="E38" s="53"/>
      <c r="F38" s="53"/>
      <c r="G38" s="53"/>
      <c r="H38" s="53" t="s">
        <v>60</v>
      </c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4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45"/>
      <c r="AW38" s="45"/>
      <c r="AX38" s="45"/>
      <c r="AY38" s="45"/>
      <c r="AZ38" s="45"/>
      <c r="BA38" s="45"/>
      <c r="BB38" s="45"/>
      <c r="BC38" s="45"/>
    </row>
    <row r="39" spans="1:55" s="50" customFormat="1" ht="12.75" customHeight="1" x14ac:dyDescent="0.15">
      <c r="A39" s="51">
        <f t="shared" si="0"/>
        <v>33</v>
      </c>
      <c r="B39" s="52" t="s">
        <v>91</v>
      </c>
      <c r="C39" s="53"/>
      <c r="D39" s="53"/>
      <c r="E39" s="53" t="s">
        <v>60</v>
      </c>
      <c r="F39" s="53"/>
      <c r="G39" s="53" t="s">
        <v>59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4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45"/>
      <c r="AW39" s="45"/>
      <c r="AX39" s="45"/>
      <c r="AY39" s="45"/>
      <c r="AZ39" s="45"/>
      <c r="BA39" s="45"/>
      <c r="BB39" s="45"/>
      <c r="BC39" s="45"/>
    </row>
    <row r="40" spans="1:55" s="50" customFormat="1" ht="12.95" customHeight="1" x14ac:dyDescent="0.15">
      <c r="A40" s="51">
        <f t="shared" si="0"/>
        <v>34</v>
      </c>
      <c r="B40" s="52" t="s">
        <v>93</v>
      </c>
      <c r="C40" s="53"/>
      <c r="D40" s="53" t="s">
        <v>60</v>
      </c>
      <c r="E40" s="53" t="s">
        <v>61</v>
      </c>
      <c r="F40" s="53"/>
      <c r="G40" s="53"/>
      <c r="H40" s="53"/>
      <c r="I40" s="53" t="s">
        <v>60</v>
      </c>
      <c r="J40" s="53"/>
      <c r="K40" s="53" t="s">
        <v>61</v>
      </c>
      <c r="L40" s="53"/>
      <c r="M40" s="53"/>
      <c r="N40" s="53"/>
      <c r="O40" s="53" t="s">
        <v>60</v>
      </c>
      <c r="P40" s="53"/>
      <c r="Q40" s="53"/>
      <c r="R40" s="53" t="s">
        <v>60</v>
      </c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 t="s">
        <v>60</v>
      </c>
      <c r="AD40" s="53"/>
      <c r="AE40" s="53"/>
      <c r="AF40" s="53"/>
      <c r="AG40" s="53"/>
      <c r="AH40" s="54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45"/>
      <c r="AW40" s="45"/>
      <c r="AX40" s="45"/>
      <c r="AY40" s="45"/>
      <c r="AZ40" s="45"/>
      <c r="BA40" s="45"/>
      <c r="BB40" s="45"/>
      <c r="BC40" s="45"/>
    </row>
    <row r="41" spans="1:55" s="50" customFormat="1" ht="12.95" customHeight="1" x14ac:dyDescent="0.15">
      <c r="A41" s="51">
        <f t="shared" si="0"/>
        <v>35</v>
      </c>
      <c r="B41" s="52" t="s">
        <v>94</v>
      </c>
      <c r="C41" s="53"/>
      <c r="D41" s="53"/>
      <c r="E41" s="53" t="s">
        <v>60</v>
      </c>
      <c r="F41" s="53" t="s">
        <v>61</v>
      </c>
      <c r="G41" s="53"/>
      <c r="H41" s="53" t="s">
        <v>60</v>
      </c>
      <c r="I41" s="53"/>
      <c r="J41" s="53"/>
      <c r="K41" s="53" t="s">
        <v>61</v>
      </c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4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45"/>
      <c r="AW41" s="45"/>
      <c r="AX41" s="45"/>
      <c r="AY41" s="45"/>
      <c r="AZ41" s="45"/>
      <c r="BA41" s="45"/>
      <c r="BB41" s="45"/>
      <c r="BC41" s="45"/>
    </row>
    <row r="42" spans="1:55" s="50" customFormat="1" ht="12.95" customHeight="1" x14ac:dyDescent="0.15">
      <c r="A42" s="51">
        <f t="shared" si="0"/>
        <v>36</v>
      </c>
      <c r="B42" s="52" t="s">
        <v>95</v>
      </c>
      <c r="C42" s="53"/>
      <c r="D42" s="53" t="s">
        <v>60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4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45"/>
      <c r="AW42" s="45"/>
      <c r="AX42" s="45"/>
      <c r="AY42" s="45"/>
      <c r="AZ42" s="45"/>
      <c r="BA42" s="45"/>
      <c r="BB42" s="45"/>
      <c r="BC42" s="45"/>
    </row>
    <row r="43" spans="1:55" s="50" customFormat="1" ht="12.95" customHeight="1" x14ac:dyDescent="0.15">
      <c r="A43" s="51">
        <f t="shared" si="0"/>
        <v>37</v>
      </c>
      <c r="B43" s="52" t="s">
        <v>135</v>
      </c>
      <c r="C43" s="53"/>
      <c r="D43" s="53"/>
      <c r="E43" s="53" t="s">
        <v>60</v>
      </c>
      <c r="F43" s="53" t="s">
        <v>61</v>
      </c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4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45"/>
      <c r="AW43" s="45"/>
      <c r="AX43" s="45"/>
      <c r="AY43" s="45"/>
      <c r="AZ43" s="45"/>
      <c r="BA43" s="45"/>
      <c r="BB43" s="45"/>
      <c r="BC43" s="45"/>
    </row>
    <row r="44" spans="1:55" s="50" customFormat="1" ht="12.95" customHeight="1" x14ac:dyDescent="0.15">
      <c r="A44" s="51">
        <f t="shared" si="0"/>
        <v>38</v>
      </c>
      <c r="B44" s="52" t="s">
        <v>119</v>
      </c>
      <c r="C44" s="53"/>
      <c r="D44" s="53"/>
      <c r="E44" s="53"/>
      <c r="F44" s="53"/>
      <c r="G44" s="53"/>
      <c r="H44" s="53" t="s">
        <v>60</v>
      </c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45"/>
      <c r="AW44" s="45"/>
      <c r="AX44" s="45"/>
      <c r="AY44" s="45"/>
      <c r="AZ44" s="45"/>
      <c r="BA44" s="45"/>
      <c r="BB44" s="45"/>
      <c r="BC44" s="45"/>
    </row>
    <row r="45" spans="1:55" s="50" customFormat="1" ht="12.95" customHeight="1" x14ac:dyDescent="0.15">
      <c r="A45" s="51">
        <f t="shared" si="0"/>
        <v>39</v>
      </c>
      <c r="B45" s="52" t="s">
        <v>155</v>
      </c>
      <c r="C45" s="53"/>
      <c r="D45" s="53"/>
      <c r="E45" s="53" t="s">
        <v>60</v>
      </c>
      <c r="F45" s="53"/>
      <c r="G45" s="53"/>
      <c r="H45" s="53" t="s">
        <v>59</v>
      </c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 t="s">
        <v>60</v>
      </c>
      <c r="AB45" s="53" t="s">
        <v>59</v>
      </c>
      <c r="AC45" s="53"/>
      <c r="AD45" s="53"/>
      <c r="AE45" s="53"/>
      <c r="AF45" s="53"/>
      <c r="AG45" s="53"/>
      <c r="AH45" s="54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45"/>
      <c r="AW45" s="45"/>
      <c r="AX45" s="45"/>
      <c r="AY45" s="45"/>
      <c r="AZ45" s="45"/>
      <c r="BA45" s="45"/>
      <c r="BB45" s="45"/>
      <c r="BC45" s="45"/>
    </row>
    <row r="46" spans="1:55" s="50" customFormat="1" ht="12.95" customHeight="1" x14ac:dyDescent="0.15">
      <c r="A46" s="51">
        <f t="shared" si="0"/>
        <v>40</v>
      </c>
      <c r="B46" s="52" t="s">
        <v>100</v>
      </c>
      <c r="C46" s="53"/>
      <c r="D46" s="53" t="s">
        <v>61</v>
      </c>
      <c r="E46" s="53"/>
      <c r="F46" s="53"/>
      <c r="G46" s="53"/>
      <c r="H46" s="53" t="s">
        <v>60</v>
      </c>
      <c r="I46" s="53" t="s">
        <v>61</v>
      </c>
      <c r="J46" s="53"/>
      <c r="K46" s="53" t="s">
        <v>61</v>
      </c>
      <c r="L46" s="53"/>
      <c r="M46" s="53"/>
      <c r="N46" s="53"/>
      <c r="O46" s="53" t="s">
        <v>59</v>
      </c>
      <c r="P46" s="53"/>
      <c r="Q46" s="53"/>
      <c r="R46" s="53"/>
      <c r="S46" s="53"/>
      <c r="T46" s="53" t="s">
        <v>59</v>
      </c>
      <c r="U46" s="53"/>
      <c r="V46" s="53" t="s">
        <v>61</v>
      </c>
      <c r="W46" s="53"/>
      <c r="X46" s="53"/>
      <c r="Y46" s="53"/>
      <c r="Z46" s="53" t="s">
        <v>59</v>
      </c>
      <c r="AA46" s="53"/>
      <c r="AB46" s="53"/>
      <c r="AC46" s="53"/>
      <c r="AD46" s="53" t="s">
        <v>61</v>
      </c>
      <c r="AE46" s="53"/>
      <c r="AF46" s="53"/>
      <c r="AG46" s="53"/>
      <c r="AH46" s="54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45"/>
      <c r="AW46" s="45"/>
      <c r="AX46" s="45"/>
      <c r="AY46" s="45"/>
      <c r="AZ46" s="45"/>
      <c r="BA46" s="45"/>
      <c r="BB46" s="45"/>
      <c r="BC46" s="45"/>
    </row>
    <row r="47" spans="1:55" s="50" customFormat="1" ht="12.95" customHeight="1" x14ac:dyDescent="0.15">
      <c r="A47" s="51">
        <f t="shared" si="0"/>
        <v>41</v>
      </c>
      <c r="B47" s="52" t="s">
        <v>150</v>
      </c>
      <c r="C47" s="53"/>
      <c r="D47" s="53" t="s">
        <v>60</v>
      </c>
      <c r="E47" s="53"/>
      <c r="F47" s="53" t="s">
        <v>59</v>
      </c>
      <c r="G47" s="53"/>
      <c r="H47" s="53"/>
      <c r="I47" s="53"/>
      <c r="J47" s="53"/>
      <c r="K47" s="53"/>
      <c r="L47" s="53"/>
      <c r="M47" s="53"/>
      <c r="N47" s="53"/>
      <c r="O47" s="53"/>
      <c r="P47" s="53" t="s">
        <v>59</v>
      </c>
      <c r="Q47" s="53"/>
      <c r="R47" s="53"/>
      <c r="S47" s="53"/>
      <c r="T47" s="53"/>
      <c r="U47" s="53" t="s">
        <v>60</v>
      </c>
      <c r="V47" s="53"/>
      <c r="W47" s="53"/>
      <c r="X47" s="53"/>
      <c r="Y47" s="53" t="s">
        <v>61</v>
      </c>
      <c r="Z47" s="53"/>
      <c r="AA47" s="53"/>
      <c r="AB47" s="53"/>
      <c r="AC47" s="53"/>
      <c r="AD47" s="53"/>
      <c r="AE47" s="53"/>
      <c r="AF47" s="53"/>
      <c r="AG47" s="53"/>
      <c r="AH47" s="54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45"/>
      <c r="AW47" s="45"/>
      <c r="AX47" s="45"/>
      <c r="AY47" s="45"/>
      <c r="AZ47" s="45"/>
      <c r="BA47" s="45"/>
      <c r="BB47" s="45"/>
      <c r="BC47" s="45"/>
    </row>
    <row r="48" spans="1:55" s="50" customFormat="1" ht="12.95" customHeight="1" x14ac:dyDescent="0.15">
      <c r="A48" s="51">
        <f t="shared" si="0"/>
        <v>42</v>
      </c>
      <c r="B48" s="52" t="s">
        <v>101</v>
      </c>
      <c r="C48" s="53"/>
      <c r="D48" s="53" t="s">
        <v>60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 t="s">
        <v>60</v>
      </c>
      <c r="P48" s="53"/>
      <c r="Q48" s="53"/>
      <c r="R48" s="53" t="s">
        <v>61</v>
      </c>
      <c r="S48" s="53"/>
      <c r="T48" s="53"/>
      <c r="U48" s="53"/>
      <c r="V48" s="53" t="s">
        <v>59</v>
      </c>
      <c r="W48" s="53"/>
      <c r="X48" s="53"/>
      <c r="Y48" s="53"/>
      <c r="Z48" s="53"/>
      <c r="AA48" s="53"/>
      <c r="AB48" s="53"/>
      <c r="AC48" s="53"/>
      <c r="AD48" s="53" t="s">
        <v>173</v>
      </c>
      <c r="AE48" s="53"/>
      <c r="AF48" s="53"/>
      <c r="AG48" s="53"/>
      <c r="AH48" s="54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45"/>
      <c r="AW48" s="45"/>
      <c r="AX48" s="45"/>
      <c r="AY48" s="45"/>
      <c r="AZ48" s="45"/>
      <c r="BA48" s="45"/>
      <c r="BB48" s="45"/>
      <c r="BC48" s="45"/>
    </row>
    <row r="49" spans="1:100" s="50" customFormat="1" ht="12.95" customHeight="1" x14ac:dyDescent="0.15">
      <c r="A49" s="51">
        <f t="shared" si="0"/>
        <v>43</v>
      </c>
      <c r="B49" s="52" t="s">
        <v>103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 t="s">
        <v>60</v>
      </c>
      <c r="S49" s="53"/>
      <c r="T49" s="53" t="s">
        <v>61</v>
      </c>
      <c r="U49" s="53"/>
      <c r="V49" s="53" t="s">
        <v>59</v>
      </c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4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45"/>
      <c r="AW49" s="45"/>
      <c r="AX49" s="45"/>
      <c r="AY49" s="45"/>
      <c r="AZ49" s="45"/>
      <c r="BA49" s="45"/>
      <c r="BB49" s="45"/>
      <c r="BC49" s="45"/>
    </row>
    <row r="50" spans="1:100" s="50" customFormat="1" ht="12.95" customHeight="1" x14ac:dyDescent="0.15">
      <c r="A50" s="51">
        <f t="shared" si="0"/>
        <v>44</v>
      </c>
      <c r="B50" s="52" t="s">
        <v>121</v>
      </c>
      <c r="C50" s="53"/>
      <c r="D50" s="53"/>
      <c r="E50" s="53"/>
      <c r="F50" s="53"/>
      <c r="G50" s="53"/>
      <c r="H50" s="53" t="s">
        <v>60</v>
      </c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4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45"/>
      <c r="AW50" s="45"/>
      <c r="AX50" s="45"/>
      <c r="AY50" s="45"/>
      <c r="AZ50" s="45"/>
      <c r="BA50" s="45"/>
      <c r="BB50" s="45"/>
      <c r="BC50" s="45"/>
    </row>
    <row r="51" spans="1:100" s="50" customFormat="1" ht="12.75" customHeight="1" x14ac:dyDescent="0.15">
      <c r="A51" s="51">
        <f t="shared" si="0"/>
        <v>45</v>
      </c>
      <c r="B51" s="52" t="s">
        <v>104</v>
      </c>
      <c r="C51" s="53"/>
      <c r="D51" s="53" t="s">
        <v>59</v>
      </c>
      <c r="E51" s="53"/>
      <c r="F51" s="53"/>
      <c r="G51" s="53"/>
      <c r="H51" s="53" t="s">
        <v>60</v>
      </c>
      <c r="I51" s="53"/>
      <c r="J51" s="53"/>
      <c r="K51" s="53"/>
      <c r="L51" s="53"/>
      <c r="M51" s="53"/>
      <c r="N51" s="53"/>
      <c r="O51" s="53" t="s">
        <v>61</v>
      </c>
      <c r="P51" s="53"/>
      <c r="Q51" s="53"/>
      <c r="R51" s="53"/>
      <c r="S51" s="53"/>
      <c r="T51" s="53"/>
      <c r="U51" s="53" t="s">
        <v>60</v>
      </c>
      <c r="V51" s="53"/>
      <c r="W51" s="53"/>
      <c r="X51" s="53"/>
      <c r="Y51" s="53"/>
      <c r="Z51" s="53"/>
      <c r="AA51" s="53" t="s">
        <v>60</v>
      </c>
      <c r="AB51" s="53"/>
      <c r="AC51" s="53" t="s">
        <v>61</v>
      </c>
      <c r="AD51" s="53"/>
      <c r="AE51" s="53"/>
      <c r="AF51" s="53"/>
      <c r="AG51" s="53"/>
      <c r="AH51" s="54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45"/>
      <c r="AW51" s="45"/>
      <c r="AX51" s="45"/>
      <c r="AY51" s="45"/>
      <c r="AZ51" s="45"/>
      <c r="BA51" s="45"/>
      <c r="BB51" s="45"/>
      <c r="BC51" s="45"/>
    </row>
    <row r="52" spans="1:100" s="50" customFormat="1" ht="12.95" customHeight="1" x14ac:dyDescent="0.15">
      <c r="A52" s="51">
        <f t="shared" si="0"/>
        <v>46</v>
      </c>
      <c r="B52" s="52" t="s">
        <v>105</v>
      </c>
      <c r="C52" s="53"/>
      <c r="D52" s="53"/>
      <c r="E52" s="53"/>
      <c r="F52" s="53"/>
      <c r="G52" s="53" t="s">
        <v>60</v>
      </c>
      <c r="H52" s="53"/>
      <c r="I52" s="53"/>
      <c r="J52" s="53"/>
      <c r="K52" s="53"/>
      <c r="L52" s="53"/>
      <c r="M52" s="53"/>
      <c r="N52" s="53" t="s">
        <v>61</v>
      </c>
      <c r="O52" s="53"/>
      <c r="P52" s="53"/>
      <c r="Q52" s="53"/>
      <c r="R52" s="53"/>
      <c r="S52" s="53"/>
      <c r="T52" s="53"/>
      <c r="U52" s="53" t="s">
        <v>59</v>
      </c>
      <c r="V52" s="53"/>
      <c r="W52" s="53"/>
      <c r="X52" s="53"/>
      <c r="Y52" s="53"/>
      <c r="Z52" s="53" t="s">
        <v>61</v>
      </c>
      <c r="AA52" s="53"/>
      <c r="AB52" s="53"/>
      <c r="AC52" s="53"/>
      <c r="AD52" s="53"/>
      <c r="AE52" s="53"/>
      <c r="AF52" s="53"/>
      <c r="AG52" s="53"/>
      <c r="AH52" s="54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45"/>
      <c r="AW52" s="45"/>
      <c r="AX52" s="45"/>
      <c r="AY52" s="45"/>
      <c r="AZ52" s="45"/>
      <c r="BA52" s="45"/>
      <c r="BB52" s="45"/>
      <c r="BC52" s="45"/>
    </row>
    <row r="53" spans="1:100" s="50" customFormat="1" ht="12.95" customHeight="1" x14ac:dyDescent="0.15">
      <c r="A53" s="51">
        <f t="shared" si="0"/>
        <v>47</v>
      </c>
      <c r="B53" s="52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4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45"/>
      <c r="AW53" s="45"/>
      <c r="AX53" s="45"/>
      <c r="AY53" s="45"/>
      <c r="AZ53" s="45"/>
      <c r="BA53" s="45"/>
      <c r="BB53" s="45"/>
      <c r="BC53" s="45"/>
    </row>
    <row r="54" spans="1:100" s="50" customFormat="1" ht="12.95" customHeight="1" x14ac:dyDescent="0.15">
      <c r="A54" s="51">
        <f t="shared" si="0"/>
        <v>48</v>
      </c>
      <c r="B54" s="52" t="s">
        <v>156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4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45"/>
      <c r="AW54" s="45"/>
      <c r="AX54" s="45"/>
      <c r="AY54" s="45"/>
      <c r="AZ54" s="45"/>
      <c r="BA54" s="45"/>
      <c r="BB54" s="45"/>
      <c r="BC54" s="45"/>
    </row>
    <row r="55" spans="1:100" s="50" customFormat="1" ht="12.95" customHeight="1" x14ac:dyDescent="0.15">
      <c r="A55" s="51">
        <f t="shared" si="0"/>
        <v>49</v>
      </c>
      <c r="B55" s="52" t="s">
        <v>108</v>
      </c>
      <c r="C55" s="53"/>
      <c r="D55" s="53"/>
      <c r="E55" s="53"/>
      <c r="F55" s="53"/>
      <c r="G55" s="53"/>
      <c r="H55" s="53" t="s">
        <v>60</v>
      </c>
      <c r="I55" s="53"/>
      <c r="J55" s="53"/>
      <c r="K55" s="53" t="s">
        <v>61</v>
      </c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4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45"/>
      <c r="AW55" s="45"/>
      <c r="AX55" s="45"/>
      <c r="AY55" s="45"/>
      <c r="AZ55" s="45"/>
      <c r="BA55" s="45"/>
      <c r="BB55" s="45"/>
      <c r="BC55" s="45"/>
    </row>
    <row r="56" spans="1:100" s="50" customFormat="1" ht="12.95" customHeight="1" x14ac:dyDescent="0.15">
      <c r="A56" s="51">
        <f t="shared" si="0"/>
        <v>50</v>
      </c>
      <c r="B56" s="52" t="s">
        <v>109</v>
      </c>
      <c r="C56" s="53"/>
      <c r="D56" s="53" t="s">
        <v>60</v>
      </c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 t="s">
        <v>61</v>
      </c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4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45"/>
      <c r="AW56" s="45"/>
      <c r="AX56" s="45"/>
      <c r="AY56" s="45"/>
      <c r="AZ56" s="45"/>
      <c r="BA56" s="45"/>
      <c r="BB56" s="45"/>
      <c r="BC56" s="45"/>
    </row>
    <row r="57" spans="1:100" s="50" customFormat="1" ht="12.75" customHeight="1" x14ac:dyDescent="0.15">
      <c r="A57" s="51">
        <f t="shared" si="0"/>
        <v>51</v>
      </c>
      <c r="B57" s="52" t="s">
        <v>110</v>
      </c>
      <c r="C57" s="53"/>
      <c r="D57" s="53"/>
      <c r="E57" s="53"/>
      <c r="F57" s="53"/>
      <c r="G57" s="53"/>
      <c r="H57" s="53" t="s">
        <v>60</v>
      </c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4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45"/>
      <c r="AW57" s="45"/>
      <c r="AX57" s="45"/>
      <c r="AY57" s="45"/>
      <c r="AZ57" s="45"/>
      <c r="BA57" s="45"/>
      <c r="BB57" s="45"/>
      <c r="BC57" s="45"/>
    </row>
    <row r="58" spans="1:100" s="50" customFormat="1" ht="12.95" customHeight="1" x14ac:dyDescent="0.15">
      <c r="A58" s="51">
        <f t="shared" si="0"/>
        <v>52</v>
      </c>
      <c r="B58" s="52" t="s">
        <v>111</v>
      </c>
      <c r="C58" s="53"/>
      <c r="D58" s="53"/>
      <c r="E58" s="53" t="s">
        <v>59</v>
      </c>
      <c r="F58" s="53"/>
      <c r="G58" s="53"/>
      <c r="H58" s="53" t="s">
        <v>60</v>
      </c>
      <c r="I58" s="53"/>
      <c r="J58" s="53"/>
      <c r="K58" s="53" t="s">
        <v>61</v>
      </c>
      <c r="L58" s="53"/>
      <c r="M58" s="53"/>
      <c r="N58" s="53"/>
      <c r="O58" s="53" t="s">
        <v>59</v>
      </c>
      <c r="P58" s="53"/>
      <c r="Q58" s="53"/>
      <c r="R58" s="53" t="s">
        <v>59</v>
      </c>
      <c r="S58" s="53"/>
      <c r="T58" s="53" t="s">
        <v>60</v>
      </c>
      <c r="U58" s="53" t="s">
        <v>61</v>
      </c>
      <c r="V58" s="53"/>
      <c r="W58" s="53"/>
      <c r="X58" s="53"/>
      <c r="Y58" s="53" t="s">
        <v>59</v>
      </c>
      <c r="Z58" s="53"/>
      <c r="AA58" s="53" t="s">
        <v>60</v>
      </c>
      <c r="AB58" s="53" t="s">
        <v>59</v>
      </c>
      <c r="AC58" s="53"/>
      <c r="AD58" s="53"/>
      <c r="AE58" s="53"/>
      <c r="AF58" s="53"/>
      <c r="AG58" s="53"/>
      <c r="AH58" s="54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45"/>
      <c r="AW58" s="45"/>
      <c r="AX58" s="45"/>
      <c r="AY58" s="45"/>
      <c r="AZ58" s="45"/>
      <c r="BA58" s="45"/>
      <c r="BB58" s="45"/>
      <c r="BC58" s="45"/>
    </row>
    <row r="59" spans="1:100" s="50" customFormat="1" ht="12.95" customHeight="1" x14ac:dyDescent="0.15">
      <c r="A59" s="51">
        <f t="shared" si="0"/>
        <v>53</v>
      </c>
      <c r="B59" s="52" t="s">
        <v>153</v>
      </c>
      <c r="C59" s="53"/>
      <c r="D59" s="53"/>
      <c r="E59" s="53" t="s">
        <v>60</v>
      </c>
      <c r="F59" s="53" t="s">
        <v>61</v>
      </c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 t="s">
        <v>59</v>
      </c>
      <c r="Z59" s="53"/>
      <c r="AA59" s="53"/>
      <c r="AB59" s="53"/>
      <c r="AC59" s="53"/>
      <c r="AD59" s="53"/>
      <c r="AE59" s="53"/>
      <c r="AF59" s="53"/>
      <c r="AG59" s="53"/>
      <c r="AH59" s="54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45"/>
      <c r="AW59" s="45"/>
      <c r="AX59" s="45"/>
      <c r="AY59" s="45"/>
      <c r="AZ59" s="45"/>
      <c r="BA59" s="45"/>
      <c r="BB59" s="45"/>
      <c r="BC59" s="45"/>
    </row>
    <row r="60" spans="1:100" s="50" customFormat="1" ht="12.95" customHeight="1" x14ac:dyDescent="0.15">
      <c r="A60" s="51">
        <f t="shared" si="0"/>
        <v>54</v>
      </c>
      <c r="B60" s="52" t="s">
        <v>139</v>
      </c>
      <c r="C60" s="53"/>
      <c r="D60" s="53" t="s">
        <v>61</v>
      </c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45"/>
      <c r="AW60" s="45"/>
      <c r="AX60" s="45"/>
      <c r="AY60" s="45"/>
      <c r="AZ60" s="45"/>
      <c r="BA60" s="45"/>
      <c r="BB60" s="45"/>
      <c r="BC60" s="45"/>
    </row>
    <row r="61" spans="1:100" s="50" customFormat="1" ht="12.95" customHeight="1" x14ac:dyDescent="0.15">
      <c r="A61" s="51">
        <f t="shared" si="0"/>
        <v>55</v>
      </c>
      <c r="B61" s="52" t="s">
        <v>114</v>
      </c>
      <c r="C61" s="53"/>
      <c r="D61" s="53" t="s">
        <v>60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 t="s">
        <v>59</v>
      </c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 t="s">
        <v>60</v>
      </c>
      <c r="AD61" s="53"/>
      <c r="AE61" s="53"/>
      <c r="AF61" s="53"/>
      <c r="AG61" s="53"/>
      <c r="AH61" s="54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45"/>
      <c r="AW61" s="45"/>
      <c r="AX61" s="45"/>
      <c r="AY61" s="45"/>
      <c r="AZ61" s="45"/>
      <c r="BA61" s="45"/>
      <c r="BB61" s="45"/>
      <c r="BC61" s="45"/>
    </row>
    <row r="62" spans="1:100" s="50" customFormat="1" ht="12.95" customHeight="1" x14ac:dyDescent="0.15">
      <c r="A62" s="51">
        <f t="shared" si="0"/>
        <v>56</v>
      </c>
      <c r="B62" s="52" t="s">
        <v>115</v>
      </c>
      <c r="C62" s="53"/>
      <c r="D62" s="53"/>
      <c r="E62" s="53" t="s">
        <v>61</v>
      </c>
      <c r="F62" s="53"/>
      <c r="G62" s="53" t="s">
        <v>59</v>
      </c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4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45"/>
      <c r="AW62" s="45"/>
      <c r="AX62" s="45"/>
      <c r="AY62" s="45"/>
      <c r="AZ62" s="45"/>
      <c r="BA62" s="45"/>
      <c r="BB62" s="45"/>
      <c r="BC62" s="45"/>
    </row>
    <row r="63" spans="1:100" s="50" customFormat="1" ht="12.95" customHeight="1" x14ac:dyDescent="0.15">
      <c r="A63" s="51">
        <f t="shared" si="0"/>
        <v>57</v>
      </c>
      <c r="B63" s="52" t="s">
        <v>152</v>
      </c>
      <c r="C63" s="53"/>
      <c r="D63" s="53"/>
      <c r="E63" s="53"/>
      <c r="F63" s="53"/>
      <c r="G63" s="53"/>
      <c r="H63" s="53" t="s">
        <v>60</v>
      </c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 t="s">
        <v>59</v>
      </c>
      <c r="AD63" s="53"/>
      <c r="AE63" s="53"/>
      <c r="AF63" s="53"/>
      <c r="AG63" s="53"/>
      <c r="AH63" s="54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45"/>
      <c r="AW63" s="45"/>
      <c r="AX63" s="45"/>
      <c r="AY63" s="45"/>
      <c r="AZ63" s="45"/>
      <c r="BA63" s="45"/>
      <c r="BB63" s="45"/>
      <c r="BC63" s="45"/>
    </row>
    <row r="64" spans="1:100" x14ac:dyDescent="0.25">
      <c r="A64" s="65"/>
      <c r="B64" s="66" t="s">
        <v>116</v>
      </c>
      <c r="C64" s="63">
        <f>COUNTA(C7:C63)</f>
        <v>0</v>
      </c>
      <c r="D64" s="63">
        <f>COUNTA(D7:D63)</f>
        <v>21</v>
      </c>
      <c r="E64" s="63">
        <f t="shared" ref="E64:AG64" si="1">COUNTA(E7:E63)</f>
        <v>23</v>
      </c>
      <c r="F64" s="63">
        <f t="shared" si="1"/>
        <v>9</v>
      </c>
      <c r="G64" s="63">
        <f t="shared" si="1"/>
        <v>12</v>
      </c>
      <c r="H64" s="63">
        <f t="shared" si="1"/>
        <v>19</v>
      </c>
      <c r="I64" s="63">
        <f t="shared" si="1"/>
        <v>5</v>
      </c>
      <c r="J64" s="63">
        <f t="shared" si="1"/>
        <v>2</v>
      </c>
      <c r="K64" s="63">
        <f t="shared" si="1"/>
        <v>8</v>
      </c>
      <c r="L64" s="63">
        <f t="shared" si="1"/>
        <v>5</v>
      </c>
      <c r="M64" s="63">
        <f t="shared" si="1"/>
        <v>7</v>
      </c>
      <c r="N64" s="63">
        <f t="shared" si="1"/>
        <v>5</v>
      </c>
      <c r="O64" s="63">
        <f t="shared" si="1"/>
        <v>11</v>
      </c>
      <c r="P64" s="63">
        <f t="shared" si="1"/>
        <v>2</v>
      </c>
      <c r="Q64" s="63">
        <f t="shared" si="1"/>
        <v>0</v>
      </c>
      <c r="R64" s="63">
        <f t="shared" si="1"/>
        <v>10</v>
      </c>
      <c r="S64" s="63">
        <f t="shared" si="1"/>
        <v>0</v>
      </c>
      <c r="T64" s="63">
        <f t="shared" si="1"/>
        <v>11</v>
      </c>
      <c r="U64" s="63">
        <f t="shared" si="1"/>
        <v>10</v>
      </c>
      <c r="V64" s="63">
        <f t="shared" si="1"/>
        <v>5</v>
      </c>
      <c r="W64" s="63">
        <f t="shared" si="1"/>
        <v>0</v>
      </c>
      <c r="X64" s="63">
        <f t="shared" si="1"/>
        <v>0</v>
      </c>
      <c r="Y64" s="63">
        <f t="shared" si="1"/>
        <v>11</v>
      </c>
      <c r="Z64" s="63">
        <f t="shared" si="1"/>
        <v>7</v>
      </c>
      <c r="AA64" s="63">
        <f t="shared" si="1"/>
        <v>9</v>
      </c>
      <c r="AB64" s="63">
        <f t="shared" si="1"/>
        <v>8</v>
      </c>
      <c r="AC64" s="63">
        <f t="shared" si="1"/>
        <v>8</v>
      </c>
      <c r="AD64" s="63">
        <f t="shared" si="1"/>
        <v>5</v>
      </c>
      <c r="AE64" s="63">
        <f t="shared" si="1"/>
        <v>0</v>
      </c>
      <c r="AF64" s="63">
        <f t="shared" si="1"/>
        <v>0</v>
      </c>
      <c r="AG64" s="63">
        <f t="shared" si="1"/>
        <v>0</v>
      </c>
      <c r="AH64" s="6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</row>
    <row r="67" spans="1:16384" x14ac:dyDescent="0.25">
      <c r="A67" s="45"/>
      <c r="B67" s="46" t="s">
        <v>49</v>
      </c>
      <c r="C67" s="43" t="s">
        <v>50</v>
      </c>
      <c r="D67" s="47" t="s">
        <v>51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</row>
    <row r="68" spans="1:16384" x14ac:dyDescent="0.25">
      <c r="A68" s="46"/>
      <c r="B68" s="46" t="s">
        <v>52</v>
      </c>
      <c r="C68" s="43" t="s">
        <v>50</v>
      </c>
      <c r="D68" s="47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</row>
    <row r="69" spans="1:16384" x14ac:dyDescent="0.25">
      <c r="A69" s="46"/>
      <c r="B69" s="46" t="s">
        <v>53</v>
      </c>
      <c r="C69" s="43" t="s">
        <v>50</v>
      </c>
      <c r="D69" s="47" t="s">
        <v>117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</row>
    <row r="70" spans="1:16384" x14ac:dyDescent="0.25">
      <c r="A70" s="48" t="s">
        <v>55</v>
      </c>
      <c r="B70" s="48" t="s">
        <v>56</v>
      </c>
      <c r="C70" s="48">
        <v>1</v>
      </c>
      <c r="D70" s="48">
        <v>2</v>
      </c>
      <c r="E70" s="48">
        <v>3</v>
      </c>
      <c r="F70" s="48">
        <v>4</v>
      </c>
      <c r="G70" s="48">
        <v>5</v>
      </c>
      <c r="H70" s="48">
        <v>6</v>
      </c>
      <c r="I70" s="48">
        <v>7</v>
      </c>
      <c r="J70" s="48">
        <v>8</v>
      </c>
      <c r="K70" s="48">
        <v>9</v>
      </c>
      <c r="L70" s="48">
        <v>10</v>
      </c>
      <c r="M70" s="48">
        <v>11</v>
      </c>
      <c r="N70" s="48">
        <v>12</v>
      </c>
      <c r="O70" s="48">
        <v>13</v>
      </c>
      <c r="P70" s="48">
        <v>14</v>
      </c>
      <c r="Q70" s="48">
        <v>15</v>
      </c>
      <c r="R70" s="48">
        <v>16</v>
      </c>
      <c r="S70" s="48">
        <v>17</v>
      </c>
      <c r="T70" s="48">
        <v>18</v>
      </c>
      <c r="U70" s="48">
        <v>19</v>
      </c>
      <c r="V70" s="48">
        <v>20</v>
      </c>
      <c r="W70" s="48">
        <v>21</v>
      </c>
      <c r="X70" s="48">
        <v>22</v>
      </c>
      <c r="Y70" s="48">
        <v>23</v>
      </c>
      <c r="Z70" s="48">
        <v>24</v>
      </c>
      <c r="AA70" s="48">
        <v>25</v>
      </c>
      <c r="AB70" s="48">
        <v>26</v>
      </c>
      <c r="AC70" s="48">
        <v>27</v>
      </c>
      <c r="AD70" s="48">
        <v>28</v>
      </c>
      <c r="AE70" s="48">
        <v>29</v>
      </c>
      <c r="AF70" s="48">
        <v>30</v>
      </c>
      <c r="AG70" s="48">
        <v>31</v>
      </c>
      <c r="AH70" s="49" t="s">
        <v>57</v>
      </c>
    </row>
    <row r="71" spans="1:16384" x14ac:dyDescent="0.25">
      <c r="A71" s="51">
        <v>1</v>
      </c>
      <c r="B71" s="64" t="s">
        <v>122</v>
      </c>
      <c r="C71" s="53"/>
      <c r="D71" s="53" t="s">
        <v>61</v>
      </c>
      <c r="E71" s="53"/>
      <c r="F71" s="53"/>
      <c r="G71" s="53"/>
      <c r="H71" s="53"/>
      <c r="I71" s="53" t="s">
        <v>61</v>
      </c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 t="s">
        <v>59</v>
      </c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4"/>
    </row>
    <row r="72" spans="1:16384" x14ac:dyDescent="0.25">
      <c r="A72" s="51">
        <f>1+A71</f>
        <v>2</v>
      </c>
      <c r="B72" s="64" t="s">
        <v>118</v>
      </c>
      <c r="C72" s="53"/>
      <c r="D72" s="53" t="s">
        <v>60</v>
      </c>
      <c r="E72" s="53" t="s">
        <v>61</v>
      </c>
      <c r="F72" s="53"/>
      <c r="G72" s="53"/>
      <c r="H72" s="53"/>
      <c r="I72" s="53"/>
      <c r="J72" s="53"/>
      <c r="K72" s="53"/>
      <c r="L72" s="53"/>
      <c r="M72" s="53"/>
      <c r="N72" s="53"/>
      <c r="O72" s="53" t="s">
        <v>60</v>
      </c>
      <c r="P72" s="53" t="s">
        <v>61</v>
      </c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6"/>
      <c r="AF72" s="53"/>
      <c r="AG72" s="53"/>
      <c r="AH72" s="57"/>
    </row>
    <row r="73" spans="1:16384" x14ac:dyDescent="0.25">
      <c r="A73" s="51">
        <f t="shared" ref="A73:A135" si="2">1+A72</f>
        <v>3</v>
      </c>
      <c r="B73" s="64" t="s">
        <v>120</v>
      </c>
      <c r="C73" s="53"/>
      <c r="D73" s="53" t="s">
        <v>59</v>
      </c>
      <c r="E73" s="53"/>
      <c r="F73" s="53"/>
      <c r="G73" s="53"/>
      <c r="H73" s="53"/>
      <c r="I73" s="53"/>
      <c r="J73" s="53"/>
      <c r="K73" s="53"/>
      <c r="L73" s="53" t="s">
        <v>61</v>
      </c>
      <c r="M73" s="53"/>
      <c r="N73" s="53"/>
      <c r="O73" s="53"/>
      <c r="P73" s="53"/>
      <c r="Q73" s="53"/>
      <c r="R73" s="53"/>
      <c r="S73" s="53"/>
      <c r="T73" s="53"/>
      <c r="U73" s="53" t="s">
        <v>60</v>
      </c>
      <c r="V73" s="53"/>
      <c r="W73" s="53"/>
      <c r="X73" s="53"/>
      <c r="Y73" s="53"/>
      <c r="Z73" s="53"/>
      <c r="AA73" s="53" t="s">
        <v>60</v>
      </c>
      <c r="AB73" s="53"/>
      <c r="AC73" s="53" t="s">
        <v>61</v>
      </c>
      <c r="AD73" s="53"/>
      <c r="AE73" s="53"/>
      <c r="AF73" s="53"/>
      <c r="AG73" s="53"/>
      <c r="AH73" s="54"/>
    </row>
    <row r="74" spans="1:16384" x14ac:dyDescent="0.25">
      <c r="A74" s="51">
        <f t="shared" si="2"/>
        <v>4</v>
      </c>
      <c r="B74" s="64" t="s">
        <v>174</v>
      </c>
      <c r="C74" s="53"/>
      <c r="D74" s="53" t="s">
        <v>60</v>
      </c>
      <c r="E74" s="53"/>
      <c r="F74" s="53"/>
      <c r="G74" s="53"/>
      <c r="H74" s="53"/>
      <c r="I74" s="53" t="s">
        <v>61</v>
      </c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 t="s">
        <v>59</v>
      </c>
      <c r="AD74" s="53"/>
      <c r="AE74" s="53"/>
      <c r="AF74" s="53"/>
      <c r="AG74" s="53"/>
      <c r="AH74" s="54"/>
    </row>
    <row r="75" spans="1:16384" x14ac:dyDescent="0.25">
      <c r="A75" s="51">
        <f t="shared" si="2"/>
        <v>5</v>
      </c>
      <c r="B75" s="64" t="s">
        <v>92</v>
      </c>
      <c r="C75" s="53"/>
      <c r="D75" s="53"/>
      <c r="E75" s="53" t="s">
        <v>60</v>
      </c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4"/>
    </row>
    <row r="76" spans="1:16384" x14ac:dyDescent="0.25">
      <c r="A76" s="51">
        <f t="shared" si="2"/>
        <v>6</v>
      </c>
      <c r="B76" s="64" t="s">
        <v>175</v>
      </c>
      <c r="C76" s="53"/>
      <c r="D76" s="53"/>
      <c r="E76" s="53" t="s">
        <v>61</v>
      </c>
      <c r="F76" s="53"/>
      <c r="G76" s="53"/>
      <c r="H76" s="53"/>
      <c r="I76" s="53"/>
      <c r="J76" s="53"/>
      <c r="K76" s="53"/>
      <c r="L76" s="53"/>
      <c r="M76" s="53" t="s">
        <v>61</v>
      </c>
      <c r="N76" s="53"/>
      <c r="O76" s="53"/>
      <c r="P76" s="53"/>
      <c r="Q76" s="53"/>
      <c r="R76" s="53"/>
      <c r="S76" s="53"/>
      <c r="T76" s="53"/>
      <c r="U76" s="53" t="s">
        <v>61</v>
      </c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4"/>
    </row>
    <row r="77" spans="1:16384" x14ac:dyDescent="0.25">
      <c r="A77" s="51">
        <f t="shared" si="2"/>
        <v>7</v>
      </c>
      <c r="B77" s="64" t="s">
        <v>123</v>
      </c>
      <c r="C77" s="53"/>
      <c r="D77" s="53"/>
      <c r="E77" s="53" t="s">
        <v>61</v>
      </c>
      <c r="F77" s="53"/>
      <c r="G77" s="53"/>
      <c r="H77" s="53"/>
      <c r="I77" s="53"/>
      <c r="J77" s="53"/>
      <c r="K77" s="53"/>
      <c r="L77" s="53" t="s">
        <v>61</v>
      </c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4"/>
    </row>
    <row r="78" spans="1:16384" x14ac:dyDescent="0.25">
      <c r="A78" s="51">
        <f t="shared" si="2"/>
        <v>8</v>
      </c>
      <c r="B78" s="64" t="s">
        <v>63</v>
      </c>
      <c r="C78" s="53"/>
      <c r="D78" s="53"/>
      <c r="E78" s="53"/>
      <c r="F78" s="53" t="s">
        <v>60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4"/>
    </row>
    <row r="79" spans="1:16384" x14ac:dyDescent="0.25">
      <c r="A79" s="51">
        <f t="shared" si="2"/>
        <v>9</v>
      </c>
      <c r="B79" s="64" t="s">
        <v>96</v>
      </c>
      <c r="C79" s="64"/>
      <c r="D79" s="64"/>
      <c r="E79" s="64"/>
      <c r="F79" s="64"/>
      <c r="G79" s="53" t="s">
        <v>59</v>
      </c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/>
      <c r="AW79" s="64"/>
      <c r="AX79" s="64"/>
      <c r="AY79" s="64"/>
      <c r="AZ79" s="64"/>
      <c r="BA79" s="64"/>
      <c r="BB79" s="64"/>
      <c r="BC79" s="64"/>
      <c r="BD79" s="64"/>
      <c r="BE79" s="64"/>
      <c r="BF79" s="64"/>
      <c r="BG79" s="64"/>
      <c r="BH79" s="64"/>
      <c r="BI79" s="64"/>
      <c r="BJ79" s="64"/>
      <c r="BK79" s="64"/>
      <c r="BL79" s="64"/>
      <c r="BM79" s="64"/>
      <c r="BN79" s="64"/>
      <c r="BO79" s="64"/>
      <c r="BP79" s="64"/>
      <c r="BQ79" s="64"/>
      <c r="BR79" s="64"/>
      <c r="BS79" s="64"/>
      <c r="BT79" s="64"/>
      <c r="BU79" s="64"/>
      <c r="BV79" s="64"/>
      <c r="BW79" s="64"/>
      <c r="BX79" s="64"/>
      <c r="BY79" s="64"/>
      <c r="BZ79" s="64"/>
      <c r="CA79" s="64"/>
      <c r="CB79" s="64"/>
      <c r="CC79" s="64"/>
      <c r="CD79" s="64"/>
      <c r="CE79" s="64"/>
      <c r="CF79" s="64"/>
      <c r="CG79" s="64"/>
      <c r="CH79" s="64"/>
      <c r="CI79" s="64"/>
      <c r="CJ79" s="64"/>
      <c r="CK79" s="64"/>
      <c r="CL79" s="64"/>
      <c r="CM79" s="64"/>
      <c r="CN79" s="64"/>
      <c r="CO79" s="64"/>
      <c r="CP79" s="64"/>
      <c r="CQ79" s="64"/>
      <c r="CR79" s="64"/>
      <c r="CS79" s="64"/>
      <c r="CT79" s="64"/>
      <c r="CU79" s="64"/>
      <c r="CV79" s="64"/>
      <c r="CW79" s="64"/>
      <c r="CX79" s="64"/>
      <c r="CY79" s="64"/>
      <c r="CZ79" s="64"/>
      <c r="DA79" s="64"/>
      <c r="DB79" s="64"/>
      <c r="DC79" s="64"/>
      <c r="DD79" s="64"/>
      <c r="DE79" s="64"/>
      <c r="DF79" s="64"/>
      <c r="DG79" s="64"/>
      <c r="DH79" s="64"/>
      <c r="DI79" s="64"/>
      <c r="DJ79" s="64"/>
      <c r="DK79" s="64"/>
      <c r="DL79" s="64"/>
      <c r="DM79" s="64"/>
      <c r="DN79" s="64"/>
      <c r="DO79" s="64"/>
      <c r="DP79" s="64"/>
      <c r="DQ79" s="64"/>
      <c r="DR79" s="64"/>
      <c r="DS79" s="64"/>
      <c r="DT79" s="64"/>
      <c r="DU79" s="64"/>
      <c r="DV79" s="64"/>
      <c r="DW79" s="64"/>
      <c r="DX79" s="64"/>
      <c r="DY79" s="64"/>
      <c r="DZ79" s="64"/>
      <c r="EA79" s="64"/>
      <c r="EB79" s="64"/>
      <c r="EC79" s="64"/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64"/>
      <c r="FV79" s="64"/>
      <c r="FW79" s="64"/>
      <c r="FX79" s="64"/>
      <c r="FY79" s="64"/>
      <c r="FZ79" s="64"/>
      <c r="GA79" s="64"/>
      <c r="GB79" s="64"/>
      <c r="GC79" s="64"/>
      <c r="GD79" s="64"/>
      <c r="GE79" s="64"/>
      <c r="GF79" s="64"/>
      <c r="GG79" s="64"/>
      <c r="GH79" s="64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64"/>
      <c r="GT79" s="64"/>
      <c r="GU79" s="64"/>
      <c r="GV79" s="64"/>
      <c r="GW79" s="64"/>
      <c r="GX79" s="64"/>
      <c r="GY79" s="64"/>
      <c r="GZ79" s="64"/>
      <c r="HA79" s="64"/>
      <c r="HB79" s="64"/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/>
      <c r="IP79" s="64"/>
      <c r="IQ79" s="64"/>
      <c r="IR79" s="64"/>
      <c r="IS79" s="64"/>
      <c r="IT79" s="64"/>
      <c r="IU79" s="64"/>
      <c r="IV79" s="64"/>
      <c r="IW79" s="64"/>
      <c r="IX79" s="64"/>
      <c r="IY79" s="64"/>
      <c r="IZ79" s="64"/>
      <c r="JA79" s="64"/>
      <c r="JB79" s="64"/>
      <c r="JC79" s="64"/>
      <c r="JD79" s="64"/>
      <c r="JE79" s="64"/>
      <c r="JF79" s="64"/>
      <c r="JG79" s="64"/>
      <c r="JH79" s="64"/>
      <c r="JI79" s="64"/>
      <c r="JJ79" s="64"/>
      <c r="JK79" s="64"/>
      <c r="JL79" s="64"/>
      <c r="JM79" s="64"/>
      <c r="JN79" s="64"/>
      <c r="JO79" s="64"/>
      <c r="JP79" s="64"/>
      <c r="JQ79" s="64"/>
      <c r="JR79" s="64"/>
      <c r="JS79" s="64"/>
      <c r="JT79" s="64"/>
      <c r="JU79" s="64"/>
      <c r="JV79" s="64"/>
      <c r="JW79" s="64"/>
      <c r="JX79" s="64"/>
      <c r="JY79" s="64"/>
      <c r="JZ79" s="64"/>
      <c r="KA79" s="64"/>
      <c r="KB79" s="64"/>
      <c r="KC79" s="64"/>
      <c r="KD79" s="64"/>
      <c r="KE79" s="64"/>
      <c r="KF79" s="64"/>
      <c r="KG79" s="64"/>
      <c r="KH79" s="64"/>
      <c r="KI79" s="64"/>
      <c r="KJ79" s="64"/>
      <c r="KK79" s="64"/>
      <c r="KL79" s="64"/>
      <c r="KM79" s="64"/>
      <c r="KN79" s="64"/>
      <c r="KO79" s="64"/>
      <c r="KP79" s="64"/>
      <c r="KQ79" s="64"/>
      <c r="KR79" s="64"/>
      <c r="KS79" s="64"/>
      <c r="KT79" s="64"/>
      <c r="KU79" s="64"/>
      <c r="KV79" s="64"/>
      <c r="KW79" s="64"/>
      <c r="KX79" s="64"/>
      <c r="KY79" s="64"/>
      <c r="KZ79" s="64"/>
      <c r="LA79" s="64"/>
      <c r="LB79" s="64"/>
      <c r="LC79" s="64"/>
      <c r="LD79" s="64"/>
      <c r="LE79" s="64"/>
      <c r="LF79" s="64"/>
      <c r="LG79" s="64"/>
      <c r="LH79" s="64"/>
      <c r="LI79" s="64"/>
      <c r="LJ79" s="64"/>
      <c r="LK79" s="64"/>
      <c r="LL79" s="64"/>
      <c r="LM79" s="64"/>
      <c r="LN79" s="64"/>
      <c r="LO79" s="64"/>
      <c r="LP79" s="64"/>
      <c r="LQ79" s="64"/>
      <c r="LR79" s="64"/>
      <c r="LS79" s="64"/>
      <c r="LT79" s="64"/>
      <c r="LU79" s="64"/>
      <c r="LV79" s="64"/>
      <c r="LW79" s="64"/>
      <c r="LX79" s="64"/>
      <c r="LY79" s="64"/>
      <c r="LZ79" s="64"/>
      <c r="MA79" s="64"/>
      <c r="MB79" s="64"/>
      <c r="MC79" s="64"/>
      <c r="MD79" s="64"/>
      <c r="ME79" s="64"/>
      <c r="MF79" s="64"/>
      <c r="MG79" s="64"/>
      <c r="MH79" s="64"/>
      <c r="MI79" s="64"/>
      <c r="MJ79" s="64"/>
      <c r="MK79" s="64"/>
      <c r="ML79" s="64"/>
      <c r="MM79" s="64"/>
      <c r="MN79" s="64"/>
      <c r="MO79" s="64"/>
      <c r="MP79" s="64"/>
      <c r="MQ79" s="64"/>
      <c r="MR79" s="64"/>
      <c r="MS79" s="64"/>
      <c r="MT79" s="64"/>
      <c r="MU79" s="64"/>
      <c r="MV79" s="64"/>
      <c r="MW79" s="64"/>
      <c r="MX79" s="64"/>
      <c r="MY79" s="64"/>
      <c r="MZ79" s="64"/>
      <c r="NA79" s="64"/>
      <c r="NB79" s="64"/>
      <c r="NC79" s="64"/>
      <c r="ND79" s="64"/>
      <c r="NE79" s="64"/>
      <c r="NF79" s="64"/>
      <c r="NG79" s="64"/>
      <c r="NH79" s="64"/>
      <c r="NI79" s="64"/>
      <c r="NJ79" s="64"/>
      <c r="NK79" s="64"/>
      <c r="NL79" s="64"/>
      <c r="NM79" s="64"/>
      <c r="NN79" s="64"/>
      <c r="NO79" s="64"/>
      <c r="NP79" s="64"/>
      <c r="NQ79" s="64"/>
      <c r="NR79" s="64"/>
      <c r="NS79" s="64"/>
      <c r="NT79" s="64"/>
      <c r="NU79" s="64"/>
      <c r="NV79" s="64"/>
      <c r="NW79" s="64"/>
      <c r="NX79" s="64"/>
      <c r="NY79" s="64"/>
      <c r="NZ79" s="64"/>
      <c r="OA79" s="64"/>
      <c r="OB79" s="64"/>
      <c r="OC79" s="64"/>
      <c r="OD79" s="64"/>
      <c r="OE79" s="64"/>
      <c r="OF79" s="64"/>
      <c r="OG79" s="64"/>
      <c r="OH79" s="64"/>
      <c r="OI79" s="64"/>
      <c r="OJ79" s="64"/>
      <c r="OK79" s="64"/>
      <c r="OL79" s="64"/>
      <c r="OM79" s="64"/>
      <c r="ON79" s="64"/>
      <c r="OO79" s="64"/>
      <c r="OP79" s="64"/>
      <c r="OQ79" s="64"/>
      <c r="OR79" s="64"/>
      <c r="OS79" s="64"/>
      <c r="OT79" s="64"/>
      <c r="OU79" s="64"/>
      <c r="OV79" s="64"/>
      <c r="OW79" s="64"/>
      <c r="OX79" s="64"/>
      <c r="OY79" s="64"/>
      <c r="OZ79" s="64"/>
      <c r="PA79" s="64"/>
      <c r="PB79" s="64"/>
      <c r="PC79" s="64"/>
      <c r="PD79" s="64"/>
      <c r="PE79" s="64"/>
      <c r="PF79" s="64"/>
      <c r="PG79" s="64"/>
      <c r="PH79" s="64"/>
      <c r="PI79" s="64"/>
      <c r="PJ79" s="64"/>
      <c r="PK79" s="64"/>
      <c r="PL79" s="64"/>
      <c r="PM79" s="64"/>
      <c r="PN79" s="64"/>
      <c r="PO79" s="64"/>
      <c r="PP79" s="64"/>
      <c r="PQ79" s="64"/>
      <c r="PR79" s="64"/>
      <c r="PS79" s="64"/>
      <c r="PT79" s="64"/>
      <c r="PU79" s="64"/>
      <c r="PV79" s="64"/>
      <c r="PW79" s="64"/>
      <c r="PX79" s="64"/>
      <c r="PY79" s="64"/>
      <c r="PZ79" s="64"/>
      <c r="QA79" s="64"/>
      <c r="QB79" s="64"/>
      <c r="QC79" s="64"/>
      <c r="QD79" s="64"/>
      <c r="QE79" s="64"/>
      <c r="QF79" s="64"/>
      <c r="QG79" s="64"/>
      <c r="QH79" s="64"/>
      <c r="QI79" s="64"/>
      <c r="QJ79" s="64"/>
      <c r="QK79" s="64"/>
      <c r="QL79" s="64"/>
      <c r="QM79" s="64"/>
      <c r="QN79" s="64"/>
      <c r="QO79" s="64"/>
      <c r="QP79" s="64"/>
      <c r="QQ79" s="64"/>
      <c r="QR79" s="64"/>
      <c r="QS79" s="64"/>
      <c r="QT79" s="64"/>
      <c r="QU79" s="64"/>
      <c r="QV79" s="64"/>
      <c r="QW79" s="64"/>
      <c r="QX79" s="64"/>
      <c r="QY79" s="64"/>
      <c r="QZ79" s="64"/>
      <c r="RA79" s="64"/>
      <c r="RB79" s="64"/>
      <c r="RC79" s="64"/>
      <c r="RD79" s="64"/>
      <c r="RE79" s="64"/>
      <c r="RF79" s="64"/>
      <c r="RG79" s="64"/>
      <c r="RH79" s="64"/>
      <c r="RI79" s="64"/>
      <c r="RJ79" s="64"/>
      <c r="RK79" s="64"/>
      <c r="RL79" s="64"/>
      <c r="RM79" s="64"/>
      <c r="RN79" s="64"/>
      <c r="RO79" s="64"/>
      <c r="RP79" s="64"/>
      <c r="RQ79" s="64"/>
      <c r="RR79" s="64"/>
      <c r="RS79" s="64"/>
      <c r="RT79" s="64"/>
      <c r="RU79" s="64"/>
      <c r="RV79" s="64"/>
      <c r="RW79" s="64"/>
      <c r="RX79" s="64"/>
      <c r="RY79" s="64"/>
      <c r="RZ79" s="64"/>
      <c r="SA79" s="64"/>
      <c r="SB79" s="64"/>
      <c r="SC79" s="64"/>
      <c r="SD79" s="64"/>
      <c r="SE79" s="64"/>
      <c r="SF79" s="64"/>
      <c r="SG79" s="64"/>
      <c r="SH79" s="64"/>
      <c r="SI79" s="64"/>
      <c r="SJ79" s="64"/>
      <c r="SK79" s="64"/>
      <c r="SL79" s="64"/>
      <c r="SM79" s="64"/>
      <c r="SN79" s="64"/>
      <c r="SO79" s="64"/>
      <c r="SP79" s="64"/>
      <c r="SQ79" s="64"/>
      <c r="SR79" s="64"/>
      <c r="SS79" s="64"/>
      <c r="ST79" s="64"/>
      <c r="SU79" s="64"/>
      <c r="SV79" s="64"/>
      <c r="SW79" s="64"/>
      <c r="SX79" s="64"/>
      <c r="SY79" s="64"/>
      <c r="SZ79" s="64"/>
      <c r="TA79" s="64"/>
      <c r="TB79" s="64"/>
      <c r="TC79" s="64"/>
      <c r="TD79" s="64"/>
      <c r="TE79" s="64"/>
      <c r="TF79" s="64"/>
      <c r="TG79" s="64"/>
      <c r="TH79" s="64"/>
      <c r="TI79" s="64"/>
      <c r="TJ79" s="64"/>
      <c r="TK79" s="64"/>
      <c r="TL79" s="64"/>
      <c r="TM79" s="64"/>
      <c r="TN79" s="64"/>
      <c r="TO79" s="64"/>
      <c r="TP79" s="64"/>
      <c r="TQ79" s="64"/>
      <c r="TR79" s="64"/>
      <c r="TS79" s="64"/>
      <c r="TT79" s="64"/>
      <c r="TU79" s="64"/>
      <c r="TV79" s="64"/>
      <c r="TW79" s="64"/>
      <c r="TX79" s="64"/>
      <c r="TY79" s="64"/>
      <c r="TZ79" s="64"/>
      <c r="UA79" s="64"/>
      <c r="UB79" s="64"/>
      <c r="UC79" s="64"/>
      <c r="UD79" s="64"/>
      <c r="UE79" s="64"/>
      <c r="UF79" s="64"/>
      <c r="UG79" s="64"/>
      <c r="UH79" s="64"/>
      <c r="UI79" s="64"/>
      <c r="UJ79" s="64"/>
      <c r="UK79" s="64"/>
      <c r="UL79" s="64"/>
      <c r="UM79" s="64"/>
      <c r="UN79" s="64"/>
      <c r="UO79" s="64"/>
      <c r="UP79" s="64"/>
      <c r="UQ79" s="64"/>
      <c r="UR79" s="64"/>
      <c r="US79" s="64"/>
      <c r="UT79" s="64"/>
      <c r="UU79" s="64"/>
      <c r="UV79" s="64"/>
      <c r="UW79" s="64"/>
      <c r="UX79" s="64"/>
      <c r="UY79" s="64"/>
      <c r="UZ79" s="64"/>
      <c r="VA79" s="64"/>
      <c r="VB79" s="64"/>
      <c r="VC79" s="64"/>
      <c r="VD79" s="64"/>
      <c r="VE79" s="64"/>
      <c r="VF79" s="64"/>
      <c r="VG79" s="64"/>
      <c r="VH79" s="64"/>
      <c r="VI79" s="64"/>
      <c r="VJ79" s="64"/>
      <c r="VK79" s="64"/>
      <c r="VL79" s="64"/>
      <c r="VM79" s="64"/>
      <c r="VN79" s="64"/>
      <c r="VO79" s="64"/>
      <c r="VP79" s="64"/>
      <c r="VQ79" s="64"/>
      <c r="VR79" s="64"/>
      <c r="VS79" s="64"/>
      <c r="VT79" s="64"/>
      <c r="VU79" s="64"/>
      <c r="VV79" s="64"/>
      <c r="VW79" s="64"/>
      <c r="VX79" s="64"/>
      <c r="VY79" s="64"/>
      <c r="VZ79" s="64"/>
      <c r="WA79" s="64"/>
      <c r="WB79" s="64"/>
      <c r="WC79" s="64"/>
      <c r="WD79" s="64"/>
      <c r="WE79" s="64"/>
      <c r="WF79" s="64"/>
      <c r="WG79" s="64"/>
      <c r="WH79" s="64"/>
      <c r="WI79" s="64"/>
      <c r="WJ79" s="64"/>
      <c r="WK79" s="64"/>
      <c r="WL79" s="64"/>
      <c r="WM79" s="64"/>
      <c r="WN79" s="64"/>
      <c r="WO79" s="64"/>
      <c r="WP79" s="64"/>
      <c r="WQ79" s="64"/>
      <c r="WR79" s="64"/>
      <c r="WS79" s="64"/>
      <c r="WT79" s="64"/>
      <c r="WU79" s="64"/>
      <c r="WV79" s="64"/>
      <c r="WW79" s="64"/>
      <c r="WX79" s="64"/>
      <c r="WY79" s="64"/>
      <c r="WZ79" s="64"/>
      <c r="XA79" s="64"/>
      <c r="XB79" s="64"/>
      <c r="XC79" s="64"/>
      <c r="XD79" s="64"/>
      <c r="XE79" s="64"/>
      <c r="XF79" s="64"/>
      <c r="XG79" s="64"/>
      <c r="XH79" s="64"/>
      <c r="XI79" s="64"/>
      <c r="XJ79" s="64"/>
      <c r="XK79" s="64"/>
      <c r="XL79" s="64"/>
      <c r="XM79" s="64"/>
      <c r="XN79" s="64"/>
      <c r="XO79" s="64"/>
      <c r="XP79" s="64"/>
      <c r="XQ79" s="64"/>
      <c r="XR79" s="64"/>
      <c r="XS79" s="64"/>
      <c r="XT79" s="64"/>
      <c r="XU79" s="64"/>
      <c r="XV79" s="64"/>
      <c r="XW79" s="64"/>
      <c r="XX79" s="64"/>
      <c r="XY79" s="64"/>
      <c r="XZ79" s="64"/>
      <c r="YA79" s="64"/>
      <c r="YB79" s="64"/>
      <c r="YC79" s="64"/>
      <c r="YD79" s="64"/>
      <c r="YE79" s="64"/>
      <c r="YF79" s="64"/>
      <c r="YG79" s="64"/>
      <c r="YH79" s="64"/>
      <c r="YI79" s="64"/>
      <c r="YJ79" s="64"/>
      <c r="YK79" s="64"/>
      <c r="YL79" s="64"/>
      <c r="YM79" s="64"/>
      <c r="YN79" s="64"/>
      <c r="YO79" s="64"/>
      <c r="YP79" s="64"/>
      <c r="YQ79" s="64"/>
      <c r="YR79" s="64"/>
      <c r="YS79" s="64"/>
      <c r="YT79" s="64"/>
      <c r="YU79" s="64"/>
      <c r="YV79" s="64"/>
      <c r="YW79" s="64"/>
      <c r="YX79" s="64"/>
      <c r="YY79" s="64"/>
      <c r="YZ79" s="64"/>
      <c r="ZA79" s="64"/>
      <c r="ZB79" s="64"/>
      <c r="ZC79" s="64"/>
      <c r="ZD79" s="64"/>
      <c r="ZE79" s="64"/>
      <c r="ZF79" s="64"/>
      <c r="ZG79" s="64"/>
      <c r="ZH79" s="64"/>
      <c r="ZI79" s="64"/>
      <c r="ZJ79" s="64"/>
      <c r="ZK79" s="64"/>
      <c r="ZL79" s="64"/>
      <c r="ZM79" s="64"/>
      <c r="ZN79" s="64"/>
      <c r="ZO79" s="64"/>
      <c r="ZP79" s="64"/>
      <c r="ZQ79" s="64"/>
      <c r="ZR79" s="64"/>
      <c r="ZS79" s="64"/>
      <c r="ZT79" s="64"/>
      <c r="ZU79" s="64"/>
      <c r="ZV79" s="64"/>
      <c r="ZW79" s="64"/>
      <c r="ZX79" s="64"/>
      <c r="ZY79" s="64"/>
      <c r="ZZ79" s="64"/>
      <c r="AAA79" s="64"/>
      <c r="AAB79" s="64"/>
      <c r="AAC79" s="64"/>
      <c r="AAD79" s="64"/>
      <c r="AAE79" s="64"/>
      <c r="AAF79" s="64"/>
      <c r="AAG79" s="64"/>
      <c r="AAH79" s="64"/>
      <c r="AAI79" s="64"/>
      <c r="AAJ79" s="64"/>
      <c r="AAK79" s="64"/>
      <c r="AAL79" s="64"/>
      <c r="AAM79" s="64"/>
      <c r="AAN79" s="64"/>
      <c r="AAO79" s="64"/>
      <c r="AAP79" s="64"/>
      <c r="AAQ79" s="64"/>
      <c r="AAR79" s="64"/>
      <c r="AAS79" s="64"/>
      <c r="AAT79" s="64"/>
      <c r="AAU79" s="64"/>
      <c r="AAV79" s="64"/>
      <c r="AAW79" s="64"/>
      <c r="AAX79" s="64"/>
      <c r="AAY79" s="64"/>
      <c r="AAZ79" s="64"/>
      <c r="ABA79" s="64"/>
      <c r="ABB79" s="64"/>
      <c r="ABC79" s="64"/>
      <c r="ABD79" s="64"/>
      <c r="ABE79" s="64"/>
      <c r="ABF79" s="64"/>
      <c r="ABG79" s="64"/>
      <c r="ABH79" s="64"/>
      <c r="ABI79" s="64"/>
      <c r="ABJ79" s="64"/>
      <c r="ABK79" s="64"/>
      <c r="ABL79" s="64"/>
      <c r="ABM79" s="64"/>
      <c r="ABN79" s="64"/>
      <c r="ABO79" s="64"/>
      <c r="ABP79" s="64"/>
      <c r="ABQ79" s="64"/>
      <c r="ABR79" s="64"/>
      <c r="ABS79" s="64"/>
      <c r="ABT79" s="64"/>
      <c r="ABU79" s="64"/>
      <c r="ABV79" s="64"/>
      <c r="ABW79" s="64"/>
      <c r="ABX79" s="64"/>
      <c r="ABY79" s="64"/>
      <c r="ABZ79" s="64"/>
      <c r="ACA79" s="64"/>
      <c r="ACB79" s="64"/>
      <c r="ACC79" s="64"/>
      <c r="ACD79" s="64"/>
      <c r="ACE79" s="64"/>
      <c r="ACF79" s="64"/>
      <c r="ACG79" s="64"/>
      <c r="ACH79" s="64"/>
      <c r="ACI79" s="64"/>
      <c r="ACJ79" s="64"/>
      <c r="ACK79" s="64"/>
      <c r="ACL79" s="64"/>
      <c r="ACM79" s="64"/>
      <c r="ACN79" s="64"/>
      <c r="ACO79" s="64"/>
      <c r="ACP79" s="64"/>
      <c r="ACQ79" s="64"/>
      <c r="ACR79" s="64"/>
      <c r="ACS79" s="64"/>
      <c r="ACT79" s="64"/>
      <c r="ACU79" s="64"/>
      <c r="ACV79" s="64"/>
      <c r="ACW79" s="64"/>
      <c r="ACX79" s="64"/>
      <c r="ACY79" s="64"/>
      <c r="ACZ79" s="64"/>
      <c r="ADA79" s="64"/>
      <c r="ADB79" s="64"/>
      <c r="ADC79" s="64"/>
      <c r="ADD79" s="64"/>
      <c r="ADE79" s="64"/>
      <c r="ADF79" s="64"/>
      <c r="ADG79" s="64"/>
      <c r="ADH79" s="64"/>
      <c r="ADI79" s="64"/>
      <c r="ADJ79" s="64"/>
      <c r="ADK79" s="64"/>
      <c r="ADL79" s="64"/>
      <c r="ADM79" s="64"/>
      <c r="ADN79" s="64"/>
      <c r="ADO79" s="64"/>
      <c r="ADP79" s="64"/>
      <c r="ADQ79" s="64"/>
      <c r="ADR79" s="64"/>
      <c r="ADS79" s="64"/>
      <c r="ADT79" s="64"/>
      <c r="ADU79" s="64"/>
      <c r="ADV79" s="64"/>
      <c r="ADW79" s="64"/>
      <c r="ADX79" s="64"/>
      <c r="ADY79" s="64"/>
      <c r="ADZ79" s="64"/>
      <c r="AEA79" s="64"/>
      <c r="AEB79" s="64"/>
      <c r="AEC79" s="64"/>
      <c r="AED79" s="64"/>
      <c r="AEE79" s="64"/>
      <c r="AEF79" s="64"/>
      <c r="AEG79" s="64"/>
      <c r="AEH79" s="64"/>
      <c r="AEI79" s="64"/>
      <c r="AEJ79" s="64"/>
      <c r="AEK79" s="64"/>
      <c r="AEL79" s="64"/>
      <c r="AEM79" s="64"/>
      <c r="AEN79" s="64"/>
      <c r="AEO79" s="64"/>
      <c r="AEP79" s="64"/>
      <c r="AEQ79" s="64"/>
      <c r="AER79" s="64"/>
      <c r="AES79" s="64"/>
      <c r="AET79" s="64"/>
      <c r="AEU79" s="64"/>
      <c r="AEV79" s="64"/>
      <c r="AEW79" s="64"/>
      <c r="AEX79" s="64"/>
      <c r="AEY79" s="64"/>
      <c r="AEZ79" s="64"/>
      <c r="AFA79" s="64"/>
      <c r="AFB79" s="64"/>
      <c r="AFC79" s="64"/>
      <c r="AFD79" s="64"/>
      <c r="AFE79" s="64"/>
      <c r="AFF79" s="64"/>
      <c r="AFG79" s="64"/>
      <c r="AFH79" s="64"/>
      <c r="AFI79" s="64"/>
      <c r="AFJ79" s="64"/>
      <c r="AFK79" s="64"/>
      <c r="AFL79" s="64"/>
      <c r="AFM79" s="64"/>
      <c r="AFN79" s="64"/>
      <c r="AFO79" s="64"/>
      <c r="AFP79" s="64"/>
      <c r="AFQ79" s="64"/>
      <c r="AFR79" s="64"/>
      <c r="AFS79" s="64"/>
      <c r="AFT79" s="64"/>
      <c r="AFU79" s="64"/>
      <c r="AFV79" s="64"/>
      <c r="AFW79" s="64"/>
      <c r="AFX79" s="64"/>
      <c r="AFY79" s="64"/>
      <c r="AFZ79" s="64"/>
      <c r="AGA79" s="64"/>
      <c r="AGB79" s="64"/>
      <c r="AGC79" s="64"/>
      <c r="AGD79" s="64"/>
      <c r="AGE79" s="64"/>
      <c r="AGF79" s="64"/>
      <c r="AGG79" s="64"/>
      <c r="AGH79" s="64"/>
      <c r="AGI79" s="64"/>
      <c r="AGJ79" s="64"/>
      <c r="AGK79" s="64"/>
      <c r="AGL79" s="64"/>
      <c r="AGM79" s="64"/>
      <c r="AGN79" s="64"/>
      <c r="AGO79" s="64"/>
      <c r="AGP79" s="64"/>
      <c r="AGQ79" s="64"/>
      <c r="AGR79" s="64"/>
      <c r="AGS79" s="64"/>
      <c r="AGT79" s="64"/>
      <c r="AGU79" s="64"/>
      <c r="AGV79" s="64"/>
      <c r="AGW79" s="64"/>
      <c r="AGX79" s="64"/>
      <c r="AGY79" s="64"/>
      <c r="AGZ79" s="64"/>
      <c r="AHA79" s="64"/>
      <c r="AHB79" s="64"/>
      <c r="AHC79" s="64"/>
      <c r="AHD79" s="64"/>
      <c r="AHE79" s="64"/>
      <c r="AHF79" s="64"/>
      <c r="AHG79" s="64"/>
      <c r="AHH79" s="64"/>
      <c r="AHI79" s="64"/>
      <c r="AHJ79" s="64"/>
      <c r="AHK79" s="64"/>
      <c r="AHL79" s="64"/>
      <c r="AHM79" s="64"/>
      <c r="AHN79" s="64"/>
      <c r="AHO79" s="64"/>
      <c r="AHP79" s="64"/>
      <c r="AHQ79" s="64"/>
      <c r="AHR79" s="64"/>
      <c r="AHS79" s="64"/>
      <c r="AHT79" s="64"/>
      <c r="AHU79" s="64"/>
      <c r="AHV79" s="64"/>
      <c r="AHW79" s="64"/>
      <c r="AHX79" s="64"/>
      <c r="AHY79" s="64"/>
      <c r="AHZ79" s="64"/>
      <c r="AIA79" s="64"/>
      <c r="AIB79" s="64"/>
      <c r="AIC79" s="64"/>
      <c r="AID79" s="64"/>
      <c r="AIE79" s="64"/>
      <c r="AIF79" s="64"/>
      <c r="AIG79" s="64"/>
      <c r="AIH79" s="64"/>
      <c r="AII79" s="64"/>
      <c r="AIJ79" s="64"/>
      <c r="AIK79" s="64"/>
      <c r="AIL79" s="64"/>
      <c r="AIM79" s="64"/>
      <c r="AIN79" s="64"/>
      <c r="AIO79" s="64"/>
      <c r="AIP79" s="64"/>
      <c r="AIQ79" s="64"/>
      <c r="AIR79" s="64"/>
      <c r="AIS79" s="64"/>
      <c r="AIT79" s="64"/>
      <c r="AIU79" s="64"/>
      <c r="AIV79" s="64"/>
      <c r="AIW79" s="64"/>
      <c r="AIX79" s="64"/>
      <c r="AIY79" s="64"/>
      <c r="AIZ79" s="64"/>
      <c r="AJA79" s="64"/>
      <c r="AJB79" s="64"/>
      <c r="AJC79" s="64"/>
      <c r="AJD79" s="64"/>
      <c r="AJE79" s="64"/>
      <c r="AJF79" s="64"/>
      <c r="AJG79" s="64"/>
      <c r="AJH79" s="64"/>
      <c r="AJI79" s="64"/>
      <c r="AJJ79" s="64"/>
      <c r="AJK79" s="64"/>
      <c r="AJL79" s="64"/>
      <c r="AJM79" s="64"/>
      <c r="AJN79" s="64"/>
      <c r="AJO79" s="64"/>
      <c r="AJP79" s="64"/>
      <c r="AJQ79" s="64"/>
      <c r="AJR79" s="64"/>
      <c r="AJS79" s="64"/>
      <c r="AJT79" s="64"/>
      <c r="AJU79" s="64"/>
      <c r="AJV79" s="64"/>
      <c r="AJW79" s="64"/>
      <c r="AJX79" s="64"/>
      <c r="AJY79" s="64"/>
      <c r="AJZ79" s="64"/>
      <c r="AKA79" s="64"/>
      <c r="AKB79" s="64"/>
      <c r="AKC79" s="64"/>
      <c r="AKD79" s="64"/>
      <c r="AKE79" s="64"/>
      <c r="AKF79" s="64"/>
      <c r="AKG79" s="64"/>
      <c r="AKH79" s="64"/>
      <c r="AKI79" s="64"/>
      <c r="AKJ79" s="64"/>
      <c r="AKK79" s="64"/>
      <c r="AKL79" s="64"/>
      <c r="AKM79" s="64"/>
      <c r="AKN79" s="64"/>
      <c r="AKO79" s="64"/>
      <c r="AKP79" s="64"/>
      <c r="AKQ79" s="64"/>
      <c r="AKR79" s="64"/>
      <c r="AKS79" s="64"/>
      <c r="AKT79" s="64"/>
      <c r="AKU79" s="64"/>
      <c r="AKV79" s="64"/>
      <c r="AKW79" s="64"/>
      <c r="AKX79" s="64"/>
      <c r="AKY79" s="64"/>
      <c r="AKZ79" s="64"/>
      <c r="ALA79" s="64"/>
      <c r="ALB79" s="64"/>
      <c r="ALC79" s="64"/>
      <c r="ALD79" s="64"/>
      <c r="ALE79" s="64"/>
      <c r="ALF79" s="64"/>
      <c r="ALG79" s="64"/>
      <c r="ALH79" s="64"/>
      <c r="ALI79" s="64"/>
      <c r="ALJ79" s="64"/>
      <c r="ALK79" s="64"/>
      <c r="ALL79" s="64"/>
      <c r="ALM79" s="64"/>
      <c r="ALN79" s="64"/>
      <c r="ALO79" s="64"/>
      <c r="ALP79" s="64"/>
      <c r="ALQ79" s="64"/>
      <c r="ALR79" s="64"/>
      <c r="ALS79" s="64"/>
      <c r="ALT79" s="64"/>
      <c r="ALU79" s="64"/>
      <c r="ALV79" s="64"/>
      <c r="ALW79" s="64"/>
      <c r="ALX79" s="64"/>
      <c r="ALY79" s="64"/>
      <c r="ALZ79" s="64"/>
      <c r="AMA79" s="64"/>
      <c r="AMB79" s="64"/>
      <c r="AMC79" s="64"/>
      <c r="AMD79" s="64"/>
      <c r="AME79" s="64"/>
      <c r="AMF79" s="64"/>
      <c r="AMG79" s="64"/>
      <c r="AMH79" s="64"/>
      <c r="AMI79" s="64"/>
      <c r="AMJ79" s="64"/>
      <c r="AMK79" s="64"/>
      <c r="AML79" s="64"/>
      <c r="AMM79" s="64"/>
      <c r="AMN79" s="64"/>
      <c r="AMO79" s="64"/>
      <c r="AMP79" s="64"/>
      <c r="AMQ79" s="64"/>
      <c r="AMR79" s="64"/>
      <c r="AMS79" s="64"/>
      <c r="AMT79" s="64"/>
      <c r="AMU79" s="64"/>
      <c r="AMV79" s="64"/>
      <c r="AMW79" s="64"/>
      <c r="AMX79" s="64"/>
      <c r="AMY79" s="64"/>
      <c r="AMZ79" s="64"/>
      <c r="ANA79" s="64"/>
      <c r="ANB79" s="64"/>
      <c r="ANC79" s="64"/>
      <c r="AND79" s="64"/>
      <c r="ANE79" s="64"/>
      <c r="ANF79" s="64"/>
      <c r="ANG79" s="64"/>
      <c r="ANH79" s="64"/>
      <c r="ANI79" s="64"/>
      <c r="ANJ79" s="64"/>
      <c r="ANK79" s="64"/>
      <c r="ANL79" s="64"/>
      <c r="ANM79" s="64"/>
      <c r="ANN79" s="64"/>
      <c r="ANO79" s="64"/>
      <c r="ANP79" s="64"/>
      <c r="ANQ79" s="64"/>
      <c r="ANR79" s="64"/>
      <c r="ANS79" s="64"/>
      <c r="ANT79" s="64"/>
      <c r="ANU79" s="64"/>
      <c r="ANV79" s="64"/>
      <c r="ANW79" s="64"/>
      <c r="ANX79" s="64"/>
      <c r="ANY79" s="64"/>
      <c r="ANZ79" s="64"/>
      <c r="AOA79" s="64"/>
      <c r="AOB79" s="64"/>
      <c r="AOC79" s="64"/>
      <c r="AOD79" s="64"/>
      <c r="AOE79" s="64"/>
      <c r="AOF79" s="64"/>
      <c r="AOG79" s="64"/>
      <c r="AOH79" s="64"/>
      <c r="AOI79" s="64"/>
      <c r="AOJ79" s="64"/>
      <c r="AOK79" s="64"/>
      <c r="AOL79" s="64"/>
      <c r="AOM79" s="64"/>
      <c r="AON79" s="64"/>
      <c r="AOO79" s="64"/>
      <c r="AOP79" s="64"/>
      <c r="AOQ79" s="64"/>
      <c r="AOR79" s="64"/>
      <c r="AOS79" s="64"/>
      <c r="AOT79" s="64"/>
      <c r="AOU79" s="64"/>
      <c r="AOV79" s="64"/>
      <c r="AOW79" s="64"/>
      <c r="AOX79" s="64"/>
      <c r="AOY79" s="64"/>
      <c r="AOZ79" s="64"/>
      <c r="APA79" s="64"/>
      <c r="APB79" s="64"/>
      <c r="APC79" s="64"/>
      <c r="APD79" s="64"/>
      <c r="APE79" s="64"/>
      <c r="APF79" s="64"/>
      <c r="APG79" s="64"/>
      <c r="APH79" s="64"/>
      <c r="API79" s="64"/>
      <c r="APJ79" s="64"/>
      <c r="APK79" s="64"/>
      <c r="APL79" s="64"/>
      <c r="APM79" s="64"/>
      <c r="APN79" s="64"/>
      <c r="APO79" s="64"/>
      <c r="APP79" s="64"/>
      <c r="APQ79" s="64"/>
      <c r="APR79" s="64"/>
      <c r="APS79" s="64"/>
      <c r="APT79" s="64"/>
      <c r="APU79" s="64"/>
      <c r="APV79" s="64"/>
      <c r="APW79" s="64"/>
      <c r="APX79" s="64"/>
      <c r="APY79" s="64"/>
      <c r="APZ79" s="64"/>
      <c r="AQA79" s="64"/>
      <c r="AQB79" s="64"/>
      <c r="AQC79" s="64"/>
      <c r="AQD79" s="64"/>
      <c r="AQE79" s="64"/>
      <c r="AQF79" s="64"/>
      <c r="AQG79" s="64"/>
      <c r="AQH79" s="64"/>
      <c r="AQI79" s="64"/>
      <c r="AQJ79" s="64"/>
      <c r="AQK79" s="64"/>
      <c r="AQL79" s="64"/>
      <c r="AQM79" s="64"/>
      <c r="AQN79" s="64"/>
      <c r="AQO79" s="64"/>
      <c r="AQP79" s="64"/>
      <c r="AQQ79" s="64"/>
      <c r="AQR79" s="64"/>
      <c r="AQS79" s="64"/>
      <c r="AQT79" s="64"/>
      <c r="AQU79" s="64"/>
      <c r="AQV79" s="64"/>
      <c r="AQW79" s="64"/>
      <c r="AQX79" s="64"/>
      <c r="AQY79" s="64"/>
      <c r="AQZ79" s="64"/>
      <c r="ARA79" s="64"/>
      <c r="ARB79" s="64"/>
      <c r="ARC79" s="64"/>
      <c r="ARD79" s="64"/>
      <c r="ARE79" s="64"/>
      <c r="ARF79" s="64"/>
      <c r="ARG79" s="64"/>
      <c r="ARH79" s="64"/>
      <c r="ARI79" s="64"/>
      <c r="ARJ79" s="64"/>
      <c r="ARK79" s="64"/>
      <c r="ARL79" s="64"/>
      <c r="ARM79" s="64"/>
      <c r="ARN79" s="64"/>
      <c r="ARO79" s="64"/>
      <c r="ARP79" s="64"/>
      <c r="ARQ79" s="64"/>
      <c r="ARR79" s="64"/>
      <c r="ARS79" s="64"/>
      <c r="ART79" s="64"/>
      <c r="ARU79" s="64"/>
      <c r="ARV79" s="64"/>
      <c r="ARW79" s="64"/>
      <c r="ARX79" s="64"/>
      <c r="ARY79" s="64"/>
      <c r="ARZ79" s="64"/>
      <c r="ASA79" s="64"/>
      <c r="ASB79" s="64"/>
      <c r="ASC79" s="64"/>
      <c r="ASD79" s="64"/>
      <c r="ASE79" s="64"/>
      <c r="ASF79" s="64"/>
      <c r="ASG79" s="64"/>
      <c r="ASH79" s="64"/>
      <c r="ASI79" s="64"/>
      <c r="ASJ79" s="64"/>
      <c r="ASK79" s="64"/>
      <c r="ASL79" s="64"/>
      <c r="ASM79" s="64"/>
      <c r="ASN79" s="64"/>
      <c r="ASO79" s="64"/>
      <c r="ASP79" s="64"/>
      <c r="ASQ79" s="64"/>
      <c r="ASR79" s="64"/>
      <c r="ASS79" s="64"/>
      <c r="AST79" s="64"/>
      <c r="ASU79" s="64"/>
      <c r="ASV79" s="64"/>
      <c r="ASW79" s="64"/>
      <c r="ASX79" s="64"/>
      <c r="ASY79" s="64"/>
      <c r="ASZ79" s="64"/>
      <c r="ATA79" s="64"/>
      <c r="ATB79" s="64"/>
      <c r="ATC79" s="64"/>
      <c r="ATD79" s="64"/>
      <c r="ATE79" s="64"/>
      <c r="ATF79" s="64"/>
      <c r="ATG79" s="64"/>
      <c r="ATH79" s="64"/>
      <c r="ATI79" s="64"/>
      <c r="ATJ79" s="64"/>
      <c r="ATK79" s="64"/>
      <c r="ATL79" s="64"/>
      <c r="ATM79" s="64"/>
      <c r="ATN79" s="64"/>
      <c r="ATO79" s="64"/>
      <c r="ATP79" s="64"/>
      <c r="ATQ79" s="64"/>
      <c r="ATR79" s="64"/>
      <c r="ATS79" s="64"/>
      <c r="ATT79" s="64"/>
      <c r="ATU79" s="64"/>
      <c r="ATV79" s="64"/>
      <c r="ATW79" s="64"/>
      <c r="ATX79" s="64"/>
      <c r="ATY79" s="64"/>
      <c r="ATZ79" s="64"/>
      <c r="AUA79" s="64"/>
      <c r="AUB79" s="64"/>
      <c r="AUC79" s="64"/>
      <c r="AUD79" s="64"/>
      <c r="AUE79" s="64"/>
      <c r="AUF79" s="64"/>
      <c r="AUG79" s="64"/>
      <c r="AUH79" s="64"/>
      <c r="AUI79" s="64"/>
      <c r="AUJ79" s="64"/>
      <c r="AUK79" s="64"/>
      <c r="AUL79" s="64"/>
      <c r="AUM79" s="64"/>
      <c r="AUN79" s="64"/>
      <c r="AUO79" s="64"/>
      <c r="AUP79" s="64"/>
      <c r="AUQ79" s="64"/>
      <c r="AUR79" s="64"/>
      <c r="AUS79" s="64"/>
      <c r="AUT79" s="64"/>
      <c r="AUU79" s="64"/>
      <c r="AUV79" s="64"/>
      <c r="AUW79" s="64"/>
      <c r="AUX79" s="64"/>
      <c r="AUY79" s="64"/>
      <c r="AUZ79" s="64"/>
      <c r="AVA79" s="64"/>
      <c r="AVB79" s="64"/>
      <c r="AVC79" s="64"/>
      <c r="AVD79" s="64"/>
      <c r="AVE79" s="64"/>
      <c r="AVF79" s="64"/>
      <c r="AVG79" s="64"/>
      <c r="AVH79" s="64"/>
      <c r="AVI79" s="64"/>
      <c r="AVJ79" s="64"/>
      <c r="AVK79" s="64"/>
      <c r="AVL79" s="64"/>
      <c r="AVM79" s="64"/>
      <c r="AVN79" s="64"/>
      <c r="AVO79" s="64"/>
      <c r="AVP79" s="64"/>
      <c r="AVQ79" s="64"/>
      <c r="AVR79" s="64"/>
      <c r="AVS79" s="64"/>
      <c r="AVT79" s="64"/>
      <c r="AVU79" s="64"/>
      <c r="AVV79" s="64"/>
      <c r="AVW79" s="64"/>
      <c r="AVX79" s="64"/>
      <c r="AVY79" s="64"/>
      <c r="AVZ79" s="64"/>
      <c r="AWA79" s="64"/>
      <c r="AWB79" s="64"/>
      <c r="AWC79" s="64"/>
      <c r="AWD79" s="64"/>
      <c r="AWE79" s="64"/>
      <c r="AWF79" s="64"/>
      <c r="AWG79" s="64"/>
      <c r="AWH79" s="64"/>
      <c r="AWI79" s="64"/>
      <c r="AWJ79" s="64"/>
      <c r="AWK79" s="64"/>
      <c r="AWL79" s="64"/>
      <c r="AWM79" s="64"/>
      <c r="AWN79" s="64"/>
      <c r="AWO79" s="64"/>
      <c r="AWP79" s="64"/>
      <c r="AWQ79" s="64"/>
      <c r="AWR79" s="64"/>
      <c r="AWS79" s="64"/>
      <c r="AWT79" s="64"/>
      <c r="AWU79" s="64"/>
      <c r="AWV79" s="64"/>
      <c r="AWW79" s="64"/>
      <c r="AWX79" s="64"/>
      <c r="AWY79" s="64"/>
      <c r="AWZ79" s="64"/>
      <c r="AXA79" s="64"/>
      <c r="AXB79" s="64"/>
      <c r="AXC79" s="64"/>
      <c r="AXD79" s="64"/>
      <c r="AXE79" s="64"/>
      <c r="AXF79" s="64"/>
      <c r="AXG79" s="64"/>
      <c r="AXH79" s="64"/>
      <c r="AXI79" s="64"/>
      <c r="AXJ79" s="64"/>
      <c r="AXK79" s="64"/>
      <c r="AXL79" s="64"/>
      <c r="AXM79" s="64"/>
      <c r="AXN79" s="64"/>
      <c r="AXO79" s="64"/>
      <c r="AXP79" s="64"/>
      <c r="AXQ79" s="64"/>
      <c r="AXR79" s="64"/>
      <c r="AXS79" s="64"/>
      <c r="AXT79" s="64"/>
      <c r="AXU79" s="64"/>
      <c r="AXV79" s="64"/>
      <c r="AXW79" s="64"/>
      <c r="AXX79" s="64"/>
      <c r="AXY79" s="64"/>
      <c r="AXZ79" s="64"/>
      <c r="AYA79" s="64"/>
      <c r="AYB79" s="64"/>
      <c r="AYC79" s="64"/>
      <c r="AYD79" s="64"/>
      <c r="AYE79" s="64"/>
      <c r="AYF79" s="64"/>
      <c r="AYG79" s="64"/>
      <c r="AYH79" s="64"/>
      <c r="AYI79" s="64"/>
      <c r="AYJ79" s="64"/>
      <c r="AYK79" s="64"/>
      <c r="AYL79" s="64"/>
      <c r="AYM79" s="64"/>
      <c r="AYN79" s="64"/>
      <c r="AYO79" s="64"/>
      <c r="AYP79" s="64"/>
      <c r="AYQ79" s="64"/>
      <c r="AYR79" s="64"/>
      <c r="AYS79" s="64"/>
      <c r="AYT79" s="64"/>
      <c r="AYU79" s="64"/>
      <c r="AYV79" s="64"/>
      <c r="AYW79" s="64"/>
      <c r="AYX79" s="64"/>
      <c r="AYY79" s="64"/>
      <c r="AYZ79" s="64"/>
      <c r="AZA79" s="64"/>
      <c r="AZB79" s="64"/>
      <c r="AZC79" s="64"/>
      <c r="AZD79" s="64"/>
      <c r="AZE79" s="64"/>
      <c r="AZF79" s="64"/>
      <c r="AZG79" s="64"/>
      <c r="AZH79" s="64"/>
      <c r="AZI79" s="64"/>
      <c r="AZJ79" s="64"/>
      <c r="AZK79" s="64"/>
      <c r="AZL79" s="64"/>
      <c r="AZM79" s="64"/>
      <c r="AZN79" s="64"/>
      <c r="AZO79" s="64"/>
      <c r="AZP79" s="64"/>
      <c r="AZQ79" s="64"/>
      <c r="AZR79" s="64"/>
      <c r="AZS79" s="64"/>
      <c r="AZT79" s="64"/>
      <c r="AZU79" s="64"/>
      <c r="AZV79" s="64"/>
      <c r="AZW79" s="64"/>
      <c r="AZX79" s="64"/>
      <c r="AZY79" s="64"/>
      <c r="AZZ79" s="64"/>
      <c r="BAA79" s="64"/>
      <c r="BAB79" s="64"/>
      <c r="BAC79" s="64"/>
      <c r="BAD79" s="64"/>
      <c r="BAE79" s="64"/>
      <c r="BAF79" s="64"/>
      <c r="BAG79" s="64"/>
      <c r="BAH79" s="64"/>
      <c r="BAI79" s="64"/>
      <c r="BAJ79" s="64"/>
      <c r="BAK79" s="64"/>
      <c r="BAL79" s="64"/>
      <c r="BAM79" s="64"/>
      <c r="BAN79" s="64"/>
      <c r="BAO79" s="64"/>
      <c r="BAP79" s="64"/>
      <c r="BAQ79" s="64"/>
      <c r="BAR79" s="64"/>
      <c r="BAS79" s="64"/>
      <c r="BAT79" s="64"/>
      <c r="BAU79" s="64"/>
      <c r="BAV79" s="64"/>
      <c r="BAW79" s="64"/>
      <c r="BAX79" s="64"/>
      <c r="BAY79" s="64"/>
      <c r="BAZ79" s="64"/>
      <c r="BBA79" s="64"/>
      <c r="BBB79" s="64"/>
      <c r="BBC79" s="64"/>
      <c r="BBD79" s="64"/>
      <c r="BBE79" s="64"/>
      <c r="BBF79" s="64"/>
      <c r="BBG79" s="64"/>
      <c r="BBH79" s="64"/>
      <c r="BBI79" s="64"/>
      <c r="BBJ79" s="64"/>
      <c r="BBK79" s="64"/>
      <c r="BBL79" s="64"/>
      <c r="BBM79" s="64"/>
      <c r="BBN79" s="64"/>
      <c r="BBO79" s="64"/>
      <c r="BBP79" s="64"/>
      <c r="BBQ79" s="64"/>
      <c r="BBR79" s="64"/>
      <c r="BBS79" s="64"/>
      <c r="BBT79" s="64"/>
      <c r="BBU79" s="64"/>
      <c r="BBV79" s="64"/>
      <c r="BBW79" s="64"/>
      <c r="BBX79" s="64"/>
      <c r="BBY79" s="64"/>
      <c r="BBZ79" s="64"/>
      <c r="BCA79" s="64"/>
      <c r="BCB79" s="64"/>
      <c r="BCC79" s="64"/>
      <c r="BCD79" s="64"/>
      <c r="BCE79" s="64"/>
      <c r="BCF79" s="64"/>
      <c r="BCG79" s="64"/>
      <c r="BCH79" s="64"/>
      <c r="BCI79" s="64"/>
      <c r="BCJ79" s="64"/>
      <c r="BCK79" s="64"/>
      <c r="BCL79" s="64"/>
      <c r="BCM79" s="64"/>
      <c r="BCN79" s="64"/>
      <c r="BCO79" s="64"/>
      <c r="BCP79" s="64"/>
      <c r="BCQ79" s="64"/>
      <c r="BCR79" s="64"/>
      <c r="BCS79" s="64"/>
      <c r="BCT79" s="64"/>
      <c r="BCU79" s="64"/>
      <c r="BCV79" s="64"/>
      <c r="BCW79" s="64"/>
      <c r="BCX79" s="64"/>
      <c r="BCY79" s="64"/>
      <c r="BCZ79" s="64"/>
      <c r="BDA79" s="64"/>
      <c r="BDB79" s="64"/>
      <c r="BDC79" s="64"/>
      <c r="BDD79" s="64"/>
      <c r="BDE79" s="64"/>
      <c r="BDF79" s="64"/>
      <c r="BDG79" s="64"/>
      <c r="BDH79" s="64"/>
      <c r="BDI79" s="64"/>
      <c r="BDJ79" s="64"/>
      <c r="BDK79" s="64"/>
      <c r="BDL79" s="64"/>
      <c r="BDM79" s="64"/>
      <c r="BDN79" s="64"/>
      <c r="BDO79" s="64"/>
      <c r="BDP79" s="64"/>
      <c r="BDQ79" s="64"/>
      <c r="BDR79" s="64"/>
      <c r="BDS79" s="64"/>
      <c r="BDT79" s="64"/>
      <c r="BDU79" s="64"/>
      <c r="BDV79" s="64"/>
      <c r="BDW79" s="64"/>
      <c r="BDX79" s="64"/>
      <c r="BDY79" s="64"/>
      <c r="BDZ79" s="64"/>
      <c r="BEA79" s="64"/>
      <c r="BEB79" s="64"/>
      <c r="BEC79" s="64"/>
      <c r="BED79" s="64"/>
      <c r="BEE79" s="64"/>
      <c r="BEF79" s="64"/>
      <c r="BEG79" s="64"/>
      <c r="BEH79" s="64"/>
      <c r="BEI79" s="64"/>
      <c r="BEJ79" s="64"/>
      <c r="BEK79" s="64"/>
      <c r="BEL79" s="64"/>
      <c r="BEM79" s="64"/>
      <c r="BEN79" s="64"/>
      <c r="BEO79" s="64"/>
      <c r="BEP79" s="64"/>
      <c r="BEQ79" s="64"/>
      <c r="BER79" s="64"/>
      <c r="BES79" s="64"/>
      <c r="BET79" s="64"/>
      <c r="BEU79" s="64"/>
      <c r="BEV79" s="64"/>
      <c r="BEW79" s="64"/>
      <c r="BEX79" s="64"/>
      <c r="BEY79" s="64"/>
      <c r="BEZ79" s="64"/>
      <c r="BFA79" s="64"/>
      <c r="BFB79" s="64"/>
      <c r="BFC79" s="64"/>
      <c r="BFD79" s="64"/>
      <c r="BFE79" s="64"/>
      <c r="BFF79" s="64"/>
      <c r="BFG79" s="64"/>
      <c r="BFH79" s="64"/>
      <c r="BFI79" s="64"/>
      <c r="BFJ79" s="64"/>
      <c r="BFK79" s="64"/>
      <c r="BFL79" s="64"/>
      <c r="BFM79" s="64"/>
      <c r="BFN79" s="64"/>
      <c r="BFO79" s="64"/>
      <c r="BFP79" s="64"/>
      <c r="BFQ79" s="64"/>
      <c r="BFR79" s="64"/>
      <c r="BFS79" s="64"/>
      <c r="BFT79" s="64"/>
      <c r="BFU79" s="64"/>
      <c r="BFV79" s="64"/>
      <c r="BFW79" s="64"/>
      <c r="BFX79" s="64"/>
      <c r="BFY79" s="64"/>
      <c r="BFZ79" s="64"/>
      <c r="BGA79" s="64"/>
      <c r="BGB79" s="64"/>
      <c r="BGC79" s="64"/>
      <c r="BGD79" s="64"/>
      <c r="BGE79" s="64"/>
      <c r="BGF79" s="64"/>
      <c r="BGG79" s="64"/>
      <c r="BGH79" s="64"/>
      <c r="BGI79" s="64"/>
      <c r="BGJ79" s="64"/>
      <c r="BGK79" s="64"/>
      <c r="BGL79" s="64"/>
      <c r="BGM79" s="64"/>
      <c r="BGN79" s="64"/>
      <c r="BGO79" s="64"/>
      <c r="BGP79" s="64"/>
      <c r="BGQ79" s="64"/>
      <c r="BGR79" s="64"/>
      <c r="BGS79" s="64"/>
      <c r="BGT79" s="64"/>
      <c r="BGU79" s="64"/>
      <c r="BGV79" s="64"/>
      <c r="BGW79" s="64"/>
      <c r="BGX79" s="64"/>
      <c r="BGY79" s="64"/>
      <c r="BGZ79" s="64"/>
      <c r="BHA79" s="64"/>
      <c r="BHB79" s="64"/>
      <c r="BHC79" s="64"/>
      <c r="BHD79" s="64"/>
      <c r="BHE79" s="64"/>
      <c r="BHF79" s="64"/>
      <c r="BHG79" s="64"/>
      <c r="BHH79" s="64"/>
      <c r="BHI79" s="64"/>
      <c r="BHJ79" s="64"/>
      <c r="BHK79" s="64"/>
      <c r="BHL79" s="64"/>
      <c r="BHM79" s="64"/>
      <c r="BHN79" s="64"/>
      <c r="BHO79" s="64"/>
      <c r="BHP79" s="64"/>
      <c r="BHQ79" s="64"/>
      <c r="BHR79" s="64"/>
      <c r="BHS79" s="64"/>
      <c r="BHT79" s="64"/>
      <c r="BHU79" s="64"/>
      <c r="BHV79" s="64"/>
      <c r="BHW79" s="64"/>
      <c r="BHX79" s="64"/>
      <c r="BHY79" s="64"/>
      <c r="BHZ79" s="64"/>
      <c r="BIA79" s="64"/>
      <c r="BIB79" s="64"/>
      <c r="BIC79" s="64"/>
      <c r="BID79" s="64"/>
      <c r="BIE79" s="64"/>
      <c r="BIF79" s="64"/>
      <c r="BIG79" s="64"/>
      <c r="BIH79" s="64"/>
      <c r="BII79" s="64"/>
      <c r="BIJ79" s="64"/>
      <c r="BIK79" s="64"/>
      <c r="BIL79" s="64"/>
      <c r="BIM79" s="64"/>
      <c r="BIN79" s="64"/>
      <c r="BIO79" s="64"/>
      <c r="BIP79" s="64"/>
      <c r="BIQ79" s="64"/>
      <c r="BIR79" s="64"/>
      <c r="BIS79" s="64"/>
      <c r="BIT79" s="64"/>
      <c r="BIU79" s="64"/>
      <c r="BIV79" s="64"/>
      <c r="BIW79" s="64"/>
      <c r="BIX79" s="64"/>
      <c r="BIY79" s="64"/>
      <c r="BIZ79" s="64"/>
      <c r="BJA79" s="64"/>
      <c r="BJB79" s="64"/>
      <c r="BJC79" s="64"/>
      <c r="BJD79" s="64"/>
      <c r="BJE79" s="64"/>
      <c r="BJF79" s="64"/>
      <c r="BJG79" s="64"/>
      <c r="BJH79" s="64"/>
      <c r="BJI79" s="64"/>
      <c r="BJJ79" s="64"/>
      <c r="BJK79" s="64"/>
      <c r="BJL79" s="64"/>
      <c r="BJM79" s="64"/>
      <c r="BJN79" s="64"/>
      <c r="BJO79" s="64"/>
      <c r="BJP79" s="64"/>
      <c r="BJQ79" s="64"/>
      <c r="BJR79" s="64"/>
      <c r="BJS79" s="64"/>
      <c r="BJT79" s="64"/>
      <c r="BJU79" s="64"/>
      <c r="BJV79" s="64"/>
      <c r="BJW79" s="64"/>
      <c r="BJX79" s="64"/>
      <c r="BJY79" s="64"/>
      <c r="BJZ79" s="64"/>
      <c r="BKA79" s="64"/>
      <c r="BKB79" s="64"/>
      <c r="BKC79" s="64"/>
      <c r="BKD79" s="64"/>
      <c r="BKE79" s="64"/>
      <c r="BKF79" s="64"/>
      <c r="BKG79" s="64"/>
      <c r="BKH79" s="64"/>
      <c r="BKI79" s="64"/>
      <c r="BKJ79" s="64"/>
      <c r="BKK79" s="64"/>
      <c r="BKL79" s="64"/>
      <c r="BKM79" s="64"/>
      <c r="BKN79" s="64"/>
      <c r="BKO79" s="64"/>
      <c r="BKP79" s="64"/>
      <c r="BKQ79" s="64"/>
      <c r="BKR79" s="64"/>
      <c r="BKS79" s="64"/>
      <c r="BKT79" s="64"/>
      <c r="BKU79" s="64"/>
      <c r="BKV79" s="64"/>
      <c r="BKW79" s="64"/>
      <c r="BKX79" s="64"/>
      <c r="BKY79" s="64"/>
      <c r="BKZ79" s="64"/>
      <c r="BLA79" s="64"/>
      <c r="BLB79" s="64"/>
      <c r="BLC79" s="64"/>
      <c r="BLD79" s="64"/>
      <c r="BLE79" s="64"/>
      <c r="BLF79" s="64"/>
      <c r="BLG79" s="64"/>
      <c r="BLH79" s="64"/>
      <c r="BLI79" s="64"/>
      <c r="BLJ79" s="64"/>
      <c r="BLK79" s="64"/>
      <c r="BLL79" s="64"/>
      <c r="BLM79" s="64"/>
      <c r="BLN79" s="64"/>
      <c r="BLO79" s="64"/>
      <c r="BLP79" s="64"/>
      <c r="BLQ79" s="64"/>
      <c r="BLR79" s="64"/>
      <c r="BLS79" s="64"/>
      <c r="BLT79" s="64"/>
      <c r="BLU79" s="64"/>
      <c r="BLV79" s="64"/>
      <c r="BLW79" s="64"/>
      <c r="BLX79" s="64"/>
      <c r="BLY79" s="64"/>
      <c r="BLZ79" s="64"/>
      <c r="BMA79" s="64"/>
      <c r="BMB79" s="64"/>
      <c r="BMC79" s="64"/>
      <c r="BMD79" s="64"/>
      <c r="BME79" s="64"/>
      <c r="BMF79" s="64"/>
      <c r="BMG79" s="64"/>
      <c r="BMH79" s="64"/>
      <c r="BMI79" s="64"/>
      <c r="BMJ79" s="64"/>
      <c r="BMK79" s="64"/>
      <c r="BML79" s="64"/>
      <c r="BMM79" s="64"/>
      <c r="BMN79" s="64"/>
      <c r="BMO79" s="64"/>
      <c r="BMP79" s="64"/>
      <c r="BMQ79" s="64"/>
      <c r="BMR79" s="64"/>
      <c r="BMS79" s="64"/>
      <c r="BMT79" s="64"/>
      <c r="BMU79" s="64"/>
      <c r="BMV79" s="64"/>
      <c r="BMW79" s="64"/>
      <c r="BMX79" s="64"/>
      <c r="BMY79" s="64"/>
      <c r="BMZ79" s="64"/>
      <c r="BNA79" s="64"/>
      <c r="BNB79" s="64"/>
      <c r="BNC79" s="64"/>
      <c r="BND79" s="64"/>
      <c r="BNE79" s="64"/>
      <c r="BNF79" s="64"/>
      <c r="BNG79" s="64"/>
      <c r="BNH79" s="64"/>
      <c r="BNI79" s="64"/>
      <c r="BNJ79" s="64"/>
      <c r="BNK79" s="64"/>
      <c r="BNL79" s="64"/>
      <c r="BNM79" s="64"/>
      <c r="BNN79" s="64"/>
      <c r="BNO79" s="64"/>
      <c r="BNP79" s="64"/>
      <c r="BNQ79" s="64"/>
      <c r="BNR79" s="64"/>
      <c r="BNS79" s="64"/>
      <c r="BNT79" s="64"/>
      <c r="BNU79" s="64"/>
      <c r="BNV79" s="64"/>
      <c r="BNW79" s="64"/>
      <c r="BNX79" s="64"/>
      <c r="BNY79" s="64"/>
      <c r="BNZ79" s="64"/>
      <c r="BOA79" s="64"/>
      <c r="BOB79" s="64"/>
      <c r="BOC79" s="64"/>
      <c r="BOD79" s="64"/>
      <c r="BOE79" s="64"/>
      <c r="BOF79" s="64"/>
      <c r="BOG79" s="64"/>
      <c r="BOH79" s="64"/>
      <c r="BOI79" s="64"/>
      <c r="BOJ79" s="64"/>
      <c r="BOK79" s="64"/>
      <c r="BOL79" s="64"/>
      <c r="BOM79" s="64"/>
      <c r="BON79" s="64"/>
      <c r="BOO79" s="64"/>
      <c r="BOP79" s="64"/>
      <c r="BOQ79" s="64"/>
      <c r="BOR79" s="64"/>
      <c r="BOS79" s="64"/>
      <c r="BOT79" s="64"/>
      <c r="BOU79" s="64"/>
      <c r="BOV79" s="64"/>
      <c r="BOW79" s="64"/>
      <c r="BOX79" s="64"/>
      <c r="BOY79" s="64"/>
      <c r="BOZ79" s="64"/>
      <c r="BPA79" s="64"/>
      <c r="BPB79" s="64"/>
      <c r="BPC79" s="64"/>
      <c r="BPD79" s="64"/>
      <c r="BPE79" s="64"/>
      <c r="BPF79" s="64"/>
      <c r="BPG79" s="64"/>
      <c r="BPH79" s="64"/>
      <c r="BPI79" s="64"/>
      <c r="BPJ79" s="64"/>
      <c r="BPK79" s="64"/>
      <c r="BPL79" s="64"/>
      <c r="BPM79" s="64"/>
      <c r="BPN79" s="64"/>
      <c r="BPO79" s="64"/>
      <c r="BPP79" s="64"/>
      <c r="BPQ79" s="64"/>
      <c r="BPR79" s="64"/>
      <c r="BPS79" s="64"/>
      <c r="BPT79" s="64"/>
      <c r="BPU79" s="64"/>
      <c r="BPV79" s="64"/>
      <c r="BPW79" s="64"/>
      <c r="BPX79" s="64"/>
      <c r="BPY79" s="64"/>
      <c r="BPZ79" s="64"/>
      <c r="BQA79" s="64"/>
      <c r="BQB79" s="64"/>
      <c r="BQC79" s="64"/>
      <c r="BQD79" s="64"/>
      <c r="BQE79" s="64"/>
      <c r="BQF79" s="64"/>
      <c r="BQG79" s="64"/>
      <c r="BQH79" s="64"/>
      <c r="BQI79" s="64"/>
      <c r="BQJ79" s="64"/>
      <c r="BQK79" s="64"/>
      <c r="BQL79" s="64"/>
      <c r="BQM79" s="64"/>
      <c r="BQN79" s="64"/>
      <c r="BQO79" s="64"/>
      <c r="BQP79" s="64"/>
      <c r="BQQ79" s="64"/>
      <c r="BQR79" s="64"/>
      <c r="BQS79" s="64"/>
      <c r="BQT79" s="64"/>
      <c r="BQU79" s="64"/>
      <c r="BQV79" s="64"/>
      <c r="BQW79" s="64"/>
      <c r="BQX79" s="64"/>
      <c r="BQY79" s="64"/>
      <c r="BQZ79" s="64"/>
      <c r="BRA79" s="64"/>
      <c r="BRB79" s="64"/>
      <c r="BRC79" s="64"/>
      <c r="BRD79" s="64"/>
      <c r="BRE79" s="64"/>
      <c r="BRF79" s="64"/>
      <c r="BRG79" s="64"/>
      <c r="BRH79" s="64"/>
      <c r="BRI79" s="64"/>
      <c r="BRJ79" s="64"/>
      <c r="BRK79" s="64"/>
      <c r="BRL79" s="64"/>
      <c r="BRM79" s="64"/>
      <c r="BRN79" s="64"/>
      <c r="BRO79" s="64"/>
      <c r="BRP79" s="64"/>
      <c r="BRQ79" s="64"/>
      <c r="BRR79" s="64"/>
      <c r="BRS79" s="64"/>
      <c r="BRT79" s="64"/>
      <c r="BRU79" s="64"/>
      <c r="BRV79" s="64"/>
      <c r="BRW79" s="64"/>
      <c r="BRX79" s="64"/>
      <c r="BRY79" s="64"/>
      <c r="BRZ79" s="64"/>
      <c r="BSA79" s="64"/>
      <c r="BSB79" s="64"/>
      <c r="BSC79" s="64"/>
      <c r="BSD79" s="64"/>
      <c r="BSE79" s="64"/>
      <c r="BSF79" s="64"/>
      <c r="BSG79" s="64"/>
      <c r="BSH79" s="64"/>
      <c r="BSI79" s="64"/>
      <c r="BSJ79" s="64"/>
      <c r="BSK79" s="64"/>
      <c r="BSL79" s="64"/>
      <c r="BSM79" s="64"/>
      <c r="BSN79" s="64"/>
      <c r="BSO79" s="64"/>
      <c r="BSP79" s="64"/>
      <c r="BSQ79" s="64"/>
      <c r="BSR79" s="64"/>
      <c r="BSS79" s="64"/>
      <c r="BST79" s="64"/>
      <c r="BSU79" s="64"/>
      <c r="BSV79" s="64"/>
      <c r="BSW79" s="64"/>
      <c r="BSX79" s="64"/>
      <c r="BSY79" s="64"/>
      <c r="BSZ79" s="64"/>
      <c r="BTA79" s="64"/>
      <c r="BTB79" s="64"/>
      <c r="BTC79" s="64"/>
      <c r="BTD79" s="64"/>
      <c r="BTE79" s="64"/>
      <c r="BTF79" s="64"/>
      <c r="BTG79" s="64"/>
      <c r="BTH79" s="64"/>
      <c r="BTI79" s="64"/>
      <c r="BTJ79" s="64"/>
      <c r="BTK79" s="64"/>
      <c r="BTL79" s="64"/>
      <c r="BTM79" s="64"/>
      <c r="BTN79" s="64"/>
      <c r="BTO79" s="64"/>
      <c r="BTP79" s="64"/>
      <c r="BTQ79" s="64"/>
      <c r="BTR79" s="64"/>
      <c r="BTS79" s="64"/>
      <c r="BTT79" s="64"/>
      <c r="BTU79" s="64"/>
      <c r="BTV79" s="64"/>
      <c r="BTW79" s="64"/>
      <c r="BTX79" s="64"/>
      <c r="BTY79" s="64"/>
      <c r="BTZ79" s="64"/>
      <c r="BUA79" s="64"/>
      <c r="BUB79" s="64"/>
      <c r="BUC79" s="64"/>
      <c r="BUD79" s="64"/>
      <c r="BUE79" s="64"/>
      <c r="BUF79" s="64"/>
      <c r="BUG79" s="64"/>
      <c r="BUH79" s="64"/>
      <c r="BUI79" s="64"/>
      <c r="BUJ79" s="64"/>
      <c r="BUK79" s="64"/>
      <c r="BUL79" s="64"/>
      <c r="BUM79" s="64"/>
      <c r="BUN79" s="64"/>
      <c r="BUO79" s="64"/>
      <c r="BUP79" s="64"/>
      <c r="BUQ79" s="64"/>
      <c r="BUR79" s="64"/>
      <c r="BUS79" s="64"/>
      <c r="BUT79" s="64"/>
      <c r="BUU79" s="64"/>
      <c r="BUV79" s="64"/>
      <c r="BUW79" s="64"/>
      <c r="BUX79" s="64"/>
      <c r="BUY79" s="64"/>
      <c r="BUZ79" s="64"/>
      <c r="BVA79" s="64"/>
      <c r="BVB79" s="64"/>
      <c r="BVC79" s="64"/>
      <c r="BVD79" s="64"/>
      <c r="BVE79" s="64"/>
      <c r="BVF79" s="64"/>
      <c r="BVG79" s="64"/>
      <c r="BVH79" s="64"/>
      <c r="BVI79" s="64"/>
      <c r="BVJ79" s="64"/>
      <c r="BVK79" s="64"/>
      <c r="BVL79" s="64"/>
      <c r="BVM79" s="64"/>
      <c r="BVN79" s="64"/>
      <c r="BVO79" s="64"/>
      <c r="BVP79" s="64"/>
      <c r="BVQ79" s="64"/>
      <c r="BVR79" s="64"/>
      <c r="BVS79" s="64"/>
      <c r="BVT79" s="64"/>
      <c r="BVU79" s="64"/>
      <c r="BVV79" s="64"/>
      <c r="BVW79" s="64"/>
      <c r="BVX79" s="64"/>
      <c r="BVY79" s="64"/>
      <c r="BVZ79" s="64"/>
      <c r="BWA79" s="64"/>
      <c r="BWB79" s="64"/>
      <c r="BWC79" s="64"/>
      <c r="BWD79" s="64"/>
      <c r="BWE79" s="64"/>
      <c r="BWF79" s="64"/>
      <c r="BWG79" s="64"/>
      <c r="BWH79" s="64"/>
      <c r="BWI79" s="64"/>
      <c r="BWJ79" s="64"/>
      <c r="BWK79" s="64"/>
      <c r="BWL79" s="64"/>
      <c r="BWM79" s="64"/>
      <c r="BWN79" s="64"/>
      <c r="BWO79" s="64"/>
      <c r="BWP79" s="64"/>
      <c r="BWQ79" s="64"/>
      <c r="BWR79" s="64"/>
      <c r="BWS79" s="64"/>
      <c r="BWT79" s="64"/>
      <c r="BWU79" s="64"/>
      <c r="BWV79" s="64"/>
      <c r="BWW79" s="64"/>
      <c r="BWX79" s="64"/>
      <c r="BWY79" s="64"/>
      <c r="BWZ79" s="64"/>
      <c r="BXA79" s="64"/>
      <c r="BXB79" s="64"/>
      <c r="BXC79" s="64"/>
      <c r="BXD79" s="64"/>
      <c r="BXE79" s="64"/>
      <c r="BXF79" s="64"/>
      <c r="BXG79" s="64"/>
      <c r="BXH79" s="64"/>
      <c r="BXI79" s="64"/>
      <c r="BXJ79" s="64"/>
      <c r="BXK79" s="64"/>
      <c r="BXL79" s="64"/>
      <c r="BXM79" s="64"/>
      <c r="BXN79" s="64"/>
      <c r="BXO79" s="64"/>
      <c r="BXP79" s="64"/>
      <c r="BXQ79" s="64"/>
      <c r="BXR79" s="64"/>
      <c r="BXS79" s="64"/>
      <c r="BXT79" s="64"/>
      <c r="BXU79" s="64"/>
      <c r="BXV79" s="64"/>
      <c r="BXW79" s="64"/>
      <c r="BXX79" s="64"/>
      <c r="BXY79" s="64"/>
      <c r="BXZ79" s="64"/>
      <c r="BYA79" s="64"/>
      <c r="BYB79" s="64"/>
      <c r="BYC79" s="64"/>
      <c r="BYD79" s="64"/>
      <c r="BYE79" s="64"/>
      <c r="BYF79" s="64"/>
      <c r="BYG79" s="64"/>
      <c r="BYH79" s="64"/>
      <c r="BYI79" s="64"/>
      <c r="BYJ79" s="64"/>
      <c r="BYK79" s="64"/>
      <c r="BYL79" s="64"/>
      <c r="BYM79" s="64"/>
      <c r="BYN79" s="64"/>
      <c r="BYO79" s="64"/>
      <c r="BYP79" s="64"/>
      <c r="BYQ79" s="64"/>
      <c r="BYR79" s="64"/>
      <c r="BYS79" s="64"/>
      <c r="BYT79" s="64"/>
      <c r="BYU79" s="64"/>
      <c r="BYV79" s="64"/>
      <c r="BYW79" s="64"/>
      <c r="BYX79" s="64"/>
      <c r="BYY79" s="64"/>
      <c r="BYZ79" s="64"/>
      <c r="BZA79" s="64"/>
      <c r="BZB79" s="64"/>
      <c r="BZC79" s="64"/>
      <c r="BZD79" s="64"/>
      <c r="BZE79" s="64"/>
      <c r="BZF79" s="64"/>
      <c r="BZG79" s="64"/>
      <c r="BZH79" s="64"/>
      <c r="BZI79" s="64"/>
      <c r="BZJ79" s="64"/>
      <c r="BZK79" s="64"/>
      <c r="BZL79" s="64"/>
      <c r="BZM79" s="64"/>
      <c r="BZN79" s="64"/>
      <c r="BZO79" s="64"/>
      <c r="BZP79" s="64"/>
      <c r="BZQ79" s="64"/>
      <c r="BZR79" s="64"/>
      <c r="BZS79" s="64"/>
      <c r="BZT79" s="64"/>
      <c r="BZU79" s="64"/>
      <c r="BZV79" s="64"/>
      <c r="BZW79" s="64"/>
      <c r="BZX79" s="64"/>
      <c r="BZY79" s="64"/>
      <c r="BZZ79" s="64"/>
      <c r="CAA79" s="64"/>
      <c r="CAB79" s="64"/>
      <c r="CAC79" s="64"/>
      <c r="CAD79" s="64"/>
      <c r="CAE79" s="64"/>
      <c r="CAF79" s="64"/>
      <c r="CAG79" s="64"/>
      <c r="CAH79" s="64"/>
      <c r="CAI79" s="64"/>
      <c r="CAJ79" s="64"/>
      <c r="CAK79" s="64"/>
      <c r="CAL79" s="64"/>
      <c r="CAM79" s="64"/>
      <c r="CAN79" s="64"/>
      <c r="CAO79" s="64"/>
      <c r="CAP79" s="64"/>
      <c r="CAQ79" s="64"/>
      <c r="CAR79" s="64"/>
      <c r="CAS79" s="64"/>
      <c r="CAT79" s="64"/>
      <c r="CAU79" s="64"/>
      <c r="CAV79" s="64"/>
      <c r="CAW79" s="64"/>
      <c r="CAX79" s="64"/>
      <c r="CAY79" s="64"/>
      <c r="CAZ79" s="64"/>
      <c r="CBA79" s="64"/>
      <c r="CBB79" s="64"/>
      <c r="CBC79" s="64"/>
      <c r="CBD79" s="64"/>
      <c r="CBE79" s="64"/>
      <c r="CBF79" s="64"/>
      <c r="CBG79" s="64"/>
      <c r="CBH79" s="64"/>
      <c r="CBI79" s="64"/>
      <c r="CBJ79" s="64"/>
      <c r="CBK79" s="64"/>
      <c r="CBL79" s="64"/>
      <c r="CBM79" s="64"/>
      <c r="CBN79" s="64"/>
      <c r="CBO79" s="64"/>
      <c r="CBP79" s="64"/>
      <c r="CBQ79" s="64"/>
      <c r="CBR79" s="64"/>
      <c r="CBS79" s="64"/>
      <c r="CBT79" s="64"/>
      <c r="CBU79" s="64"/>
      <c r="CBV79" s="64"/>
      <c r="CBW79" s="64"/>
      <c r="CBX79" s="64"/>
      <c r="CBY79" s="64"/>
      <c r="CBZ79" s="64"/>
      <c r="CCA79" s="64"/>
      <c r="CCB79" s="64"/>
      <c r="CCC79" s="64"/>
      <c r="CCD79" s="64"/>
      <c r="CCE79" s="64"/>
      <c r="CCF79" s="64"/>
      <c r="CCG79" s="64"/>
      <c r="CCH79" s="64"/>
      <c r="CCI79" s="64"/>
      <c r="CCJ79" s="64"/>
      <c r="CCK79" s="64"/>
      <c r="CCL79" s="64"/>
      <c r="CCM79" s="64"/>
      <c r="CCN79" s="64"/>
      <c r="CCO79" s="64"/>
      <c r="CCP79" s="64"/>
      <c r="CCQ79" s="64"/>
      <c r="CCR79" s="64"/>
      <c r="CCS79" s="64"/>
      <c r="CCT79" s="64"/>
      <c r="CCU79" s="64"/>
      <c r="CCV79" s="64"/>
      <c r="CCW79" s="64"/>
      <c r="CCX79" s="64"/>
      <c r="CCY79" s="64"/>
      <c r="CCZ79" s="64"/>
      <c r="CDA79" s="64"/>
      <c r="CDB79" s="64"/>
      <c r="CDC79" s="64"/>
      <c r="CDD79" s="64"/>
      <c r="CDE79" s="64"/>
      <c r="CDF79" s="64"/>
      <c r="CDG79" s="64"/>
      <c r="CDH79" s="64"/>
      <c r="CDI79" s="64"/>
      <c r="CDJ79" s="64"/>
      <c r="CDK79" s="64"/>
      <c r="CDL79" s="64"/>
      <c r="CDM79" s="64"/>
      <c r="CDN79" s="64"/>
      <c r="CDO79" s="64"/>
      <c r="CDP79" s="64"/>
      <c r="CDQ79" s="64"/>
      <c r="CDR79" s="64"/>
      <c r="CDS79" s="64"/>
      <c r="CDT79" s="64"/>
      <c r="CDU79" s="64"/>
      <c r="CDV79" s="64"/>
      <c r="CDW79" s="64"/>
      <c r="CDX79" s="64"/>
      <c r="CDY79" s="64"/>
      <c r="CDZ79" s="64"/>
      <c r="CEA79" s="64"/>
      <c r="CEB79" s="64"/>
      <c r="CEC79" s="64"/>
      <c r="CED79" s="64"/>
      <c r="CEE79" s="64"/>
      <c r="CEF79" s="64"/>
      <c r="CEG79" s="64"/>
      <c r="CEH79" s="64"/>
      <c r="CEI79" s="64"/>
      <c r="CEJ79" s="64"/>
      <c r="CEK79" s="64"/>
      <c r="CEL79" s="64"/>
      <c r="CEM79" s="64"/>
      <c r="CEN79" s="64"/>
      <c r="CEO79" s="64"/>
      <c r="CEP79" s="64"/>
      <c r="CEQ79" s="64"/>
      <c r="CER79" s="64"/>
      <c r="CES79" s="64"/>
      <c r="CET79" s="64"/>
      <c r="CEU79" s="64"/>
      <c r="CEV79" s="64"/>
      <c r="CEW79" s="64"/>
      <c r="CEX79" s="64"/>
      <c r="CEY79" s="64"/>
      <c r="CEZ79" s="64"/>
      <c r="CFA79" s="64"/>
      <c r="CFB79" s="64"/>
      <c r="CFC79" s="64"/>
      <c r="CFD79" s="64"/>
      <c r="CFE79" s="64"/>
      <c r="CFF79" s="64"/>
      <c r="CFG79" s="64"/>
      <c r="CFH79" s="64"/>
      <c r="CFI79" s="64"/>
      <c r="CFJ79" s="64"/>
      <c r="CFK79" s="64"/>
      <c r="CFL79" s="64"/>
      <c r="CFM79" s="64"/>
      <c r="CFN79" s="64"/>
      <c r="CFO79" s="64"/>
      <c r="CFP79" s="64"/>
      <c r="CFQ79" s="64"/>
      <c r="CFR79" s="64"/>
      <c r="CFS79" s="64"/>
      <c r="CFT79" s="64"/>
      <c r="CFU79" s="64"/>
      <c r="CFV79" s="64"/>
      <c r="CFW79" s="64"/>
      <c r="CFX79" s="64"/>
      <c r="CFY79" s="64"/>
      <c r="CFZ79" s="64"/>
      <c r="CGA79" s="64"/>
      <c r="CGB79" s="64"/>
      <c r="CGC79" s="64"/>
      <c r="CGD79" s="64"/>
      <c r="CGE79" s="64"/>
      <c r="CGF79" s="64"/>
      <c r="CGG79" s="64"/>
      <c r="CGH79" s="64"/>
      <c r="CGI79" s="64"/>
      <c r="CGJ79" s="64"/>
      <c r="CGK79" s="64"/>
      <c r="CGL79" s="64"/>
      <c r="CGM79" s="64"/>
      <c r="CGN79" s="64"/>
      <c r="CGO79" s="64"/>
      <c r="CGP79" s="64"/>
      <c r="CGQ79" s="64"/>
      <c r="CGR79" s="64"/>
      <c r="CGS79" s="64"/>
      <c r="CGT79" s="64"/>
      <c r="CGU79" s="64"/>
      <c r="CGV79" s="64"/>
      <c r="CGW79" s="64"/>
      <c r="CGX79" s="64"/>
      <c r="CGY79" s="64"/>
      <c r="CGZ79" s="64"/>
      <c r="CHA79" s="64"/>
      <c r="CHB79" s="64"/>
      <c r="CHC79" s="64"/>
      <c r="CHD79" s="64"/>
      <c r="CHE79" s="64"/>
      <c r="CHF79" s="64"/>
      <c r="CHG79" s="64"/>
      <c r="CHH79" s="64"/>
      <c r="CHI79" s="64"/>
      <c r="CHJ79" s="64"/>
      <c r="CHK79" s="64"/>
      <c r="CHL79" s="64"/>
      <c r="CHM79" s="64"/>
      <c r="CHN79" s="64"/>
      <c r="CHO79" s="64"/>
      <c r="CHP79" s="64"/>
      <c r="CHQ79" s="64"/>
      <c r="CHR79" s="64"/>
      <c r="CHS79" s="64"/>
      <c r="CHT79" s="64"/>
      <c r="CHU79" s="64"/>
      <c r="CHV79" s="64"/>
      <c r="CHW79" s="64"/>
      <c r="CHX79" s="64"/>
      <c r="CHY79" s="64"/>
      <c r="CHZ79" s="64"/>
      <c r="CIA79" s="64"/>
      <c r="CIB79" s="64"/>
      <c r="CIC79" s="64"/>
      <c r="CID79" s="64"/>
      <c r="CIE79" s="64"/>
      <c r="CIF79" s="64"/>
      <c r="CIG79" s="64"/>
      <c r="CIH79" s="64"/>
      <c r="CII79" s="64"/>
      <c r="CIJ79" s="64"/>
      <c r="CIK79" s="64"/>
      <c r="CIL79" s="64"/>
      <c r="CIM79" s="64"/>
      <c r="CIN79" s="64"/>
      <c r="CIO79" s="64"/>
      <c r="CIP79" s="64"/>
      <c r="CIQ79" s="64"/>
      <c r="CIR79" s="64"/>
      <c r="CIS79" s="64"/>
      <c r="CIT79" s="64"/>
      <c r="CIU79" s="64"/>
      <c r="CIV79" s="64"/>
      <c r="CIW79" s="64"/>
      <c r="CIX79" s="64"/>
      <c r="CIY79" s="64"/>
      <c r="CIZ79" s="64"/>
      <c r="CJA79" s="64"/>
      <c r="CJB79" s="64"/>
      <c r="CJC79" s="64"/>
      <c r="CJD79" s="64"/>
      <c r="CJE79" s="64"/>
      <c r="CJF79" s="64"/>
      <c r="CJG79" s="64"/>
      <c r="CJH79" s="64"/>
      <c r="CJI79" s="64"/>
      <c r="CJJ79" s="64"/>
      <c r="CJK79" s="64"/>
      <c r="CJL79" s="64"/>
      <c r="CJM79" s="64"/>
      <c r="CJN79" s="64"/>
      <c r="CJO79" s="64"/>
      <c r="CJP79" s="64"/>
      <c r="CJQ79" s="64"/>
      <c r="CJR79" s="64"/>
      <c r="CJS79" s="64"/>
      <c r="CJT79" s="64"/>
      <c r="CJU79" s="64"/>
      <c r="CJV79" s="64"/>
      <c r="CJW79" s="64"/>
      <c r="CJX79" s="64"/>
      <c r="CJY79" s="64"/>
      <c r="CJZ79" s="64"/>
      <c r="CKA79" s="64"/>
      <c r="CKB79" s="64"/>
      <c r="CKC79" s="64"/>
      <c r="CKD79" s="64"/>
      <c r="CKE79" s="64"/>
      <c r="CKF79" s="64"/>
      <c r="CKG79" s="64"/>
      <c r="CKH79" s="64"/>
      <c r="CKI79" s="64"/>
      <c r="CKJ79" s="64"/>
      <c r="CKK79" s="64"/>
      <c r="CKL79" s="64"/>
      <c r="CKM79" s="64"/>
      <c r="CKN79" s="64"/>
      <c r="CKO79" s="64"/>
      <c r="CKP79" s="64"/>
      <c r="CKQ79" s="64"/>
      <c r="CKR79" s="64"/>
      <c r="CKS79" s="64"/>
      <c r="CKT79" s="64"/>
      <c r="CKU79" s="64"/>
      <c r="CKV79" s="64"/>
      <c r="CKW79" s="64"/>
      <c r="CKX79" s="64"/>
      <c r="CKY79" s="64"/>
      <c r="CKZ79" s="64"/>
      <c r="CLA79" s="64"/>
      <c r="CLB79" s="64"/>
      <c r="CLC79" s="64"/>
      <c r="CLD79" s="64"/>
      <c r="CLE79" s="64"/>
      <c r="CLF79" s="64"/>
      <c r="CLG79" s="64"/>
      <c r="CLH79" s="64"/>
      <c r="CLI79" s="64"/>
      <c r="CLJ79" s="64"/>
      <c r="CLK79" s="64"/>
      <c r="CLL79" s="64"/>
      <c r="CLM79" s="64"/>
      <c r="CLN79" s="64"/>
      <c r="CLO79" s="64"/>
      <c r="CLP79" s="64"/>
      <c r="CLQ79" s="64"/>
      <c r="CLR79" s="64"/>
      <c r="CLS79" s="64"/>
      <c r="CLT79" s="64"/>
      <c r="CLU79" s="64"/>
      <c r="CLV79" s="64"/>
      <c r="CLW79" s="64"/>
      <c r="CLX79" s="64"/>
      <c r="CLY79" s="64"/>
      <c r="CLZ79" s="64"/>
      <c r="CMA79" s="64"/>
      <c r="CMB79" s="64"/>
      <c r="CMC79" s="64"/>
      <c r="CMD79" s="64"/>
      <c r="CME79" s="64"/>
      <c r="CMF79" s="64"/>
      <c r="CMG79" s="64"/>
      <c r="CMH79" s="64"/>
      <c r="CMI79" s="64"/>
      <c r="CMJ79" s="64"/>
      <c r="CMK79" s="64"/>
      <c r="CML79" s="64"/>
      <c r="CMM79" s="64"/>
      <c r="CMN79" s="64"/>
      <c r="CMO79" s="64"/>
      <c r="CMP79" s="64"/>
      <c r="CMQ79" s="64"/>
      <c r="CMR79" s="64"/>
      <c r="CMS79" s="64"/>
      <c r="CMT79" s="64"/>
      <c r="CMU79" s="64"/>
      <c r="CMV79" s="64"/>
      <c r="CMW79" s="64"/>
      <c r="CMX79" s="64"/>
      <c r="CMY79" s="64"/>
      <c r="CMZ79" s="64"/>
      <c r="CNA79" s="64"/>
      <c r="CNB79" s="64"/>
      <c r="CNC79" s="64"/>
      <c r="CND79" s="64"/>
      <c r="CNE79" s="64"/>
      <c r="CNF79" s="64"/>
      <c r="CNG79" s="64"/>
      <c r="CNH79" s="64"/>
      <c r="CNI79" s="64"/>
      <c r="CNJ79" s="64"/>
      <c r="CNK79" s="64"/>
      <c r="CNL79" s="64"/>
      <c r="CNM79" s="64"/>
      <c r="CNN79" s="64"/>
      <c r="CNO79" s="64"/>
      <c r="CNP79" s="64"/>
      <c r="CNQ79" s="64"/>
      <c r="CNR79" s="64"/>
      <c r="CNS79" s="64"/>
      <c r="CNT79" s="64"/>
      <c r="CNU79" s="64"/>
      <c r="CNV79" s="64"/>
      <c r="CNW79" s="64"/>
      <c r="CNX79" s="64"/>
      <c r="CNY79" s="64"/>
      <c r="CNZ79" s="64"/>
      <c r="COA79" s="64"/>
      <c r="COB79" s="64"/>
      <c r="COC79" s="64"/>
      <c r="COD79" s="64"/>
      <c r="COE79" s="64"/>
      <c r="COF79" s="64"/>
      <c r="COG79" s="64"/>
      <c r="COH79" s="64"/>
      <c r="COI79" s="64"/>
      <c r="COJ79" s="64"/>
      <c r="COK79" s="64"/>
      <c r="COL79" s="64"/>
      <c r="COM79" s="64"/>
      <c r="CON79" s="64"/>
      <c r="COO79" s="64"/>
      <c r="COP79" s="64"/>
      <c r="COQ79" s="64"/>
      <c r="COR79" s="64"/>
      <c r="COS79" s="64"/>
      <c r="COT79" s="64"/>
      <c r="COU79" s="64"/>
      <c r="COV79" s="64"/>
      <c r="COW79" s="64"/>
      <c r="COX79" s="64"/>
      <c r="COY79" s="64"/>
      <c r="COZ79" s="64"/>
      <c r="CPA79" s="64"/>
      <c r="CPB79" s="64"/>
      <c r="CPC79" s="64"/>
      <c r="CPD79" s="64"/>
      <c r="CPE79" s="64"/>
      <c r="CPF79" s="64"/>
      <c r="CPG79" s="64"/>
      <c r="CPH79" s="64"/>
      <c r="CPI79" s="64"/>
      <c r="CPJ79" s="64"/>
      <c r="CPK79" s="64"/>
      <c r="CPL79" s="64"/>
      <c r="CPM79" s="64"/>
      <c r="CPN79" s="64"/>
      <c r="CPO79" s="64"/>
      <c r="CPP79" s="64"/>
      <c r="CPQ79" s="64"/>
      <c r="CPR79" s="64"/>
      <c r="CPS79" s="64"/>
      <c r="CPT79" s="64"/>
      <c r="CPU79" s="64"/>
      <c r="CPV79" s="64"/>
      <c r="CPW79" s="64"/>
      <c r="CPX79" s="64"/>
      <c r="CPY79" s="64"/>
      <c r="CPZ79" s="64"/>
      <c r="CQA79" s="64"/>
      <c r="CQB79" s="64"/>
      <c r="CQC79" s="64"/>
      <c r="CQD79" s="64"/>
      <c r="CQE79" s="64"/>
      <c r="CQF79" s="64"/>
      <c r="CQG79" s="64"/>
      <c r="CQH79" s="64"/>
      <c r="CQI79" s="64"/>
      <c r="CQJ79" s="64"/>
      <c r="CQK79" s="64"/>
      <c r="CQL79" s="64"/>
      <c r="CQM79" s="64"/>
      <c r="CQN79" s="64"/>
      <c r="CQO79" s="64"/>
      <c r="CQP79" s="64"/>
      <c r="CQQ79" s="64"/>
      <c r="CQR79" s="64"/>
      <c r="CQS79" s="64"/>
      <c r="CQT79" s="64"/>
      <c r="CQU79" s="64"/>
      <c r="CQV79" s="64"/>
      <c r="CQW79" s="64"/>
      <c r="CQX79" s="64"/>
      <c r="CQY79" s="64"/>
      <c r="CQZ79" s="64"/>
      <c r="CRA79" s="64"/>
      <c r="CRB79" s="64"/>
      <c r="CRC79" s="64"/>
      <c r="CRD79" s="64"/>
      <c r="CRE79" s="64"/>
      <c r="CRF79" s="64"/>
      <c r="CRG79" s="64"/>
      <c r="CRH79" s="64"/>
      <c r="CRI79" s="64"/>
      <c r="CRJ79" s="64"/>
      <c r="CRK79" s="64"/>
      <c r="CRL79" s="64"/>
      <c r="CRM79" s="64"/>
      <c r="CRN79" s="64"/>
      <c r="CRO79" s="64"/>
      <c r="CRP79" s="64"/>
      <c r="CRQ79" s="64"/>
      <c r="CRR79" s="64"/>
      <c r="CRS79" s="64"/>
      <c r="CRT79" s="64"/>
      <c r="CRU79" s="64"/>
      <c r="CRV79" s="64"/>
      <c r="CRW79" s="64"/>
      <c r="CRX79" s="64"/>
      <c r="CRY79" s="64"/>
      <c r="CRZ79" s="64"/>
      <c r="CSA79" s="64"/>
      <c r="CSB79" s="64"/>
      <c r="CSC79" s="64"/>
      <c r="CSD79" s="64"/>
      <c r="CSE79" s="64"/>
      <c r="CSF79" s="64"/>
      <c r="CSG79" s="64"/>
      <c r="CSH79" s="64"/>
      <c r="CSI79" s="64"/>
      <c r="CSJ79" s="64"/>
      <c r="CSK79" s="64"/>
      <c r="CSL79" s="64"/>
      <c r="CSM79" s="64"/>
      <c r="CSN79" s="64"/>
      <c r="CSO79" s="64"/>
      <c r="CSP79" s="64"/>
      <c r="CSQ79" s="64"/>
      <c r="CSR79" s="64"/>
      <c r="CSS79" s="64"/>
      <c r="CST79" s="64"/>
      <c r="CSU79" s="64"/>
      <c r="CSV79" s="64"/>
      <c r="CSW79" s="64"/>
      <c r="CSX79" s="64"/>
      <c r="CSY79" s="64"/>
      <c r="CSZ79" s="64"/>
      <c r="CTA79" s="64"/>
      <c r="CTB79" s="64"/>
      <c r="CTC79" s="64"/>
      <c r="CTD79" s="64"/>
      <c r="CTE79" s="64"/>
      <c r="CTF79" s="64"/>
      <c r="CTG79" s="64"/>
      <c r="CTH79" s="64"/>
      <c r="CTI79" s="64"/>
      <c r="CTJ79" s="64"/>
      <c r="CTK79" s="64"/>
      <c r="CTL79" s="64"/>
      <c r="CTM79" s="64"/>
      <c r="CTN79" s="64"/>
      <c r="CTO79" s="64"/>
      <c r="CTP79" s="64"/>
      <c r="CTQ79" s="64"/>
      <c r="CTR79" s="64"/>
      <c r="CTS79" s="64"/>
      <c r="CTT79" s="64"/>
      <c r="CTU79" s="64"/>
      <c r="CTV79" s="64"/>
      <c r="CTW79" s="64"/>
      <c r="CTX79" s="64"/>
      <c r="CTY79" s="64"/>
      <c r="CTZ79" s="64"/>
      <c r="CUA79" s="64"/>
      <c r="CUB79" s="64"/>
      <c r="CUC79" s="64"/>
      <c r="CUD79" s="64"/>
      <c r="CUE79" s="64"/>
      <c r="CUF79" s="64"/>
      <c r="CUG79" s="64"/>
      <c r="CUH79" s="64"/>
      <c r="CUI79" s="64"/>
      <c r="CUJ79" s="64"/>
      <c r="CUK79" s="64"/>
      <c r="CUL79" s="64"/>
      <c r="CUM79" s="64"/>
      <c r="CUN79" s="64"/>
      <c r="CUO79" s="64"/>
      <c r="CUP79" s="64"/>
      <c r="CUQ79" s="64"/>
      <c r="CUR79" s="64"/>
      <c r="CUS79" s="64"/>
      <c r="CUT79" s="64"/>
      <c r="CUU79" s="64"/>
      <c r="CUV79" s="64"/>
      <c r="CUW79" s="64"/>
      <c r="CUX79" s="64"/>
      <c r="CUY79" s="64"/>
      <c r="CUZ79" s="64"/>
      <c r="CVA79" s="64"/>
      <c r="CVB79" s="64"/>
      <c r="CVC79" s="64"/>
      <c r="CVD79" s="64"/>
      <c r="CVE79" s="64"/>
      <c r="CVF79" s="64"/>
      <c r="CVG79" s="64"/>
      <c r="CVH79" s="64"/>
      <c r="CVI79" s="64"/>
      <c r="CVJ79" s="64"/>
      <c r="CVK79" s="64"/>
      <c r="CVL79" s="64"/>
      <c r="CVM79" s="64"/>
      <c r="CVN79" s="64"/>
      <c r="CVO79" s="64"/>
      <c r="CVP79" s="64"/>
      <c r="CVQ79" s="64"/>
      <c r="CVR79" s="64"/>
      <c r="CVS79" s="64"/>
      <c r="CVT79" s="64"/>
      <c r="CVU79" s="64"/>
      <c r="CVV79" s="64"/>
      <c r="CVW79" s="64"/>
      <c r="CVX79" s="64"/>
      <c r="CVY79" s="64"/>
      <c r="CVZ79" s="64"/>
      <c r="CWA79" s="64"/>
      <c r="CWB79" s="64"/>
      <c r="CWC79" s="64"/>
      <c r="CWD79" s="64"/>
      <c r="CWE79" s="64"/>
      <c r="CWF79" s="64"/>
      <c r="CWG79" s="64"/>
      <c r="CWH79" s="64"/>
      <c r="CWI79" s="64"/>
      <c r="CWJ79" s="64"/>
      <c r="CWK79" s="64"/>
      <c r="CWL79" s="64"/>
      <c r="CWM79" s="64"/>
      <c r="CWN79" s="64"/>
      <c r="CWO79" s="64"/>
      <c r="CWP79" s="64"/>
      <c r="CWQ79" s="64"/>
      <c r="CWR79" s="64"/>
      <c r="CWS79" s="64"/>
      <c r="CWT79" s="64"/>
      <c r="CWU79" s="64"/>
      <c r="CWV79" s="64"/>
      <c r="CWW79" s="64"/>
      <c r="CWX79" s="64"/>
      <c r="CWY79" s="64"/>
      <c r="CWZ79" s="64"/>
      <c r="CXA79" s="64"/>
      <c r="CXB79" s="64"/>
      <c r="CXC79" s="64"/>
      <c r="CXD79" s="64"/>
      <c r="CXE79" s="64"/>
      <c r="CXF79" s="64"/>
      <c r="CXG79" s="64"/>
      <c r="CXH79" s="64"/>
      <c r="CXI79" s="64"/>
      <c r="CXJ79" s="64"/>
      <c r="CXK79" s="64"/>
      <c r="CXL79" s="64"/>
      <c r="CXM79" s="64"/>
      <c r="CXN79" s="64"/>
      <c r="CXO79" s="64"/>
      <c r="CXP79" s="64"/>
      <c r="CXQ79" s="64"/>
      <c r="CXR79" s="64"/>
      <c r="CXS79" s="64"/>
      <c r="CXT79" s="64"/>
      <c r="CXU79" s="64"/>
      <c r="CXV79" s="64"/>
      <c r="CXW79" s="64"/>
      <c r="CXX79" s="64"/>
      <c r="CXY79" s="64"/>
      <c r="CXZ79" s="64"/>
      <c r="CYA79" s="64"/>
      <c r="CYB79" s="64"/>
      <c r="CYC79" s="64"/>
      <c r="CYD79" s="64"/>
      <c r="CYE79" s="64"/>
      <c r="CYF79" s="64"/>
      <c r="CYG79" s="64"/>
      <c r="CYH79" s="64"/>
      <c r="CYI79" s="64"/>
      <c r="CYJ79" s="64"/>
      <c r="CYK79" s="64"/>
      <c r="CYL79" s="64"/>
      <c r="CYM79" s="64"/>
      <c r="CYN79" s="64"/>
      <c r="CYO79" s="64"/>
      <c r="CYP79" s="64"/>
      <c r="CYQ79" s="64"/>
      <c r="CYR79" s="64"/>
      <c r="CYS79" s="64"/>
      <c r="CYT79" s="64"/>
      <c r="CYU79" s="64"/>
      <c r="CYV79" s="64"/>
      <c r="CYW79" s="64"/>
      <c r="CYX79" s="64"/>
      <c r="CYY79" s="64"/>
      <c r="CYZ79" s="64"/>
      <c r="CZA79" s="64"/>
      <c r="CZB79" s="64"/>
      <c r="CZC79" s="64"/>
      <c r="CZD79" s="64"/>
      <c r="CZE79" s="64"/>
      <c r="CZF79" s="64"/>
      <c r="CZG79" s="64"/>
      <c r="CZH79" s="64"/>
      <c r="CZI79" s="64"/>
      <c r="CZJ79" s="64"/>
      <c r="CZK79" s="64"/>
      <c r="CZL79" s="64"/>
      <c r="CZM79" s="64"/>
      <c r="CZN79" s="64"/>
      <c r="CZO79" s="64"/>
      <c r="CZP79" s="64"/>
      <c r="CZQ79" s="64"/>
      <c r="CZR79" s="64"/>
      <c r="CZS79" s="64"/>
      <c r="CZT79" s="64"/>
      <c r="CZU79" s="64"/>
      <c r="CZV79" s="64"/>
      <c r="CZW79" s="64"/>
      <c r="CZX79" s="64"/>
      <c r="CZY79" s="64"/>
      <c r="CZZ79" s="64"/>
      <c r="DAA79" s="64"/>
      <c r="DAB79" s="64"/>
      <c r="DAC79" s="64"/>
      <c r="DAD79" s="64"/>
      <c r="DAE79" s="64"/>
      <c r="DAF79" s="64"/>
      <c r="DAG79" s="64"/>
      <c r="DAH79" s="64"/>
      <c r="DAI79" s="64"/>
      <c r="DAJ79" s="64"/>
      <c r="DAK79" s="64"/>
      <c r="DAL79" s="64"/>
      <c r="DAM79" s="64"/>
      <c r="DAN79" s="64"/>
      <c r="DAO79" s="64"/>
      <c r="DAP79" s="64"/>
      <c r="DAQ79" s="64"/>
      <c r="DAR79" s="64"/>
      <c r="DAS79" s="64"/>
      <c r="DAT79" s="64"/>
      <c r="DAU79" s="64"/>
      <c r="DAV79" s="64"/>
      <c r="DAW79" s="64"/>
      <c r="DAX79" s="64"/>
      <c r="DAY79" s="64"/>
      <c r="DAZ79" s="64"/>
      <c r="DBA79" s="64"/>
      <c r="DBB79" s="64"/>
      <c r="DBC79" s="64"/>
      <c r="DBD79" s="64"/>
      <c r="DBE79" s="64"/>
      <c r="DBF79" s="64"/>
      <c r="DBG79" s="64"/>
      <c r="DBH79" s="64"/>
      <c r="DBI79" s="64"/>
      <c r="DBJ79" s="64"/>
      <c r="DBK79" s="64"/>
      <c r="DBL79" s="64"/>
      <c r="DBM79" s="64"/>
      <c r="DBN79" s="64"/>
      <c r="DBO79" s="64"/>
      <c r="DBP79" s="64"/>
      <c r="DBQ79" s="64"/>
      <c r="DBR79" s="64"/>
      <c r="DBS79" s="64"/>
      <c r="DBT79" s="64"/>
      <c r="DBU79" s="64"/>
      <c r="DBV79" s="64"/>
      <c r="DBW79" s="64"/>
      <c r="DBX79" s="64"/>
      <c r="DBY79" s="64"/>
      <c r="DBZ79" s="64"/>
      <c r="DCA79" s="64"/>
      <c r="DCB79" s="64"/>
      <c r="DCC79" s="64"/>
      <c r="DCD79" s="64"/>
      <c r="DCE79" s="64"/>
      <c r="DCF79" s="64"/>
      <c r="DCG79" s="64"/>
      <c r="DCH79" s="64"/>
      <c r="DCI79" s="64"/>
      <c r="DCJ79" s="64"/>
      <c r="DCK79" s="64"/>
      <c r="DCL79" s="64"/>
      <c r="DCM79" s="64"/>
      <c r="DCN79" s="64"/>
      <c r="DCO79" s="64"/>
      <c r="DCP79" s="64"/>
      <c r="DCQ79" s="64"/>
      <c r="DCR79" s="64"/>
      <c r="DCS79" s="64"/>
      <c r="DCT79" s="64"/>
      <c r="DCU79" s="64"/>
      <c r="DCV79" s="64"/>
      <c r="DCW79" s="64"/>
      <c r="DCX79" s="64"/>
      <c r="DCY79" s="64"/>
      <c r="DCZ79" s="64"/>
      <c r="DDA79" s="64"/>
      <c r="DDB79" s="64"/>
      <c r="DDC79" s="64"/>
      <c r="DDD79" s="64"/>
      <c r="DDE79" s="64"/>
      <c r="DDF79" s="64"/>
      <c r="DDG79" s="64"/>
      <c r="DDH79" s="64"/>
      <c r="DDI79" s="64"/>
      <c r="DDJ79" s="64"/>
      <c r="DDK79" s="64"/>
      <c r="DDL79" s="64"/>
      <c r="DDM79" s="64"/>
      <c r="DDN79" s="64"/>
      <c r="DDO79" s="64"/>
      <c r="DDP79" s="64"/>
      <c r="DDQ79" s="64"/>
      <c r="DDR79" s="64"/>
      <c r="DDS79" s="64"/>
      <c r="DDT79" s="64"/>
      <c r="DDU79" s="64"/>
      <c r="DDV79" s="64"/>
      <c r="DDW79" s="64"/>
      <c r="DDX79" s="64"/>
      <c r="DDY79" s="64"/>
      <c r="DDZ79" s="64"/>
      <c r="DEA79" s="64"/>
      <c r="DEB79" s="64"/>
      <c r="DEC79" s="64"/>
      <c r="DED79" s="64"/>
      <c r="DEE79" s="64"/>
      <c r="DEF79" s="64"/>
      <c r="DEG79" s="64"/>
      <c r="DEH79" s="64"/>
      <c r="DEI79" s="64"/>
      <c r="DEJ79" s="64"/>
      <c r="DEK79" s="64"/>
      <c r="DEL79" s="64"/>
      <c r="DEM79" s="64"/>
      <c r="DEN79" s="64"/>
      <c r="DEO79" s="64"/>
      <c r="DEP79" s="64"/>
      <c r="DEQ79" s="64"/>
      <c r="DER79" s="64"/>
      <c r="DES79" s="64"/>
      <c r="DET79" s="64"/>
      <c r="DEU79" s="64"/>
      <c r="DEV79" s="64"/>
      <c r="DEW79" s="64"/>
      <c r="DEX79" s="64"/>
      <c r="DEY79" s="64"/>
      <c r="DEZ79" s="64"/>
      <c r="DFA79" s="64"/>
      <c r="DFB79" s="64"/>
      <c r="DFC79" s="64"/>
      <c r="DFD79" s="64"/>
      <c r="DFE79" s="64"/>
      <c r="DFF79" s="64"/>
      <c r="DFG79" s="64"/>
      <c r="DFH79" s="64"/>
      <c r="DFI79" s="64"/>
      <c r="DFJ79" s="64"/>
      <c r="DFK79" s="64"/>
      <c r="DFL79" s="64"/>
      <c r="DFM79" s="64"/>
      <c r="DFN79" s="64"/>
      <c r="DFO79" s="64"/>
      <c r="DFP79" s="64"/>
      <c r="DFQ79" s="64"/>
      <c r="DFR79" s="64"/>
      <c r="DFS79" s="64"/>
      <c r="DFT79" s="64"/>
      <c r="DFU79" s="64"/>
      <c r="DFV79" s="64"/>
      <c r="DFW79" s="64"/>
      <c r="DFX79" s="64"/>
      <c r="DFY79" s="64"/>
      <c r="DFZ79" s="64"/>
      <c r="DGA79" s="64"/>
      <c r="DGB79" s="64"/>
      <c r="DGC79" s="64"/>
      <c r="DGD79" s="64"/>
      <c r="DGE79" s="64"/>
      <c r="DGF79" s="64"/>
      <c r="DGG79" s="64"/>
      <c r="DGH79" s="64"/>
      <c r="DGI79" s="64"/>
      <c r="DGJ79" s="64"/>
      <c r="DGK79" s="64"/>
      <c r="DGL79" s="64"/>
      <c r="DGM79" s="64"/>
      <c r="DGN79" s="64"/>
      <c r="DGO79" s="64"/>
      <c r="DGP79" s="64"/>
      <c r="DGQ79" s="64"/>
      <c r="DGR79" s="64"/>
      <c r="DGS79" s="64"/>
      <c r="DGT79" s="64"/>
      <c r="DGU79" s="64"/>
      <c r="DGV79" s="64"/>
      <c r="DGW79" s="64"/>
      <c r="DGX79" s="64"/>
      <c r="DGY79" s="64"/>
      <c r="DGZ79" s="64"/>
      <c r="DHA79" s="64"/>
      <c r="DHB79" s="64"/>
      <c r="DHC79" s="64"/>
      <c r="DHD79" s="64"/>
      <c r="DHE79" s="64"/>
      <c r="DHF79" s="64"/>
      <c r="DHG79" s="64"/>
      <c r="DHH79" s="64"/>
      <c r="DHI79" s="64"/>
      <c r="DHJ79" s="64"/>
      <c r="DHK79" s="64"/>
      <c r="DHL79" s="64"/>
      <c r="DHM79" s="64"/>
      <c r="DHN79" s="64"/>
      <c r="DHO79" s="64"/>
      <c r="DHP79" s="64"/>
      <c r="DHQ79" s="64"/>
      <c r="DHR79" s="64"/>
      <c r="DHS79" s="64"/>
      <c r="DHT79" s="64"/>
      <c r="DHU79" s="64"/>
      <c r="DHV79" s="64"/>
      <c r="DHW79" s="64"/>
      <c r="DHX79" s="64"/>
      <c r="DHY79" s="64"/>
      <c r="DHZ79" s="64"/>
      <c r="DIA79" s="64"/>
      <c r="DIB79" s="64"/>
      <c r="DIC79" s="64"/>
      <c r="DID79" s="64"/>
      <c r="DIE79" s="64"/>
      <c r="DIF79" s="64"/>
      <c r="DIG79" s="64"/>
      <c r="DIH79" s="64"/>
      <c r="DII79" s="64"/>
      <c r="DIJ79" s="64"/>
      <c r="DIK79" s="64"/>
      <c r="DIL79" s="64"/>
      <c r="DIM79" s="64"/>
      <c r="DIN79" s="64"/>
      <c r="DIO79" s="64"/>
      <c r="DIP79" s="64"/>
      <c r="DIQ79" s="64"/>
      <c r="DIR79" s="64"/>
      <c r="DIS79" s="64"/>
      <c r="DIT79" s="64"/>
      <c r="DIU79" s="64"/>
      <c r="DIV79" s="64"/>
      <c r="DIW79" s="64"/>
      <c r="DIX79" s="64"/>
      <c r="DIY79" s="64"/>
      <c r="DIZ79" s="64"/>
      <c r="DJA79" s="64"/>
      <c r="DJB79" s="64"/>
      <c r="DJC79" s="64"/>
      <c r="DJD79" s="64"/>
      <c r="DJE79" s="64"/>
      <c r="DJF79" s="64"/>
      <c r="DJG79" s="64"/>
      <c r="DJH79" s="64"/>
      <c r="DJI79" s="64"/>
      <c r="DJJ79" s="64"/>
      <c r="DJK79" s="64"/>
      <c r="DJL79" s="64"/>
      <c r="DJM79" s="64"/>
      <c r="DJN79" s="64"/>
      <c r="DJO79" s="64"/>
      <c r="DJP79" s="64"/>
      <c r="DJQ79" s="64"/>
      <c r="DJR79" s="64"/>
      <c r="DJS79" s="64"/>
      <c r="DJT79" s="64"/>
      <c r="DJU79" s="64"/>
      <c r="DJV79" s="64"/>
      <c r="DJW79" s="64"/>
      <c r="DJX79" s="64"/>
      <c r="DJY79" s="64"/>
      <c r="DJZ79" s="64"/>
      <c r="DKA79" s="64"/>
      <c r="DKB79" s="64"/>
      <c r="DKC79" s="64"/>
      <c r="DKD79" s="64"/>
      <c r="DKE79" s="64"/>
      <c r="DKF79" s="64"/>
      <c r="DKG79" s="64"/>
      <c r="DKH79" s="64"/>
      <c r="DKI79" s="64"/>
      <c r="DKJ79" s="64"/>
      <c r="DKK79" s="64"/>
      <c r="DKL79" s="64"/>
      <c r="DKM79" s="64"/>
      <c r="DKN79" s="64"/>
      <c r="DKO79" s="64"/>
      <c r="DKP79" s="64"/>
      <c r="DKQ79" s="64"/>
      <c r="DKR79" s="64"/>
      <c r="DKS79" s="64"/>
      <c r="DKT79" s="64"/>
      <c r="DKU79" s="64"/>
      <c r="DKV79" s="64"/>
      <c r="DKW79" s="64"/>
      <c r="DKX79" s="64"/>
      <c r="DKY79" s="64"/>
      <c r="DKZ79" s="64"/>
      <c r="DLA79" s="64"/>
      <c r="DLB79" s="64"/>
      <c r="DLC79" s="64"/>
      <c r="DLD79" s="64"/>
      <c r="DLE79" s="64"/>
      <c r="DLF79" s="64"/>
      <c r="DLG79" s="64"/>
      <c r="DLH79" s="64"/>
      <c r="DLI79" s="64"/>
      <c r="DLJ79" s="64"/>
      <c r="DLK79" s="64"/>
      <c r="DLL79" s="64"/>
      <c r="DLM79" s="64"/>
      <c r="DLN79" s="64"/>
      <c r="DLO79" s="64"/>
      <c r="DLP79" s="64"/>
      <c r="DLQ79" s="64"/>
      <c r="DLR79" s="64"/>
      <c r="DLS79" s="64"/>
      <c r="DLT79" s="64"/>
      <c r="DLU79" s="64"/>
      <c r="DLV79" s="64"/>
      <c r="DLW79" s="64"/>
      <c r="DLX79" s="64"/>
      <c r="DLY79" s="64"/>
      <c r="DLZ79" s="64"/>
      <c r="DMA79" s="64"/>
      <c r="DMB79" s="64"/>
      <c r="DMC79" s="64"/>
      <c r="DMD79" s="64"/>
      <c r="DME79" s="64"/>
      <c r="DMF79" s="64"/>
      <c r="DMG79" s="64"/>
      <c r="DMH79" s="64"/>
      <c r="DMI79" s="64"/>
      <c r="DMJ79" s="64"/>
      <c r="DMK79" s="64"/>
      <c r="DML79" s="64"/>
      <c r="DMM79" s="64"/>
      <c r="DMN79" s="64"/>
      <c r="DMO79" s="64"/>
      <c r="DMP79" s="64"/>
      <c r="DMQ79" s="64"/>
      <c r="DMR79" s="64"/>
      <c r="DMS79" s="64"/>
      <c r="DMT79" s="64"/>
      <c r="DMU79" s="64"/>
      <c r="DMV79" s="64"/>
      <c r="DMW79" s="64"/>
      <c r="DMX79" s="64"/>
      <c r="DMY79" s="64"/>
      <c r="DMZ79" s="64"/>
      <c r="DNA79" s="64"/>
      <c r="DNB79" s="64"/>
      <c r="DNC79" s="64"/>
      <c r="DND79" s="64"/>
      <c r="DNE79" s="64"/>
      <c r="DNF79" s="64"/>
      <c r="DNG79" s="64"/>
      <c r="DNH79" s="64"/>
      <c r="DNI79" s="64"/>
      <c r="DNJ79" s="64"/>
      <c r="DNK79" s="64"/>
      <c r="DNL79" s="64"/>
      <c r="DNM79" s="64"/>
      <c r="DNN79" s="64"/>
      <c r="DNO79" s="64"/>
      <c r="DNP79" s="64"/>
      <c r="DNQ79" s="64"/>
      <c r="DNR79" s="64"/>
      <c r="DNS79" s="64"/>
      <c r="DNT79" s="64"/>
      <c r="DNU79" s="64"/>
      <c r="DNV79" s="64"/>
      <c r="DNW79" s="64"/>
      <c r="DNX79" s="64"/>
      <c r="DNY79" s="64"/>
      <c r="DNZ79" s="64"/>
      <c r="DOA79" s="64"/>
      <c r="DOB79" s="64"/>
      <c r="DOC79" s="64"/>
      <c r="DOD79" s="64"/>
      <c r="DOE79" s="64"/>
      <c r="DOF79" s="64"/>
      <c r="DOG79" s="64"/>
      <c r="DOH79" s="64"/>
      <c r="DOI79" s="64"/>
      <c r="DOJ79" s="64"/>
      <c r="DOK79" s="64"/>
      <c r="DOL79" s="64"/>
      <c r="DOM79" s="64"/>
      <c r="DON79" s="64"/>
      <c r="DOO79" s="64"/>
      <c r="DOP79" s="64"/>
      <c r="DOQ79" s="64"/>
      <c r="DOR79" s="64"/>
      <c r="DOS79" s="64"/>
      <c r="DOT79" s="64"/>
      <c r="DOU79" s="64"/>
      <c r="DOV79" s="64"/>
      <c r="DOW79" s="64"/>
      <c r="DOX79" s="64"/>
      <c r="DOY79" s="64"/>
      <c r="DOZ79" s="64"/>
      <c r="DPA79" s="64"/>
      <c r="DPB79" s="64"/>
      <c r="DPC79" s="64"/>
      <c r="DPD79" s="64"/>
      <c r="DPE79" s="64"/>
      <c r="DPF79" s="64"/>
      <c r="DPG79" s="64"/>
      <c r="DPH79" s="64"/>
      <c r="DPI79" s="64"/>
      <c r="DPJ79" s="64"/>
      <c r="DPK79" s="64"/>
      <c r="DPL79" s="64"/>
      <c r="DPM79" s="64"/>
      <c r="DPN79" s="64"/>
      <c r="DPO79" s="64"/>
      <c r="DPP79" s="64"/>
      <c r="DPQ79" s="64"/>
      <c r="DPR79" s="64"/>
      <c r="DPS79" s="64"/>
      <c r="DPT79" s="64"/>
      <c r="DPU79" s="64"/>
      <c r="DPV79" s="64"/>
      <c r="DPW79" s="64"/>
      <c r="DPX79" s="64"/>
      <c r="DPY79" s="64"/>
      <c r="DPZ79" s="64"/>
      <c r="DQA79" s="64"/>
      <c r="DQB79" s="64"/>
      <c r="DQC79" s="64"/>
      <c r="DQD79" s="64"/>
      <c r="DQE79" s="64"/>
      <c r="DQF79" s="64"/>
      <c r="DQG79" s="64"/>
      <c r="DQH79" s="64"/>
      <c r="DQI79" s="64"/>
      <c r="DQJ79" s="64"/>
      <c r="DQK79" s="64"/>
      <c r="DQL79" s="64"/>
      <c r="DQM79" s="64"/>
      <c r="DQN79" s="64"/>
      <c r="DQO79" s="64"/>
      <c r="DQP79" s="64"/>
      <c r="DQQ79" s="64"/>
      <c r="DQR79" s="64"/>
      <c r="DQS79" s="64"/>
      <c r="DQT79" s="64"/>
      <c r="DQU79" s="64"/>
      <c r="DQV79" s="64"/>
      <c r="DQW79" s="64"/>
      <c r="DQX79" s="64"/>
      <c r="DQY79" s="64"/>
      <c r="DQZ79" s="64"/>
      <c r="DRA79" s="64"/>
      <c r="DRB79" s="64"/>
      <c r="DRC79" s="64"/>
      <c r="DRD79" s="64"/>
      <c r="DRE79" s="64"/>
      <c r="DRF79" s="64"/>
      <c r="DRG79" s="64"/>
      <c r="DRH79" s="64"/>
      <c r="DRI79" s="64"/>
      <c r="DRJ79" s="64"/>
      <c r="DRK79" s="64"/>
      <c r="DRL79" s="64"/>
      <c r="DRM79" s="64"/>
      <c r="DRN79" s="64"/>
      <c r="DRO79" s="64"/>
      <c r="DRP79" s="64"/>
      <c r="DRQ79" s="64"/>
      <c r="DRR79" s="64"/>
      <c r="DRS79" s="64"/>
      <c r="DRT79" s="64"/>
      <c r="DRU79" s="64"/>
      <c r="DRV79" s="64"/>
      <c r="DRW79" s="64"/>
      <c r="DRX79" s="64"/>
      <c r="DRY79" s="64"/>
      <c r="DRZ79" s="64"/>
      <c r="DSA79" s="64"/>
      <c r="DSB79" s="64"/>
      <c r="DSC79" s="64"/>
      <c r="DSD79" s="64"/>
      <c r="DSE79" s="64"/>
      <c r="DSF79" s="64"/>
      <c r="DSG79" s="64"/>
      <c r="DSH79" s="64"/>
      <c r="DSI79" s="64"/>
      <c r="DSJ79" s="64"/>
      <c r="DSK79" s="64"/>
      <c r="DSL79" s="64"/>
      <c r="DSM79" s="64"/>
      <c r="DSN79" s="64"/>
      <c r="DSO79" s="64"/>
      <c r="DSP79" s="64"/>
      <c r="DSQ79" s="64"/>
      <c r="DSR79" s="64"/>
      <c r="DSS79" s="64"/>
      <c r="DST79" s="64"/>
      <c r="DSU79" s="64"/>
      <c r="DSV79" s="64"/>
      <c r="DSW79" s="64"/>
      <c r="DSX79" s="64"/>
      <c r="DSY79" s="64"/>
      <c r="DSZ79" s="64"/>
      <c r="DTA79" s="64"/>
      <c r="DTB79" s="64"/>
      <c r="DTC79" s="64"/>
      <c r="DTD79" s="64"/>
      <c r="DTE79" s="64"/>
      <c r="DTF79" s="64"/>
      <c r="DTG79" s="64"/>
      <c r="DTH79" s="64"/>
      <c r="DTI79" s="64"/>
      <c r="DTJ79" s="64"/>
      <c r="DTK79" s="64"/>
      <c r="DTL79" s="64"/>
      <c r="DTM79" s="64"/>
      <c r="DTN79" s="64"/>
      <c r="DTO79" s="64"/>
      <c r="DTP79" s="64"/>
      <c r="DTQ79" s="64"/>
      <c r="DTR79" s="64"/>
      <c r="DTS79" s="64"/>
      <c r="DTT79" s="64"/>
      <c r="DTU79" s="64"/>
      <c r="DTV79" s="64"/>
      <c r="DTW79" s="64"/>
      <c r="DTX79" s="64"/>
      <c r="DTY79" s="64"/>
      <c r="DTZ79" s="64"/>
      <c r="DUA79" s="64"/>
      <c r="DUB79" s="64"/>
      <c r="DUC79" s="64"/>
      <c r="DUD79" s="64"/>
      <c r="DUE79" s="64"/>
      <c r="DUF79" s="64"/>
      <c r="DUG79" s="64"/>
      <c r="DUH79" s="64"/>
      <c r="DUI79" s="64"/>
      <c r="DUJ79" s="64"/>
      <c r="DUK79" s="64"/>
      <c r="DUL79" s="64"/>
      <c r="DUM79" s="64"/>
      <c r="DUN79" s="64"/>
      <c r="DUO79" s="64"/>
      <c r="DUP79" s="64"/>
      <c r="DUQ79" s="64"/>
      <c r="DUR79" s="64"/>
      <c r="DUS79" s="64"/>
      <c r="DUT79" s="64"/>
      <c r="DUU79" s="64"/>
      <c r="DUV79" s="64"/>
      <c r="DUW79" s="64"/>
      <c r="DUX79" s="64"/>
      <c r="DUY79" s="64"/>
      <c r="DUZ79" s="64"/>
      <c r="DVA79" s="64"/>
      <c r="DVB79" s="64"/>
      <c r="DVC79" s="64"/>
      <c r="DVD79" s="64"/>
      <c r="DVE79" s="64"/>
      <c r="DVF79" s="64"/>
      <c r="DVG79" s="64"/>
      <c r="DVH79" s="64"/>
      <c r="DVI79" s="64"/>
      <c r="DVJ79" s="64"/>
      <c r="DVK79" s="64"/>
      <c r="DVL79" s="64"/>
      <c r="DVM79" s="64"/>
      <c r="DVN79" s="64"/>
      <c r="DVO79" s="64"/>
      <c r="DVP79" s="64"/>
      <c r="DVQ79" s="64"/>
      <c r="DVR79" s="64"/>
      <c r="DVS79" s="64"/>
      <c r="DVT79" s="64"/>
      <c r="DVU79" s="64"/>
      <c r="DVV79" s="64"/>
      <c r="DVW79" s="64"/>
      <c r="DVX79" s="64"/>
      <c r="DVY79" s="64"/>
      <c r="DVZ79" s="64"/>
      <c r="DWA79" s="64"/>
      <c r="DWB79" s="64"/>
      <c r="DWC79" s="64"/>
      <c r="DWD79" s="64"/>
      <c r="DWE79" s="64"/>
      <c r="DWF79" s="64"/>
      <c r="DWG79" s="64"/>
      <c r="DWH79" s="64"/>
      <c r="DWI79" s="64"/>
      <c r="DWJ79" s="64"/>
      <c r="DWK79" s="64"/>
      <c r="DWL79" s="64"/>
      <c r="DWM79" s="64"/>
      <c r="DWN79" s="64"/>
      <c r="DWO79" s="64"/>
      <c r="DWP79" s="64"/>
      <c r="DWQ79" s="64"/>
      <c r="DWR79" s="64"/>
      <c r="DWS79" s="64"/>
      <c r="DWT79" s="64"/>
      <c r="DWU79" s="64"/>
      <c r="DWV79" s="64"/>
      <c r="DWW79" s="64"/>
      <c r="DWX79" s="64"/>
      <c r="DWY79" s="64"/>
      <c r="DWZ79" s="64"/>
      <c r="DXA79" s="64"/>
      <c r="DXB79" s="64"/>
      <c r="DXC79" s="64"/>
      <c r="DXD79" s="64"/>
      <c r="DXE79" s="64"/>
      <c r="DXF79" s="64"/>
      <c r="DXG79" s="64"/>
      <c r="DXH79" s="64"/>
      <c r="DXI79" s="64"/>
      <c r="DXJ79" s="64"/>
      <c r="DXK79" s="64"/>
      <c r="DXL79" s="64"/>
      <c r="DXM79" s="64"/>
      <c r="DXN79" s="64"/>
      <c r="DXO79" s="64"/>
      <c r="DXP79" s="64"/>
      <c r="DXQ79" s="64"/>
      <c r="DXR79" s="64"/>
      <c r="DXS79" s="64"/>
      <c r="DXT79" s="64"/>
      <c r="DXU79" s="64"/>
      <c r="DXV79" s="64"/>
      <c r="DXW79" s="64"/>
      <c r="DXX79" s="64"/>
      <c r="DXY79" s="64"/>
      <c r="DXZ79" s="64"/>
      <c r="DYA79" s="64"/>
      <c r="DYB79" s="64"/>
      <c r="DYC79" s="64"/>
      <c r="DYD79" s="64"/>
      <c r="DYE79" s="64"/>
      <c r="DYF79" s="64"/>
      <c r="DYG79" s="64"/>
      <c r="DYH79" s="64"/>
      <c r="DYI79" s="64"/>
      <c r="DYJ79" s="64"/>
      <c r="DYK79" s="64"/>
      <c r="DYL79" s="64"/>
      <c r="DYM79" s="64"/>
      <c r="DYN79" s="64"/>
      <c r="DYO79" s="64"/>
      <c r="DYP79" s="64"/>
      <c r="DYQ79" s="64"/>
      <c r="DYR79" s="64"/>
      <c r="DYS79" s="64"/>
      <c r="DYT79" s="64"/>
      <c r="DYU79" s="64"/>
      <c r="DYV79" s="64"/>
      <c r="DYW79" s="64"/>
      <c r="DYX79" s="64"/>
      <c r="DYY79" s="64"/>
      <c r="DYZ79" s="64"/>
      <c r="DZA79" s="64"/>
      <c r="DZB79" s="64"/>
      <c r="DZC79" s="64"/>
      <c r="DZD79" s="64"/>
      <c r="DZE79" s="64"/>
      <c r="DZF79" s="64"/>
      <c r="DZG79" s="64"/>
      <c r="DZH79" s="64"/>
      <c r="DZI79" s="64"/>
      <c r="DZJ79" s="64"/>
      <c r="DZK79" s="64"/>
      <c r="DZL79" s="64"/>
      <c r="DZM79" s="64"/>
      <c r="DZN79" s="64"/>
      <c r="DZO79" s="64"/>
      <c r="DZP79" s="64"/>
      <c r="DZQ79" s="64"/>
      <c r="DZR79" s="64"/>
      <c r="DZS79" s="64"/>
      <c r="DZT79" s="64"/>
      <c r="DZU79" s="64"/>
      <c r="DZV79" s="64"/>
      <c r="DZW79" s="64"/>
      <c r="DZX79" s="64"/>
      <c r="DZY79" s="64"/>
      <c r="DZZ79" s="64"/>
      <c r="EAA79" s="64"/>
      <c r="EAB79" s="64"/>
      <c r="EAC79" s="64"/>
      <c r="EAD79" s="64"/>
      <c r="EAE79" s="64"/>
      <c r="EAF79" s="64"/>
      <c r="EAG79" s="64"/>
      <c r="EAH79" s="64"/>
      <c r="EAI79" s="64"/>
      <c r="EAJ79" s="64"/>
      <c r="EAK79" s="64"/>
      <c r="EAL79" s="64"/>
      <c r="EAM79" s="64"/>
      <c r="EAN79" s="64"/>
      <c r="EAO79" s="64"/>
      <c r="EAP79" s="64"/>
      <c r="EAQ79" s="64"/>
      <c r="EAR79" s="64"/>
      <c r="EAS79" s="64"/>
      <c r="EAT79" s="64"/>
      <c r="EAU79" s="64"/>
      <c r="EAV79" s="64"/>
      <c r="EAW79" s="64"/>
      <c r="EAX79" s="64"/>
      <c r="EAY79" s="64"/>
      <c r="EAZ79" s="64"/>
      <c r="EBA79" s="64"/>
      <c r="EBB79" s="64"/>
      <c r="EBC79" s="64"/>
      <c r="EBD79" s="64"/>
      <c r="EBE79" s="64"/>
      <c r="EBF79" s="64"/>
      <c r="EBG79" s="64"/>
      <c r="EBH79" s="64"/>
      <c r="EBI79" s="64"/>
      <c r="EBJ79" s="64"/>
      <c r="EBK79" s="64"/>
      <c r="EBL79" s="64"/>
      <c r="EBM79" s="64"/>
      <c r="EBN79" s="64"/>
      <c r="EBO79" s="64"/>
      <c r="EBP79" s="64"/>
      <c r="EBQ79" s="64"/>
      <c r="EBR79" s="64"/>
      <c r="EBS79" s="64"/>
      <c r="EBT79" s="64"/>
      <c r="EBU79" s="64"/>
      <c r="EBV79" s="64"/>
      <c r="EBW79" s="64"/>
      <c r="EBX79" s="64"/>
      <c r="EBY79" s="64"/>
      <c r="EBZ79" s="64"/>
      <c r="ECA79" s="64"/>
      <c r="ECB79" s="64"/>
      <c r="ECC79" s="64"/>
      <c r="ECD79" s="64"/>
      <c r="ECE79" s="64"/>
      <c r="ECF79" s="64"/>
      <c r="ECG79" s="64"/>
      <c r="ECH79" s="64"/>
      <c r="ECI79" s="64"/>
      <c r="ECJ79" s="64"/>
      <c r="ECK79" s="64"/>
      <c r="ECL79" s="64"/>
      <c r="ECM79" s="64"/>
      <c r="ECN79" s="64"/>
      <c r="ECO79" s="64"/>
      <c r="ECP79" s="64"/>
      <c r="ECQ79" s="64"/>
      <c r="ECR79" s="64"/>
      <c r="ECS79" s="64"/>
      <c r="ECT79" s="64"/>
      <c r="ECU79" s="64"/>
      <c r="ECV79" s="64"/>
      <c r="ECW79" s="64"/>
      <c r="ECX79" s="64"/>
      <c r="ECY79" s="64"/>
      <c r="ECZ79" s="64"/>
      <c r="EDA79" s="64"/>
      <c r="EDB79" s="64"/>
      <c r="EDC79" s="64"/>
      <c r="EDD79" s="64"/>
      <c r="EDE79" s="64"/>
      <c r="EDF79" s="64"/>
      <c r="EDG79" s="64"/>
      <c r="EDH79" s="64"/>
      <c r="EDI79" s="64"/>
      <c r="EDJ79" s="64"/>
      <c r="EDK79" s="64"/>
      <c r="EDL79" s="64"/>
      <c r="EDM79" s="64"/>
      <c r="EDN79" s="64"/>
      <c r="EDO79" s="64"/>
      <c r="EDP79" s="64"/>
      <c r="EDQ79" s="64"/>
      <c r="EDR79" s="64"/>
      <c r="EDS79" s="64"/>
      <c r="EDT79" s="64"/>
      <c r="EDU79" s="64"/>
      <c r="EDV79" s="64"/>
      <c r="EDW79" s="64"/>
      <c r="EDX79" s="64"/>
      <c r="EDY79" s="64"/>
      <c r="EDZ79" s="64"/>
      <c r="EEA79" s="64"/>
      <c r="EEB79" s="64"/>
      <c r="EEC79" s="64"/>
      <c r="EED79" s="64"/>
      <c r="EEE79" s="64"/>
      <c r="EEF79" s="64"/>
      <c r="EEG79" s="64"/>
      <c r="EEH79" s="64"/>
      <c r="EEI79" s="64"/>
      <c r="EEJ79" s="64"/>
      <c r="EEK79" s="64"/>
      <c r="EEL79" s="64"/>
      <c r="EEM79" s="64"/>
      <c r="EEN79" s="64"/>
      <c r="EEO79" s="64"/>
      <c r="EEP79" s="64"/>
      <c r="EEQ79" s="64"/>
      <c r="EER79" s="64"/>
      <c r="EES79" s="64"/>
      <c r="EET79" s="64"/>
      <c r="EEU79" s="64"/>
      <c r="EEV79" s="64"/>
      <c r="EEW79" s="64"/>
      <c r="EEX79" s="64"/>
      <c r="EEY79" s="64"/>
      <c r="EEZ79" s="64"/>
      <c r="EFA79" s="64"/>
      <c r="EFB79" s="64"/>
      <c r="EFC79" s="64"/>
      <c r="EFD79" s="64"/>
      <c r="EFE79" s="64"/>
      <c r="EFF79" s="64"/>
      <c r="EFG79" s="64"/>
      <c r="EFH79" s="64"/>
      <c r="EFI79" s="64"/>
      <c r="EFJ79" s="64"/>
      <c r="EFK79" s="64"/>
      <c r="EFL79" s="64"/>
      <c r="EFM79" s="64"/>
      <c r="EFN79" s="64"/>
      <c r="EFO79" s="64"/>
      <c r="EFP79" s="64"/>
      <c r="EFQ79" s="64"/>
      <c r="EFR79" s="64"/>
      <c r="EFS79" s="64"/>
      <c r="EFT79" s="64"/>
      <c r="EFU79" s="64"/>
      <c r="EFV79" s="64"/>
      <c r="EFW79" s="64"/>
      <c r="EFX79" s="64"/>
      <c r="EFY79" s="64"/>
      <c r="EFZ79" s="64"/>
      <c r="EGA79" s="64"/>
      <c r="EGB79" s="64"/>
      <c r="EGC79" s="64"/>
      <c r="EGD79" s="64"/>
      <c r="EGE79" s="64"/>
      <c r="EGF79" s="64"/>
      <c r="EGG79" s="64"/>
      <c r="EGH79" s="64"/>
      <c r="EGI79" s="64"/>
      <c r="EGJ79" s="64"/>
      <c r="EGK79" s="64"/>
      <c r="EGL79" s="64"/>
      <c r="EGM79" s="64"/>
      <c r="EGN79" s="64"/>
      <c r="EGO79" s="64"/>
      <c r="EGP79" s="64"/>
      <c r="EGQ79" s="64"/>
      <c r="EGR79" s="64"/>
      <c r="EGS79" s="64"/>
      <c r="EGT79" s="64"/>
      <c r="EGU79" s="64"/>
      <c r="EGV79" s="64"/>
      <c r="EGW79" s="64"/>
      <c r="EGX79" s="64"/>
      <c r="EGY79" s="64"/>
      <c r="EGZ79" s="64"/>
      <c r="EHA79" s="64"/>
      <c r="EHB79" s="64"/>
      <c r="EHC79" s="64"/>
      <c r="EHD79" s="64"/>
      <c r="EHE79" s="64"/>
      <c r="EHF79" s="64"/>
      <c r="EHG79" s="64"/>
      <c r="EHH79" s="64"/>
      <c r="EHI79" s="64"/>
      <c r="EHJ79" s="64"/>
      <c r="EHK79" s="64"/>
      <c r="EHL79" s="64"/>
      <c r="EHM79" s="64"/>
      <c r="EHN79" s="64"/>
      <c r="EHO79" s="64"/>
      <c r="EHP79" s="64"/>
      <c r="EHQ79" s="64"/>
      <c r="EHR79" s="64"/>
      <c r="EHS79" s="64"/>
      <c r="EHT79" s="64"/>
      <c r="EHU79" s="64"/>
      <c r="EHV79" s="64"/>
      <c r="EHW79" s="64"/>
      <c r="EHX79" s="64"/>
      <c r="EHY79" s="64"/>
      <c r="EHZ79" s="64"/>
      <c r="EIA79" s="64"/>
      <c r="EIB79" s="64"/>
      <c r="EIC79" s="64"/>
      <c r="EID79" s="64"/>
      <c r="EIE79" s="64"/>
      <c r="EIF79" s="64"/>
      <c r="EIG79" s="64"/>
      <c r="EIH79" s="64"/>
      <c r="EII79" s="64"/>
      <c r="EIJ79" s="64"/>
      <c r="EIK79" s="64"/>
      <c r="EIL79" s="64"/>
      <c r="EIM79" s="64"/>
      <c r="EIN79" s="64"/>
      <c r="EIO79" s="64"/>
      <c r="EIP79" s="64"/>
      <c r="EIQ79" s="64"/>
      <c r="EIR79" s="64"/>
      <c r="EIS79" s="64"/>
      <c r="EIT79" s="64"/>
      <c r="EIU79" s="64"/>
      <c r="EIV79" s="64"/>
      <c r="EIW79" s="64"/>
      <c r="EIX79" s="64"/>
      <c r="EIY79" s="64"/>
      <c r="EIZ79" s="64"/>
      <c r="EJA79" s="64"/>
      <c r="EJB79" s="64"/>
      <c r="EJC79" s="64"/>
      <c r="EJD79" s="64"/>
      <c r="EJE79" s="64"/>
      <c r="EJF79" s="64"/>
      <c r="EJG79" s="64"/>
      <c r="EJH79" s="64"/>
      <c r="EJI79" s="64"/>
      <c r="EJJ79" s="64"/>
      <c r="EJK79" s="64"/>
      <c r="EJL79" s="64"/>
      <c r="EJM79" s="64"/>
      <c r="EJN79" s="64"/>
      <c r="EJO79" s="64"/>
      <c r="EJP79" s="64"/>
      <c r="EJQ79" s="64"/>
      <c r="EJR79" s="64"/>
      <c r="EJS79" s="64"/>
      <c r="EJT79" s="64"/>
      <c r="EJU79" s="64"/>
      <c r="EJV79" s="64"/>
      <c r="EJW79" s="64"/>
      <c r="EJX79" s="64"/>
      <c r="EJY79" s="64"/>
      <c r="EJZ79" s="64"/>
      <c r="EKA79" s="64"/>
      <c r="EKB79" s="64"/>
      <c r="EKC79" s="64"/>
      <c r="EKD79" s="64"/>
      <c r="EKE79" s="64"/>
      <c r="EKF79" s="64"/>
      <c r="EKG79" s="64"/>
      <c r="EKH79" s="64"/>
      <c r="EKI79" s="64"/>
      <c r="EKJ79" s="64"/>
      <c r="EKK79" s="64"/>
      <c r="EKL79" s="64"/>
      <c r="EKM79" s="64"/>
      <c r="EKN79" s="64"/>
      <c r="EKO79" s="64"/>
      <c r="EKP79" s="64"/>
      <c r="EKQ79" s="64"/>
      <c r="EKR79" s="64"/>
      <c r="EKS79" s="64"/>
      <c r="EKT79" s="64"/>
      <c r="EKU79" s="64"/>
      <c r="EKV79" s="64"/>
      <c r="EKW79" s="64"/>
      <c r="EKX79" s="64"/>
      <c r="EKY79" s="64"/>
      <c r="EKZ79" s="64"/>
      <c r="ELA79" s="64"/>
      <c r="ELB79" s="64"/>
      <c r="ELC79" s="64"/>
      <c r="ELD79" s="64"/>
      <c r="ELE79" s="64"/>
      <c r="ELF79" s="64"/>
      <c r="ELG79" s="64"/>
      <c r="ELH79" s="64"/>
      <c r="ELI79" s="64"/>
      <c r="ELJ79" s="64"/>
      <c r="ELK79" s="64"/>
      <c r="ELL79" s="64"/>
      <c r="ELM79" s="64"/>
      <c r="ELN79" s="64"/>
      <c r="ELO79" s="64"/>
      <c r="ELP79" s="64"/>
      <c r="ELQ79" s="64"/>
      <c r="ELR79" s="64"/>
      <c r="ELS79" s="64"/>
      <c r="ELT79" s="64"/>
      <c r="ELU79" s="64"/>
      <c r="ELV79" s="64"/>
      <c r="ELW79" s="64"/>
      <c r="ELX79" s="64"/>
      <c r="ELY79" s="64"/>
      <c r="ELZ79" s="64"/>
      <c r="EMA79" s="64"/>
      <c r="EMB79" s="64"/>
      <c r="EMC79" s="64"/>
      <c r="EMD79" s="64"/>
      <c r="EME79" s="64"/>
      <c r="EMF79" s="64"/>
      <c r="EMG79" s="64"/>
      <c r="EMH79" s="64"/>
      <c r="EMI79" s="64"/>
      <c r="EMJ79" s="64"/>
      <c r="EMK79" s="64"/>
      <c r="EML79" s="64"/>
      <c r="EMM79" s="64"/>
      <c r="EMN79" s="64"/>
      <c r="EMO79" s="64"/>
      <c r="EMP79" s="64"/>
      <c r="EMQ79" s="64"/>
      <c r="EMR79" s="64"/>
      <c r="EMS79" s="64"/>
      <c r="EMT79" s="64"/>
      <c r="EMU79" s="64"/>
      <c r="EMV79" s="64"/>
      <c r="EMW79" s="64"/>
      <c r="EMX79" s="64"/>
      <c r="EMY79" s="64"/>
      <c r="EMZ79" s="64"/>
      <c r="ENA79" s="64"/>
      <c r="ENB79" s="64"/>
      <c r="ENC79" s="64"/>
      <c r="END79" s="64"/>
      <c r="ENE79" s="64"/>
      <c r="ENF79" s="64"/>
      <c r="ENG79" s="64"/>
      <c r="ENH79" s="64"/>
      <c r="ENI79" s="64"/>
      <c r="ENJ79" s="64"/>
      <c r="ENK79" s="64"/>
      <c r="ENL79" s="64"/>
      <c r="ENM79" s="64"/>
      <c r="ENN79" s="64"/>
      <c r="ENO79" s="64"/>
      <c r="ENP79" s="64"/>
      <c r="ENQ79" s="64"/>
      <c r="ENR79" s="64"/>
      <c r="ENS79" s="64"/>
      <c r="ENT79" s="64"/>
      <c r="ENU79" s="64"/>
      <c r="ENV79" s="64"/>
      <c r="ENW79" s="64"/>
      <c r="ENX79" s="64"/>
      <c r="ENY79" s="64"/>
      <c r="ENZ79" s="64"/>
      <c r="EOA79" s="64"/>
      <c r="EOB79" s="64"/>
      <c r="EOC79" s="64"/>
      <c r="EOD79" s="64"/>
      <c r="EOE79" s="64"/>
      <c r="EOF79" s="64"/>
      <c r="EOG79" s="64"/>
      <c r="EOH79" s="64"/>
      <c r="EOI79" s="64"/>
      <c r="EOJ79" s="64"/>
      <c r="EOK79" s="64"/>
      <c r="EOL79" s="64"/>
      <c r="EOM79" s="64"/>
      <c r="EON79" s="64"/>
      <c r="EOO79" s="64"/>
      <c r="EOP79" s="64"/>
      <c r="EOQ79" s="64"/>
      <c r="EOR79" s="64"/>
      <c r="EOS79" s="64"/>
      <c r="EOT79" s="64"/>
      <c r="EOU79" s="64"/>
      <c r="EOV79" s="64"/>
      <c r="EOW79" s="64"/>
      <c r="EOX79" s="64"/>
      <c r="EOY79" s="64"/>
      <c r="EOZ79" s="64"/>
      <c r="EPA79" s="64"/>
      <c r="EPB79" s="64"/>
      <c r="EPC79" s="64"/>
      <c r="EPD79" s="64"/>
      <c r="EPE79" s="64"/>
      <c r="EPF79" s="64"/>
      <c r="EPG79" s="64"/>
      <c r="EPH79" s="64"/>
      <c r="EPI79" s="64"/>
      <c r="EPJ79" s="64"/>
      <c r="EPK79" s="64"/>
      <c r="EPL79" s="64"/>
      <c r="EPM79" s="64"/>
      <c r="EPN79" s="64"/>
      <c r="EPO79" s="64"/>
      <c r="EPP79" s="64"/>
      <c r="EPQ79" s="64"/>
      <c r="EPR79" s="64"/>
      <c r="EPS79" s="64"/>
      <c r="EPT79" s="64"/>
      <c r="EPU79" s="64"/>
      <c r="EPV79" s="64"/>
      <c r="EPW79" s="64"/>
      <c r="EPX79" s="64"/>
      <c r="EPY79" s="64"/>
      <c r="EPZ79" s="64"/>
      <c r="EQA79" s="64"/>
      <c r="EQB79" s="64"/>
      <c r="EQC79" s="64"/>
      <c r="EQD79" s="64"/>
      <c r="EQE79" s="64"/>
      <c r="EQF79" s="64"/>
      <c r="EQG79" s="64"/>
      <c r="EQH79" s="64"/>
      <c r="EQI79" s="64"/>
      <c r="EQJ79" s="64"/>
      <c r="EQK79" s="64"/>
      <c r="EQL79" s="64"/>
      <c r="EQM79" s="64"/>
      <c r="EQN79" s="64"/>
      <c r="EQO79" s="64"/>
      <c r="EQP79" s="64"/>
      <c r="EQQ79" s="64"/>
      <c r="EQR79" s="64"/>
      <c r="EQS79" s="64"/>
      <c r="EQT79" s="64"/>
      <c r="EQU79" s="64"/>
      <c r="EQV79" s="64"/>
      <c r="EQW79" s="64"/>
      <c r="EQX79" s="64"/>
      <c r="EQY79" s="64"/>
      <c r="EQZ79" s="64"/>
      <c r="ERA79" s="64"/>
      <c r="ERB79" s="64"/>
      <c r="ERC79" s="64"/>
      <c r="ERD79" s="64"/>
      <c r="ERE79" s="64"/>
      <c r="ERF79" s="64"/>
      <c r="ERG79" s="64"/>
      <c r="ERH79" s="64"/>
      <c r="ERI79" s="64"/>
      <c r="ERJ79" s="64"/>
      <c r="ERK79" s="64"/>
      <c r="ERL79" s="64"/>
      <c r="ERM79" s="64"/>
      <c r="ERN79" s="64"/>
      <c r="ERO79" s="64"/>
      <c r="ERP79" s="64"/>
      <c r="ERQ79" s="64"/>
      <c r="ERR79" s="64"/>
      <c r="ERS79" s="64"/>
      <c r="ERT79" s="64"/>
      <c r="ERU79" s="64"/>
      <c r="ERV79" s="64"/>
      <c r="ERW79" s="64"/>
      <c r="ERX79" s="64"/>
      <c r="ERY79" s="64"/>
      <c r="ERZ79" s="64"/>
      <c r="ESA79" s="64"/>
      <c r="ESB79" s="64"/>
      <c r="ESC79" s="64"/>
      <c r="ESD79" s="64"/>
      <c r="ESE79" s="64"/>
      <c r="ESF79" s="64"/>
      <c r="ESG79" s="64"/>
      <c r="ESH79" s="64"/>
      <c r="ESI79" s="64"/>
      <c r="ESJ79" s="64"/>
      <c r="ESK79" s="64"/>
      <c r="ESL79" s="64"/>
      <c r="ESM79" s="64"/>
      <c r="ESN79" s="64"/>
      <c r="ESO79" s="64"/>
      <c r="ESP79" s="64"/>
      <c r="ESQ79" s="64"/>
      <c r="ESR79" s="64"/>
      <c r="ESS79" s="64"/>
      <c r="EST79" s="64"/>
      <c r="ESU79" s="64"/>
      <c r="ESV79" s="64"/>
      <c r="ESW79" s="64"/>
      <c r="ESX79" s="64"/>
      <c r="ESY79" s="64"/>
      <c r="ESZ79" s="64"/>
      <c r="ETA79" s="64"/>
      <c r="ETB79" s="64"/>
      <c r="ETC79" s="64"/>
      <c r="ETD79" s="64"/>
      <c r="ETE79" s="64"/>
      <c r="ETF79" s="64"/>
      <c r="ETG79" s="64"/>
      <c r="ETH79" s="64"/>
      <c r="ETI79" s="64"/>
      <c r="ETJ79" s="64"/>
      <c r="ETK79" s="64"/>
      <c r="ETL79" s="64"/>
      <c r="ETM79" s="64"/>
      <c r="ETN79" s="64"/>
      <c r="ETO79" s="64"/>
      <c r="ETP79" s="64"/>
      <c r="ETQ79" s="64"/>
      <c r="ETR79" s="64"/>
      <c r="ETS79" s="64"/>
      <c r="ETT79" s="64"/>
      <c r="ETU79" s="64"/>
      <c r="ETV79" s="64"/>
      <c r="ETW79" s="64"/>
      <c r="ETX79" s="64"/>
      <c r="ETY79" s="64"/>
      <c r="ETZ79" s="64"/>
      <c r="EUA79" s="64"/>
      <c r="EUB79" s="64"/>
      <c r="EUC79" s="64"/>
      <c r="EUD79" s="64"/>
      <c r="EUE79" s="64"/>
      <c r="EUF79" s="64"/>
      <c r="EUG79" s="64"/>
      <c r="EUH79" s="64"/>
      <c r="EUI79" s="64"/>
      <c r="EUJ79" s="64"/>
      <c r="EUK79" s="64"/>
      <c r="EUL79" s="64"/>
      <c r="EUM79" s="64"/>
      <c r="EUN79" s="64"/>
      <c r="EUO79" s="64"/>
      <c r="EUP79" s="64"/>
      <c r="EUQ79" s="64"/>
      <c r="EUR79" s="64"/>
      <c r="EUS79" s="64"/>
      <c r="EUT79" s="64"/>
      <c r="EUU79" s="64"/>
      <c r="EUV79" s="64"/>
      <c r="EUW79" s="64"/>
      <c r="EUX79" s="64"/>
      <c r="EUY79" s="64"/>
      <c r="EUZ79" s="64"/>
      <c r="EVA79" s="64"/>
      <c r="EVB79" s="64"/>
      <c r="EVC79" s="64"/>
      <c r="EVD79" s="64"/>
      <c r="EVE79" s="64"/>
      <c r="EVF79" s="64"/>
      <c r="EVG79" s="64"/>
      <c r="EVH79" s="64"/>
      <c r="EVI79" s="64"/>
      <c r="EVJ79" s="64"/>
      <c r="EVK79" s="64"/>
      <c r="EVL79" s="64"/>
      <c r="EVM79" s="64"/>
      <c r="EVN79" s="64"/>
      <c r="EVO79" s="64"/>
      <c r="EVP79" s="64"/>
      <c r="EVQ79" s="64"/>
      <c r="EVR79" s="64"/>
      <c r="EVS79" s="64"/>
      <c r="EVT79" s="64"/>
      <c r="EVU79" s="64"/>
      <c r="EVV79" s="64"/>
      <c r="EVW79" s="64"/>
      <c r="EVX79" s="64"/>
      <c r="EVY79" s="64"/>
      <c r="EVZ79" s="64"/>
      <c r="EWA79" s="64"/>
      <c r="EWB79" s="64"/>
      <c r="EWC79" s="64"/>
      <c r="EWD79" s="64"/>
      <c r="EWE79" s="64"/>
      <c r="EWF79" s="64"/>
      <c r="EWG79" s="64"/>
      <c r="EWH79" s="64"/>
      <c r="EWI79" s="64"/>
      <c r="EWJ79" s="64"/>
      <c r="EWK79" s="64"/>
      <c r="EWL79" s="64"/>
      <c r="EWM79" s="64"/>
      <c r="EWN79" s="64"/>
      <c r="EWO79" s="64"/>
      <c r="EWP79" s="64"/>
      <c r="EWQ79" s="64"/>
      <c r="EWR79" s="64"/>
      <c r="EWS79" s="64"/>
      <c r="EWT79" s="64"/>
      <c r="EWU79" s="64"/>
      <c r="EWV79" s="64"/>
      <c r="EWW79" s="64"/>
      <c r="EWX79" s="64"/>
      <c r="EWY79" s="64"/>
      <c r="EWZ79" s="64"/>
      <c r="EXA79" s="64"/>
      <c r="EXB79" s="64"/>
      <c r="EXC79" s="64"/>
      <c r="EXD79" s="64"/>
      <c r="EXE79" s="64"/>
      <c r="EXF79" s="64"/>
      <c r="EXG79" s="64"/>
      <c r="EXH79" s="64"/>
      <c r="EXI79" s="64"/>
      <c r="EXJ79" s="64"/>
      <c r="EXK79" s="64"/>
      <c r="EXL79" s="64"/>
      <c r="EXM79" s="64"/>
      <c r="EXN79" s="64"/>
      <c r="EXO79" s="64"/>
      <c r="EXP79" s="64"/>
      <c r="EXQ79" s="64"/>
      <c r="EXR79" s="64"/>
      <c r="EXS79" s="64"/>
      <c r="EXT79" s="64"/>
      <c r="EXU79" s="64"/>
      <c r="EXV79" s="64"/>
      <c r="EXW79" s="64"/>
      <c r="EXX79" s="64"/>
      <c r="EXY79" s="64"/>
      <c r="EXZ79" s="64"/>
      <c r="EYA79" s="64"/>
      <c r="EYB79" s="64"/>
      <c r="EYC79" s="64"/>
      <c r="EYD79" s="64"/>
      <c r="EYE79" s="64"/>
      <c r="EYF79" s="64"/>
      <c r="EYG79" s="64"/>
      <c r="EYH79" s="64"/>
      <c r="EYI79" s="64"/>
      <c r="EYJ79" s="64"/>
      <c r="EYK79" s="64"/>
      <c r="EYL79" s="64"/>
      <c r="EYM79" s="64"/>
      <c r="EYN79" s="64"/>
      <c r="EYO79" s="64"/>
      <c r="EYP79" s="64"/>
      <c r="EYQ79" s="64"/>
      <c r="EYR79" s="64"/>
      <c r="EYS79" s="64"/>
      <c r="EYT79" s="64"/>
      <c r="EYU79" s="64"/>
      <c r="EYV79" s="64"/>
      <c r="EYW79" s="64"/>
      <c r="EYX79" s="64"/>
      <c r="EYY79" s="64"/>
      <c r="EYZ79" s="64"/>
      <c r="EZA79" s="64"/>
      <c r="EZB79" s="64"/>
      <c r="EZC79" s="64"/>
      <c r="EZD79" s="64"/>
      <c r="EZE79" s="64"/>
      <c r="EZF79" s="64"/>
      <c r="EZG79" s="64"/>
      <c r="EZH79" s="64"/>
      <c r="EZI79" s="64"/>
      <c r="EZJ79" s="64"/>
      <c r="EZK79" s="64"/>
      <c r="EZL79" s="64"/>
      <c r="EZM79" s="64"/>
      <c r="EZN79" s="64"/>
      <c r="EZO79" s="64"/>
      <c r="EZP79" s="64"/>
      <c r="EZQ79" s="64"/>
      <c r="EZR79" s="64"/>
      <c r="EZS79" s="64"/>
      <c r="EZT79" s="64"/>
      <c r="EZU79" s="64"/>
      <c r="EZV79" s="64"/>
      <c r="EZW79" s="64"/>
      <c r="EZX79" s="64"/>
      <c r="EZY79" s="64"/>
      <c r="EZZ79" s="64"/>
      <c r="FAA79" s="64"/>
      <c r="FAB79" s="64"/>
      <c r="FAC79" s="64"/>
      <c r="FAD79" s="64"/>
      <c r="FAE79" s="64"/>
      <c r="FAF79" s="64"/>
      <c r="FAG79" s="64"/>
      <c r="FAH79" s="64"/>
      <c r="FAI79" s="64"/>
      <c r="FAJ79" s="64"/>
      <c r="FAK79" s="64"/>
      <c r="FAL79" s="64"/>
      <c r="FAM79" s="64"/>
      <c r="FAN79" s="64"/>
      <c r="FAO79" s="64"/>
      <c r="FAP79" s="64"/>
      <c r="FAQ79" s="64"/>
      <c r="FAR79" s="64"/>
      <c r="FAS79" s="64"/>
      <c r="FAT79" s="64"/>
      <c r="FAU79" s="64"/>
      <c r="FAV79" s="64"/>
      <c r="FAW79" s="64"/>
      <c r="FAX79" s="64"/>
      <c r="FAY79" s="64"/>
      <c r="FAZ79" s="64"/>
      <c r="FBA79" s="64"/>
      <c r="FBB79" s="64"/>
      <c r="FBC79" s="64"/>
      <c r="FBD79" s="64"/>
      <c r="FBE79" s="64"/>
      <c r="FBF79" s="64"/>
      <c r="FBG79" s="64"/>
      <c r="FBH79" s="64"/>
      <c r="FBI79" s="64"/>
      <c r="FBJ79" s="64"/>
      <c r="FBK79" s="64"/>
      <c r="FBL79" s="64"/>
      <c r="FBM79" s="64"/>
      <c r="FBN79" s="64"/>
      <c r="FBO79" s="64"/>
      <c r="FBP79" s="64"/>
      <c r="FBQ79" s="64"/>
      <c r="FBR79" s="64"/>
      <c r="FBS79" s="64"/>
      <c r="FBT79" s="64"/>
      <c r="FBU79" s="64"/>
      <c r="FBV79" s="64"/>
      <c r="FBW79" s="64"/>
      <c r="FBX79" s="64"/>
      <c r="FBY79" s="64"/>
      <c r="FBZ79" s="64"/>
      <c r="FCA79" s="64"/>
      <c r="FCB79" s="64"/>
      <c r="FCC79" s="64"/>
      <c r="FCD79" s="64"/>
      <c r="FCE79" s="64"/>
      <c r="FCF79" s="64"/>
      <c r="FCG79" s="64"/>
      <c r="FCH79" s="64"/>
      <c r="FCI79" s="64"/>
      <c r="FCJ79" s="64"/>
      <c r="FCK79" s="64"/>
      <c r="FCL79" s="64"/>
      <c r="FCM79" s="64"/>
      <c r="FCN79" s="64"/>
      <c r="FCO79" s="64"/>
      <c r="FCP79" s="64"/>
      <c r="FCQ79" s="64"/>
      <c r="FCR79" s="64"/>
      <c r="FCS79" s="64"/>
      <c r="FCT79" s="64"/>
      <c r="FCU79" s="64"/>
      <c r="FCV79" s="64"/>
      <c r="FCW79" s="64"/>
      <c r="FCX79" s="64"/>
      <c r="FCY79" s="64"/>
      <c r="FCZ79" s="64"/>
      <c r="FDA79" s="64"/>
      <c r="FDB79" s="64"/>
      <c r="FDC79" s="64"/>
      <c r="FDD79" s="64"/>
      <c r="FDE79" s="64"/>
      <c r="FDF79" s="64"/>
      <c r="FDG79" s="64"/>
      <c r="FDH79" s="64"/>
      <c r="FDI79" s="64"/>
      <c r="FDJ79" s="64"/>
      <c r="FDK79" s="64"/>
      <c r="FDL79" s="64"/>
      <c r="FDM79" s="64"/>
      <c r="FDN79" s="64"/>
      <c r="FDO79" s="64"/>
      <c r="FDP79" s="64"/>
      <c r="FDQ79" s="64"/>
      <c r="FDR79" s="64"/>
      <c r="FDS79" s="64"/>
      <c r="FDT79" s="64"/>
      <c r="FDU79" s="64"/>
      <c r="FDV79" s="64"/>
      <c r="FDW79" s="64"/>
      <c r="FDX79" s="64"/>
      <c r="FDY79" s="64"/>
      <c r="FDZ79" s="64"/>
      <c r="FEA79" s="64"/>
      <c r="FEB79" s="64"/>
      <c r="FEC79" s="64"/>
      <c r="FED79" s="64"/>
      <c r="FEE79" s="64"/>
      <c r="FEF79" s="64"/>
      <c r="FEG79" s="64"/>
      <c r="FEH79" s="64"/>
      <c r="FEI79" s="64"/>
      <c r="FEJ79" s="64"/>
      <c r="FEK79" s="64"/>
      <c r="FEL79" s="64"/>
      <c r="FEM79" s="64"/>
      <c r="FEN79" s="64"/>
      <c r="FEO79" s="64"/>
      <c r="FEP79" s="64"/>
      <c r="FEQ79" s="64"/>
      <c r="FER79" s="64"/>
      <c r="FES79" s="64"/>
      <c r="FET79" s="64"/>
      <c r="FEU79" s="64"/>
      <c r="FEV79" s="64"/>
      <c r="FEW79" s="64"/>
      <c r="FEX79" s="64"/>
      <c r="FEY79" s="64"/>
      <c r="FEZ79" s="64"/>
      <c r="FFA79" s="64"/>
      <c r="FFB79" s="64"/>
      <c r="FFC79" s="64"/>
      <c r="FFD79" s="64"/>
      <c r="FFE79" s="64"/>
      <c r="FFF79" s="64"/>
      <c r="FFG79" s="64"/>
      <c r="FFH79" s="64"/>
      <c r="FFI79" s="64"/>
      <c r="FFJ79" s="64"/>
      <c r="FFK79" s="64"/>
      <c r="FFL79" s="64"/>
      <c r="FFM79" s="64"/>
      <c r="FFN79" s="64"/>
      <c r="FFO79" s="64"/>
      <c r="FFP79" s="64"/>
      <c r="FFQ79" s="64"/>
      <c r="FFR79" s="64"/>
      <c r="FFS79" s="64"/>
      <c r="FFT79" s="64"/>
      <c r="FFU79" s="64"/>
      <c r="FFV79" s="64"/>
      <c r="FFW79" s="64"/>
      <c r="FFX79" s="64"/>
      <c r="FFY79" s="64"/>
      <c r="FFZ79" s="64"/>
      <c r="FGA79" s="64"/>
      <c r="FGB79" s="64"/>
      <c r="FGC79" s="64"/>
      <c r="FGD79" s="64"/>
      <c r="FGE79" s="64"/>
      <c r="FGF79" s="64"/>
      <c r="FGG79" s="64"/>
      <c r="FGH79" s="64"/>
      <c r="FGI79" s="64"/>
      <c r="FGJ79" s="64"/>
      <c r="FGK79" s="64"/>
      <c r="FGL79" s="64"/>
      <c r="FGM79" s="64"/>
      <c r="FGN79" s="64"/>
      <c r="FGO79" s="64"/>
      <c r="FGP79" s="64"/>
      <c r="FGQ79" s="64"/>
      <c r="FGR79" s="64"/>
      <c r="FGS79" s="64"/>
      <c r="FGT79" s="64"/>
      <c r="FGU79" s="64"/>
      <c r="FGV79" s="64"/>
      <c r="FGW79" s="64"/>
      <c r="FGX79" s="64"/>
      <c r="FGY79" s="64"/>
      <c r="FGZ79" s="64"/>
      <c r="FHA79" s="64"/>
      <c r="FHB79" s="64"/>
      <c r="FHC79" s="64"/>
      <c r="FHD79" s="64"/>
      <c r="FHE79" s="64"/>
      <c r="FHF79" s="64"/>
      <c r="FHG79" s="64"/>
      <c r="FHH79" s="64"/>
      <c r="FHI79" s="64"/>
      <c r="FHJ79" s="64"/>
      <c r="FHK79" s="64"/>
      <c r="FHL79" s="64"/>
      <c r="FHM79" s="64"/>
      <c r="FHN79" s="64"/>
      <c r="FHO79" s="64"/>
      <c r="FHP79" s="64"/>
      <c r="FHQ79" s="64"/>
      <c r="FHR79" s="64"/>
      <c r="FHS79" s="64"/>
      <c r="FHT79" s="64"/>
      <c r="FHU79" s="64"/>
      <c r="FHV79" s="64"/>
      <c r="FHW79" s="64"/>
      <c r="FHX79" s="64"/>
      <c r="FHY79" s="64"/>
      <c r="FHZ79" s="64"/>
      <c r="FIA79" s="64"/>
      <c r="FIB79" s="64"/>
      <c r="FIC79" s="64"/>
      <c r="FID79" s="64"/>
      <c r="FIE79" s="64"/>
      <c r="FIF79" s="64"/>
      <c r="FIG79" s="64"/>
      <c r="FIH79" s="64"/>
      <c r="FII79" s="64"/>
      <c r="FIJ79" s="64"/>
      <c r="FIK79" s="64"/>
      <c r="FIL79" s="64"/>
      <c r="FIM79" s="64"/>
      <c r="FIN79" s="64"/>
      <c r="FIO79" s="64"/>
      <c r="FIP79" s="64"/>
      <c r="FIQ79" s="64"/>
      <c r="FIR79" s="64"/>
      <c r="FIS79" s="64"/>
      <c r="FIT79" s="64"/>
      <c r="FIU79" s="64"/>
      <c r="FIV79" s="64"/>
      <c r="FIW79" s="64"/>
      <c r="FIX79" s="64"/>
      <c r="FIY79" s="64"/>
      <c r="FIZ79" s="64"/>
      <c r="FJA79" s="64"/>
      <c r="FJB79" s="64"/>
      <c r="FJC79" s="64"/>
      <c r="FJD79" s="64"/>
      <c r="FJE79" s="64"/>
      <c r="FJF79" s="64"/>
      <c r="FJG79" s="64"/>
      <c r="FJH79" s="64"/>
      <c r="FJI79" s="64"/>
      <c r="FJJ79" s="64"/>
      <c r="FJK79" s="64"/>
      <c r="FJL79" s="64"/>
      <c r="FJM79" s="64"/>
      <c r="FJN79" s="64"/>
      <c r="FJO79" s="64"/>
      <c r="FJP79" s="64"/>
      <c r="FJQ79" s="64"/>
      <c r="FJR79" s="64"/>
      <c r="FJS79" s="64"/>
      <c r="FJT79" s="64"/>
      <c r="FJU79" s="64"/>
      <c r="FJV79" s="64"/>
      <c r="FJW79" s="64"/>
      <c r="FJX79" s="64"/>
      <c r="FJY79" s="64"/>
      <c r="FJZ79" s="64"/>
      <c r="FKA79" s="64"/>
      <c r="FKB79" s="64"/>
      <c r="FKC79" s="64"/>
      <c r="FKD79" s="64"/>
      <c r="FKE79" s="64"/>
      <c r="FKF79" s="64"/>
      <c r="FKG79" s="64"/>
      <c r="FKH79" s="64"/>
      <c r="FKI79" s="64"/>
      <c r="FKJ79" s="64"/>
      <c r="FKK79" s="64"/>
      <c r="FKL79" s="64"/>
      <c r="FKM79" s="64"/>
      <c r="FKN79" s="64"/>
      <c r="FKO79" s="64"/>
      <c r="FKP79" s="64"/>
      <c r="FKQ79" s="64"/>
      <c r="FKR79" s="64"/>
      <c r="FKS79" s="64"/>
      <c r="FKT79" s="64"/>
      <c r="FKU79" s="64"/>
      <c r="FKV79" s="64"/>
      <c r="FKW79" s="64"/>
      <c r="FKX79" s="64"/>
      <c r="FKY79" s="64"/>
      <c r="FKZ79" s="64"/>
      <c r="FLA79" s="64"/>
      <c r="FLB79" s="64"/>
      <c r="FLC79" s="64"/>
      <c r="FLD79" s="64"/>
      <c r="FLE79" s="64"/>
      <c r="FLF79" s="64"/>
      <c r="FLG79" s="64"/>
      <c r="FLH79" s="64"/>
      <c r="FLI79" s="64"/>
      <c r="FLJ79" s="64"/>
      <c r="FLK79" s="64"/>
      <c r="FLL79" s="64"/>
      <c r="FLM79" s="64"/>
      <c r="FLN79" s="64"/>
      <c r="FLO79" s="64"/>
      <c r="FLP79" s="64"/>
      <c r="FLQ79" s="64"/>
      <c r="FLR79" s="64"/>
      <c r="FLS79" s="64"/>
      <c r="FLT79" s="64"/>
      <c r="FLU79" s="64"/>
      <c r="FLV79" s="64"/>
      <c r="FLW79" s="64"/>
      <c r="FLX79" s="64"/>
      <c r="FLY79" s="64"/>
      <c r="FLZ79" s="64"/>
      <c r="FMA79" s="64"/>
      <c r="FMB79" s="64"/>
      <c r="FMC79" s="64"/>
      <c r="FMD79" s="64"/>
      <c r="FME79" s="64"/>
      <c r="FMF79" s="64"/>
      <c r="FMG79" s="64"/>
      <c r="FMH79" s="64"/>
      <c r="FMI79" s="64"/>
      <c r="FMJ79" s="64"/>
      <c r="FMK79" s="64"/>
      <c r="FML79" s="64"/>
      <c r="FMM79" s="64"/>
      <c r="FMN79" s="64"/>
      <c r="FMO79" s="64"/>
      <c r="FMP79" s="64"/>
      <c r="FMQ79" s="64"/>
      <c r="FMR79" s="64"/>
      <c r="FMS79" s="64"/>
      <c r="FMT79" s="64"/>
      <c r="FMU79" s="64"/>
      <c r="FMV79" s="64"/>
      <c r="FMW79" s="64"/>
      <c r="FMX79" s="64"/>
      <c r="FMY79" s="64"/>
      <c r="FMZ79" s="64"/>
      <c r="FNA79" s="64"/>
      <c r="FNB79" s="64"/>
      <c r="FNC79" s="64"/>
      <c r="FND79" s="64"/>
      <c r="FNE79" s="64"/>
      <c r="FNF79" s="64"/>
      <c r="FNG79" s="64"/>
      <c r="FNH79" s="64"/>
      <c r="FNI79" s="64"/>
      <c r="FNJ79" s="64"/>
      <c r="FNK79" s="64"/>
      <c r="FNL79" s="64"/>
      <c r="FNM79" s="64"/>
      <c r="FNN79" s="64"/>
      <c r="FNO79" s="64"/>
      <c r="FNP79" s="64"/>
      <c r="FNQ79" s="64"/>
      <c r="FNR79" s="64"/>
      <c r="FNS79" s="64"/>
      <c r="FNT79" s="64"/>
      <c r="FNU79" s="64"/>
      <c r="FNV79" s="64"/>
      <c r="FNW79" s="64"/>
      <c r="FNX79" s="64"/>
      <c r="FNY79" s="64"/>
      <c r="FNZ79" s="64"/>
      <c r="FOA79" s="64"/>
      <c r="FOB79" s="64"/>
      <c r="FOC79" s="64"/>
      <c r="FOD79" s="64"/>
      <c r="FOE79" s="64"/>
      <c r="FOF79" s="64"/>
      <c r="FOG79" s="64"/>
      <c r="FOH79" s="64"/>
      <c r="FOI79" s="64"/>
      <c r="FOJ79" s="64"/>
      <c r="FOK79" s="64"/>
      <c r="FOL79" s="64"/>
      <c r="FOM79" s="64"/>
      <c r="FON79" s="64"/>
      <c r="FOO79" s="64"/>
      <c r="FOP79" s="64"/>
      <c r="FOQ79" s="64"/>
      <c r="FOR79" s="64"/>
      <c r="FOS79" s="64"/>
      <c r="FOT79" s="64"/>
      <c r="FOU79" s="64"/>
      <c r="FOV79" s="64"/>
      <c r="FOW79" s="64"/>
      <c r="FOX79" s="64"/>
      <c r="FOY79" s="64"/>
      <c r="FOZ79" s="64"/>
      <c r="FPA79" s="64"/>
      <c r="FPB79" s="64"/>
      <c r="FPC79" s="64"/>
      <c r="FPD79" s="64"/>
      <c r="FPE79" s="64"/>
      <c r="FPF79" s="64"/>
      <c r="FPG79" s="64"/>
      <c r="FPH79" s="64"/>
      <c r="FPI79" s="64"/>
      <c r="FPJ79" s="64"/>
      <c r="FPK79" s="64"/>
      <c r="FPL79" s="64"/>
      <c r="FPM79" s="64"/>
      <c r="FPN79" s="64"/>
      <c r="FPO79" s="64"/>
      <c r="FPP79" s="64"/>
      <c r="FPQ79" s="64"/>
      <c r="FPR79" s="64"/>
      <c r="FPS79" s="64"/>
      <c r="FPT79" s="64"/>
      <c r="FPU79" s="64"/>
      <c r="FPV79" s="64"/>
      <c r="FPW79" s="64"/>
      <c r="FPX79" s="64"/>
      <c r="FPY79" s="64"/>
      <c r="FPZ79" s="64"/>
      <c r="FQA79" s="64"/>
      <c r="FQB79" s="64"/>
      <c r="FQC79" s="64"/>
      <c r="FQD79" s="64"/>
      <c r="FQE79" s="64"/>
      <c r="FQF79" s="64"/>
      <c r="FQG79" s="64"/>
      <c r="FQH79" s="64"/>
      <c r="FQI79" s="64"/>
      <c r="FQJ79" s="64"/>
      <c r="FQK79" s="64"/>
      <c r="FQL79" s="64"/>
      <c r="FQM79" s="64"/>
      <c r="FQN79" s="64"/>
      <c r="FQO79" s="64"/>
      <c r="FQP79" s="64"/>
      <c r="FQQ79" s="64"/>
      <c r="FQR79" s="64"/>
      <c r="FQS79" s="64"/>
      <c r="FQT79" s="64"/>
      <c r="FQU79" s="64"/>
      <c r="FQV79" s="64"/>
      <c r="FQW79" s="64"/>
      <c r="FQX79" s="64"/>
      <c r="FQY79" s="64"/>
      <c r="FQZ79" s="64"/>
      <c r="FRA79" s="64"/>
      <c r="FRB79" s="64"/>
      <c r="FRC79" s="64"/>
      <c r="FRD79" s="64"/>
      <c r="FRE79" s="64"/>
      <c r="FRF79" s="64"/>
      <c r="FRG79" s="64"/>
      <c r="FRH79" s="64"/>
      <c r="FRI79" s="64"/>
      <c r="FRJ79" s="64"/>
      <c r="FRK79" s="64"/>
      <c r="FRL79" s="64"/>
      <c r="FRM79" s="64"/>
      <c r="FRN79" s="64"/>
      <c r="FRO79" s="64"/>
      <c r="FRP79" s="64"/>
      <c r="FRQ79" s="64"/>
      <c r="FRR79" s="64"/>
      <c r="FRS79" s="64"/>
      <c r="FRT79" s="64"/>
      <c r="FRU79" s="64"/>
      <c r="FRV79" s="64"/>
      <c r="FRW79" s="64"/>
      <c r="FRX79" s="64"/>
      <c r="FRY79" s="64"/>
      <c r="FRZ79" s="64"/>
      <c r="FSA79" s="64"/>
      <c r="FSB79" s="64"/>
      <c r="FSC79" s="64"/>
      <c r="FSD79" s="64"/>
      <c r="FSE79" s="64"/>
      <c r="FSF79" s="64"/>
      <c r="FSG79" s="64"/>
      <c r="FSH79" s="64"/>
      <c r="FSI79" s="64"/>
      <c r="FSJ79" s="64"/>
      <c r="FSK79" s="64"/>
      <c r="FSL79" s="64"/>
      <c r="FSM79" s="64"/>
      <c r="FSN79" s="64"/>
      <c r="FSO79" s="64"/>
      <c r="FSP79" s="64"/>
      <c r="FSQ79" s="64"/>
      <c r="FSR79" s="64"/>
      <c r="FSS79" s="64"/>
      <c r="FST79" s="64"/>
      <c r="FSU79" s="64"/>
      <c r="FSV79" s="64"/>
      <c r="FSW79" s="64"/>
      <c r="FSX79" s="64"/>
      <c r="FSY79" s="64"/>
      <c r="FSZ79" s="64"/>
      <c r="FTA79" s="64"/>
      <c r="FTB79" s="64"/>
      <c r="FTC79" s="64"/>
      <c r="FTD79" s="64"/>
      <c r="FTE79" s="64"/>
      <c r="FTF79" s="64"/>
      <c r="FTG79" s="64"/>
      <c r="FTH79" s="64"/>
      <c r="FTI79" s="64"/>
      <c r="FTJ79" s="64"/>
      <c r="FTK79" s="64"/>
      <c r="FTL79" s="64"/>
      <c r="FTM79" s="64"/>
      <c r="FTN79" s="64"/>
      <c r="FTO79" s="64"/>
      <c r="FTP79" s="64"/>
      <c r="FTQ79" s="64"/>
      <c r="FTR79" s="64"/>
      <c r="FTS79" s="64"/>
      <c r="FTT79" s="64"/>
      <c r="FTU79" s="64"/>
      <c r="FTV79" s="64"/>
      <c r="FTW79" s="64"/>
      <c r="FTX79" s="64"/>
      <c r="FTY79" s="64"/>
      <c r="FTZ79" s="64"/>
      <c r="FUA79" s="64"/>
      <c r="FUB79" s="64"/>
      <c r="FUC79" s="64"/>
      <c r="FUD79" s="64"/>
      <c r="FUE79" s="64"/>
      <c r="FUF79" s="64"/>
      <c r="FUG79" s="64"/>
      <c r="FUH79" s="64"/>
      <c r="FUI79" s="64"/>
      <c r="FUJ79" s="64"/>
      <c r="FUK79" s="64"/>
      <c r="FUL79" s="64"/>
      <c r="FUM79" s="64"/>
      <c r="FUN79" s="64"/>
      <c r="FUO79" s="64"/>
      <c r="FUP79" s="64"/>
      <c r="FUQ79" s="64"/>
      <c r="FUR79" s="64"/>
      <c r="FUS79" s="64"/>
      <c r="FUT79" s="64"/>
      <c r="FUU79" s="64"/>
      <c r="FUV79" s="64"/>
      <c r="FUW79" s="64"/>
      <c r="FUX79" s="64"/>
      <c r="FUY79" s="64"/>
      <c r="FUZ79" s="64"/>
      <c r="FVA79" s="64"/>
      <c r="FVB79" s="64"/>
      <c r="FVC79" s="64"/>
      <c r="FVD79" s="64"/>
      <c r="FVE79" s="64"/>
      <c r="FVF79" s="64"/>
      <c r="FVG79" s="64"/>
      <c r="FVH79" s="64"/>
      <c r="FVI79" s="64"/>
      <c r="FVJ79" s="64"/>
      <c r="FVK79" s="64"/>
      <c r="FVL79" s="64"/>
      <c r="FVM79" s="64"/>
      <c r="FVN79" s="64"/>
      <c r="FVO79" s="64"/>
      <c r="FVP79" s="64"/>
      <c r="FVQ79" s="64"/>
      <c r="FVR79" s="64"/>
      <c r="FVS79" s="64"/>
      <c r="FVT79" s="64"/>
      <c r="FVU79" s="64"/>
      <c r="FVV79" s="64"/>
      <c r="FVW79" s="64"/>
      <c r="FVX79" s="64"/>
      <c r="FVY79" s="64"/>
      <c r="FVZ79" s="64"/>
      <c r="FWA79" s="64"/>
      <c r="FWB79" s="64"/>
      <c r="FWC79" s="64"/>
      <c r="FWD79" s="64"/>
      <c r="FWE79" s="64"/>
      <c r="FWF79" s="64"/>
      <c r="FWG79" s="64"/>
      <c r="FWH79" s="64"/>
      <c r="FWI79" s="64"/>
      <c r="FWJ79" s="64"/>
      <c r="FWK79" s="64"/>
      <c r="FWL79" s="64"/>
      <c r="FWM79" s="64"/>
      <c r="FWN79" s="64"/>
      <c r="FWO79" s="64"/>
      <c r="FWP79" s="64"/>
      <c r="FWQ79" s="64"/>
      <c r="FWR79" s="64"/>
      <c r="FWS79" s="64"/>
      <c r="FWT79" s="64"/>
      <c r="FWU79" s="64"/>
      <c r="FWV79" s="64"/>
      <c r="FWW79" s="64"/>
      <c r="FWX79" s="64"/>
      <c r="FWY79" s="64"/>
      <c r="FWZ79" s="64"/>
      <c r="FXA79" s="64"/>
      <c r="FXB79" s="64"/>
      <c r="FXC79" s="64"/>
      <c r="FXD79" s="64"/>
      <c r="FXE79" s="64"/>
      <c r="FXF79" s="64"/>
      <c r="FXG79" s="64"/>
      <c r="FXH79" s="64"/>
      <c r="FXI79" s="64"/>
      <c r="FXJ79" s="64"/>
      <c r="FXK79" s="64"/>
      <c r="FXL79" s="64"/>
      <c r="FXM79" s="64"/>
      <c r="FXN79" s="64"/>
      <c r="FXO79" s="64"/>
      <c r="FXP79" s="64"/>
      <c r="FXQ79" s="64"/>
      <c r="FXR79" s="64"/>
      <c r="FXS79" s="64"/>
      <c r="FXT79" s="64"/>
      <c r="FXU79" s="64"/>
      <c r="FXV79" s="64"/>
      <c r="FXW79" s="64"/>
      <c r="FXX79" s="64"/>
      <c r="FXY79" s="64"/>
      <c r="FXZ79" s="64"/>
      <c r="FYA79" s="64"/>
      <c r="FYB79" s="64"/>
      <c r="FYC79" s="64"/>
      <c r="FYD79" s="64"/>
      <c r="FYE79" s="64"/>
      <c r="FYF79" s="64"/>
      <c r="FYG79" s="64"/>
      <c r="FYH79" s="64"/>
      <c r="FYI79" s="64"/>
      <c r="FYJ79" s="64"/>
      <c r="FYK79" s="64"/>
      <c r="FYL79" s="64"/>
      <c r="FYM79" s="64"/>
      <c r="FYN79" s="64"/>
      <c r="FYO79" s="64"/>
      <c r="FYP79" s="64"/>
      <c r="FYQ79" s="64"/>
      <c r="FYR79" s="64"/>
      <c r="FYS79" s="64"/>
      <c r="FYT79" s="64"/>
      <c r="FYU79" s="64"/>
      <c r="FYV79" s="64"/>
      <c r="FYW79" s="64"/>
      <c r="FYX79" s="64"/>
      <c r="FYY79" s="64"/>
      <c r="FYZ79" s="64"/>
      <c r="FZA79" s="64"/>
      <c r="FZB79" s="64"/>
      <c r="FZC79" s="64"/>
      <c r="FZD79" s="64"/>
      <c r="FZE79" s="64"/>
      <c r="FZF79" s="64"/>
      <c r="FZG79" s="64"/>
      <c r="FZH79" s="64"/>
      <c r="FZI79" s="64"/>
      <c r="FZJ79" s="64"/>
      <c r="FZK79" s="64"/>
      <c r="FZL79" s="64"/>
      <c r="FZM79" s="64"/>
      <c r="FZN79" s="64"/>
      <c r="FZO79" s="64"/>
      <c r="FZP79" s="64"/>
      <c r="FZQ79" s="64"/>
      <c r="FZR79" s="64"/>
      <c r="FZS79" s="64"/>
      <c r="FZT79" s="64"/>
      <c r="FZU79" s="64"/>
      <c r="FZV79" s="64"/>
      <c r="FZW79" s="64"/>
      <c r="FZX79" s="64"/>
      <c r="FZY79" s="64"/>
      <c r="FZZ79" s="64"/>
      <c r="GAA79" s="64"/>
      <c r="GAB79" s="64"/>
      <c r="GAC79" s="64"/>
      <c r="GAD79" s="64"/>
      <c r="GAE79" s="64"/>
      <c r="GAF79" s="64"/>
      <c r="GAG79" s="64"/>
      <c r="GAH79" s="64"/>
      <c r="GAI79" s="64"/>
      <c r="GAJ79" s="64"/>
      <c r="GAK79" s="64"/>
      <c r="GAL79" s="64"/>
      <c r="GAM79" s="64"/>
      <c r="GAN79" s="64"/>
      <c r="GAO79" s="64"/>
      <c r="GAP79" s="64"/>
      <c r="GAQ79" s="64"/>
      <c r="GAR79" s="64"/>
      <c r="GAS79" s="64"/>
      <c r="GAT79" s="64"/>
      <c r="GAU79" s="64"/>
      <c r="GAV79" s="64"/>
      <c r="GAW79" s="64"/>
      <c r="GAX79" s="64"/>
      <c r="GAY79" s="64"/>
      <c r="GAZ79" s="64"/>
      <c r="GBA79" s="64"/>
      <c r="GBB79" s="64"/>
      <c r="GBC79" s="64"/>
      <c r="GBD79" s="64"/>
      <c r="GBE79" s="64"/>
      <c r="GBF79" s="64"/>
      <c r="GBG79" s="64"/>
      <c r="GBH79" s="64"/>
      <c r="GBI79" s="64"/>
      <c r="GBJ79" s="64"/>
      <c r="GBK79" s="64"/>
      <c r="GBL79" s="64"/>
      <c r="GBM79" s="64"/>
      <c r="GBN79" s="64"/>
      <c r="GBO79" s="64"/>
      <c r="GBP79" s="64"/>
      <c r="GBQ79" s="64"/>
      <c r="GBR79" s="64"/>
      <c r="GBS79" s="64"/>
      <c r="GBT79" s="64"/>
      <c r="GBU79" s="64"/>
      <c r="GBV79" s="64"/>
      <c r="GBW79" s="64"/>
      <c r="GBX79" s="64"/>
      <c r="GBY79" s="64"/>
      <c r="GBZ79" s="64"/>
      <c r="GCA79" s="64"/>
      <c r="GCB79" s="64"/>
      <c r="GCC79" s="64"/>
      <c r="GCD79" s="64"/>
      <c r="GCE79" s="64"/>
      <c r="GCF79" s="64"/>
      <c r="GCG79" s="64"/>
      <c r="GCH79" s="64"/>
      <c r="GCI79" s="64"/>
      <c r="GCJ79" s="64"/>
      <c r="GCK79" s="64"/>
      <c r="GCL79" s="64"/>
      <c r="GCM79" s="64"/>
      <c r="GCN79" s="64"/>
      <c r="GCO79" s="64"/>
      <c r="GCP79" s="64"/>
      <c r="GCQ79" s="64"/>
      <c r="GCR79" s="64"/>
      <c r="GCS79" s="64"/>
      <c r="GCT79" s="64"/>
      <c r="GCU79" s="64"/>
      <c r="GCV79" s="64"/>
      <c r="GCW79" s="64"/>
      <c r="GCX79" s="64"/>
      <c r="GCY79" s="64"/>
      <c r="GCZ79" s="64"/>
      <c r="GDA79" s="64"/>
      <c r="GDB79" s="64"/>
      <c r="GDC79" s="64"/>
      <c r="GDD79" s="64"/>
      <c r="GDE79" s="64"/>
      <c r="GDF79" s="64"/>
      <c r="GDG79" s="64"/>
      <c r="GDH79" s="64"/>
      <c r="GDI79" s="64"/>
      <c r="GDJ79" s="64"/>
      <c r="GDK79" s="64"/>
      <c r="GDL79" s="64"/>
      <c r="GDM79" s="64"/>
      <c r="GDN79" s="64"/>
      <c r="GDO79" s="64"/>
      <c r="GDP79" s="64"/>
      <c r="GDQ79" s="64"/>
      <c r="GDR79" s="64"/>
      <c r="GDS79" s="64"/>
      <c r="GDT79" s="64"/>
      <c r="GDU79" s="64"/>
      <c r="GDV79" s="64"/>
      <c r="GDW79" s="64"/>
      <c r="GDX79" s="64"/>
      <c r="GDY79" s="64"/>
      <c r="GDZ79" s="64"/>
      <c r="GEA79" s="64"/>
      <c r="GEB79" s="64"/>
      <c r="GEC79" s="64"/>
      <c r="GED79" s="64"/>
      <c r="GEE79" s="64"/>
      <c r="GEF79" s="64"/>
      <c r="GEG79" s="64"/>
      <c r="GEH79" s="64"/>
      <c r="GEI79" s="64"/>
      <c r="GEJ79" s="64"/>
      <c r="GEK79" s="64"/>
      <c r="GEL79" s="64"/>
      <c r="GEM79" s="64"/>
      <c r="GEN79" s="64"/>
      <c r="GEO79" s="64"/>
      <c r="GEP79" s="64"/>
      <c r="GEQ79" s="64"/>
      <c r="GER79" s="64"/>
      <c r="GES79" s="64"/>
      <c r="GET79" s="64"/>
      <c r="GEU79" s="64"/>
      <c r="GEV79" s="64"/>
      <c r="GEW79" s="64"/>
      <c r="GEX79" s="64"/>
      <c r="GEY79" s="64"/>
      <c r="GEZ79" s="64"/>
      <c r="GFA79" s="64"/>
      <c r="GFB79" s="64"/>
      <c r="GFC79" s="64"/>
      <c r="GFD79" s="64"/>
      <c r="GFE79" s="64"/>
      <c r="GFF79" s="64"/>
      <c r="GFG79" s="64"/>
      <c r="GFH79" s="64"/>
      <c r="GFI79" s="64"/>
      <c r="GFJ79" s="64"/>
      <c r="GFK79" s="64"/>
      <c r="GFL79" s="64"/>
      <c r="GFM79" s="64"/>
      <c r="GFN79" s="64"/>
      <c r="GFO79" s="64"/>
      <c r="GFP79" s="64"/>
      <c r="GFQ79" s="64"/>
      <c r="GFR79" s="64"/>
      <c r="GFS79" s="64"/>
      <c r="GFT79" s="64"/>
      <c r="GFU79" s="64"/>
      <c r="GFV79" s="64"/>
      <c r="GFW79" s="64"/>
      <c r="GFX79" s="64"/>
      <c r="GFY79" s="64"/>
      <c r="GFZ79" s="64"/>
      <c r="GGA79" s="64"/>
      <c r="GGB79" s="64"/>
      <c r="GGC79" s="64"/>
      <c r="GGD79" s="64"/>
      <c r="GGE79" s="64"/>
      <c r="GGF79" s="64"/>
      <c r="GGG79" s="64"/>
      <c r="GGH79" s="64"/>
      <c r="GGI79" s="64"/>
      <c r="GGJ79" s="64"/>
      <c r="GGK79" s="64"/>
      <c r="GGL79" s="64"/>
      <c r="GGM79" s="64"/>
      <c r="GGN79" s="64"/>
      <c r="GGO79" s="64"/>
      <c r="GGP79" s="64"/>
      <c r="GGQ79" s="64"/>
      <c r="GGR79" s="64"/>
      <c r="GGS79" s="64"/>
      <c r="GGT79" s="64"/>
      <c r="GGU79" s="64"/>
      <c r="GGV79" s="64"/>
      <c r="GGW79" s="64"/>
      <c r="GGX79" s="64"/>
      <c r="GGY79" s="64"/>
      <c r="GGZ79" s="64"/>
      <c r="GHA79" s="64"/>
      <c r="GHB79" s="64"/>
      <c r="GHC79" s="64"/>
      <c r="GHD79" s="64"/>
      <c r="GHE79" s="64"/>
      <c r="GHF79" s="64"/>
      <c r="GHG79" s="64"/>
      <c r="GHH79" s="64"/>
      <c r="GHI79" s="64"/>
      <c r="GHJ79" s="64"/>
      <c r="GHK79" s="64"/>
      <c r="GHL79" s="64"/>
      <c r="GHM79" s="64"/>
      <c r="GHN79" s="64"/>
      <c r="GHO79" s="64"/>
      <c r="GHP79" s="64"/>
      <c r="GHQ79" s="64"/>
      <c r="GHR79" s="64"/>
      <c r="GHS79" s="64"/>
      <c r="GHT79" s="64"/>
      <c r="GHU79" s="64"/>
      <c r="GHV79" s="64"/>
      <c r="GHW79" s="64"/>
      <c r="GHX79" s="64"/>
      <c r="GHY79" s="64"/>
      <c r="GHZ79" s="64"/>
      <c r="GIA79" s="64"/>
      <c r="GIB79" s="64"/>
      <c r="GIC79" s="64"/>
      <c r="GID79" s="64"/>
      <c r="GIE79" s="64"/>
      <c r="GIF79" s="64"/>
      <c r="GIG79" s="64"/>
      <c r="GIH79" s="64"/>
      <c r="GII79" s="64"/>
      <c r="GIJ79" s="64"/>
      <c r="GIK79" s="64"/>
      <c r="GIL79" s="64"/>
      <c r="GIM79" s="64"/>
      <c r="GIN79" s="64"/>
      <c r="GIO79" s="64"/>
      <c r="GIP79" s="64"/>
      <c r="GIQ79" s="64"/>
      <c r="GIR79" s="64"/>
      <c r="GIS79" s="64"/>
      <c r="GIT79" s="64"/>
      <c r="GIU79" s="64"/>
      <c r="GIV79" s="64"/>
      <c r="GIW79" s="64"/>
      <c r="GIX79" s="64"/>
      <c r="GIY79" s="64"/>
      <c r="GIZ79" s="64"/>
      <c r="GJA79" s="64"/>
      <c r="GJB79" s="64"/>
      <c r="GJC79" s="64"/>
      <c r="GJD79" s="64"/>
      <c r="GJE79" s="64"/>
      <c r="GJF79" s="64"/>
      <c r="GJG79" s="64"/>
      <c r="GJH79" s="64"/>
      <c r="GJI79" s="64"/>
      <c r="GJJ79" s="64"/>
      <c r="GJK79" s="64"/>
      <c r="GJL79" s="64"/>
      <c r="GJM79" s="64"/>
      <c r="GJN79" s="64"/>
      <c r="GJO79" s="64"/>
      <c r="GJP79" s="64"/>
      <c r="GJQ79" s="64"/>
      <c r="GJR79" s="64"/>
      <c r="GJS79" s="64"/>
      <c r="GJT79" s="64"/>
      <c r="GJU79" s="64"/>
      <c r="GJV79" s="64"/>
      <c r="GJW79" s="64"/>
      <c r="GJX79" s="64"/>
      <c r="GJY79" s="64"/>
      <c r="GJZ79" s="64"/>
      <c r="GKA79" s="64"/>
      <c r="GKB79" s="64"/>
      <c r="GKC79" s="64"/>
      <c r="GKD79" s="64"/>
      <c r="GKE79" s="64"/>
      <c r="GKF79" s="64"/>
      <c r="GKG79" s="64"/>
      <c r="GKH79" s="64"/>
      <c r="GKI79" s="64"/>
      <c r="GKJ79" s="64"/>
      <c r="GKK79" s="64"/>
      <c r="GKL79" s="64"/>
      <c r="GKM79" s="64"/>
      <c r="GKN79" s="64"/>
      <c r="GKO79" s="64"/>
      <c r="GKP79" s="64"/>
      <c r="GKQ79" s="64"/>
      <c r="GKR79" s="64"/>
      <c r="GKS79" s="64"/>
      <c r="GKT79" s="64"/>
      <c r="GKU79" s="64"/>
      <c r="GKV79" s="64"/>
      <c r="GKW79" s="64"/>
      <c r="GKX79" s="64"/>
      <c r="GKY79" s="64"/>
      <c r="GKZ79" s="64"/>
      <c r="GLA79" s="64"/>
      <c r="GLB79" s="64"/>
      <c r="GLC79" s="64"/>
      <c r="GLD79" s="64"/>
      <c r="GLE79" s="64"/>
      <c r="GLF79" s="64"/>
      <c r="GLG79" s="64"/>
      <c r="GLH79" s="64"/>
      <c r="GLI79" s="64"/>
      <c r="GLJ79" s="64"/>
      <c r="GLK79" s="64"/>
      <c r="GLL79" s="64"/>
      <c r="GLM79" s="64"/>
      <c r="GLN79" s="64"/>
      <c r="GLO79" s="64"/>
      <c r="GLP79" s="64"/>
      <c r="GLQ79" s="64"/>
      <c r="GLR79" s="64"/>
      <c r="GLS79" s="64"/>
      <c r="GLT79" s="64"/>
      <c r="GLU79" s="64"/>
      <c r="GLV79" s="64"/>
      <c r="GLW79" s="64"/>
      <c r="GLX79" s="64"/>
      <c r="GLY79" s="64"/>
      <c r="GLZ79" s="64"/>
      <c r="GMA79" s="64"/>
      <c r="GMB79" s="64"/>
      <c r="GMC79" s="64"/>
      <c r="GMD79" s="64"/>
      <c r="GME79" s="64"/>
      <c r="GMF79" s="64"/>
      <c r="GMG79" s="64"/>
      <c r="GMH79" s="64"/>
      <c r="GMI79" s="64"/>
      <c r="GMJ79" s="64"/>
      <c r="GMK79" s="64"/>
      <c r="GML79" s="64"/>
      <c r="GMM79" s="64"/>
      <c r="GMN79" s="64"/>
      <c r="GMO79" s="64"/>
      <c r="GMP79" s="64"/>
      <c r="GMQ79" s="64"/>
      <c r="GMR79" s="64"/>
      <c r="GMS79" s="64"/>
      <c r="GMT79" s="64"/>
      <c r="GMU79" s="64"/>
      <c r="GMV79" s="64"/>
      <c r="GMW79" s="64"/>
      <c r="GMX79" s="64"/>
      <c r="GMY79" s="64"/>
      <c r="GMZ79" s="64"/>
      <c r="GNA79" s="64"/>
      <c r="GNB79" s="64"/>
      <c r="GNC79" s="64"/>
      <c r="GND79" s="64"/>
      <c r="GNE79" s="64"/>
      <c r="GNF79" s="64"/>
      <c r="GNG79" s="64"/>
      <c r="GNH79" s="64"/>
      <c r="GNI79" s="64"/>
      <c r="GNJ79" s="64"/>
      <c r="GNK79" s="64"/>
      <c r="GNL79" s="64"/>
      <c r="GNM79" s="64"/>
      <c r="GNN79" s="64"/>
      <c r="GNO79" s="64"/>
      <c r="GNP79" s="64"/>
      <c r="GNQ79" s="64"/>
      <c r="GNR79" s="64"/>
      <c r="GNS79" s="64"/>
      <c r="GNT79" s="64"/>
      <c r="GNU79" s="64"/>
      <c r="GNV79" s="64"/>
      <c r="GNW79" s="64"/>
      <c r="GNX79" s="64"/>
      <c r="GNY79" s="64"/>
      <c r="GNZ79" s="64"/>
      <c r="GOA79" s="64"/>
      <c r="GOB79" s="64"/>
      <c r="GOC79" s="64"/>
      <c r="GOD79" s="64"/>
      <c r="GOE79" s="64"/>
      <c r="GOF79" s="64"/>
      <c r="GOG79" s="64"/>
      <c r="GOH79" s="64"/>
      <c r="GOI79" s="64"/>
      <c r="GOJ79" s="64"/>
      <c r="GOK79" s="64"/>
      <c r="GOL79" s="64"/>
      <c r="GOM79" s="64"/>
      <c r="GON79" s="64"/>
      <c r="GOO79" s="64"/>
      <c r="GOP79" s="64"/>
      <c r="GOQ79" s="64"/>
      <c r="GOR79" s="64"/>
      <c r="GOS79" s="64"/>
      <c r="GOT79" s="64"/>
      <c r="GOU79" s="64"/>
      <c r="GOV79" s="64"/>
      <c r="GOW79" s="64"/>
      <c r="GOX79" s="64"/>
      <c r="GOY79" s="64"/>
      <c r="GOZ79" s="64"/>
      <c r="GPA79" s="64"/>
      <c r="GPB79" s="64"/>
      <c r="GPC79" s="64"/>
      <c r="GPD79" s="64"/>
      <c r="GPE79" s="64"/>
      <c r="GPF79" s="64"/>
      <c r="GPG79" s="64"/>
      <c r="GPH79" s="64"/>
      <c r="GPI79" s="64"/>
      <c r="GPJ79" s="64"/>
      <c r="GPK79" s="64"/>
      <c r="GPL79" s="64"/>
      <c r="GPM79" s="64"/>
      <c r="GPN79" s="64"/>
      <c r="GPO79" s="64"/>
      <c r="GPP79" s="64"/>
      <c r="GPQ79" s="64"/>
      <c r="GPR79" s="64"/>
      <c r="GPS79" s="64"/>
      <c r="GPT79" s="64"/>
      <c r="GPU79" s="64"/>
      <c r="GPV79" s="64"/>
      <c r="GPW79" s="64"/>
      <c r="GPX79" s="64"/>
      <c r="GPY79" s="64"/>
      <c r="GPZ79" s="64"/>
      <c r="GQA79" s="64"/>
      <c r="GQB79" s="64"/>
      <c r="GQC79" s="64"/>
      <c r="GQD79" s="64"/>
      <c r="GQE79" s="64"/>
      <c r="GQF79" s="64"/>
      <c r="GQG79" s="64"/>
      <c r="GQH79" s="64"/>
      <c r="GQI79" s="64"/>
      <c r="GQJ79" s="64"/>
      <c r="GQK79" s="64"/>
      <c r="GQL79" s="64"/>
      <c r="GQM79" s="64"/>
      <c r="GQN79" s="64"/>
      <c r="GQO79" s="64"/>
      <c r="GQP79" s="64"/>
      <c r="GQQ79" s="64"/>
      <c r="GQR79" s="64"/>
      <c r="GQS79" s="64"/>
      <c r="GQT79" s="64"/>
      <c r="GQU79" s="64"/>
      <c r="GQV79" s="64"/>
      <c r="GQW79" s="64"/>
      <c r="GQX79" s="64"/>
      <c r="GQY79" s="64"/>
      <c r="GQZ79" s="64"/>
      <c r="GRA79" s="64"/>
      <c r="GRB79" s="64"/>
      <c r="GRC79" s="64"/>
      <c r="GRD79" s="64"/>
      <c r="GRE79" s="64"/>
      <c r="GRF79" s="64"/>
      <c r="GRG79" s="64"/>
      <c r="GRH79" s="64"/>
      <c r="GRI79" s="64"/>
      <c r="GRJ79" s="64"/>
      <c r="GRK79" s="64"/>
      <c r="GRL79" s="64"/>
      <c r="GRM79" s="64"/>
      <c r="GRN79" s="64"/>
      <c r="GRO79" s="64"/>
      <c r="GRP79" s="64"/>
      <c r="GRQ79" s="64"/>
      <c r="GRR79" s="64"/>
      <c r="GRS79" s="64"/>
      <c r="GRT79" s="64"/>
      <c r="GRU79" s="64"/>
      <c r="GRV79" s="64"/>
      <c r="GRW79" s="64"/>
      <c r="GRX79" s="64"/>
      <c r="GRY79" s="64"/>
      <c r="GRZ79" s="64"/>
      <c r="GSA79" s="64"/>
      <c r="GSB79" s="64"/>
      <c r="GSC79" s="64"/>
      <c r="GSD79" s="64"/>
      <c r="GSE79" s="64"/>
      <c r="GSF79" s="64"/>
      <c r="GSG79" s="64"/>
      <c r="GSH79" s="64"/>
      <c r="GSI79" s="64"/>
      <c r="GSJ79" s="64"/>
      <c r="GSK79" s="64"/>
      <c r="GSL79" s="64"/>
      <c r="GSM79" s="64"/>
      <c r="GSN79" s="64"/>
      <c r="GSO79" s="64"/>
      <c r="GSP79" s="64"/>
      <c r="GSQ79" s="64"/>
      <c r="GSR79" s="64"/>
      <c r="GSS79" s="64"/>
      <c r="GST79" s="64"/>
      <c r="GSU79" s="64"/>
      <c r="GSV79" s="64"/>
      <c r="GSW79" s="64"/>
      <c r="GSX79" s="64"/>
      <c r="GSY79" s="64"/>
      <c r="GSZ79" s="64"/>
      <c r="GTA79" s="64"/>
      <c r="GTB79" s="64"/>
      <c r="GTC79" s="64"/>
      <c r="GTD79" s="64"/>
      <c r="GTE79" s="64"/>
      <c r="GTF79" s="64"/>
      <c r="GTG79" s="64"/>
      <c r="GTH79" s="64"/>
      <c r="GTI79" s="64"/>
      <c r="GTJ79" s="64"/>
      <c r="GTK79" s="64"/>
      <c r="GTL79" s="64"/>
      <c r="GTM79" s="64"/>
      <c r="GTN79" s="64"/>
      <c r="GTO79" s="64"/>
      <c r="GTP79" s="64"/>
      <c r="GTQ79" s="64"/>
      <c r="GTR79" s="64"/>
      <c r="GTS79" s="64"/>
      <c r="GTT79" s="64"/>
      <c r="GTU79" s="64"/>
      <c r="GTV79" s="64"/>
      <c r="GTW79" s="64"/>
      <c r="GTX79" s="64"/>
      <c r="GTY79" s="64"/>
      <c r="GTZ79" s="64"/>
      <c r="GUA79" s="64"/>
      <c r="GUB79" s="64"/>
      <c r="GUC79" s="64"/>
      <c r="GUD79" s="64"/>
      <c r="GUE79" s="64"/>
      <c r="GUF79" s="64"/>
      <c r="GUG79" s="64"/>
      <c r="GUH79" s="64"/>
      <c r="GUI79" s="64"/>
      <c r="GUJ79" s="64"/>
      <c r="GUK79" s="64"/>
      <c r="GUL79" s="64"/>
      <c r="GUM79" s="64"/>
      <c r="GUN79" s="64"/>
      <c r="GUO79" s="64"/>
      <c r="GUP79" s="64"/>
      <c r="GUQ79" s="64"/>
      <c r="GUR79" s="64"/>
      <c r="GUS79" s="64"/>
      <c r="GUT79" s="64"/>
      <c r="GUU79" s="64"/>
      <c r="GUV79" s="64"/>
      <c r="GUW79" s="64"/>
      <c r="GUX79" s="64"/>
      <c r="GUY79" s="64"/>
      <c r="GUZ79" s="64"/>
      <c r="GVA79" s="64"/>
      <c r="GVB79" s="64"/>
      <c r="GVC79" s="64"/>
      <c r="GVD79" s="64"/>
      <c r="GVE79" s="64"/>
      <c r="GVF79" s="64"/>
      <c r="GVG79" s="64"/>
      <c r="GVH79" s="64"/>
      <c r="GVI79" s="64"/>
      <c r="GVJ79" s="64"/>
      <c r="GVK79" s="64"/>
      <c r="GVL79" s="64"/>
      <c r="GVM79" s="64"/>
      <c r="GVN79" s="64"/>
      <c r="GVO79" s="64"/>
      <c r="GVP79" s="64"/>
      <c r="GVQ79" s="64"/>
      <c r="GVR79" s="64"/>
      <c r="GVS79" s="64"/>
      <c r="GVT79" s="64"/>
      <c r="GVU79" s="64"/>
      <c r="GVV79" s="64"/>
      <c r="GVW79" s="64"/>
      <c r="GVX79" s="64"/>
      <c r="GVY79" s="64"/>
      <c r="GVZ79" s="64"/>
      <c r="GWA79" s="64"/>
      <c r="GWB79" s="64"/>
      <c r="GWC79" s="64"/>
      <c r="GWD79" s="64"/>
      <c r="GWE79" s="64"/>
      <c r="GWF79" s="64"/>
      <c r="GWG79" s="64"/>
      <c r="GWH79" s="64"/>
      <c r="GWI79" s="64"/>
      <c r="GWJ79" s="64"/>
      <c r="GWK79" s="64"/>
      <c r="GWL79" s="64"/>
      <c r="GWM79" s="64"/>
      <c r="GWN79" s="64"/>
      <c r="GWO79" s="64"/>
      <c r="GWP79" s="64"/>
      <c r="GWQ79" s="64"/>
      <c r="GWR79" s="64"/>
      <c r="GWS79" s="64"/>
      <c r="GWT79" s="64"/>
      <c r="GWU79" s="64"/>
      <c r="GWV79" s="64"/>
      <c r="GWW79" s="64"/>
      <c r="GWX79" s="64"/>
      <c r="GWY79" s="64"/>
      <c r="GWZ79" s="64"/>
      <c r="GXA79" s="64"/>
      <c r="GXB79" s="64"/>
      <c r="GXC79" s="64"/>
      <c r="GXD79" s="64"/>
      <c r="GXE79" s="64"/>
      <c r="GXF79" s="64"/>
      <c r="GXG79" s="64"/>
      <c r="GXH79" s="64"/>
      <c r="GXI79" s="64"/>
      <c r="GXJ79" s="64"/>
      <c r="GXK79" s="64"/>
      <c r="GXL79" s="64"/>
      <c r="GXM79" s="64"/>
      <c r="GXN79" s="64"/>
      <c r="GXO79" s="64"/>
      <c r="GXP79" s="64"/>
      <c r="GXQ79" s="64"/>
      <c r="GXR79" s="64"/>
      <c r="GXS79" s="64"/>
      <c r="GXT79" s="64"/>
      <c r="GXU79" s="64"/>
      <c r="GXV79" s="64"/>
      <c r="GXW79" s="64"/>
      <c r="GXX79" s="64"/>
      <c r="GXY79" s="64"/>
      <c r="GXZ79" s="64"/>
      <c r="GYA79" s="64"/>
      <c r="GYB79" s="64"/>
      <c r="GYC79" s="64"/>
      <c r="GYD79" s="64"/>
      <c r="GYE79" s="64"/>
      <c r="GYF79" s="64"/>
      <c r="GYG79" s="64"/>
      <c r="GYH79" s="64"/>
      <c r="GYI79" s="64"/>
      <c r="GYJ79" s="64"/>
      <c r="GYK79" s="64"/>
      <c r="GYL79" s="64"/>
      <c r="GYM79" s="64"/>
      <c r="GYN79" s="64"/>
      <c r="GYO79" s="64"/>
      <c r="GYP79" s="64"/>
      <c r="GYQ79" s="64"/>
      <c r="GYR79" s="64"/>
      <c r="GYS79" s="64"/>
      <c r="GYT79" s="64"/>
      <c r="GYU79" s="64"/>
      <c r="GYV79" s="64"/>
      <c r="GYW79" s="64"/>
      <c r="GYX79" s="64"/>
      <c r="GYY79" s="64"/>
      <c r="GYZ79" s="64"/>
      <c r="GZA79" s="64"/>
      <c r="GZB79" s="64"/>
      <c r="GZC79" s="64"/>
      <c r="GZD79" s="64"/>
      <c r="GZE79" s="64"/>
      <c r="GZF79" s="64"/>
      <c r="GZG79" s="64"/>
      <c r="GZH79" s="64"/>
      <c r="GZI79" s="64"/>
      <c r="GZJ79" s="64"/>
      <c r="GZK79" s="64"/>
      <c r="GZL79" s="64"/>
      <c r="GZM79" s="64"/>
      <c r="GZN79" s="64"/>
      <c r="GZO79" s="64"/>
      <c r="GZP79" s="64"/>
      <c r="GZQ79" s="64"/>
      <c r="GZR79" s="64"/>
      <c r="GZS79" s="64"/>
      <c r="GZT79" s="64"/>
      <c r="GZU79" s="64"/>
      <c r="GZV79" s="64"/>
      <c r="GZW79" s="64"/>
      <c r="GZX79" s="64"/>
      <c r="GZY79" s="64"/>
      <c r="GZZ79" s="64"/>
      <c r="HAA79" s="64"/>
      <c r="HAB79" s="64"/>
      <c r="HAC79" s="64"/>
      <c r="HAD79" s="64"/>
      <c r="HAE79" s="64"/>
      <c r="HAF79" s="64"/>
      <c r="HAG79" s="64"/>
      <c r="HAH79" s="64"/>
      <c r="HAI79" s="64"/>
      <c r="HAJ79" s="64"/>
      <c r="HAK79" s="64"/>
      <c r="HAL79" s="64"/>
      <c r="HAM79" s="64"/>
      <c r="HAN79" s="64"/>
      <c r="HAO79" s="64"/>
      <c r="HAP79" s="64"/>
      <c r="HAQ79" s="64"/>
      <c r="HAR79" s="64"/>
      <c r="HAS79" s="64"/>
      <c r="HAT79" s="64"/>
      <c r="HAU79" s="64"/>
      <c r="HAV79" s="64"/>
      <c r="HAW79" s="64"/>
      <c r="HAX79" s="64"/>
      <c r="HAY79" s="64"/>
      <c r="HAZ79" s="64"/>
      <c r="HBA79" s="64"/>
      <c r="HBB79" s="64"/>
      <c r="HBC79" s="64"/>
      <c r="HBD79" s="64"/>
      <c r="HBE79" s="64"/>
      <c r="HBF79" s="64"/>
      <c r="HBG79" s="64"/>
      <c r="HBH79" s="64"/>
      <c r="HBI79" s="64"/>
      <c r="HBJ79" s="64"/>
      <c r="HBK79" s="64"/>
      <c r="HBL79" s="64"/>
      <c r="HBM79" s="64"/>
      <c r="HBN79" s="64"/>
      <c r="HBO79" s="64"/>
      <c r="HBP79" s="64"/>
      <c r="HBQ79" s="64"/>
      <c r="HBR79" s="64"/>
      <c r="HBS79" s="64"/>
      <c r="HBT79" s="64"/>
      <c r="HBU79" s="64"/>
      <c r="HBV79" s="64"/>
      <c r="HBW79" s="64"/>
      <c r="HBX79" s="64"/>
      <c r="HBY79" s="64"/>
      <c r="HBZ79" s="64"/>
      <c r="HCA79" s="64"/>
      <c r="HCB79" s="64"/>
      <c r="HCC79" s="64"/>
      <c r="HCD79" s="64"/>
      <c r="HCE79" s="64"/>
      <c r="HCF79" s="64"/>
      <c r="HCG79" s="64"/>
      <c r="HCH79" s="64"/>
      <c r="HCI79" s="64"/>
      <c r="HCJ79" s="64"/>
      <c r="HCK79" s="64"/>
      <c r="HCL79" s="64"/>
      <c r="HCM79" s="64"/>
      <c r="HCN79" s="64"/>
      <c r="HCO79" s="64"/>
      <c r="HCP79" s="64"/>
      <c r="HCQ79" s="64"/>
      <c r="HCR79" s="64"/>
      <c r="HCS79" s="64"/>
      <c r="HCT79" s="64"/>
      <c r="HCU79" s="64"/>
      <c r="HCV79" s="64"/>
      <c r="HCW79" s="64"/>
      <c r="HCX79" s="64"/>
      <c r="HCY79" s="64"/>
      <c r="HCZ79" s="64"/>
      <c r="HDA79" s="64"/>
      <c r="HDB79" s="64"/>
      <c r="HDC79" s="64"/>
      <c r="HDD79" s="64"/>
      <c r="HDE79" s="64"/>
      <c r="HDF79" s="64"/>
      <c r="HDG79" s="64"/>
      <c r="HDH79" s="64"/>
      <c r="HDI79" s="64"/>
      <c r="HDJ79" s="64"/>
      <c r="HDK79" s="64"/>
      <c r="HDL79" s="64"/>
      <c r="HDM79" s="64"/>
      <c r="HDN79" s="64"/>
      <c r="HDO79" s="64"/>
      <c r="HDP79" s="64"/>
      <c r="HDQ79" s="64"/>
      <c r="HDR79" s="64"/>
      <c r="HDS79" s="64"/>
      <c r="HDT79" s="64"/>
      <c r="HDU79" s="64"/>
      <c r="HDV79" s="64"/>
      <c r="HDW79" s="64"/>
      <c r="HDX79" s="64"/>
      <c r="HDY79" s="64"/>
      <c r="HDZ79" s="64"/>
      <c r="HEA79" s="64"/>
      <c r="HEB79" s="64"/>
      <c r="HEC79" s="64"/>
      <c r="HED79" s="64"/>
      <c r="HEE79" s="64"/>
      <c r="HEF79" s="64"/>
      <c r="HEG79" s="64"/>
      <c r="HEH79" s="64"/>
      <c r="HEI79" s="64"/>
      <c r="HEJ79" s="64"/>
      <c r="HEK79" s="64"/>
      <c r="HEL79" s="64"/>
      <c r="HEM79" s="64"/>
      <c r="HEN79" s="64"/>
      <c r="HEO79" s="64"/>
      <c r="HEP79" s="64"/>
      <c r="HEQ79" s="64"/>
      <c r="HER79" s="64"/>
      <c r="HES79" s="64"/>
      <c r="HET79" s="64"/>
      <c r="HEU79" s="64"/>
      <c r="HEV79" s="64"/>
      <c r="HEW79" s="64"/>
      <c r="HEX79" s="64"/>
      <c r="HEY79" s="64"/>
      <c r="HEZ79" s="64"/>
      <c r="HFA79" s="64"/>
      <c r="HFB79" s="64"/>
      <c r="HFC79" s="64"/>
      <c r="HFD79" s="64"/>
      <c r="HFE79" s="64"/>
      <c r="HFF79" s="64"/>
      <c r="HFG79" s="64"/>
      <c r="HFH79" s="64"/>
      <c r="HFI79" s="64"/>
      <c r="HFJ79" s="64"/>
      <c r="HFK79" s="64"/>
      <c r="HFL79" s="64"/>
      <c r="HFM79" s="64"/>
      <c r="HFN79" s="64"/>
      <c r="HFO79" s="64"/>
      <c r="HFP79" s="64"/>
      <c r="HFQ79" s="64"/>
      <c r="HFR79" s="64"/>
      <c r="HFS79" s="64"/>
      <c r="HFT79" s="64"/>
      <c r="HFU79" s="64"/>
      <c r="HFV79" s="64"/>
      <c r="HFW79" s="64"/>
      <c r="HFX79" s="64"/>
      <c r="HFY79" s="64"/>
      <c r="HFZ79" s="64"/>
      <c r="HGA79" s="64"/>
      <c r="HGB79" s="64"/>
      <c r="HGC79" s="64"/>
      <c r="HGD79" s="64"/>
      <c r="HGE79" s="64"/>
      <c r="HGF79" s="64"/>
      <c r="HGG79" s="64"/>
      <c r="HGH79" s="64"/>
      <c r="HGI79" s="64"/>
      <c r="HGJ79" s="64"/>
      <c r="HGK79" s="64"/>
      <c r="HGL79" s="64"/>
      <c r="HGM79" s="64"/>
      <c r="HGN79" s="64"/>
      <c r="HGO79" s="64"/>
      <c r="HGP79" s="64"/>
      <c r="HGQ79" s="64"/>
      <c r="HGR79" s="64"/>
      <c r="HGS79" s="64"/>
      <c r="HGT79" s="64"/>
      <c r="HGU79" s="64"/>
      <c r="HGV79" s="64"/>
      <c r="HGW79" s="64"/>
      <c r="HGX79" s="64"/>
      <c r="HGY79" s="64"/>
      <c r="HGZ79" s="64"/>
      <c r="HHA79" s="64"/>
      <c r="HHB79" s="64"/>
      <c r="HHC79" s="64"/>
      <c r="HHD79" s="64"/>
      <c r="HHE79" s="64"/>
      <c r="HHF79" s="64"/>
      <c r="HHG79" s="64"/>
      <c r="HHH79" s="64"/>
      <c r="HHI79" s="64"/>
      <c r="HHJ79" s="64"/>
      <c r="HHK79" s="64"/>
      <c r="HHL79" s="64"/>
      <c r="HHM79" s="64"/>
      <c r="HHN79" s="64"/>
      <c r="HHO79" s="64"/>
      <c r="HHP79" s="64"/>
      <c r="HHQ79" s="64"/>
      <c r="HHR79" s="64"/>
      <c r="HHS79" s="64"/>
      <c r="HHT79" s="64"/>
      <c r="HHU79" s="64"/>
      <c r="HHV79" s="64"/>
      <c r="HHW79" s="64"/>
      <c r="HHX79" s="64"/>
      <c r="HHY79" s="64"/>
      <c r="HHZ79" s="64"/>
      <c r="HIA79" s="64"/>
      <c r="HIB79" s="64"/>
      <c r="HIC79" s="64"/>
      <c r="HID79" s="64"/>
      <c r="HIE79" s="64"/>
      <c r="HIF79" s="64"/>
      <c r="HIG79" s="64"/>
      <c r="HIH79" s="64"/>
      <c r="HII79" s="64"/>
      <c r="HIJ79" s="64"/>
      <c r="HIK79" s="64"/>
      <c r="HIL79" s="64"/>
      <c r="HIM79" s="64"/>
      <c r="HIN79" s="64"/>
      <c r="HIO79" s="64"/>
      <c r="HIP79" s="64"/>
      <c r="HIQ79" s="64"/>
      <c r="HIR79" s="64"/>
      <c r="HIS79" s="64"/>
      <c r="HIT79" s="64"/>
      <c r="HIU79" s="64"/>
      <c r="HIV79" s="64"/>
      <c r="HIW79" s="64"/>
      <c r="HIX79" s="64"/>
      <c r="HIY79" s="64"/>
      <c r="HIZ79" s="64"/>
      <c r="HJA79" s="64"/>
      <c r="HJB79" s="64"/>
      <c r="HJC79" s="64"/>
      <c r="HJD79" s="64"/>
      <c r="HJE79" s="64"/>
      <c r="HJF79" s="64"/>
      <c r="HJG79" s="64"/>
      <c r="HJH79" s="64"/>
      <c r="HJI79" s="64"/>
      <c r="HJJ79" s="64"/>
      <c r="HJK79" s="64"/>
      <c r="HJL79" s="64"/>
      <c r="HJM79" s="64"/>
      <c r="HJN79" s="64"/>
      <c r="HJO79" s="64"/>
      <c r="HJP79" s="64"/>
      <c r="HJQ79" s="64"/>
      <c r="HJR79" s="64"/>
      <c r="HJS79" s="64"/>
      <c r="HJT79" s="64"/>
      <c r="HJU79" s="64"/>
      <c r="HJV79" s="64"/>
      <c r="HJW79" s="64"/>
      <c r="HJX79" s="64"/>
      <c r="HJY79" s="64"/>
      <c r="HJZ79" s="64"/>
      <c r="HKA79" s="64"/>
      <c r="HKB79" s="64"/>
      <c r="HKC79" s="64"/>
      <c r="HKD79" s="64"/>
      <c r="HKE79" s="64"/>
      <c r="HKF79" s="64"/>
      <c r="HKG79" s="64"/>
      <c r="HKH79" s="64"/>
      <c r="HKI79" s="64"/>
      <c r="HKJ79" s="64"/>
      <c r="HKK79" s="64"/>
      <c r="HKL79" s="64"/>
      <c r="HKM79" s="64"/>
      <c r="HKN79" s="64"/>
      <c r="HKO79" s="64"/>
      <c r="HKP79" s="64"/>
      <c r="HKQ79" s="64"/>
      <c r="HKR79" s="64"/>
      <c r="HKS79" s="64"/>
      <c r="HKT79" s="64"/>
      <c r="HKU79" s="64"/>
      <c r="HKV79" s="64"/>
      <c r="HKW79" s="64"/>
      <c r="HKX79" s="64"/>
      <c r="HKY79" s="64"/>
      <c r="HKZ79" s="64"/>
      <c r="HLA79" s="64"/>
      <c r="HLB79" s="64"/>
      <c r="HLC79" s="64"/>
      <c r="HLD79" s="64"/>
      <c r="HLE79" s="64"/>
      <c r="HLF79" s="64"/>
      <c r="HLG79" s="64"/>
      <c r="HLH79" s="64"/>
      <c r="HLI79" s="64"/>
      <c r="HLJ79" s="64"/>
      <c r="HLK79" s="64"/>
      <c r="HLL79" s="64"/>
      <c r="HLM79" s="64"/>
      <c r="HLN79" s="64"/>
      <c r="HLO79" s="64"/>
      <c r="HLP79" s="64"/>
      <c r="HLQ79" s="64"/>
      <c r="HLR79" s="64"/>
      <c r="HLS79" s="64"/>
      <c r="HLT79" s="64"/>
      <c r="HLU79" s="64"/>
      <c r="HLV79" s="64"/>
      <c r="HLW79" s="64"/>
      <c r="HLX79" s="64"/>
      <c r="HLY79" s="64"/>
      <c r="HLZ79" s="64"/>
      <c r="HMA79" s="64"/>
      <c r="HMB79" s="64"/>
      <c r="HMC79" s="64"/>
      <c r="HMD79" s="64"/>
      <c r="HME79" s="64"/>
      <c r="HMF79" s="64"/>
      <c r="HMG79" s="64"/>
      <c r="HMH79" s="64"/>
      <c r="HMI79" s="64"/>
      <c r="HMJ79" s="64"/>
      <c r="HMK79" s="64"/>
      <c r="HML79" s="64"/>
      <c r="HMM79" s="64"/>
      <c r="HMN79" s="64"/>
      <c r="HMO79" s="64"/>
      <c r="HMP79" s="64"/>
      <c r="HMQ79" s="64"/>
      <c r="HMR79" s="64"/>
      <c r="HMS79" s="64"/>
      <c r="HMT79" s="64"/>
      <c r="HMU79" s="64"/>
      <c r="HMV79" s="64"/>
      <c r="HMW79" s="64"/>
      <c r="HMX79" s="64"/>
      <c r="HMY79" s="64"/>
      <c r="HMZ79" s="64"/>
      <c r="HNA79" s="64"/>
      <c r="HNB79" s="64"/>
      <c r="HNC79" s="64"/>
      <c r="HND79" s="64"/>
      <c r="HNE79" s="64"/>
      <c r="HNF79" s="64"/>
      <c r="HNG79" s="64"/>
      <c r="HNH79" s="64"/>
      <c r="HNI79" s="64"/>
      <c r="HNJ79" s="64"/>
      <c r="HNK79" s="64"/>
      <c r="HNL79" s="64"/>
      <c r="HNM79" s="64"/>
      <c r="HNN79" s="64"/>
      <c r="HNO79" s="64"/>
      <c r="HNP79" s="64"/>
      <c r="HNQ79" s="64"/>
      <c r="HNR79" s="64"/>
      <c r="HNS79" s="64"/>
      <c r="HNT79" s="64"/>
      <c r="HNU79" s="64"/>
      <c r="HNV79" s="64"/>
      <c r="HNW79" s="64"/>
      <c r="HNX79" s="64"/>
      <c r="HNY79" s="64"/>
      <c r="HNZ79" s="64"/>
      <c r="HOA79" s="64"/>
      <c r="HOB79" s="64"/>
      <c r="HOC79" s="64"/>
      <c r="HOD79" s="64"/>
      <c r="HOE79" s="64"/>
      <c r="HOF79" s="64"/>
      <c r="HOG79" s="64"/>
      <c r="HOH79" s="64"/>
      <c r="HOI79" s="64"/>
      <c r="HOJ79" s="64"/>
      <c r="HOK79" s="64"/>
      <c r="HOL79" s="64"/>
      <c r="HOM79" s="64"/>
      <c r="HON79" s="64"/>
      <c r="HOO79" s="64"/>
      <c r="HOP79" s="64"/>
      <c r="HOQ79" s="64"/>
      <c r="HOR79" s="64"/>
      <c r="HOS79" s="64"/>
      <c r="HOT79" s="64"/>
      <c r="HOU79" s="64"/>
      <c r="HOV79" s="64"/>
      <c r="HOW79" s="64"/>
      <c r="HOX79" s="64"/>
      <c r="HOY79" s="64"/>
      <c r="HOZ79" s="64"/>
      <c r="HPA79" s="64"/>
      <c r="HPB79" s="64"/>
      <c r="HPC79" s="64"/>
      <c r="HPD79" s="64"/>
      <c r="HPE79" s="64"/>
      <c r="HPF79" s="64"/>
      <c r="HPG79" s="64"/>
      <c r="HPH79" s="64"/>
      <c r="HPI79" s="64"/>
      <c r="HPJ79" s="64"/>
      <c r="HPK79" s="64"/>
      <c r="HPL79" s="64"/>
      <c r="HPM79" s="64"/>
      <c r="HPN79" s="64"/>
      <c r="HPO79" s="64"/>
      <c r="HPP79" s="64"/>
      <c r="HPQ79" s="64"/>
      <c r="HPR79" s="64"/>
      <c r="HPS79" s="64"/>
      <c r="HPT79" s="64"/>
      <c r="HPU79" s="64"/>
      <c r="HPV79" s="64"/>
      <c r="HPW79" s="64"/>
      <c r="HPX79" s="64"/>
      <c r="HPY79" s="64"/>
      <c r="HPZ79" s="64"/>
      <c r="HQA79" s="64"/>
      <c r="HQB79" s="64"/>
      <c r="HQC79" s="64"/>
      <c r="HQD79" s="64"/>
      <c r="HQE79" s="64"/>
      <c r="HQF79" s="64"/>
      <c r="HQG79" s="64"/>
      <c r="HQH79" s="64"/>
      <c r="HQI79" s="64"/>
      <c r="HQJ79" s="64"/>
      <c r="HQK79" s="64"/>
      <c r="HQL79" s="64"/>
      <c r="HQM79" s="64"/>
      <c r="HQN79" s="64"/>
      <c r="HQO79" s="64"/>
      <c r="HQP79" s="64"/>
      <c r="HQQ79" s="64"/>
      <c r="HQR79" s="64"/>
      <c r="HQS79" s="64"/>
      <c r="HQT79" s="64"/>
      <c r="HQU79" s="64"/>
      <c r="HQV79" s="64"/>
      <c r="HQW79" s="64"/>
      <c r="HQX79" s="64"/>
      <c r="HQY79" s="64"/>
      <c r="HQZ79" s="64"/>
      <c r="HRA79" s="64"/>
      <c r="HRB79" s="64"/>
      <c r="HRC79" s="64"/>
      <c r="HRD79" s="64"/>
      <c r="HRE79" s="64"/>
      <c r="HRF79" s="64"/>
      <c r="HRG79" s="64"/>
      <c r="HRH79" s="64"/>
      <c r="HRI79" s="64"/>
      <c r="HRJ79" s="64"/>
      <c r="HRK79" s="64"/>
      <c r="HRL79" s="64"/>
      <c r="HRM79" s="64"/>
      <c r="HRN79" s="64"/>
      <c r="HRO79" s="64"/>
      <c r="HRP79" s="64"/>
      <c r="HRQ79" s="64"/>
      <c r="HRR79" s="64"/>
      <c r="HRS79" s="64"/>
      <c r="HRT79" s="64"/>
      <c r="HRU79" s="64"/>
      <c r="HRV79" s="64"/>
      <c r="HRW79" s="64"/>
      <c r="HRX79" s="64"/>
      <c r="HRY79" s="64"/>
      <c r="HRZ79" s="64"/>
      <c r="HSA79" s="64"/>
      <c r="HSB79" s="64"/>
      <c r="HSC79" s="64"/>
      <c r="HSD79" s="64"/>
      <c r="HSE79" s="64"/>
      <c r="HSF79" s="64"/>
      <c r="HSG79" s="64"/>
      <c r="HSH79" s="64"/>
      <c r="HSI79" s="64"/>
      <c r="HSJ79" s="64"/>
      <c r="HSK79" s="64"/>
      <c r="HSL79" s="64"/>
      <c r="HSM79" s="64"/>
      <c r="HSN79" s="64"/>
      <c r="HSO79" s="64"/>
      <c r="HSP79" s="64"/>
      <c r="HSQ79" s="64"/>
      <c r="HSR79" s="64"/>
      <c r="HSS79" s="64"/>
      <c r="HST79" s="64"/>
      <c r="HSU79" s="64"/>
      <c r="HSV79" s="64"/>
      <c r="HSW79" s="64"/>
      <c r="HSX79" s="64"/>
      <c r="HSY79" s="64"/>
      <c r="HSZ79" s="64"/>
      <c r="HTA79" s="64"/>
      <c r="HTB79" s="64"/>
      <c r="HTC79" s="64"/>
      <c r="HTD79" s="64"/>
      <c r="HTE79" s="64"/>
      <c r="HTF79" s="64"/>
      <c r="HTG79" s="64"/>
      <c r="HTH79" s="64"/>
      <c r="HTI79" s="64"/>
      <c r="HTJ79" s="64"/>
      <c r="HTK79" s="64"/>
      <c r="HTL79" s="64"/>
      <c r="HTM79" s="64"/>
      <c r="HTN79" s="64"/>
      <c r="HTO79" s="64"/>
      <c r="HTP79" s="64"/>
      <c r="HTQ79" s="64"/>
      <c r="HTR79" s="64"/>
      <c r="HTS79" s="64"/>
      <c r="HTT79" s="64"/>
      <c r="HTU79" s="64"/>
      <c r="HTV79" s="64"/>
      <c r="HTW79" s="64"/>
      <c r="HTX79" s="64"/>
      <c r="HTY79" s="64"/>
      <c r="HTZ79" s="64"/>
      <c r="HUA79" s="64"/>
      <c r="HUB79" s="64"/>
      <c r="HUC79" s="64"/>
      <c r="HUD79" s="64"/>
      <c r="HUE79" s="64"/>
      <c r="HUF79" s="64"/>
      <c r="HUG79" s="64"/>
      <c r="HUH79" s="64"/>
      <c r="HUI79" s="64"/>
      <c r="HUJ79" s="64"/>
      <c r="HUK79" s="64"/>
      <c r="HUL79" s="64"/>
      <c r="HUM79" s="64"/>
      <c r="HUN79" s="64"/>
      <c r="HUO79" s="64"/>
      <c r="HUP79" s="64"/>
      <c r="HUQ79" s="64"/>
      <c r="HUR79" s="64"/>
      <c r="HUS79" s="64"/>
      <c r="HUT79" s="64"/>
      <c r="HUU79" s="64"/>
      <c r="HUV79" s="64"/>
      <c r="HUW79" s="64"/>
      <c r="HUX79" s="64"/>
      <c r="HUY79" s="64"/>
      <c r="HUZ79" s="64"/>
      <c r="HVA79" s="64"/>
      <c r="HVB79" s="64"/>
      <c r="HVC79" s="64"/>
      <c r="HVD79" s="64"/>
      <c r="HVE79" s="64"/>
      <c r="HVF79" s="64"/>
      <c r="HVG79" s="64"/>
      <c r="HVH79" s="64"/>
      <c r="HVI79" s="64"/>
      <c r="HVJ79" s="64"/>
      <c r="HVK79" s="64"/>
      <c r="HVL79" s="64"/>
      <c r="HVM79" s="64"/>
      <c r="HVN79" s="64"/>
      <c r="HVO79" s="64"/>
      <c r="HVP79" s="64"/>
      <c r="HVQ79" s="64"/>
      <c r="HVR79" s="64"/>
      <c r="HVS79" s="64"/>
      <c r="HVT79" s="64"/>
      <c r="HVU79" s="64"/>
      <c r="HVV79" s="64"/>
      <c r="HVW79" s="64"/>
      <c r="HVX79" s="64"/>
      <c r="HVY79" s="64"/>
      <c r="HVZ79" s="64"/>
      <c r="HWA79" s="64"/>
      <c r="HWB79" s="64"/>
      <c r="HWC79" s="64"/>
      <c r="HWD79" s="64"/>
      <c r="HWE79" s="64"/>
      <c r="HWF79" s="64"/>
      <c r="HWG79" s="64"/>
      <c r="HWH79" s="64"/>
      <c r="HWI79" s="64"/>
      <c r="HWJ79" s="64"/>
      <c r="HWK79" s="64"/>
      <c r="HWL79" s="64"/>
      <c r="HWM79" s="64"/>
      <c r="HWN79" s="64"/>
      <c r="HWO79" s="64"/>
      <c r="HWP79" s="64"/>
      <c r="HWQ79" s="64"/>
      <c r="HWR79" s="64"/>
      <c r="HWS79" s="64"/>
      <c r="HWT79" s="64"/>
      <c r="HWU79" s="64"/>
      <c r="HWV79" s="64"/>
      <c r="HWW79" s="64"/>
      <c r="HWX79" s="64"/>
      <c r="HWY79" s="64"/>
      <c r="HWZ79" s="64"/>
      <c r="HXA79" s="64"/>
      <c r="HXB79" s="64"/>
      <c r="HXC79" s="64"/>
      <c r="HXD79" s="64"/>
      <c r="HXE79" s="64"/>
      <c r="HXF79" s="64"/>
      <c r="HXG79" s="64"/>
      <c r="HXH79" s="64"/>
      <c r="HXI79" s="64"/>
      <c r="HXJ79" s="64"/>
      <c r="HXK79" s="64"/>
      <c r="HXL79" s="64"/>
      <c r="HXM79" s="64"/>
      <c r="HXN79" s="64"/>
      <c r="HXO79" s="64"/>
      <c r="HXP79" s="64"/>
      <c r="HXQ79" s="64"/>
      <c r="HXR79" s="64"/>
      <c r="HXS79" s="64"/>
      <c r="HXT79" s="64"/>
      <c r="HXU79" s="64"/>
      <c r="HXV79" s="64"/>
      <c r="HXW79" s="64"/>
      <c r="HXX79" s="64"/>
      <c r="HXY79" s="64"/>
      <c r="HXZ79" s="64"/>
      <c r="HYA79" s="64"/>
      <c r="HYB79" s="64"/>
      <c r="HYC79" s="64"/>
      <c r="HYD79" s="64"/>
      <c r="HYE79" s="64"/>
      <c r="HYF79" s="64"/>
      <c r="HYG79" s="64"/>
      <c r="HYH79" s="64"/>
      <c r="HYI79" s="64"/>
      <c r="HYJ79" s="64"/>
      <c r="HYK79" s="64"/>
      <c r="HYL79" s="64"/>
      <c r="HYM79" s="64"/>
      <c r="HYN79" s="64"/>
      <c r="HYO79" s="64"/>
      <c r="HYP79" s="64"/>
      <c r="HYQ79" s="64"/>
      <c r="HYR79" s="64"/>
      <c r="HYS79" s="64"/>
      <c r="HYT79" s="64"/>
      <c r="HYU79" s="64"/>
      <c r="HYV79" s="64"/>
      <c r="HYW79" s="64"/>
      <c r="HYX79" s="64"/>
      <c r="HYY79" s="64"/>
      <c r="HYZ79" s="64"/>
      <c r="HZA79" s="64"/>
      <c r="HZB79" s="64"/>
      <c r="HZC79" s="64"/>
      <c r="HZD79" s="64"/>
      <c r="HZE79" s="64"/>
      <c r="HZF79" s="64"/>
      <c r="HZG79" s="64"/>
      <c r="HZH79" s="64"/>
      <c r="HZI79" s="64"/>
      <c r="HZJ79" s="64"/>
      <c r="HZK79" s="64"/>
      <c r="HZL79" s="64"/>
      <c r="HZM79" s="64"/>
      <c r="HZN79" s="64"/>
      <c r="HZO79" s="64"/>
      <c r="HZP79" s="64"/>
      <c r="HZQ79" s="64"/>
      <c r="HZR79" s="64"/>
      <c r="HZS79" s="64"/>
      <c r="HZT79" s="64"/>
      <c r="HZU79" s="64"/>
      <c r="HZV79" s="64"/>
      <c r="HZW79" s="64"/>
      <c r="HZX79" s="64"/>
      <c r="HZY79" s="64"/>
      <c r="HZZ79" s="64"/>
      <c r="IAA79" s="64"/>
      <c r="IAB79" s="64"/>
      <c r="IAC79" s="64"/>
      <c r="IAD79" s="64"/>
      <c r="IAE79" s="64"/>
      <c r="IAF79" s="64"/>
      <c r="IAG79" s="64"/>
      <c r="IAH79" s="64"/>
      <c r="IAI79" s="64"/>
      <c r="IAJ79" s="64"/>
      <c r="IAK79" s="64"/>
      <c r="IAL79" s="64"/>
      <c r="IAM79" s="64"/>
      <c r="IAN79" s="64"/>
      <c r="IAO79" s="64"/>
      <c r="IAP79" s="64"/>
      <c r="IAQ79" s="64"/>
      <c r="IAR79" s="64"/>
      <c r="IAS79" s="64"/>
      <c r="IAT79" s="64"/>
      <c r="IAU79" s="64"/>
      <c r="IAV79" s="64"/>
      <c r="IAW79" s="64"/>
      <c r="IAX79" s="64"/>
      <c r="IAY79" s="64"/>
      <c r="IAZ79" s="64"/>
      <c r="IBA79" s="64"/>
      <c r="IBB79" s="64"/>
      <c r="IBC79" s="64"/>
      <c r="IBD79" s="64"/>
      <c r="IBE79" s="64"/>
      <c r="IBF79" s="64"/>
      <c r="IBG79" s="64"/>
      <c r="IBH79" s="64"/>
      <c r="IBI79" s="64"/>
      <c r="IBJ79" s="64"/>
      <c r="IBK79" s="64"/>
      <c r="IBL79" s="64"/>
      <c r="IBM79" s="64"/>
      <c r="IBN79" s="64"/>
      <c r="IBO79" s="64"/>
      <c r="IBP79" s="64"/>
      <c r="IBQ79" s="64"/>
      <c r="IBR79" s="64"/>
      <c r="IBS79" s="64"/>
      <c r="IBT79" s="64"/>
      <c r="IBU79" s="64"/>
      <c r="IBV79" s="64"/>
      <c r="IBW79" s="64"/>
      <c r="IBX79" s="64"/>
      <c r="IBY79" s="64"/>
      <c r="IBZ79" s="64"/>
      <c r="ICA79" s="64"/>
      <c r="ICB79" s="64"/>
      <c r="ICC79" s="64"/>
      <c r="ICD79" s="64"/>
      <c r="ICE79" s="64"/>
      <c r="ICF79" s="64"/>
      <c r="ICG79" s="64"/>
      <c r="ICH79" s="64"/>
      <c r="ICI79" s="64"/>
      <c r="ICJ79" s="64"/>
      <c r="ICK79" s="64"/>
      <c r="ICL79" s="64"/>
      <c r="ICM79" s="64"/>
      <c r="ICN79" s="64"/>
      <c r="ICO79" s="64"/>
      <c r="ICP79" s="64"/>
      <c r="ICQ79" s="64"/>
      <c r="ICR79" s="64"/>
      <c r="ICS79" s="64"/>
      <c r="ICT79" s="64"/>
      <c r="ICU79" s="64"/>
      <c r="ICV79" s="64"/>
      <c r="ICW79" s="64"/>
      <c r="ICX79" s="64"/>
      <c r="ICY79" s="64"/>
      <c r="ICZ79" s="64"/>
      <c r="IDA79" s="64"/>
      <c r="IDB79" s="64"/>
      <c r="IDC79" s="64"/>
      <c r="IDD79" s="64"/>
      <c r="IDE79" s="64"/>
      <c r="IDF79" s="64"/>
      <c r="IDG79" s="64"/>
      <c r="IDH79" s="64"/>
      <c r="IDI79" s="64"/>
      <c r="IDJ79" s="64"/>
      <c r="IDK79" s="64"/>
      <c r="IDL79" s="64"/>
      <c r="IDM79" s="64"/>
      <c r="IDN79" s="64"/>
      <c r="IDO79" s="64"/>
      <c r="IDP79" s="64"/>
      <c r="IDQ79" s="64"/>
      <c r="IDR79" s="64"/>
      <c r="IDS79" s="64"/>
      <c r="IDT79" s="64"/>
      <c r="IDU79" s="64"/>
      <c r="IDV79" s="64"/>
      <c r="IDW79" s="64"/>
      <c r="IDX79" s="64"/>
      <c r="IDY79" s="64"/>
      <c r="IDZ79" s="64"/>
      <c r="IEA79" s="64"/>
      <c r="IEB79" s="64"/>
      <c r="IEC79" s="64"/>
      <c r="IED79" s="64"/>
      <c r="IEE79" s="64"/>
      <c r="IEF79" s="64"/>
      <c r="IEG79" s="64"/>
      <c r="IEH79" s="64"/>
      <c r="IEI79" s="64"/>
      <c r="IEJ79" s="64"/>
      <c r="IEK79" s="64"/>
      <c r="IEL79" s="64"/>
      <c r="IEM79" s="64"/>
      <c r="IEN79" s="64"/>
      <c r="IEO79" s="64"/>
      <c r="IEP79" s="64"/>
      <c r="IEQ79" s="64"/>
      <c r="IER79" s="64"/>
      <c r="IES79" s="64"/>
      <c r="IET79" s="64"/>
      <c r="IEU79" s="64"/>
      <c r="IEV79" s="64"/>
      <c r="IEW79" s="64"/>
      <c r="IEX79" s="64"/>
      <c r="IEY79" s="64"/>
      <c r="IEZ79" s="64"/>
      <c r="IFA79" s="64"/>
      <c r="IFB79" s="64"/>
      <c r="IFC79" s="64"/>
      <c r="IFD79" s="64"/>
      <c r="IFE79" s="64"/>
      <c r="IFF79" s="64"/>
      <c r="IFG79" s="64"/>
      <c r="IFH79" s="64"/>
      <c r="IFI79" s="64"/>
      <c r="IFJ79" s="64"/>
      <c r="IFK79" s="64"/>
      <c r="IFL79" s="64"/>
      <c r="IFM79" s="64"/>
      <c r="IFN79" s="64"/>
      <c r="IFO79" s="64"/>
      <c r="IFP79" s="64"/>
      <c r="IFQ79" s="64"/>
      <c r="IFR79" s="64"/>
      <c r="IFS79" s="64"/>
      <c r="IFT79" s="64"/>
      <c r="IFU79" s="64"/>
      <c r="IFV79" s="64"/>
      <c r="IFW79" s="64"/>
      <c r="IFX79" s="64"/>
      <c r="IFY79" s="64"/>
      <c r="IFZ79" s="64"/>
      <c r="IGA79" s="64"/>
      <c r="IGB79" s="64"/>
      <c r="IGC79" s="64"/>
      <c r="IGD79" s="64"/>
      <c r="IGE79" s="64"/>
      <c r="IGF79" s="64"/>
      <c r="IGG79" s="64"/>
      <c r="IGH79" s="64"/>
      <c r="IGI79" s="64"/>
      <c r="IGJ79" s="64"/>
      <c r="IGK79" s="64"/>
      <c r="IGL79" s="64"/>
      <c r="IGM79" s="64"/>
      <c r="IGN79" s="64"/>
      <c r="IGO79" s="64"/>
      <c r="IGP79" s="64"/>
      <c r="IGQ79" s="64"/>
      <c r="IGR79" s="64"/>
      <c r="IGS79" s="64"/>
      <c r="IGT79" s="64"/>
      <c r="IGU79" s="64"/>
      <c r="IGV79" s="64"/>
      <c r="IGW79" s="64"/>
      <c r="IGX79" s="64"/>
      <c r="IGY79" s="64"/>
      <c r="IGZ79" s="64"/>
      <c r="IHA79" s="64"/>
      <c r="IHB79" s="64"/>
      <c r="IHC79" s="64"/>
      <c r="IHD79" s="64"/>
      <c r="IHE79" s="64"/>
      <c r="IHF79" s="64"/>
      <c r="IHG79" s="64"/>
      <c r="IHH79" s="64"/>
      <c r="IHI79" s="64"/>
      <c r="IHJ79" s="64"/>
      <c r="IHK79" s="64"/>
      <c r="IHL79" s="64"/>
      <c r="IHM79" s="64"/>
      <c r="IHN79" s="64"/>
      <c r="IHO79" s="64"/>
      <c r="IHP79" s="64"/>
      <c r="IHQ79" s="64"/>
      <c r="IHR79" s="64"/>
      <c r="IHS79" s="64"/>
      <c r="IHT79" s="64"/>
      <c r="IHU79" s="64"/>
      <c r="IHV79" s="64"/>
      <c r="IHW79" s="64"/>
      <c r="IHX79" s="64"/>
      <c r="IHY79" s="64"/>
      <c r="IHZ79" s="64"/>
      <c r="IIA79" s="64"/>
      <c r="IIB79" s="64"/>
      <c r="IIC79" s="64"/>
      <c r="IID79" s="64"/>
      <c r="IIE79" s="64"/>
      <c r="IIF79" s="64"/>
      <c r="IIG79" s="64"/>
      <c r="IIH79" s="64"/>
      <c r="III79" s="64"/>
      <c r="IIJ79" s="64"/>
      <c r="IIK79" s="64"/>
      <c r="IIL79" s="64"/>
      <c r="IIM79" s="64"/>
      <c r="IIN79" s="64"/>
      <c r="IIO79" s="64"/>
      <c r="IIP79" s="64"/>
      <c r="IIQ79" s="64"/>
      <c r="IIR79" s="64"/>
      <c r="IIS79" s="64"/>
      <c r="IIT79" s="64"/>
      <c r="IIU79" s="64"/>
      <c r="IIV79" s="64"/>
      <c r="IIW79" s="64"/>
      <c r="IIX79" s="64"/>
      <c r="IIY79" s="64"/>
      <c r="IIZ79" s="64"/>
      <c r="IJA79" s="64"/>
      <c r="IJB79" s="64"/>
      <c r="IJC79" s="64"/>
      <c r="IJD79" s="64"/>
      <c r="IJE79" s="64"/>
      <c r="IJF79" s="64"/>
      <c r="IJG79" s="64"/>
      <c r="IJH79" s="64"/>
      <c r="IJI79" s="64"/>
      <c r="IJJ79" s="64"/>
      <c r="IJK79" s="64"/>
      <c r="IJL79" s="64"/>
      <c r="IJM79" s="64"/>
      <c r="IJN79" s="64"/>
      <c r="IJO79" s="64"/>
      <c r="IJP79" s="64"/>
      <c r="IJQ79" s="64"/>
      <c r="IJR79" s="64"/>
      <c r="IJS79" s="64"/>
      <c r="IJT79" s="64"/>
      <c r="IJU79" s="64"/>
      <c r="IJV79" s="64"/>
      <c r="IJW79" s="64"/>
      <c r="IJX79" s="64"/>
      <c r="IJY79" s="64"/>
      <c r="IJZ79" s="64"/>
      <c r="IKA79" s="64"/>
      <c r="IKB79" s="64"/>
      <c r="IKC79" s="64"/>
      <c r="IKD79" s="64"/>
      <c r="IKE79" s="64"/>
      <c r="IKF79" s="64"/>
      <c r="IKG79" s="64"/>
      <c r="IKH79" s="64"/>
      <c r="IKI79" s="64"/>
      <c r="IKJ79" s="64"/>
      <c r="IKK79" s="64"/>
      <c r="IKL79" s="64"/>
      <c r="IKM79" s="64"/>
      <c r="IKN79" s="64"/>
      <c r="IKO79" s="64"/>
      <c r="IKP79" s="64"/>
      <c r="IKQ79" s="64"/>
      <c r="IKR79" s="64"/>
      <c r="IKS79" s="64"/>
      <c r="IKT79" s="64"/>
      <c r="IKU79" s="64"/>
      <c r="IKV79" s="64"/>
      <c r="IKW79" s="64"/>
      <c r="IKX79" s="64"/>
      <c r="IKY79" s="64"/>
      <c r="IKZ79" s="64"/>
      <c r="ILA79" s="64"/>
      <c r="ILB79" s="64"/>
      <c r="ILC79" s="64"/>
      <c r="ILD79" s="64"/>
      <c r="ILE79" s="64"/>
      <c r="ILF79" s="64"/>
      <c r="ILG79" s="64"/>
      <c r="ILH79" s="64"/>
      <c r="ILI79" s="64"/>
      <c r="ILJ79" s="64"/>
      <c r="ILK79" s="64"/>
      <c r="ILL79" s="64"/>
      <c r="ILM79" s="64"/>
      <c r="ILN79" s="64"/>
      <c r="ILO79" s="64"/>
      <c r="ILP79" s="64"/>
      <c r="ILQ79" s="64"/>
      <c r="ILR79" s="64"/>
      <c r="ILS79" s="64"/>
      <c r="ILT79" s="64"/>
      <c r="ILU79" s="64"/>
      <c r="ILV79" s="64"/>
      <c r="ILW79" s="64"/>
      <c r="ILX79" s="64"/>
      <c r="ILY79" s="64"/>
      <c r="ILZ79" s="64"/>
      <c r="IMA79" s="64"/>
      <c r="IMB79" s="64"/>
      <c r="IMC79" s="64"/>
      <c r="IMD79" s="64"/>
      <c r="IME79" s="64"/>
      <c r="IMF79" s="64"/>
      <c r="IMG79" s="64"/>
      <c r="IMH79" s="64"/>
      <c r="IMI79" s="64"/>
      <c r="IMJ79" s="64"/>
      <c r="IMK79" s="64"/>
      <c r="IML79" s="64"/>
      <c r="IMM79" s="64"/>
      <c r="IMN79" s="64"/>
      <c r="IMO79" s="64"/>
      <c r="IMP79" s="64"/>
      <c r="IMQ79" s="64"/>
      <c r="IMR79" s="64"/>
      <c r="IMS79" s="64"/>
      <c r="IMT79" s="64"/>
      <c r="IMU79" s="64"/>
      <c r="IMV79" s="64"/>
      <c r="IMW79" s="64"/>
      <c r="IMX79" s="64"/>
      <c r="IMY79" s="64"/>
      <c r="IMZ79" s="64"/>
      <c r="INA79" s="64"/>
      <c r="INB79" s="64"/>
      <c r="INC79" s="64"/>
      <c r="IND79" s="64"/>
      <c r="INE79" s="64"/>
      <c r="INF79" s="64"/>
      <c r="ING79" s="64"/>
      <c r="INH79" s="64"/>
      <c r="INI79" s="64"/>
      <c r="INJ79" s="64"/>
      <c r="INK79" s="64"/>
      <c r="INL79" s="64"/>
      <c r="INM79" s="64"/>
      <c r="INN79" s="64"/>
      <c r="INO79" s="64"/>
      <c r="INP79" s="64"/>
      <c r="INQ79" s="64"/>
      <c r="INR79" s="64"/>
      <c r="INS79" s="64"/>
      <c r="INT79" s="64"/>
      <c r="INU79" s="64"/>
      <c r="INV79" s="64"/>
      <c r="INW79" s="64"/>
      <c r="INX79" s="64"/>
      <c r="INY79" s="64"/>
      <c r="INZ79" s="64"/>
      <c r="IOA79" s="64"/>
      <c r="IOB79" s="64"/>
      <c r="IOC79" s="64"/>
      <c r="IOD79" s="64"/>
      <c r="IOE79" s="64"/>
      <c r="IOF79" s="64"/>
      <c r="IOG79" s="64"/>
      <c r="IOH79" s="64"/>
      <c r="IOI79" s="64"/>
      <c r="IOJ79" s="64"/>
      <c r="IOK79" s="64"/>
      <c r="IOL79" s="64"/>
      <c r="IOM79" s="64"/>
      <c r="ION79" s="64"/>
      <c r="IOO79" s="64"/>
      <c r="IOP79" s="64"/>
      <c r="IOQ79" s="64"/>
      <c r="IOR79" s="64"/>
      <c r="IOS79" s="64"/>
      <c r="IOT79" s="64"/>
      <c r="IOU79" s="64"/>
      <c r="IOV79" s="64"/>
      <c r="IOW79" s="64"/>
      <c r="IOX79" s="64"/>
      <c r="IOY79" s="64"/>
      <c r="IOZ79" s="64"/>
      <c r="IPA79" s="64"/>
      <c r="IPB79" s="64"/>
      <c r="IPC79" s="64"/>
      <c r="IPD79" s="64"/>
      <c r="IPE79" s="64"/>
      <c r="IPF79" s="64"/>
      <c r="IPG79" s="64"/>
      <c r="IPH79" s="64"/>
      <c r="IPI79" s="64"/>
      <c r="IPJ79" s="64"/>
      <c r="IPK79" s="64"/>
      <c r="IPL79" s="64"/>
      <c r="IPM79" s="64"/>
      <c r="IPN79" s="64"/>
      <c r="IPO79" s="64"/>
      <c r="IPP79" s="64"/>
      <c r="IPQ79" s="64"/>
      <c r="IPR79" s="64"/>
      <c r="IPS79" s="64"/>
      <c r="IPT79" s="64"/>
      <c r="IPU79" s="64"/>
      <c r="IPV79" s="64"/>
      <c r="IPW79" s="64"/>
      <c r="IPX79" s="64"/>
      <c r="IPY79" s="64"/>
      <c r="IPZ79" s="64"/>
      <c r="IQA79" s="64"/>
      <c r="IQB79" s="64"/>
      <c r="IQC79" s="64"/>
      <c r="IQD79" s="64"/>
      <c r="IQE79" s="64"/>
      <c r="IQF79" s="64"/>
      <c r="IQG79" s="64"/>
      <c r="IQH79" s="64"/>
      <c r="IQI79" s="64"/>
      <c r="IQJ79" s="64"/>
      <c r="IQK79" s="64"/>
      <c r="IQL79" s="64"/>
      <c r="IQM79" s="64"/>
      <c r="IQN79" s="64"/>
      <c r="IQO79" s="64"/>
      <c r="IQP79" s="64"/>
      <c r="IQQ79" s="64"/>
      <c r="IQR79" s="64"/>
      <c r="IQS79" s="64"/>
      <c r="IQT79" s="64"/>
      <c r="IQU79" s="64"/>
      <c r="IQV79" s="64"/>
      <c r="IQW79" s="64"/>
      <c r="IQX79" s="64"/>
      <c r="IQY79" s="64"/>
      <c r="IQZ79" s="64"/>
      <c r="IRA79" s="64"/>
      <c r="IRB79" s="64"/>
      <c r="IRC79" s="64"/>
      <c r="IRD79" s="64"/>
      <c r="IRE79" s="64"/>
      <c r="IRF79" s="64"/>
      <c r="IRG79" s="64"/>
      <c r="IRH79" s="64"/>
      <c r="IRI79" s="64"/>
      <c r="IRJ79" s="64"/>
      <c r="IRK79" s="64"/>
      <c r="IRL79" s="64"/>
      <c r="IRM79" s="64"/>
      <c r="IRN79" s="64"/>
      <c r="IRO79" s="64"/>
      <c r="IRP79" s="64"/>
      <c r="IRQ79" s="64"/>
      <c r="IRR79" s="64"/>
      <c r="IRS79" s="64"/>
      <c r="IRT79" s="64"/>
      <c r="IRU79" s="64"/>
      <c r="IRV79" s="64"/>
      <c r="IRW79" s="64"/>
      <c r="IRX79" s="64"/>
      <c r="IRY79" s="64"/>
      <c r="IRZ79" s="64"/>
      <c r="ISA79" s="64"/>
      <c r="ISB79" s="64"/>
      <c r="ISC79" s="64"/>
      <c r="ISD79" s="64"/>
      <c r="ISE79" s="64"/>
      <c r="ISF79" s="64"/>
      <c r="ISG79" s="64"/>
      <c r="ISH79" s="64"/>
      <c r="ISI79" s="64"/>
      <c r="ISJ79" s="64"/>
      <c r="ISK79" s="64"/>
      <c r="ISL79" s="64"/>
      <c r="ISM79" s="64"/>
      <c r="ISN79" s="64"/>
      <c r="ISO79" s="64"/>
      <c r="ISP79" s="64"/>
      <c r="ISQ79" s="64"/>
      <c r="ISR79" s="64"/>
      <c r="ISS79" s="64"/>
      <c r="IST79" s="64"/>
      <c r="ISU79" s="64"/>
      <c r="ISV79" s="64"/>
      <c r="ISW79" s="64"/>
      <c r="ISX79" s="64"/>
      <c r="ISY79" s="64"/>
      <c r="ISZ79" s="64"/>
      <c r="ITA79" s="64"/>
      <c r="ITB79" s="64"/>
      <c r="ITC79" s="64"/>
      <c r="ITD79" s="64"/>
      <c r="ITE79" s="64"/>
      <c r="ITF79" s="64"/>
      <c r="ITG79" s="64"/>
      <c r="ITH79" s="64"/>
      <c r="ITI79" s="64"/>
      <c r="ITJ79" s="64"/>
      <c r="ITK79" s="64"/>
      <c r="ITL79" s="64"/>
      <c r="ITM79" s="64"/>
      <c r="ITN79" s="64"/>
      <c r="ITO79" s="64"/>
      <c r="ITP79" s="64"/>
      <c r="ITQ79" s="64"/>
      <c r="ITR79" s="64"/>
      <c r="ITS79" s="64"/>
      <c r="ITT79" s="64"/>
      <c r="ITU79" s="64"/>
      <c r="ITV79" s="64"/>
      <c r="ITW79" s="64"/>
      <c r="ITX79" s="64"/>
      <c r="ITY79" s="64"/>
      <c r="ITZ79" s="64"/>
      <c r="IUA79" s="64"/>
      <c r="IUB79" s="64"/>
      <c r="IUC79" s="64"/>
      <c r="IUD79" s="64"/>
      <c r="IUE79" s="64"/>
      <c r="IUF79" s="64"/>
      <c r="IUG79" s="64"/>
      <c r="IUH79" s="64"/>
      <c r="IUI79" s="64"/>
      <c r="IUJ79" s="64"/>
      <c r="IUK79" s="64"/>
      <c r="IUL79" s="64"/>
      <c r="IUM79" s="64"/>
      <c r="IUN79" s="64"/>
      <c r="IUO79" s="64"/>
      <c r="IUP79" s="64"/>
      <c r="IUQ79" s="64"/>
      <c r="IUR79" s="64"/>
      <c r="IUS79" s="64"/>
      <c r="IUT79" s="64"/>
      <c r="IUU79" s="64"/>
      <c r="IUV79" s="64"/>
      <c r="IUW79" s="64"/>
      <c r="IUX79" s="64"/>
      <c r="IUY79" s="64"/>
      <c r="IUZ79" s="64"/>
      <c r="IVA79" s="64"/>
      <c r="IVB79" s="64"/>
      <c r="IVC79" s="64"/>
      <c r="IVD79" s="64"/>
      <c r="IVE79" s="64"/>
      <c r="IVF79" s="64"/>
      <c r="IVG79" s="64"/>
      <c r="IVH79" s="64"/>
      <c r="IVI79" s="64"/>
      <c r="IVJ79" s="64"/>
      <c r="IVK79" s="64"/>
      <c r="IVL79" s="64"/>
      <c r="IVM79" s="64"/>
      <c r="IVN79" s="64"/>
      <c r="IVO79" s="64"/>
      <c r="IVP79" s="64"/>
      <c r="IVQ79" s="64"/>
      <c r="IVR79" s="64"/>
      <c r="IVS79" s="64"/>
      <c r="IVT79" s="64"/>
      <c r="IVU79" s="64"/>
      <c r="IVV79" s="64"/>
      <c r="IVW79" s="64"/>
      <c r="IVX79" s="64"/>
      <c r="IVY79" s="64"/>
      <c r="IVZ79" s="64"/>
      <c r="IWA79" s="64"/>
      <c r="IWB79" s="64"/>
      <c r="IWC79" s="64"/>
      <c r="IWD79" s="64"/>
      <c r="IWE79" s="64"/>
      <c r="IWF79" s="64"/>
      <c r="IWG79" s="64"/>
      <c r="IWH79" s="64"/>
      <c r="IWI79" s="64"/>
      <c r="IWJ79" s="64"/>
      <c r="IWK79" s="64"/>
      <c r="IWL79" s="64"/>
      <c r="IWM79" s="64"/>
      <c r="IWN79" s="64"/>
      <c r="IWO79" s="64"/>
      <c r="IWP79" s="64"/>
      <c r="IWQ79" s="64"/>
      <c r="IWR79" s="64"/>
      <c r="IWS79" s="64"/>
      <c r="IWT79" s="64"/>
      <c r="IWU79" s="64"/>
      <c r="IWV79" s="64"/>
      <c r="IWW79" s="64"/>
      <c r="IWX79" s="64"/>
      <c r="IWY79" s="64"/>
      <c r="IWZ79" s="64"/>
      <c r="IXA79" s="64"/>
      <c r="IXB79" s="64"/>
      <c r="IXC79" s="64"/>
      <c r="IXD79" s="64"/>
      <c r="IXE79" s="64"/>
      <c r="IXF79" s="64"/>
      <c r="IXG79" s="64"/>
      <c r="IXH79" s="64"/>
      <c r="IXI79" s="64"/>
      <c r="IXJ79" s="64"/>
      <c r="IXK79" s="64"/>
      <c r="IXL79" s="64"/>
      <c r="IXM79" s="64"/>
      <c r="IXN79" s="64"/>
      <c r="IXO79" s="64"/>
      <c r="IXP79" s="64"/>
      <c r="IXQ79" s="64"/>
      <c r="IXR79" s="64"/>
      <c r="IXS79" s="64"/>
      <c r="IXT79" s="64"/>
      <c r="IXU79" s="64"/>
      <c r="IXV79" s="64"/>
      <c r="IXW79" s="64"/>
      <c r="IXX79" s="64"/>
      <c r="IXY79" s="64"/>
      <c r="IXZ79" s="64"/>
      <c r="IYA79" s="64"/>
      <c r="IYB79" s="64"/>
      <c r="IYC79" s="64"/>
      <c r="IYD79" s="64"/>
      <c r="IYE79" s="64"/>
      <c r="IYF79" s="64"/>
      <c r="IYG79" s="64"/>
      <c r="IYH79" s="64"/>
      <c r="IYI79" s="64"/>
      <c r="IYJ79" s="64"/>
      <c r="IYK79" s="64"/>
      <c r="IYL79" s="64"/>
      <c r="IYM79" s="64"/>
      <c r="IYN79" s="64"/>
      <c r="IYO79" s="64"/>
      <c r="IYP79" s="64"/>
      <c r="IYQ79" s="64"/>
      <c r="IYR79" s="64"/>
      <c r="IYS79" s="64"/>
      <c r="IYT79" s="64"/>
      <c r="IYU79" s="64"/>
      <c r="IYV79" s="64"/>
      <c r="IYW79" s="64"/>
      <c r="IYX79" s="64"/>
      <c r="IYY79" s="64"/>
      <c r="IYZ79" s="64"/>
      <c r="IZA79" s="64"/>
      <c r="IZB79" s="64"/>
      <c r="IZC79" s="64"/>
      <c r="IZD79" s="64"/>
      <c r="IZE79" s="64"/>
      <c r="IZF79" s="64"/>
      <c r="IZG79" s="64"/>
      <c r="IZH79" s="64"/>
      <c r="IZI79" s="64"/>
      <c r="IZJ79" s="64"/>
      <c r="IZK79" s="64"/>
      <c r="IZL79" s="64"/>
      <c r="IZM79" s="64"/>
      <c r="IZN79" s="64"/>
      <c r="IZO79" s="64"/>
      <c r="IZP79" s="64"/>
      <c r="IZQ79" s="64"/>
      <c r="IZR79" s="64"/>
      <c r="IZS79" s="64"/>
      <c r="IZT79" s="64"/>
      <c r="IZU79" s="64"/>
      <c r="IZV79" s="64"/>
      <c r="IZW79" s="64"/>
      <c r="IZX79" s="64"/>
      <c r="IZY79" s="64"/>
      <c r="IZZ79" s="64"/>
      <c r="JAA79" s="64"/>
      <c r="JAB79" s="64"/>
      <c r="JAC79" s="64"/>
      <c r="JAD79" s="64"/>
      <c r="JAE79" s="64"/>
      <c r="JAF79" s="64"/>
      <c r="JAG79" s="64"/>
      <c r="JAH79" s="64"/>
      <c r="JAI79" s="64"/>
      <c r="JAJ79" s="64"/>
      <c r="JAK79" s="64"/>
      <c r="JAL79" s="64"/>
      <c r="JAM79" s="64"/>
      <c r="JAN79" s="64"/>
      <c r="JAO79" s="64"/>
      <c r="JAP79" s="64"/>
      <c r="JAQ79" s="64"/>
      <c r="JAR79" s="64"/>
      <c r="JAS79" s="64"/>
      <c r="JAT79" s="64"/>
      <c r="JAU79" s="64"/>
      <c r="JAV79" s="64"/>
      <c r="JAW79" s="64"/>
      <c r="JAX79" s="64"/>
      <c r="JAY79" s="64"/>
      <c r="JAZ79" s="64"/>
      <c r="JBA79" s="64"/>
      <c r="JBB79" s="64"/>
      <c r="JBC79" s="64"/>
      <c r="JBD79" s="64"/>
      <c r="JBE79" s="64"/>
      <c r="JBF79" s="64"/>
      <c r="JBG79" s="64"/>
      <c r="JBH79" s="64"/>
      <c r="JBI79" s="64"/>
      <c r="JBJ79" s="64"/>
      <c r="JBK79" s="64"/>
      <c r="JBL79" s="64"/>
      <c r="JBM79" s="64"/>
      <c r="JBN79" s="64"/>
      <c r="JBO79" s="64"/>
      <c r="JBP79" s="64"/>
      <c r="JBQ79" s="64"/>
      <c r="JBR79" s="64"/>
      <c r="JBS79" s="64"/>
      <c r="JBT79" s="64"/>
      <c r="JBU79" s="64"/>
      <c r="JBV79" s="64"/>
      <c r="JBW79" s="64"/>
      <c r="JBX79" s="64"/>
      <c r="JBY79" s="64"/>
      <c r="JBZ79" s="64"/>
      <c r="JCA79" s="64"/>
      <c r="JCB79" s="64"/>
      <c r="JCC79" s="64"/>
      <c r="JCD79" s="64"/>
      <c r="JCE79" s="64"/>
      <c r="JCF79" s="64"/>
      <c r="JCG79" s="64"/>
      <c r="JCH79" s="64"/>
      <c r="JCI79" s="64"/>
      <c r="JCJ79" s="64"/>
      <c r="JCK79" s="64"/>
      <c r="JCL79" s="64"/>
      <c r="JCM79" s="64"/>
      <c r="JCN79" s="64"/>
      <c r="JCO79" s="64"/>
      <c r="JCP79" s="64"/>
      <c r="JCQ79" s="64"/>
      <c r="JCR79" s="64"/>
      <c r="JCS79" s="64"/>
      <c r="JCT79" s="64"/>
      <c r="JCU79" s="64"/>
      <c r="JCV79" s="64"/>
      <c r="JCW79" s="64"/>
      <c r="JCX79" s="64"/>
      <c r="JCY79" s="64"/>
      <c r="JCZ79" s="64"/>
      <c r="JDA79" s="64"/>
      <c r="JDB79" s="64"/>
      <c r="JDC79" s="64"/>
      <c r="JDD79" s="64"/>
      <c r="JDE79" s="64"/>
      <c r="JDF79" s="64"/>
      <c r="JDG79" s="64"/>
      <c r="JDH79" s="64"/>
      <c r="JDI79" s="64"/>
      <c r="JDJ79" s="64"/>
      <c r="JDK79" s="64"/>
      <c r="JDL79" s="64"/>
      <c r="JDM79" s="64"/>
      <c r="JDN79" s="64"/>
      <c r="JDO79" s="64"/>
      <c r="JDP79" s="64"/>
      <c r="JDQ79" s="64"/>
      <c r="JDR79" s="64"/>
      <c r="JDS79" s="64"/>
      <c r="JDT79" s="64"/>
      <c r="JDU79" s="64"/>
      <c r="JDV79" s="64"/>
      <c r="JDW79" s="64"/>
      <c r="JDX79" s="64"/>
      <c r="JDY79" s="64"/>
      <c r="JDZ79" s="64"/>
      <c r="JEA79" s="64"/>
      <c r="JEB79" s="64"/>
      <c r="JEC79" s="64"/>
      <c r="JED79" s="64"/>
      <c r="JEE79" s="64"/>
      <c r="JEF79" s="64"/>
      <c r="JEG79" s="64"/>
      <c r="JEH79" s="64"/>
      <c r="JEI79" s="64"/>
      <c r="JEJ79" s="64"/>
      <c r="JEK79" s="64"/>
      <c r="JEL79" s="64"/>
      <c r="JEM79" s="64"/>
      <c r="JEN79" s="64"/>
      <c r="JEO79" s="64"/>
      <c r="JEP79" s="64"/>
      <c r="JEQ79" s="64"/>
      <c r="JER79" s="64"/>
      <c r="JES79" s="64"/>
      <c r="JET79" s="64"/>
      <c r="JEU79" s="64"/>
      <c r="JEV79" s="64"/>
      <c r="JEW79" s="64"/>
      <c r="JEX79" s="64"/>
      <c r="JEY79" s="64"/>
      <c r="JEZ79" s="64"/>
      <c r="JFA79" s="64"/>
      <c r="JFB79" s="64"/>
      <c r="JFC79" s="64"/>
      <c r="JFD79" s="64"/>
      <c r="JFE79" s="64"/>
      <c r="JFF79" s="64"/>
      <c r="JFG79" s="64"/>
      <c r="JFH79" s="64"/>
      <c r="JFI79" s="64"/>
      <c r="JFJ79" s="64"/>
      <c r="JFK79" s="64"/>
      <c r="JFL79" s="64"/>
      <c r="JFM79" s="64"/>
      <c r="JFN79" s="64"/>
      <c r="JFO79" s="64"/>
      <c r="JFP79" s="64"/>
      <c r="JFQ79" s="64"/>
      <c r="JFR79" s="64"/>
      <c r="JFS79" s="64"/>
      <c r="JFT79" s="64"/>
      <c r="JFU79" s="64"/>
      <c r="JFV79" s="64"/>
      <c r="JFW79" s="64"/>
      <c r="JFX79" s="64"/>
      <c r="JFY79" s="64"/>
      <c r="JFZ79" s="64"/>
      <c r="JGA79" s="64"/>
      <c r="JGB79" s="64"/>
      <c r="JGC79" s="64"/>
      <c r="JGD79" s="64"/>
      <c r="JGE79" s="64"/>
      <c r="JGF79" s="64"/>
      <c r="JGG79" s="64"/>
      <c r="JGH79" s="64"/>
      <c r="JGI79" s="64"/>
      <c r="JGJ79" s="64"/>
      <c r="JGK79" s="64"/>
      <c r="JGL79" s="64"/>
      <c r="JGM79" s="64"/>
      <c r="JGN79" s="64"/>
      <c r="JGO79" s="64"/>
      <c r="JGP79" s="64"/>
      <c r="JGQ79" s="64"/>
      <c r="JGR79" s="64"/>
      <c r="JGS79" s="64"/>
      <c r="JGT79" s="64"/>
      <c r="JGU79" s="64"/>
      <c r="JGV79" s="64"/>
      <c r="JGW79" s="64"/>
      <c r="JGX79" s="64"/>
      <c r="JGY79" s="64"/>
      <c r="JGZ79" s="64"/>
      <c r="JHA79" s="64"/>
      <c r="JHB79" s="64"/>
      <c r="JHC79" s="64"/>
      <c r="JHD79" s="64"/>
      <c r="JHE79" s="64"/>
      <c r="JHF79" s="64"/>
      <c r="JHG79" s="64"/>
      <c r="JHH79" s="64"/>
      <c r="JHI79" s="64"/>
      <c r="JHJ79" s="64"/>
      <c r="JHK79" s="64"/>
      <c r="JHL79" s="64"/>
      <c r="JHM79" s="64"/>
      <c r="JHN79" s="64"/>
      <c r="JHO79" s="64"/>
      <c r="JHP79" s="64"/>
      <c r="JHQ79" s="64"/>
      <c r="JHR79" s="64"/>
      <c r="JHS79" s="64"/>
      <c r="JHT79" s="64"/>
      <c r="JHU79" s="64"/>
      <c r="JHV79" s="64"/>
      <c r="JHW79" s="64"/>
      <c r="JHX79" s="64"/>
      <c r="JHY79" s="64"/>
      <c r="JHZ79" s="64"/>
      <c r="JIA79" s="64"/>
      <c r="JIB79" s="64"/>
      <c r="JIC79" s="64"/>
      <c r="JID79" s="64"/>
      <c r="JIE79" s="64"/>
      <c r="JIF79" s="64"/>
      <c r="JIG79" s="64"/>
      <c r="JIH79" s="64"/>
      <c r="JII79" s="64"/>
      <c r="JIJ79" s="64"/>
      <c r="JIK79" s="64"/>
      <c r="JIL79" s="64"/>
      <c r="JIM79" s="64"/>
      <c r="JIN79" s="64"/>
      <c r="JIO79" s="64"/>
      <c r="JIP79" s="64"/>
      <c r="JIQ79" s="64"/>
      <c r="JIR79" s="64"/>
      <c r="JIS79" s="64"/>
      <c r="JIT79" s="64"/>
      <c r="JIU79" s="64"/>
      <c r="JIV79" s="64"/>
      <c r="JIW79" s="64"/>
      <c r="JIX79" s="64"/>
      <c r="JIY79" s="64"/>
      <c r="JIZ79" s="64"/>
      <c r="JJA79" s="64"/>
      <c r="JJB79" s="64"/>
      <c r="JJC79" s="64"/>
      <c r="JJD79" s="64"/>
      <c r="JJE79" s="64"/>
      <c r="JJF79" s="64"/>
      <c r="JJG79" s="64"/>
      <c r="JJH79" s="64"/>
      <c r="JJI79" s="64"/>
      <c r="JJJ79" s="64"/>
      <c r="JJK79" s="64"/>
      <c r="JJL79" s="64"/>
      <c r="JJM79" s="64"/>
      <c r="JJN79" s="64"/>
      <c r="JJO79" s="64"/>
      <c r="JJP79" s="64"/>
      <c r="JJQ79" s="64"/>
      <c r="JJR79" s="64"/>
      <c r="JJS79" s="64"/>
      <c r="JJT79" s="64"/>
      <c r="JJU79" s="64"/>
      <c r="JJV79" s="64"/>
      <c r="JJW79" s="64"/>
      <c r="JJX79" s="64"/>
      <c r="JJY79" s="64"/>
      <c r="JJZ79" s="64"/>
      <c r="JKA79" s="64"/>
      <c r="JKB79" s="64"/>
      <c r="JKC79" s="64"/>
      <c r="JKD79" s="64"/>
      <c r="JKE79" s="64"/>
      <c r="JKF79" s="64"/>
      <c r="JKG79" s="64"/>
      <c r="JKH79" s="64"/>
      <c r="JKI79" s="64"/>
      <c r="JKJ79" s="64"/>
      <c r="JKK79" s="64"/>
      <c r="JKL79" s="64"/>
      <c r="JKM79" s="64"/>
      <c r="JKN79" s="64"/>
      <c r="JKO79" s="64"/>
      <c r="JKP79" s="64"/>
      <c r="JKQ79" s="64"/>
      <c r="JKR79" s="64"/>
      <c r="JKS79" s="64"/>
      <c r="JKT79" s="64"/>
      <c r="JKU79" s="64"/>
      <c r="JKV79" s="64"/>
      <c r="JKW79" s="64"/>
      <c r="JKX79" s="64"/>
      <c r="JKY79" s="64"/>
      <c r="JKZ79" s="64"/>
      <c r="JLA79" s="64"/>
      <c r="JLB79" s="64"/>
      <c r="JLC79" s="64"/>
      <c r="JLD79" s="64"/>
      <c r="JLE79" s="64"/>
      <c r="JLF79" s="64"/>
      <c r="JLG79" s="64"/>
      <c r="JLH79" s="64"/>
      <c r="JLI79" s="64"/>
      <c r="JLJ79" s="64"/>
      <c r="JLK79" s="64"/>
      <c r="JLL79" s="64"/>
      <c r="JLM79" s="64"/>
      <c r="JLN79" s="64"/>
      <c r="JLO79" s="64"/>
      <c r="JLP79" s="64"/>
      <c r="JLQ79" s="64"/>
      <c r="JLR79" s="64"/>
      <c r="JLS79" s="64"/>
      <c r="JLT79" s="64"/>
      <c r="JLU79" s="64"/>
      <c r="JLV79" s="64"/>
      <c r="JLW79" s="64"/>
      <c r="JLX79" s="64"/>
      <c r="JLY79" s="64"/>
      <c r="JLZ79" s="64"/>
      <c r="JMA79" s="64"/>
      <c r="JMB79" s="64"/>
      <c r="JMC79" s="64"/>
      <c r="JMD79" s="64"/>
      <c r="JME79" s="64"/>
      <c r="JMF79" s="64"/>
      <c r="JMG79" s="64"/>
      <c r="JMH79" s="64"/>
      <c r="JMI79" s="64"/>
      <c r="JMJ79" s="64"/>
      <c r="JMK79" s="64"/>
      <c r="JML79" s="64"/>
      <c r="JMM79" s="64"/>
      <c r="JMN79" s="64"/>
      <c r="JMO79" s="64"/>
      <c r="JMP79" s="64"/>
      <c r="JMQ79" s="64"/>
      <c r="JMR79" s="64"/>
      <c r="JMS79" s="64"/>
      <c r="JMT79" s="64"/>
      <c r="JMU79" s="64"/>
      <c r="JMV79" s="64"/>
      <c r="JMW79" s="64"/>
      <c r="JMX79" s="64"/>
      <c r="JMY79" s="64"/>
      <c r="JMZ79" s="64"/>
      <c r="JNA79" s="64"/>
      <c r="JNB79" s="64"/>
      <c r="JNC79" s="64"/>
      <c r="JND79" s="64"/>
      <c r="JNE79" s="64"/>
      <c r="JNF79" s="64"/>
      <c r="JNG79" s="64"/>
      <c r="JNH79" s="64"/>
      <c r="JNI79" s="64"/>
      <c r="JNJ79" s="64"/>
      <c r="JNK79" s="64"/>
      <c r="JNL79" s="64"/>
      <c r="JNM79" s="64"/>
      <c r="JNN79" s="64"/>
      <c r="JNO79" s="64"/>
      <c r="JNP79" s="64"/>
      <c r="JNQ79" s="64"/>
      <c r="JNR79" s="64"/>
      <c r="JNS79" s="64"/>
      <c r="JNT79" s="64"/>
      <c r="JNU79" s="64"/>
      <c r="JNV79" s="64"/>
      <c r="JNW79" s="64"/>
      <c r="JNX79" s="64"/>
      <c r="JNY79" s="64"/>
      <c r="JNZ79" s="64"/>
      <c r="JOA79" s="64"/>
      <c r="JOB79" s="64"/>
      <c r="JOC79" s="64"/>
      <c r="JOD79" s="64"/>
      <c r="JOE79" s="64"/>
      <c r="JOF79" s="64"/>
      <c r="JOG79" s="64"/>
      <c r="JOH79" s="64"/>
      <c r="JOI79" s="64"/>
      <c r="JOJ79" s="64"/>
      <c r="JOK79" s="64"/>
      <c r="JOL79" s="64"/>
      <c r="JOM79" s="64"/>
      <c r="JON79" s="64"/>
      <c r="JOO79" s="64"/>
      <c r="JOP79" s="64"/>
      <c r="JOQ79" s="64"/>
      <c r="JOR79" s="64"/>
      <c r="JOS79" s="64"/>
      <c r="JOT79" s="64"/>
      <c r="JOU79" s="64"/>
      <c r="JOV79" s="64"/>
      <c r="JOW79" s="64"/>
      <c r="JOX79" s="64"/>
      <c r="JOY79" s="64"/>
      <c r="JOZ79" s="64"/>
      <c r="JPA79" s="64"/>
      <c r="JPB79" s="64"/>
      <c r="JPC79" s="64"/>
      <c r="JPD79" s="64"/>
      <c r="JPE79" s="64"/>
      <c r="JPF79" s="64"/>
      <c r="JPG79" s="64"/>
      <c r="JPH79" s="64"/>
      <c r="JPI79" s="64"/>
      <c r="JPJ79" s="64"/>
      <c r="JPK79" s="64"/>
      <c r="JPL79" s="64"/>
      <c r="JPM79" s="64"/>
      <c r="JPN79" s="64"/>
      <c r="JPO79" s="64"/>
      <c r="JPP79" s="64"/>
      <c r="JPQ79" s="64"/>
      <c r="JPR79" s="64"/>
      <c r="JPS79" s="64"/>
      <c r="JPT79" s="64"/>
      <c r="JPU79" s="64"/>
      <c r="JPV79" s="64"/>
      <c r="JPW79" s="64"/>
      <c r="JPX79" s="64"/>
      <c r="JPY79" s="64"/>
      <c r="JPZ79" s="64"/>
      <c r="JQA79" s="64"/>
      <c r="JQB79" s="64"/>
      <c r="JQC79" s="64"/>
      <c r="JQD79" s="64"/>
      <c r="JQE79" s="64"/>
      <c r="JQF79" s="64"/>
      <c r="JQG79" s="64"/>
      <c r="JQH79" s="64"/>
      <c r="JQI79" s="64"/>
      <c r="JQJ79" s="64"/>
      <c r="JQK79" s="64"/>
      <c r="JQL79" s="64"/>
      <c r="JQM79" s="64"/>
      <c r="JQN79" s="64"/>
      <c r="JQO79" s="64"/>
      <c r="JQP79" s="64"/>
      <c r="JQQ79" s="64"/>
      <c r="JQR79" s="64"/>
      <c r="JQS79" s="64"/>
      <c r="JQT79" s="64"/>
      <c r="JQU79" s="64"/>
      <c r="JQV79" s="64"/>
      <c r="JQW79" s="64"/>
      <c r="JQX79" s="64"/>
      <c r="JQY79" s="64"/>
      <c r="JQZ79" s="64"/>
      <c r="JRA79" s="64"/>
      <c r="JRB79" s="64"/>
      <c r="JRC79" s="64"/>
      <c r="JRD79" s="64"/>
      <c r="JRE79" s="64"/>
      <c r="JRF79" s="64"/>
      <c r="JRG79" s="64"/>
      <c r="JRH79" s="64"/>
      <c r="JRI79" s="64"/>
      <c r="JRJ79" s="64"/>
      <c r="JRK79" s="64"/>
      <c r="JRL79" s="64"/>
      <c r="JRM79" s="64"/>
      <c r="JRN79" s="64"/>
      <c r="JRO79" s="64"/>
      <c r="JRP79" s="64"/>
      <c r="JRQ79" s="64"/>
      <c r="JRR79" s="64"/>
      <c r="JRS79" s="64"/>
      <c r="JRT79" s="64"/>
      <c r="JRU79" s="64"/>
      <c r="JRV79" s="64"/>
      <c r="JRW79" s="64"/>
      <c r="JRX79" s="64"/>
      <c r="JRY79" s="64"/>
      <c r="JRZ79" s="64"/>
      <c r="JSA79" s="64"/>
      <c r="JSB79" s="64"/>
      <c r="JSC79" s="64"/>
      <c r="JSD79" s="64"/>
      <c r="JSE79" s="64"/>
      <c r="JSF79" s="64"/>
      <c r="JSG79" s="64"/>
      <c r="JSH79" s="64"/>
      <c r="JSI79" s="64"/>
      <c r="JSJ79" s="64"/>
      <c r="JSK79" s="64"/>
      <c r="JSL79" s="64"/>
      <c r="JSM79" s="64"/>
      <c r="JSN79" s="64"/>
      <c r="JSO79" s="64"/>
      <c r="JSP79" s="64"/>
      <c r="JSQ79" s="64"/>
      <c r="JSR79" s="64"/>
      <c r="JSS79" s="64"/>
      <c r="JST79" s="64"/>
      <c r="JSU79" s="64"/>
      <c r="JSV79" s="64"/>
      <c r="JSW79" s="64"/>
      <c r="JSX79" s="64"/>
      <c r="JSY79" s="64"/>
      <c r="JSZ79" s="64"/>
      <c r="JTA79" s="64"/>
      <c r="JTB79" s="64"/>
      <c r="JTC79" s="64"/>
      <c r="JTD79" s="64"/>
      <c r="JTE79" s="64"/>
      <c r="JTF79" s="64"/>
      <c r="JTG79" s="64"/>
      <c r="JTH79" s="64"/>
      <c r="JTI79" s="64"/>
      <c r="JTJ79" s="64"/>
      <c r="JTK79" s="64"/>
      <c r="JTL79" s="64"/>
      <c r="JTM79" s="64"/>
      <c r="JTN79" s="64"/>
      <c r="JTO79" s="64"/>
      <c r="JTP79" s="64"/>
      <c r="JTQ79" s="64"/>
      <c r="JTR79" s="64"/>
      <c r="JTS79" s="64"/>
      <c r="JTT79" s="64"/>
      <c r="JTU79" s="64"/>
      <c r="JTV79" s="64"/>
      <c r="JTW79" s="64"/>
      <c r="JTX79" s="64"/>
      <c r="JTY79" s="64"/>
      <c r="JTZ79" s="64"/>
      <c r="JUA79" s="64"/>
      <c r="JUB79" s="64"/>
      <c r="JUC79" s="64"/>
      <c r="JUD79" s="64"/>
      <c r="JUE79" s="64"/>
      <c r="JUF79" s="64"/>
      <c r="JUG79" s="64"/>
      <c r="JUH79" s="64"/>
      <c r="JUI79" s="64"/>
      <c r="JUJ79" s="64"/>
      <c r="JUK79" s="64"/>
      <c r="JUL79" s="64"/>
      <c r="JUM79" s="64"/>
      <c r="JUN79" s="64"/>
      <c r="JUO79" s="64"/>
      <c r="JUP79" s="64"/>
      <c r="JUQ79" s="64"/>
      <c r="JUR79" s="64"/>
      <c r="JUS79" s="64"/>
      <c r="JUT79" s="64"/>
      <c r="JUU79" s="64"/>
      <c r="JUV79" s="64"/>
      <c r="JUW79" s="64"/>
      <c r="JUX79" s="64"/>
      <c r="JUY79" s="64"/>
      <c r="JUZ79" s="64"/>
      <c r="JVA79" s="64"/>
      <c r="JVB79" s="64"/>
      <c r="JVC79" s="64"/>
      <c r="JVD79" s="64"/>
      <c r="JVE79" s="64"/>
      <c r="JVF79" s="64"/>
      <c r="JVG79" s="64"/>
      <c r="JVH79" s="64"/>
      <c r="JVI79" s="64"/>
      <c r="JVJ79" s="64"/>
      <c r="JVK79" s="64"/>
      <c r="JVL79" s="64"/>
      <c r="JVM79" s="64"/>
      <c r="JVN79" s="64"/>
      <c r="JVO79" s="64"/>
      <c r="JVP79" s="64"/>
      <c r="JVQ79" s="64"/>
      <c r="JVR79" s="64"/>
      <c r="JVS79" s="64"/>
      <c r="JVT79" s="64"/>
      <c r="JVU79" s="64"/>
      <c r="JVV79" s="64"/>
      <c r="JVW79" s="64"/>
      <c r="JVX79" s="64"/>
      <c r="JVY79" s="64"/>
      <c r="JVZ79" s="64"/>
      <c r="JWA79" s="64"/>
      <c r="JWB79" s="64"/>
      <c r="JWC79" s="64"/>
      <c r="JWD79" s="64"/>
      <c r="JWE79" s="64"/>
      <c r="JWF79" s="64"/>
      <c r="JWG79" s="64"/>
      <c r="JWH79" s="64"/>
      <c r="JWI79" s="64"/>
      <c r="JWJ79" s="64"/>
      <c r="JWK79" s="64"/>
      <c r="JWL79" s="64"/>
      <c r="JWM79" s="64"/>
      <c r="JWN79" s="64"/>
      <c r="JWO79" s="64"/>
      <c r="JWP79" s="64"/>
      <c r="JWQ79" s="64"/>
      <c r="JWR79" s="64"/>
      <c r="JWS79" s="64"/>
      <c r="JWT79" s="64"/>
      <c r="JWU79" s="64"/>
      <c r="JWV79" s="64"/>
      <c r="JWW79" s="64"/>
      <c r="JWX79" s="64"/>
      <c r="JWY79" s="64"/>
      <c r="JWZ79" s="64"/>
      <c r="JXA79" s="64"/>
      <c r="JXB79" s="64"/>
      <c r="JXC79" s="64"/>
      <c r="JXD79" s="64"/>
      <c r="JXE79" s="64"/>
      <c r="JXF79" s="64"/>
      <c r="JXG79" s="64"/>
      <c r="JXH79" s="64"/>
      <c r="JXI79" s="64"/>
      <c r="JXJ79" s="64"/>
      <c r="JXK79" s="64"/>
      <c r="JXL79" s="64"/>
      <c r="JXM79" s="64"/>
      <c r="JXN79" s="64"/>
      <c r="JXO79" s="64"/>
      <c r="JXP79" s="64"/>
      <c r="JXQ79" s="64"/>
      <c r="JXR79" s="64"/>
      <c r="JXS79" s="64"/>
      <c r="JXT79" s="64"/>
      <c r="JXU79" s="64"/>
      <c r="JXV79" s="64"/>
      <c r="JXW79" s="64"/>
      <c r="JXX79" s="64"/>
      <c r="JXY79" s="64"/>
      <c r="JXZ79" s="64"/>
      <c r="JYA79" s="64"/>
      <c r="JYB79" s="64"/>
      <c r="JYC79" s="64"/>
      <c r="JYD79" s="64"/>
      <c r="JYE79" s="64"/>
      <c r="JYF79" s="64"/>
      <c r="JYG79" s="64"/>
      <c r="JYH79" s="64"/>
      <c r="JYI79" s="64"/>
      <c r="JYJ79" s="64"/>
      <c r="JYK79" s="64"/>
      <c r="JYL79" s="64"/>
      <c r="JYM79" s="64"/>
      <c r="JYN79" s="64"/>
      <c r="JYO79" s="64"/>
      <c r="JYP79" s="64"/>
      <c r="JYQ79" s="64"/>
      <c r="JYR79" s="64"/>
      <c r="JYS79" s="64"/>
      <c r="JYT79" s="64"/>
      <c r="JYU79" s="64"/>
      <c r="JYV79" s="64"/>
      <c r="JYW79" s="64"/>
      <c r="JYX79" s="64"/>
      <c r="JYY79" s="64"/>
      <c r="JYZ79" s="64"/>
      <c r="JZA79" s="64"/>
      <c r="JZB79" s="64"/>
      <c r="JZC79" s="64"/>
      <c r="JZD79" s="64"/>
      <c r="JZE79" s="64"/>
      <c r="JZF79" s="64"/>
      <c r="JZG79" s="64"/>
      <c r="JZH79" s="64"/>
      <c r="JZI79" s="64"/>
      <c r="JZJ79" s="64"/>
      <c r="JZK79" s="64"/>
      <c r="JZL79" s="64"/>
      <c r="JZM79" s="64"/>
      <c r="JZN79" s="64"/>
      <c r="JZO79" s="64"/>
      <c r="JZP79" s="64"/>
      <c r="JZQ79" s="64"/>
      <c r="JZR79" s="64"/>
      <c r="JZS79" s="64"/>
      <c r="JZT79" s="64"/>
      <c r="JZU79" s="64"/>
      <c r="JZV79" s="64"/>
      <c r="JZW79" s="64"/>
      <c r="JZX79" s="64"/>
      <c r="JZY79" s="64"/>
      <c r="JZZ79" s="64"/>
      <c r="KAA79" s="64"/>
      <c r="KAB79" s="64"/>
      <c r="KAC79" s="64"/>
      <c r="KAD79" s="64"/>
      <c r="KAE79" s="64"/>
      <c r="KAF79" s="64"/>
      <c r="KAG79" s="64"/>
      <c r="KAH79" s="64"/>
      <c r="KAI79" s="64"/>
      <c r="KAJ79" s="64"/>
      <c r="KAK79" s="64"/>
      <c r="KAL79" s="64"/>
      <c r="KAM79" s="64"/>
      <c r="KAN79" s="64"/>
      <c r="KAO79" s="64"/>
      <c r="KAP79" s="64"/>
      <c r="KAQ79" s="64"/>
      <c r="KAR79" s="64"/>
      <c r="KAS79" s="64"/>
      <c r="KAT79" s="64"/>
      <c r="KAU79" s="64"/>
      <c r="KAV79" s="64"/>
      <c r="KAW79" s="64"/>
      <c r="KAX79" s="64"/>
      <c r="KAY79" s="64"/>
      <c r="KAZ79" s="64"/>
      <c r="KBA79" s="64"/>
      <c r="KBB79" s="64"/>
      <c r="KBC79" s="64"/>
      <c r="KBD79" s="64"/>
      <c r="KBE79" s="64"/>
      <c r="KBF79" s="64"/>
      <c r="KBG79" s="64"/>
      <c r="KBH79" s="64"/>
      <c r="KBI79" s="64"/>
      <c r="KBJ79" s="64"/>
      <c r="KBK79" s="64"/>
      <c r="KBL79" s="64"/>
      <c r="KBM79" s="64"/>
      <c r="KBN79" s="64"/>
      <c r="KBO79" s="64"/>
      <c r="KBP79" s="64"/>
      <c r="KBQ79" s="64"/>
      <c r="KBR79" s="64"/>
      <c r="KBS79" s="64"/>
      <c r="KBT79" s="64"/>
      <c r="KBU79" s="64"/>
      <c r="KBV79" s="64"/>
      <c r="KBW79" s="64"/>
      <c r="KBX79" s="64"/>
      <c r="KBY79" s="64"/>
      <c r="KBZ79" s="64"/>
      <c r="KCA79" s="64"/>
      <c r="KCB79" s="64"/>
      <c r="KCC79" s="64"/>
      <c r="KCD79" s="64"/>
      <c r="KCE79" s="64"/>
      <c r="KCF79" s="64"/>
      <c r="KCG79" s="64"/>
      <c r="KCH79" s="64"/>
      <c r="KCI79" s="64"/>
      <c r="KCJ79" s="64"/>
      <c r="KCK79" s="64"/>
      <c r="KCL79" s="64"/>
      <c r="KCM79" s="64"/>
      <c r="KCN79" s="64"/>
      <c r="KCO79" s="64"/>
      <c r="KCP79" s="64"/>
      <c r="KCQ79" s="64"/>
      <c r="KCR79" s="64"/>
      <c r="KCS79" s="64"/>
      <c r="KCT79" s="64"/>
      <c r="KCU79" s="64"/>
      <c r="KCV79" s="64"/>
      <c r="KCW79" s="64"/>
      <c r="KCX79" s="64"/>
      <c r="KCY79" s="64"/>
      <c r="KCZ79" s="64"/>
      <c r="KDA79" s="64"/>
      <c r="KDB79" s="64"/>
      <c r="KDC79" s="64"/>
      <c r="KDD79" s="64"/>
      <c r="KDE79" s="64"/>
      <c r="KDF79" s="64"/>
      <c r="KDG79" s="64"/>
      <c r="KDH79" s="64"/>
      <c r="KDI79" s="64"/>
      <c r="KDJ79" s="64"/>
      <c r="KDK79" s="64"/>
      <c r="KDL79" s="64"/>
      <c r="KDM79" s="64"/>
      <c r="KDN79" s="64"/>
      <c r="KDO79" s="64"/>
      <c r="KDP79" s="64"/>
      <c r="KDQ79" s="64"/>
      <c r="KDR79" s="64"/>
      <c r="KDS79" s="64"/>
      <c r="KDT79" s="64"/>
      <c r="KDU79" s="64"/>
      <c r="KDV79" s="64"/>
      <c r="KDW79" s="64"/>
      <c r="KDX79" s="64"/>
      <c r="KDY79" s="64"/>
      <c r="KDZ79" s="64"/>
      <c r="KEA79" s="64"/>
      <c r="KEB79" s="64"/>
      <c r="KEC79" s="64"/>
      <c r="KED79" s="64"/>
      <c r="KEE79" s="64"/>
      <c r="KEF79" s="64"/>
      <c r="KEG79" s="64"/>
      <c r="KEH79" s="64"/>
      <c r="KEI79" s="64"/>
      <c r="KEJ79" s="64"/>
      <c r="KEK79" s="64"/>
      <c r="KEL79" s="64"/>
      <c r="KEM79" s="64"/>
      <c r="KEN79" s="64"/>
      <c r="KEO79" s="64"/>
      <c r="KEP79" s="64"/>
      <c r="KEQ79" s="64"/>
      <c r="KER79" s="64"/>
      <c r="KES79" s="64"/>
      <c r="KET79" s="64"/>
      <c r="KEU79" s="64"/>
      <c r="KEV79" s="64"/>
      <c r="KEW79" s="64"/>
      <c r="KEX79" s="64"/>
      <c r="KEY79" s="64"/>
      <c r="KEZ79" s="64"/>
      <c r="KFA79" s="64"/>
      <c r="KFB79" s="64"/>
      <c r="KFC79" s="64"/>
      <c r="KFD79" s="64"/>
      <c r="KFE79" s="64"/>
      <c r="KFF79" s="64"/>
      <c r="KFG79" s="64"/>
      <c r="KFH79" s="64"/>
      <c r="KFI79" s="64"/>
      <c r="KFJ79" s="64"/>
      <c r="KFK79" s="64"/>
      <c r="KFL79" s="64"/>
      <c r="KFM79" s="64"/>
      <c r="KFN79" s="64"/>
      <c r="KFO79" s="64"/>
      <c r="KFP79" s="64"/>
      <c r="KFQ79" s="64"/>
      <c r="KFR79" s="64"/>
      <c r="KFS79" s="64"/>
      <c r="KFT79" s="64"/>
      <c r="KFU79" s="64"/>
      <c r="KFV79" s="64"/>
      <c r="KFW79" s="64"/>
      <c r="KFX79" s="64"/>
      <c r="KFY79" s="64"/>
      <c r="KFZ79" s="64"/>
      <c r="KGA79" s="64"/>
      <c r="KGB79" s="64"/>
      <c r="KGC79" s="64"/>
      <c r="KGD79" s="64"/>
      <c r="KGE79" s="64"/>
      <c r="KGF79" s="64"/>
      <c r="KGG79" s="64"/>
      <c r="KGH79" s="64"/>
      <c r="KGI79" s="64"/>
      <c r="KGJ79" s="64"/>
      <c r="KGK79" s="64"/>
      <c r="KGL79" s="64"/>
      <c r="KGM79" s="64"/>
      <c r="KGN79" s="64"/>
      <c r="KGO79" s="64"/>
      <c r="KGP79" s="64"/>
      <c r="KGQ79" s="64"/>
      <c r="KGR79" s="64"/>
      <c r="KGS79" s="64"/>
      <c r="KGT79" s="64"/>
      <c r="KGU79" s="64"/>
      <c r="KGV79" s="64"/>
      <c r="KGW79" s="64"/>
      <c r="KGX79" s="64"/>
      <c r="KGY79" s="64"/>
      <c r="KGZ79" s="64"/>
      <c r="KHA79" s="64"/>
      <c r="KHB79" s="64"/>
      <c r="KHC79" s="64"/>
      <c r="KHD79" s="64"/>
      <c r="KHE79" s="64"/>
      <c r="KHF79" s="64"/>
      <c r="KHG79" s="64"/>
      <c r="KHH79" s="64"/>
      <c r="KHI79" s="64"/>
      <c r="KHJ79" s="64"/>
      <c r="KHK79" s="64"/>
      <c r="KHL79" s="64"/>
      <c r="KHM79" s="64"/>
      <c r="KHN79" s="64"/>
      <c r="KHO79" s="64"/>
      <c r="KHP79" s="64"/>
      <c r="KHQ79" s="64"/>
      <c r="KHR79" s="64"/>
      <c r="KHS79" s="64"/>
      <c r="KHT79" s="64"/>
      <c r="KHU79" s="64"/>
      <c r="KHV79" s="64"/>
      <c r="KHW79" s="64"/>
      <c r="KHX79" s="64"/>
      <c r="KHY79" s="64"/>
      <c r="KHZ79" s="64"/>
      <c r="KIA79" s="64"/>
      <c r="KIB79" s="64"/>
      <c r="KIC79" s="64"/>
      <c r="KID79" s="64"/>
      <c r="KIE79" s="64"/>
      <c r="KIF79" s="64"/>
      <c r="KIG79" s="64"/>
      <c r="KIH79" s="64"/>
      <c r="KII79" s="64"/>
      <c r="KIJ79" s="64"/>
      <c r="KIK79" s="64"/>
      <c r="KIL79" s="64"/>
      <c r="KIM79" s="64"/>
      <c r="KIN79" s="64"/>
      <c r="KIO79" s="64"/>
      <c r="KIP79" s="64"/>
      <c r="KIQ79" s="64"/>
      <c r="KIR79" s="64"/>
      <c r="KIS79" s="64"/>
      <c r="KIT79" s="64"/>
      <c r="KIU79" s="64"/>
      <c r="KIV79" s="64"/>
      <c r="KIW79" s="64"/>
      <c r="KIX79" s="64"/>
      <c r="KIY79" s="64"/>
      <c r="KIZ79" s="64"/>
      <c r="KJA79" s="64"/>
      <c r="KJB79" s="64"/>
      <c r="KJC79" s="64"/>
      <c r="KJD79" s="64"/>
      <c r="KJE79" s="64"/>
      <c r="KJF79" s="64"/>
      <c r="KJG79" s="64"/>
      <c r="KJH79" s="64"/>
      <c r="KJI79" s="64"/>
      <c r="KJJ79" s="64"/>
      <c r="KJK79" s="64"/>
      <c r="KJL79" s="64"/>
      <c r="KJM79" s="64"/>
      <c r="KJN79" s="64"/>
      <c r="KJO79" s="64"/>
      <c r="KJP79" s="64"/>
      <c r="KJQ79" s="64"/>
      <c r="KJR79" s="64"/>
      <c r="KJS79" s="64"/>
      <c r="KJT79" s="64"/>
      <c r="KJU79" s="64"/>
      <c r="KJV79" s="64"/>
      <c r="KJW79" s="64"/>
      <c r="KJX79" s="64"/>
      <c r="KJY79" s="64"/>
      <c r="KJZ79" s="64"/>
      <c r="KKA79" s="64"/>
      <c r="KKB79" s="64"/>
      <c r="KKC79" s="64"/>
      <c r="KKD79" s="64"/>
      <c r="KKE79" s="64"/>
      <c r="KKF79" s="64"/>
      <c r="KKG79" s="64"/>
      <c r="KKH79" s="64"/>
      <c r="KKI79" s="64"/>
      <c r="KKJ79" s="64"/>
      <c r="KKK79" s="64"/>
      <c r="KKL79" s="64"/>
      <c r="KKM79" s="64"/>
      <c r="KKN79" s="64"/>
      <c r="KKO79" s="64"/>
      <c r="KKP79" s="64"/>
      <c r="KKQ79" s="64"/>
      <c r="KKR79" s="64"/>
      <c r="KKS79" s="64"/>
      <c r="KKT79" s="64"/>
      <c r="KKU79" s="64"/>
      <c r="KKV79" s="64"/>
      <c r="KKW79" s="64"/>
      <c r="KKX79" s="64"/>
      <c r="KKY79" s="64"/>
      <c r="KKZ79" s="64"/>
      <c r="KLA79" s="64"/>
      <c r="KLB79" s="64"/>
      <c r="KLC79" s="64"/>
      <c r="KLD79" s="64"/>
      <c r="KLE79" s="64"/>
      <c r="KLF79" s="64"/>
      <c r="KLG79" s="64"/>
      <c r="KLH79" s="64"/>
      <c r="KLI79" s="64"/>
      <c r="KLJ79" s="64"/>
      <c r="KLK79" s="64"/>
      <c r="KLL79" s="64"/>
      <c r="KLM79" s="64"/>
      <c r="KLN79" s="64"/>
      <c r="KLO79" s="64"/>
      <c r="KLP79" s="64"/>
      <c r="KLQ79" s="64"/>
      <c r="KLR79" s="64"/>
      <c r="KLS79" s="64"/>
      <c r="KLT79" s="64"/>
      <c r="KLU79" s="64"/>
      <c r="KLV79" s="64"/>
      <c r="KLW79" s="64"/>
      <c r="KLX79" s="64"/>
      <c r="KLY79" s="64"/>
      <c r="KLZ79" s="64"/>
      <c r="KMA79" s="64"/>
      <c r="KMB79" s="64"/>
      <c r="KMC79" s="64"/>
      <c r="KMD79" s="64"/>
      <c r="KME79" s="64"/>
      <c r="KMF79" s="64"/>
      <c r="KMG79" s="64"/>
      <c r="KMH79" s="64"/>
      <c r="KMI79" s="64"/>
      <c r="KMJ79" s="64"/>
      <c r="KMK79" s="64"/>
      <c r="KML79" s="64"/>
      <c r="KMM79" s="64"/>
      <c r="KMN79" s="64"/>
      <c r="KMO79" s="64"/>
      <c r="KMP79" s="64"/>
      <c r="KMQ79" s="64"/>
      <c r="KMR79" s="64"/>
      <c r="KMS79" s="64"/>
      <c r="KMT79" s="64"/>
      <c r="KMU79" s="64"/>
      <c r="KMV79" s="64"/>
      <c r="KMW79" s="64"/>
      <c r="KMX79" s="64"/>
      <c r="KMY79" s="64"/>
      <c r="KMZ79" s="64"/>
      <c r="KNA79" s="64"/>
      <c r="KNB79" s="64"/>
      <c r="KNC79" s="64"/>
      <c r="KND79" s="64"/>
      <c r="KNE79" s="64"/>
      <c r="KNF79" s="64"/>
      <c r="KNG79" s="64"/>
      <c r="KNH79" s="64"/>
      <c r="KNI79" s="64"/>
      <c r="KNJ79" s="64"/>
      <c r="KNK79" s="64"/>
      <c r="KNL79" s="64"/>
      <c r="KNM79" s="64"/>
      <c r="KNN79" s="64"/>
      <c r="KNO79" s="64"/>
      <c r="KNP79" s="64"/>
      <c r="KNQ79" s="64"/>
      <c r="KNR79" s="64"/>
      <c r="KNS79" s="64"/>
      <c r="KNT79" s="64"/>
      <c r="KNU79" s="64"/>
      <c r="KNV79" s="64"/>
      <c r="KNW79" s="64"/>
      <c r="KNX79" s="64"/>
      <c r="KNY79" s="64"/>
      <c r="KNZ79" s="64"/>
      <c r="KOA79" s="64"/>
      <c r="KOB79" s="64"/>
      <c r="KOC79" s="64"/>
      <c r="KOD79" s="64"/>
      <c r="KOE79" s="64"/>
      <c r="KOF79" s="64"/>
      <c r="KOG79" s="64"/>
      <c r="KOH79" s="64"/>
      <c r="KOI79" s="64"/>
      <c r="KOJ79" s="64"/>
      <c r="KOK79" s="64"/>
      <c r="KOL79" s="64"/>
      <c r="KOM79" s="64"/>
      <c r="KON79" s="64"/>
      <c r="KOO79" s="64"/>
      <c r="KOP79" s="64"/>
      <c r="KOQ79" s="64"/>
      <c r="KOR79" s="64"/>
      <c r="KOS79" s="64"/>
      <c r="KOT79" s="64"/>
      <c r="KOU79" s="64"/>
      <c r="KOV79" s="64"/>
      <c r="KOW79" s="64"/>
      <c r="KOX79" s="64"/>
      <c r="KOY79" s="64"/>
      <c r="KOZ79" s="64"/>
      <c r="KPA79" s="64"/>
      <c r="KPB79" s="64"/>
      <c r="KPC79" s="64"/>
      <c r="KPD79" s="64"/>
      <c r="KPE79" s="64"/>
      <c r="KPF79" s="64"/>
      <c r="KPG79" s="64"/>
      <c r="KPH79" s="64"/>
      <c r="KPI79" s="64"/>
      <c r="KPJ79" s="64"/>
      <c r="KPK79" s="64"/>
      <c r="KPL79" s="64"/>
      <c r="KPM79" s="64"/>
      <c r="KPN79" s="64"/>
      <c r="KPO79" s="64"/>
      <c r="KPP79" s="64"/>
      <c r="KPQ79" s="64"/>
      <c r="KPR79" s="64"/>
      <c r="KPS79" s="64"/>
      <c r="KPT79" s="64"/>
      <c r="KPU79" s="64"/>
      <c r="KPV79" s="64"/>
      <c r="KPW79" s="64"/>
      <c r="KPX79" s="64"/>
      <c r="KPY79" s="64"/>
      <c r="KPZ79" s="64"/>
      <c r="KQA79" s="64"/>
      <c r="KQB79" s="64"/>
      <c r="KQC79" s="64"/>
      <c r="KQD79" s="64"/>
      <c r="KQE79" s="64"/>
      <c r="KQF79" s="64"/>
      <c r="KQG79" s="64"/>
      <c r="KQH79" s="64"/>
      <c r="KQI79" s="64"/>
      <c r="KQJ79" s="64"/>
      <c r="KQK79" s="64"/>
      <c r="KQL79" s="64"/>
      <c r="KQM79" s="64"/>
      <c r="KQN79" s="64"/>
      <c r="KQO79" s="64"/>
      <c r="KQP79" s="64"/>
      <c r="KQQ79" s="64"/>
      <c r="KQR79" s="64"/>
      <c r="KQS79" s="64"/>
      <c r="KQT79" s="64"/>
      <c r="KQU79" s="64"/>
      <c r="KQV79" s="64"/>
      <c r="KQW79" s="64"/>
      <c r="KQX79" s="64"/>
      <c r="KQY79" s="64"/>
      <c r="KQZ79" s="64"/>
      <c r="KRA79" s="64"/>
      <c r="KRB79" s="64"/>
      <c r="KRC79" s="64"/>
      <c r="KRD79" s="64"/>
      <c r="KRE79" s="64"/>
      <c r="KRF79" s="64"/>
      <c r="KRG79" s="64"/>
      <c r="KRH79" s="64"/>
      <c r="KRI79" s="64"/>
      <c r="KRJ79" s="64"/>
      <c r="KRK79" s="64"/>
      <c r="KRL79" s="64"/>
      <c r="KRM79" s="64"/>
      <c r="KRN79" s="64"/>
      <c r="KRO79" s="64"/>
      <c r="KRP79" s="64"/>
      <c r="KRQ79" s="64"/>
      <c r="KRR79" s="64"/>
      <c r="KRS79" s="64"/>
      <c r="KRT79" s="64"/>
      <c r="KRU79" s="64"/>
      <c r="KRV79" s="64"/>
      <c r="KRW79" s="64"/>
      <c r="KRX79" s="64"/>
      <c r="KRY79" s="64"/>
      <c r="KRZ79" s="64"/>
      <c r="KSA79" s="64"/>
      <c r="KSB79" s="64"/>
      <c r="KSC79" s="64"/>
      <c r="KSD79" s="64"/>
      <c r="KSE79" s="64"/>
      <c r="KSF79" s="64"/>
      <c r="KSG79" s="64"/>
      <c r="KSH79" s="64"/>
      <c r="KSI79" s="64"/>
      <c r="KSJ79" s="64"/>
      <c r="KSK79" s="64"/>
      <c r="KSL79" s="64"/>
      <c r="KSM79" s="64"/>
      <c r="KSN79" s="64"/>
      <c r="KSO79" s="64"/>
      <c r="KSP79" s="64"/>
      <c r="KSQ79" s="64"/>
      <c r="KSR79" s="64"/>
      <c r="KSS79" s="64"/>
      <c r="KST79" s="64"/>
      <c r="KSU79" s="64"/>
      <c r="KSV79" s="64"/>
      <c r="KSW79" s="64"/>
      <c r="KSX79" s="64"/>
      <c r="KSY79" s="64"/>
      <c r="KSZ79" s="64"/>
      <c r="KTA79" s="64"/>
      <c r="KTB79" s="64"/>
      <c r="KTC79" s="64"/>
      <c r="KTD79" s="64"/>
      <c r="KTE79" s="64"/>
      <c r="KTF79" s="64"/>
      <c r="KTG79" s="64"/>
      <c r="KTH79" s="64"/>
      <c r="KTI79" s="64"/>
      <c r="KTJ79" s="64"/>
      <c r="KTK79" s="64"/>
      <c r="KTL79" s="64"/>
      <c r="KTM79" s="64"/>
      <c r="KTN79" s="64"/>
      <c r="KTO79" s="64"/>
      <c r="KTP79" s="64"/>
      <c r="KTQ79" s="64"/>
      <c r="KTR79" s="64"/>
      <c r="KTS79" s="64"/>
      <c r="KTT79" s="64"/>
      <c r="KTU79" s="64"/>
      <c r="KTV79" s="64"/>
      <c r="KTW79" s="64"/>
      <c r="KTX79" s="64"/>
      <c r="KTY79" s="64"/>
      <c r="KTZ79" s="64"/>
      <c r="KUA79" s="64"/>
      <c r="KUB79" s="64"/>
      <c r="KUC79" s="64"/>
      <c r="KUD79" s="64"/>
      <c r="KUE79" s="64"/>
      <c r="KUF79" s="64"/>
      <c r="KUG79" s="64"/>
      <c r="KUH79" s="64"/>
      <c r="KUI79" s="64"/>
      <c r="KUJ79" s="64"/>
      <c r="KUK79" s="64"/>
      <c r="KUL79" s="64"/>
      <c r="KUM79" s="64"/>
      <c r="KUN79" s="64"/>
      <c r="KUO79" s="64"/>
      <c r="KUP79" s="64"/>
      <c r="KUQ79" s="64"/>
      <c r="KUR79" s="64"/>
      <c r="KUS79" s="64"/>
      <c r="KUT79" s="64"/>
      <c r="KUU79" s="64"/>
      <c r="KUV79" s="64"/>
      <c r="KUW79" s="64"/>
      <c r="KUX79" s="64"/>
      <c r="KUY79" s="64"/>
      <c r="KUZ79" s="64"/>
      <c r="KVA79" s="64"/>
      <c r="KVB79" s="64"/>
      <c r="KVC79" s="64"/>
      <c r="KVD79" s="64"/>
      <c r="KVE79" s="64"/>
      <c r="KVF79" s="64"/>
      <c r="KVG79" s="64"/>
      <c r="KVH79" s="64"/>
      <c r="KVI79" s="64"/>
      <c r="KVJ79" s="64"/>
      <c r="KVK79" s="64"/>
      <c r="KVL79" s="64"/>
      <c r="KVM79" s="64"/>
      <c r="KVN79" s="64"/>
      <c r="KVO79" s="64"/>
      <c r="KVP79" s="64"/>
      <c r="KVQ79" s="64"/>
      <c r="KVR79" s="64"/>
      <c r="KVS79" s="64"/>
      <c r="KVT79" s="64"/>
      <c r="KVU79" s="64"/>
      <c r="KVV79" s="64"/>
      <c r="KVW79" s="64"/>
      <c r="KVX79" s="64"/>
      <c r="KVY79" s="64"/>
      <c r="KVZ79" s="64"/>
      <c r="KWA79" s="64"/>
      <c r="KWB79" s="64"/>
      <c r="KWC79" s="64"/>
      <c r="KWD79" s="64"/>
      <c r="KWE79" s="64"/>
      <c r="KWF79" s="64"/>
      <c r="KWG79" s="64"/>
      <c r="KWH79" s="64"/>
      <c r="KWI79" s="64"/>
      <c r="KWJ79" s="64"/>
      <c r="KWK79" s="64"/>
      <c r="KWL79" s="64"/>
      <c r="KWM79" s="64"/>
      <c r="KWN79" s="64"/>
      <c r="KWO79" s="64"/>
      <c r="KWP79" s="64"/>
      <c r="KWQ79" s="64"/>
      <c r="KWR79" s="64"/>
      <c r="KWS79" s="64"/>
      <c r="KWT79" s="64"/>
      <c r="KWU79" s="64"/>
      <c r="KWV79" s="64"/>
      <c r="KWW79" s="64"/>
      <c r="KWX79" s="64"/>
      <c r="KWY79" s="64"/>
      <c r="KWZ79" s="64"/>
      <c r="KXA79" s="64"/>
      <c r="KXB79" s="64"/>
      <c r="KXC79" s="64"/>
      <c r="KXD79" s="64"/>
      <c r="KXE79" s="64"/>
      <c r="KXF79" s="64"/>
      <c r="KXG79" s="64"/>
      <c r="KXH79" s="64"/>
      <c r="KXI79" s="64"/>
      <c r="KXJ79" s="64"/>
      <c r="KXK79" s="64"/>
      <c r="KXL79" s="64"/>
      <c r="KXM79" s="64"/>
      <c r="KXN79" s="64"/>
      <c r="KXO79" s="64"/>
      <c r="KXP79" s="64"/>
      <c r="KXQ79" s="64"/>
      <c r="KXR79" s="64"/>
      <c r="KXS79" s="64"/>
      <c r="KXT79" s="64"/>
      <c r="KXU79" s="64"/>
      <c r="KXV79" s="64"/>
      <c r="KXW79" s="64"/>
      <c r="KXX79" s="64"/>
      <c r="KXY79" s="64"/>
      <c r="KXZ79" s="64"/>
      <c r="KYA79" s="64"/>
      <c r="KYB79" s="64"/>
      <c r="KYC79" s="64"/>
      <c r="KYD79" s="64"/>
      <c r="KYE79" s="64"/>
      <c r="KYF79" s="64"/>
      <c r="KYG79" s="64"/>
      <c r="KYH79" s="64"/>
      <c r="KYI79" s="64"/>
      <c r="KYJ79" s="64"/>
      <c r="KYK79" s="64"/>
      <c r="KYL79" s="64"/>
      <c r="KYM79" s="64"/>
      <c r="KYN79" s="64"/>
      <c r="KYO79" s="64"/>
      <c r="KYP79" s="64"/>
      <c r="KYQ79" s="64"/>
      <c r="KYR79" s="64"/>
      <c r="KYS79" s="64"/>
      <c r="KYT79" s="64"/>
      <c r="KYU79" s="64"/>
      <c r="KYV79" s="64"/>
      <c r="KYW79" s="64"/>
      <c r="KYX79" s="64"/>
      <c r="KYY79" s="64"/>
      <c r="KYZ79" s="64"/>
      <c r="KZA79" s="64"/>
      <c r="KZB79" s="64"/>
      <c r="KZC79" s="64"/>
      <c r="KZD79" s="64"/>
      <c r="KZE79" s="64"/>
      <c r="KZF79" s="64"/>
      <c r="KZG79" s="64"/>
      <c r="KZH79" s="64"/>
      <c r="KZI79" s="64"/>
      <c r="KZJ79" s="64"/>
      <c r="KZK79" s="64"/>
      <c r="KZL79" s="64"/>
      <c r="KZM79" s="64"/>
      <c r="KZN79" s="64"/>
      <c r="KZO79" s="64"/>
      <c r="KZP79" s="64"/>
      <c r="KZQ79" s="64"/>
      <c r="KZR79" s="64"/>
      <c r="KZS79" s="64"/>
      <c r="KZT79" s="64"/>
      <c r="KZU79" s="64"/>
      <c r="KZV79" s="64"/>
      <c r="KZW79" s="64"/>
      <c r="KZX79" s="64"/>
      <c r="KZY79" s="64"/>
      <c r="KZZ79" s="64"/>
      <c r="LAA79" s="64"/>
      <c r="LAB79" s="64"/>
      <c r="LAC79" s="64"/>
      <c r="LAD79" s="64"/>
      <c r="LAE79" s="64"/>
      <c r="LAF79" s="64"/>
      <c r="LAG79" s="64"/>
      <c r="LAH79" s="64"/>
      <c r="LAI79" s="64"/>
      <c r="LAJ79" s="64"/>
      <c r="LAK79" s="64"/>
      <c r="LAL79" s="64"/>
      <c r="LAM79" s="64"/>
      <c r="LAN79" s="64"/>
      <c r="LAO79" s="64"/>
      <c r="LAP79" s="64"/>
      <c r="LAQ79" s="64"/>
      <c r="LAR79" s="64"/>
      <c r="LAS79" s="64"/>
      <c r="LAT79" s="64"/>
      <c r="LAU79" s="64"/>
      <c r="LAV79" s="64"/>
      <c r="LAW79" s="64"/>
      <c r="LAX79" s="64"/>
      <c r="LAY79" s="64"/>
      <c r="LAZ79" s="64"/>
      <c r="LBA79" s="64"/>
      <c r="LBB79" s="64"/>
      <c r="LBC79" s="64"/>
      <c r="LBD79" s="64"/>
      <c r="LBE79" s="64"/>
      <c r="LBF79" s="64"/>
      <c r="LBG79" s="64"/>
      <c r="LBH79" s="64"/>
      <c r="LBI79" s="64"/>
      <c r="LBJ79" s="64"/>
      <c r="LBK79" s="64"/>
      <c r="LBL79" s="64"/>
      <c r="LBM79" s="64"/>
      <c r="LBN79" s="64"/>
      <c r="LBO79" s="64"/>
      <c r="LBP79" s="64"/>
      <c r="LBQ79" s="64"/>
      <c r="LBR79" s="64"/>
      <c r="LBS79" s="64"/>
      <c r="LBT79" s="64"/>
      <c r="LBU79" s="64"/>
      <c r="LBV79" s="64"/>
      <c r="LBW79" s="64"/>
      <c r="LBX79" s="64"/>
      <c r="LBY79" s="64"/>
      <c r="LBZ79" s="64"/>
      <c r="LCA79" s="64"/>
      <c r="LCB79" s="64"/>
      <c r="LCC79" s="64"/>
      <c r="LCD79" s="64"/>
      <c r="LCE79" s="64"/>
      <c r="LCF79" s="64"/>
      <c r="LCG79" s="64"/>
      <c r="LCH79" s="64"/>
      <c r="LCI79" s="64"/>
      <c r="LCJ79" s="64"/>
      <c r="LCK79" s="64"/>
      <c r="LCL79" s="64"/>
      <c r="LCM79" s="64"/>
      <c r="LCN79" s="64"/>
      <c r="LCO79" s="64"/>
      <c r="LCP79" s="64"/>
      <c r="LCQ79" s="64"/>
      <c r="LCR79" s="64"/>
      <c r="LCS79" s="64"/>
      <c r="LCT79" s="64"/>
      <c r="LCU79" s="64"/>
      <c r="LCV79" s="64"/>
      <c r="LCW79" s="64"/>
      <c r="LCX79" s="64"/>
      <c r="LCY79" s="64"/>
      <c r="LCZ79" s="64"/>
      <c r="LDA79" s="64"/>
      <c r="LDB79" s="64"/>
      <c r="LDC79" s="64"/>
      <c r="LDD79" s="64"/>
      <c r="LDE79" s="64"/>
      <c r="LDF79" s="64"/>
      <c r="LDG79" s="64"/>
      <c r="LDH79" s="64"/>
      <c r="LDI79" s="64"/>
      <c r="LDJ79" s="64"/>
      <c r="LDK79" s="64"/>
      <c r="LDL79" s="64"/>
      <c r="LDM79" s="64"/>
      <c r="LDN79" s="64"/>
      <c r="LDO79" s="64"/>
      <c r="LDP79" s="64"/>
      <c r="LDQ79" s="64"/>
      <c r="LDR79" s="64"/>
      <c r="LDS79" s="64"/>
      <c r="LDT79" s="64"/>
      <c r="LDU79" s="64"/>
      <c r="LDV79" s="64"/>
      <c r="LDW79" s="64"/>
      <c r="LDX79" s="64"/>
      <c r="LDY79" s="64"/>
      <c r="LDZ79" s="64"/>
      <c r="LEA79" s="64"/>
      <c r="LEB79" s="64"/>
      <c r="LEC79" s="64"/>
      <c r="LED79" s="64"/>
      <c r="LEE79" s="64"/>
      <c r="LEF79" s="64"/>
      <c r="LEG79" s="64"/>
      <c r="LEH79" s="64"/>
      <c r="LEI79" s="64"/>
      <c r="LEJ79" s="64"/>
      <c r="LEK79" s="64"/>
      <c r="LEL79" s="64"/>
      <c r="LEM79" s="64"/>
      <c r="LEN79" s="64"/>
      <c r="LEO79" s="64"/>
      <c r="LEP79" s="64"/>
      <c r="LEQ79" s="64"/>
      <c r="LER79" s="64"/>
      <c r="LES79" s="64"/>
      <c r="LET79" s="64"/>
      <c r="LEU79" s="64"/>
      <c r="LEV79" s="64"/>
      <c r="LEW79" s="64"/>
      <c r="LEX79" s="64"/>
      <c r="LEY79" s="64"/>
      <c r="LEZ79" s="64"/>
      <c r="LFA79" s="64"/>
      <c r="LFB79" s="64"/>
      <c r="LFC79" s="64"/>
      <c r="LFD79" s="64"/>
      <c r="LFE79" s="64"/>
      <c r="LFF79" s="64"/>
      <c r="LFG79" s="64"/>
      <c r="LFH79" s="64"/>
      <c r="LFI79" s="64"/>
      <c r="LFJ79" s="64"/>
      <c r="LFK79" s="64"/>
      <c r="LFL79" s="64"/>
      <c r="LFM79" s="64"/>
      <c r="LFN79" s="64"/>
      <c r="LFO79" s="64"/>
      <c r="LFP79" s="64"/>
      <c r="LFQ79" s="64"/>
      <c r="LFR79" s="64"/>
      <c r="LFS79" s="64"/>
      <c r="LFT79" s="64"/>
      <c r="LFU79" s="64"/>
      <c r="LFV79" s="64"/>
      <c r="LFW79" s="64"/>
      <c r="LFX79" s="64"/>
      <c r="LFY79" s="64"/>
      <c r="LFZ79" s="64"/>
      <c r="LGA79" s="64"/>
      <c r="LGB79" s="64"/>
      <c r="LGC79" s="64"/>
      <c r="LGD79" s="64"/>
      <c r="LGE79" s="64"/>
      <c r="LGF79" s="64"/>
      <c r="LGG79" s="64"/>
      <c r="LGH79" s="64"/>
      <c r="LGI79" s="64"/>
      <c r="LGJ79" s="64"/>
      <c r="LGK79" s="64"/>
      <c r="LGL79" s="64"/>
      <c r="LGM79" s="64"/>
      <c r="LGN79" s="64"/>
      <c r="LGO79" s="64"/>
      <c r="LGP79" s="64"/>
      <c r="LGQ79" s="64"/>
      <c r="LGR79" s="64"/>
      <c r="LGS79" s="64"/>
      <c r="LGT79" s="64"/>
      <c r="LGU79" s="64"/>
      <c r="LGV79" s="64"/>
      <c r="LGW79" s="64"/>
      <c r="LGX79" s="64"/>
      <c r="LGY79" s="64"/>
      <c r="LGZ79" s="64"/>
      <c r="LHA79" s="64"/>
      <c r="LHB79" s="64"/>
      <c r="LHC79" s="64"/>
      <c r="LHD79" s="64"/>
      <c r="LHE79" s="64"/>
      <c r="LHF79" s="64"/>
      <c r="LHG79" s="64"/>
      <c r="LHH79" s="64"/>
      <c r="LHI79" s="64"/>
      <c r="LHJ79" s="64"/>
      <c r="LHK79" s="64"/>
      <c r="LHL79" s="64"/>
      <c r="LHM79" s="64"/>
      <c r="LHN79" s="64"/>
      <c r="LHO79" s="64"/>
      <c r="LHP79" s="64"/>
      <c r="LHQ79" s="64"/>
      <c r="LHR79" s="64"/>
      <c r="LHS79" s="64"/>
      <c r="LHT79" s="64"/>
      <c r="LHU79" s="64"/>
      <c r="LHV79" s="64"/>
      <c r="LHW79" s="64"/>
      <c r="LHX79" s="64"/>
      <c r="LHY79" s="64"/>
      <c r="LHZ79" s="64"/>
      <c r="LIA79" s="64"/>
      <c r="LIB79" s="64"/>
      <c r="LIC79" s="64"/>
      <c r="LID79" s="64"/>
      <c r="LIE79" s="64"/>
      <c r="LIF79" s="64"/>
      <c r="LIG79" s="64"/>
      <c r="LIH79" s="64"/>
      <c r="LII79" s="64"/>
      <c r="LIJ79" s="64"/>
      <c r="LIK79" s="64"/>
      <c r="LIL79" s="64"/>
      <c r="LIM79" s="64"/>
      <c r="LIN79" s="64"/>
      <c r="LIO79" s="64"/>
      <c r="LIP79" s="64"/>
      <c r="LIQ79" s="64"/>
      <c r="LIR79" s="64"/>
      <c r="LIS79" s="64"/>
      <c r="LIT79" s="64"/>
      <c r="LIU79" s="64"/>
      <c r="LIV79" s="64"/>
      <c r="LIW79" s="64"/>
      <c r="LIX79" s="64"/>
      <c r="LIY79" s="64"/>
      <c r="LIZ79" s="64"/>
      <c r="LJA79" s="64"/>
      <c r="LJB79" s="64"/>
      <c r="LJC79" s="64"/>
      <c r="LJD79" s="64"/>
      <c r="LJE79" s="64"/>
      <c r="LJF79" s="64"/>
      <c r="LJG79" s="64"/>
      <c r="LJH79" s="64"/>
      <c r="LJI79" s="64"/>
      <c r="LJJ79" s="64"/>
      <c r="LJK79" s="64"/>
      <c r="LJL79" s="64"/>
      <c r="LJM79" s="64"/>
      <c r="LJN79" s="64"/>
      <c r="LJO79" s="64"/>
      <c r="LJP79" s="64"/>
      <c r="LJQ79" s="64"/>
      <c r="LJR79" s="64"/>
      <c r="LJS79" s="64"/>
      <c r="LJT79" s="64"/>
      <c r="LJU79" s="64"/>
      <c r="LJV79" s="64"/>
      <c r="LJW79" s="64"/>
      <c r="LJX79" s="64"/>
      <c r="LJY79" s="64"/>
      <c r="LJZ79" s="64"/>
      <c r="LKA79" s="64"/>
      <c r="LKB79" s="64"/>
      <c r="LKC79" s="64"/>
      <c r="LKD79" s="64"/>
      <c r="LKE79" s="64"/>
      <c r="LKF79" s="64"/>
      <c r="LKG79" s="64"/>
      <c r="LKH79" s="64"/>
      <c r="LKI79" s="64"/>
      <c r="LKJ79" s="64"/>
      <c r="LKK79" s="64"/>
      <c r="LKL79" s="64"/>
      <c r="LKM79" s="64"/>
      <c r="LKN79" s="64"/>
      <c r="LKO79" s="64"/>
      <c r="LKP79" s="64"/>
      <c r="LKQ79" s="64"/>
      <c r="LKR79" s="64"/>
      <c r="LKS79" s="64"/>
      <c r="LKT79" s="64"/>
      <c r="LKU79" s="64"/>
      <c r="LKV79" s="64"/>
      <c r="LKW79" s="64"/>
      <c r="LKX79" s="64"/>
      <c r="LKY79" s="64"/>
      <c r="LKZ79" s="64"/>
      <c r="LLA79" s="64"/>
      <c r="LLB79" s="64"/>
      <c r="LLC79" s="64"/>
      <c r="LLD79" s="64"/>
      <c r="LLE79" s="64"/>
      <c r="LLF79" s="64"/>
      <c r="LLG79" s="64"/>
      <c r="LLH79" s="64"/>
      <c r="LLI79" s="64"/>
      <c r="LLJ79" s="64"/>
      <c r="LLK79" s="64"/>
      <c r="LLL79" s="64"/>
      <c r="LLM79" s="64"/>
      <c r="LLN79" s="64"/>
      <c r="LLO79" s="64"/>
      <c r="LLP79" s="64"/>
      <c r="LLQ79" s="64"/>
      <c r="LLR79" s="64"/>
      <c r="LLS79" s="64"/>
      <c r="LLT79" s="64"/>
      <c r="LLU79" s="64"/>
      <c r="LLV79" s="64"/>
      <c r="LLW79" s="64"/>
      <c r="LLX79" s="64"/>
      <c r="LLY79" s="64"/>
      <c r="LLZ79" s="64"/>
      <c r="LMA79" s="64"/>
      <c r="LMB79" s="64"/>
      <c r="LMC79" s="64"/>
      <c r="LMD79" s="64"/>
      <c r="LME79" s="64"/>
      <c r="LMF79" s="64"/>
      <c r="LMG79" s="64"/>
      <c r="LMH79" s="64"/>
      <c r="LMI79" s="64"/>
      <c r="LMJ79" s="64"/>
      <c r="LMK79" s="64"/>
      <c r="LML79" s="64"/>
      <c r="LMM79" s="64"/>
      <c r="LMN79" s="64"/>
      <c r="LMO79" s="64"/>
      <c r="LMP79" s="64"/>
      <c r="LMQ79" s="64"/>
      <c r="LMR79" s="64"/>
      <c r="LMS79" s="64"/>
      <c r="LMT79" s="64"/>
      <c r="LMU79" s="64"/>
      <c r="LMV79" s="64"/>
      <c r="LMW79" s="64"/>
      <c r="LMX79" s="64"/>
      <c r="LMY79" s="64"/>
      <c r="LMZ79" s="64"/>
      <c r="LNA79" s="64"/>
      <c r="LNB79" s="64"/>
      <c r="LNC79" s="64"/>
      <c r="LND79" s="64"/>
      <c r="LNE79" s="64"/>
      <c r="LNF79" s="64"/>
      <c r="LNG79" s="64"/>
      <c r="LNH79" s="64"/>
      <c r="LNI79" s="64"/>
      <c r="LNJ79" s="64"/>
      <c r="LNK79" s="64"/>
      <c r="LNL79" s="64"/>
      <c r="LNM79" s="64"/>
      <c r="LNN79" s="64"/>
      <c r="LNO79" s="64"/>
      <c r="LNP79" s="64"/>
      <c r="LNQ79" s="64"/>
      <c r="LNR79" s="64"/>
      <c r="LNS79" s="64"/>
      <c r="LNT79" s="64"/>
      <c r="LNU79" s="64"/>
      <c r="LNV79" s="64"/>
      <c r="LNW79" s="64"/>
      <c r="LNX79" s="64"/>
      <c r="LNY79" s="64"/>
      <c r="LNZ79" s="64"/>
      <c r="LOA79" s="64"/>
      <c r="LOB79" s="64"/>
      <c r="LOC79" s="64"/>
      <c r="LOD79" s="64"/>
      <c r="LOE79" s="64"/>
      <c r="LOF79" s="64"/>
      <c r="LOG79" s="64"/>
      <c r="LOH79" s="64"/>
      <c r="LOI79" s="64"/>
      <c r="LOJ79" s="64"/>
      <c r="LOK79" s="64"/>
      <c r="LOL79" s="64"/>
      <c r="LOM79" s="64"/>
      <c r="LON79" s="64"/>
      <c r="LOO79" s="64"/>
      <c r="LOP79" s="64"/>
      <c r="LOQ79" s="64"/>
      <c r="LOR79" s="64"/>
      <c r="LOS79" s="64"/>
      <c r="LOT79" s="64"/>
      <c r="LOU79" s="64"/>
      <c r="LOV79" s="64"/>
      <c r="LOW79" s="64"/>
      <c r="LOX79" s="64"/>
      <c r="LOY79" s="64"/>
      <c r="LOZ79" s="64"/>
      <c r="LPA79" s="64"/>
      <c r="LPB79" s="64"/>
      <c r="LPC79" s="64"/>
      <c r="LPD79" s="64"/>
      <c r="LPE79" s="64"/>
      <c r="LPF79" s="64"/>
      <c r="LPG79" s="64"/>
      <c r="LPH79" s="64"/>
      <c r="LPI79" s="64"/>
      <c r="LPJ79" s="64"/>
      <c r="LPK79" s="64"/>
      <c r="LPL79" s="64"/>
      <c r="LPM79" s="64"/>
      <c r="LPN79" s="64"/>
      <c r="LPO79" s="64"/>
      <c r="LPP79" s="64"/>
      <c r="LPQ79" s="64"/>
      <c r="LPR79" s="64"/>
      <c r="LPS79" s="64"/>
      <c r="LPT79" s="64"/>
      <c r="LPU79" s="64"/>
      <c r="LPV79" s="64"/>
      <c r="LPW79" s="64"/>
      <c r="LPX79" s="64"/>
      <c r="LPY79" s="64"/>
      <c r="LPZ79" s="64"/>
      <c r="LQA79" s="64"/>
      <c r="LQB79" s="64"/>
      <c r="LQC79" s="64"/>
      <c r="LQD79" s="64"/>
      <c r="LQE79" s="64"/>
      <c r="LQF79" s="64"/>
      <c r="LQG79" s="64"/>
      <c r="LQH79" s="64"/>
      <c r="LQI79" s="64"/>
      <c r="LQJ79" s="64"/>
      <c r="LQK79" s="64"/>
      <c r="LQL79" s="64"/>
      <c r="LQM79" s="64"/>
      <c r="LQN79" s="64"/>
      <c r="LQO79" s="64"/>
      <c r="LQP79" s="64"/>
      <c r="LQQ79" s="64"/>
      <c r="LQR79" s="64"/>
      <c r="LQS79" s="64"/>
      <c r="LQT79" s="64"/>
      <c r="LQU79" s="64"/>
      <c r="LQV79" s="64"/>
      <c r="LQW79" s="64"/>
      <c r="LQX79" s="64"/>
      <c r="LQY79" s="64"/>
      <c r="LQZ79" s="64"/>
      <c r="LRA79" s="64"/>
      <c r="LRB79" s="64"/>
      <c r="LRC79" s="64"/>
      <c r="LRD79" s="64"/>
      <c r="LRE79" s="64"/>
      <c r="LRF79" s="64"/>
      <c r="LRG79" s="64"/>
      <c r="LRH79" s="64"/>
      <c r="LRI79" s="64"/>
      <c r="LRJ79" s="64"/>
      <c r="LRK79" s="64"/>
      <c r="LRL79" s="64"/>
      <c r="LRM79" s="64"/>
      <c r="LRN79" s="64"/>
      <c r="LRO79" s="64"/>
      <c r="LRP79" s="64"/>
      <c r="LRQ79" s="64"/>
      <c r="LRR79" s="64"/>
      <c r="LRS79" s="64"/>
      <c r="LRT79" s="64"/>
      <c r="LRU79" s="64"/>
      <c r="LRV79" s="64"/>
      <c r="LRW79" s="64"/>
      <c r="LRX79" s="64"/>
      <c r="LRY79" s="64"/>
      <c r="LRZ79" s="64"/>
      <c r="LSA79" s="64"/>
      <c r="LSB79" s="64"/>
      <c r="LSC79" s="64"/>
      <c r="LSD79" s="64"/>
      <c r="LSE79" s="64"/>
      <c r="LSF79" s="64"/>
      <c r="LSG79" s="64"/>
      <c r="LSH79" s="64"/>
      <c r="LSI79" s="64"/>
      <c r="LSJ79" s="64"/>
      <c r="LSK79" s="64"/>
      <c r="LSL79" s="64"/>
      <c r="LSM79" s="64"/>
      <c r="LSN79" s="64"/>
      <c r="LSO79" s="64"/>
      <c r="LSP79" s="64"/>
      <c r="LSQ79" s="64"/>
      <c r="LSR79" s="64"/>
      <c r="LSS79" s="64"/>
      <c r="LST79" s="64"/>
      <c r="LSU79" s="64"/>
      <c r="LSV79" s="64"/>
      <c r="LSW79" s="64"/>
      <c r="LSX79" s="64"/>
      <c r="LSY79" s="64"/>
      <c r="LSZ79" s="64"/>
      <c r="LTA79" s="64"/>
      <c r="LTB79" s="64"/>
      <c r="LTC79" s="64"/>
      <c r="LTD79" s="64"/>
      <c r="LTE79" s="64"/>
      <c r="LTF79" s="64"/>
      <c r="LTG79" s="64"/>
      <c r="LTH79" s="64"/>
      <c r="LTI79" s="64"/>
      <c r="LTJ79" s="64"/>
      <c r="LTK79" s="64"/>
      <c r="LTL79" s="64"/>
      <c r="LTM79" s="64"/>
      <c r="LTN79" s="64"/>
      <c r="LTO79" s="64"/>
      <c r="LTP79" s="64"/>
      <c r="LTQ79" s="64"/>
      <c r="LTR79" s="64"/>
      <c r="LTS79" s="64"/>
      <c r="LTT79" s="64"/>
      <c r="LTU79" s="64"/>
      <c r="LTV79" s="64"/>
      <c r="LTW79" s="64"/>
      <c r="LTX79" s="64"/>
      <c r="LTY79" s="64"/>
      <c r="LTZ79" s="64"/>
      <c r="LUA79" s="64"/>
      <c r="LUB79" s="64"/>
      <c r="LUC79" s="64"/>
      <c r="LUD79" s="64"/>
      <c r="LUE79" s="64"/>
      <c r="LUF79" s="64"/>
      <c r="LUG79" s="64"/>
      <c r="LUH79" s="64"/>
      <c r="LUI79" s="64"/>
      <c r="LUJ79" s="64"/>
      <c r="LUK79" s="64"/>
      <c r="LUL79" s="64"/>
      <c r="LUM79" s="64"/>
      <c r="LUN79" s="64"/>
      <c r="LUO79" s="64"/>
      <c r="LUP79" s="64"/>
      <c r="LUQ79" s="64"/>
      <c r="LUR79" s="64"/>
      <c r="LUS79" s="64"/>
      <c r="LUT79" s="64"/>
      <c r="LUU79" s="64"/>
      <c r="LUV79" s="64"/>
      <c r="LUW79" s="64"/>
      <c r="LUX79" s="64"/>
      <c r="LUY79" s="64"/>
      <c r="LUZ79" s="64"/>
      <c r="LVA79" s="64"/>
      <c r="LVB79" s="64"/>
      <c r="LVC79" s="64"/>
      <c r="LVD79" s="64"/>
      <c r="LVE79" s="64"/>
      <c r="LVF79" s="64"/>
      <c r="LVG79" s="64"/>
      <c r="LVH79" s="64"/>
      <c r="LVI79" s="64"/>
      <c r="LVJ79" s="64"/>
      <c r="LVK79" s="64"/>
      <c r="LVL79" s="64"/>
      <c r="LVM79" s="64"/>
      <c r="LVN79" s="64"/>
      <c r="LVO79" s="64"/>
      <c r="LVP79" s="64"/>
      <c r="LVQ79" s="64"/>
      <c r="LVR79" s="64"/>
      <c r="LVS79" s="64"/>
      <c r="LVT79" s="64"/>
      <c r="LVU79" s="64"/>
      <c r="LVV79" s="64"/>
      <c r="LVW79" s="64"/>
      <c r="LVX79" s="64"/>
      <c r="LVY79" s="64"/>
      <c r="LVZ79" s="64"/>
      <c r="LWA79" s="64"/>
      <c r="LWB79" s="64"/>
      <c r="LWC79" s="64"/>
      <c r="LWD79" s="64"/>
      <c r="LWE79" s="64"/>
      <c r="LWF79" s="64"/>
      <c r="LWG79" s="64"/>
      <c r="LWH79" s="64"/>
      <c r="LWI79" s="64"/>
      <c r="LWJ79" s="64"/>
      <c r="LWK79" s="64"/>
      <c r="LWL79" s="64"/>
      <c r="LWM79" s="64"/>
      <c r="LWN79" s="64"/>
      <c r="LWO79" s="64"/>
      <c r="LWP79" s="64"/>
      <c r="LWQ79" s="64"/>
      <c r="LWR79" s="64"/>
      <c r="LWS79" s="64"/>
      <c r="LWT79" s="64"/>
      <c r="LWU79" s="64"/>
      <c r="LWV79" s="64"/>
      <c r="LWW79" s="64"/>
      <c r="LWX79" s="64"/>
      <c r="LWY79" s="64"/>
      <c r="LWZ79" s="64"/>
      <c r="LXA79" s="64"/>
      <c r="LXB79" s="64"/>
      <c r="LXC79" s="64"/>
      <c r="LXD79" s="64"/>
      <c r="LXE79" s="64"/>
      <c r="LXF79" s="64"/>
      <c r="LXG79" s="64"/>
      <c r="LXH79" s="64"/>
      <c r="LXI79" s="64"/>
      <c r="LXJ79" s="64"/>
      <c r="LXK79" s="64"/>
      <c r="LXL79" s="64"/>
      <c r="LXM79" s="64"/>
      <c r="LXN79" s="64"/>
      <c r="LXO79" s="64"/>
      <c r="LXP79" s="64"/>
      <c r="LXQ79" s="64"/>
      <c r="LXR79" s="64"/>
      <c r="LXS79" s="64"/>
      <c r="LXT79" s="64"/>
      <c r="LXU79" s="64"/>
      <c r="LXV79" s="64"/>
      <c r="LXW79" s="64"/>
      <c r="LXX79" s="64"/>
      <c r="LXY79" s="64"/>
      <c r="LXZ79" s="64"/>
      <c r="LYA79" s="64"/>
      <c r="LYB79" s="64"/>
      <c r="LYC79" s="64"/>
      <c r="LYD79" s="64"/>
      <c r="LYE79" s="64"/>
      <c r="LYF79" s="64"/>
      <c r="LYG79" s="64"/>
      <c r="LYH79" s="64"/>
      <c r="LYI79" s="64"/>
      <c r="LYJ79" s="64"/>
      <c r="LYK79" s="64"/>
      <c r="LYL79" s="64"/>
      <c r="LYM79" s="64"/>
      <c r="LYN79" s="64"/>
      <c r="LYO79" s="64"/>
      <c r="LYP79" s="64"/>
      <c r="LYQ79" s="64"/>
      <c r="LYR79" s="64"/>
      <c r="LYS79" s="64"/>
      <c r="LYT79" s="64"/>
      <c r="LYU79" s="64"/>
      <c r="LYV79" s="64"/>
      <c r="LYW79" s="64"/>
      <c r="LYX79" s="64"/>
      <c r="LYY79" s="64"/>
      <c r="LYZ79" s="64"/>
      <c r="LZA79" s="64"/>
      <c r="LZB79" s="64"/>
      <c r="LZC79" s="64"/>
      <c r="LZD79" s="64"/>
      <c r="LZE79" s="64"/>
      <c r="LZF79" s="64"/>
      <c r="LZG79" s="64"/>
      <c r="LZH79" s="64"/>
      <c r="LZI79" s="64"/>
      <c r="LZJ79" s="64"/>
      <c r="LZK79" s="64"/>
      <c r="LZL79" s="64"/>
      <c r="LZM79" s="64"/>
      <c r="LZN79" s="64"/>
      <c r="LZO79" s="64"/>
      <c r="LZP79" s="64"/>
      <c r="LZQ79" s="64"/>
      <c r="LZR79" s="64"/>
      <c r="LZS79" s="64"/>
      <c r="LZT79" s="64"/>
      <c r="LZU79" s="64"/>
      <c r="LZV79" s="64"/>
      <c r="LZW79" s="64"/>
      <c r="LZX79" s="64"/>
      <c r="LZY79" s="64"/>
      <c r="LZZ79" s="64"/>
      <c r="MAA79" s="64"/>
      <c r="MAB79" s="64"/>
      <c r="MAC79" s="64"/>
      <c r="MAD79" s="64"/>
      <c r="MAE79" s="64"/>
      <c r="MAF79" s="64"/>
      <c r="MAG79" s="64"/>
      <c r="MAH79" s="64"/>
      <c r="MAI79" s="64"/>
      <c r="MAJ79" s="64"/>
      <c r="MAK79" s="64"/>
      <c r="MAL79" s="64"/>
      <c r="MAM79" s="64"/>
      <c r="MAN79" s="64"/>
      <c r="MAO79" s="64"/>
      <c r="MAP79" s="64"/>
      <c r="MAQ79" s="64"/>
      <c r="MAR79" s="64"/>
      <c r="MAS79" s="64"/>
      <c r="MAT79" s="64"/>
      <c r="MAU79" s="64"/>
      <c r="MAV79" s="64"/>
      <c r="MAW79" s="64"/>
      <c r="MAX79" s="64"/>
      <c r="MAY79" s="64"/>
      <c r="MAZ79" s="64"/>
      <c r="MBA79" s="64"/>
      <c r="MBB79" s="64"/>
      <c r="MBC79" s="64"/>
      <c r="MBD79" s="64"/>
      <c r="MBE79" s="64"/>
      <c r="MBF79" s="64"/>
      <c r="MBG79" s="64"/>
      <c r="MBH79" s="64"/>
      <c r="MBI79" s="64"/>
      <c r="MBJ79" s="64"/>
      <c r="MBK79" s="64"/>
      <c r="MBL79" s="64"/>
      <c r="MBM79" s="64"/>
      <c r="MBN79" s="64"/>
      <c r="MBO79" s="64"/>
      <c r="MBP79" s="64"/>
      <c r="MBQ79" s="64"/>
      <c r="MBR79" s="64"/>
      <c r="MBS79" s="64"/>
      <c r="MBT79" s="64"/>
      <c r="MBU79" s="64"/>
      <c r="MBV79" s="64"/>
      <c r="MBW79" s="64"/>
      <c r="MBX79" s="64"/>
      <c r="MBY79" s="64"/>
      <c r="MBZ79" s="64"/>
      <c r="MCA79" s="64"/>
      <c r="MCB79" s="64"/>
      <c r="MCC79" s="64"/>
      <c r="MCD79" s="64"/>
      <c r="MCE79" s="64"/>
      <c r="MCF79" s="64"/>
      <c r="MCG79" s="64"/>
      <c r="MCH79" s="64"/>
      <c r="MCI79" s="64"/>
      <c r="MCJ79" s="64"/>
      <c r="MCK79" s="64"/>
      <c r="MCL79" s="64"/>
      <c r="MCM79" s="64"/>
      <c r="MCN79" s="64"/>
      <c r="MCO79" s="64"/>
      <c r="MCP79" s="64"/>
      <c r="MCQ79" s="64"/>
      <c r="MCR79" s="64"/>
      <c r="MCS79" s="64"/>
      <c r="MCT79" s="64"/>
      <c r="MCU79" s="64"/>
      <c r="MCV79" s="64"/>
      <c r="MCW79" s="64"/>
      <c r="MCX79" s="64"/>
      <c r="MCY79" s="64"/>
      <c r="MCZ79" s="64"/>
      <c r="MDA79" s="64"/>
      <c r="MDB79" s="64"/>
      <c r="MDC79" s="64"/>
      <c r="MDD79" s="64"/>
      <c r="MDE79" s="64"/>
      <c r="MDF79" s="64"/>
      <c r="MDG79" s="64"/>
      <c r="MDH79" s="64"/>
      <c r="MDI79" s="64"/>
      <c r="MDJ79" s="64"/>
      <c r="MDK79" s="64"/>
      <c r="MDL79" s="64"/>
      <c r="MDM79" s="64"/>
      <c r="MDN79" s="64"/>
      <c r="MDO79" s="64"/>
      <c r="MDP79" s="64"/>
      <c r="MDQ79" s="64"/>
      <c r="MDR79" s="64"/>
      <c r="MDS79" s="64"/>
      <c r="MDT79" s="64"/>
      <c r="MDU79" s="64"/>
      <c r="MDV79" s="64"/>
      <c r="MDW79" s="64"/>
      <c r="MDX79" s="64"/>
      <c r="MDY79" s="64"/>
      <c r="MDZ79" s="64"/>
      <c r="MEA79" s="64"/>
      <c r="MEB79" s="64"/>
      <c r="MEC79" s="64"/>
      <c r="MED79" s="64"/>
      <c r="MEE79" s="64"/>
      <c r="MEF79" s="64"/>
      <c r="MEG79" s="64"/>
      <c r="MEH79" s="64"/>
      <c r="MEI79" s="64"/>
      <c r="MEJ79" s="64"/>
      <c r="MEK79" s="64"/>
      <c r="MEL79" s="64"/>
      <c r="MEM79" s="64"/>
      <c r="MEN79" s="64"/>
      <c r="MEO79" s="64"/>
      <c r="MEP79" s="64"/>
      <c r="MEQ79" s="64"/>
      <c r="MER79" s="64"/>
      <c r="MES79" s="64"/>
      <c r="MET79" s="64"/>
      <c r="MEU79" s="64"/>
      <c r="MEV79" s="64"/>
      <c r="MEW79" s="64"/>
      <c r="MEX79" s="64"/>
      <c r="MEY79" s="64"/>
      <c r="MEZ79" s="64"/>
      <c r="MFA79" s="64"/>
      <c r="MFB79" s="64"/>
      <c r="MFC79" s="64"/>
      <c r="MFD79" s="64"/>
      <c r="MFE79" s="64"/>
      <c r="MFF79" s="64"/>
      <c r="MFG79" s="64"/>
      <c r="MFH79" s="64"/>
      <c r="MFI79" s="64"/>
      <c r="MFJ79" s="64"/>
      <c r="MFK79" s="64"/>
      <c r="MFL79" s="64"/>
      <c r="MFM79" s="64"/>
      <c r="MFN79" s="64"/>
      <c r="MFO79" s="64"/>
      <c r="MFP79" s="64"/>
      <c r="MFQ79" s="64"/>
      <c r="MFR79" s="64"/>
      <c r="MFS79" s="64"/>
      <c r="MFT79" s="64"/>
      <c r="MFU79" s="64"/>
      <c r="MFV79" s="64"/>
      <c r="MFW79" s="64"/>
      <c r="MFX79" s="64"/>
      <c r="MFY79" s="64"/>
      <c r="MFZ79" s="64"/>
      <c r="MGA79" s="64"/>
      <c r="MGB79" s="64"/>
      <c r="MGC79" s="64"/>
      <c r="MGD79" s="64"/>
      <c r="MGE79" s="64"/>
      <c r="MGF79" s="64"/>
      <c r="MGG79" s="64"/>
      <c r="MGH79" s="64"/>
      <c r="MGI79" s="64"/>
      <c r="MGJ79" s="64"/>
      <c r="MGK79" s="64"/>
      <c r="MGL79" s="64"/>
      <c r="MGM79" s="64"/>
      <c r="MGN79" s="64"/>
      <c r="MGO79" s="64"/>
      <c r="MGP79" s="64"/>
      <c r="MGQ79" s="64"/>
      <c r="MGR79" s="64"/>
      <c r="MGS79" s="64"/>
      <c r="MGT79" s="64"/>
      <c r="MGU79" s="64"/>
      <c r="MGV79" s="64"/>
      <c r="MGW79" s="64"/>
      <c r="MGX79" s="64"/>
      <c r="MGY79" s="64"/>
      <c r="MGZ79" s="64"/>
      <c r="MHA79" s="64"/>
      <c r="MHB79" s="64"/>
      <c r="MHC79" s="64"/>
      <c r="MHD79" s="64"/>
      <c r="MHE79" s="64"/>
      <c r="MHF79" s="64"/>
      <c r="MHG79" s="64"/>
      <c r="MHH79" s="64"/>
      <c r="MHI79" s="64"/>
      <c r="MHJ79" s="64"/>
      <c r="MHK79" s="64"/>
      <c r="MHL79" s="64"/>
      <c r="MHM79" s="64"/>
      <c r="MHN79" s="64"/>
      <c r="MHO79" s="64"/>
      <c r="MHP79" s="64"/>
      <c r="MHQ79" s="64"/>
      <c r="MHR79" s="64"/>
      <c r="MHS79" s="64"/>
      <c r="MHT79" s="64"/>
      <c r="MHU79" s="64"/>
      <c r="MHV79" s="64"/>
      <c r="MHW79" s="64"/>
      <c r="MHX79" s="64"/>
      <c r="MHY79" s="64"/>
      <c r="MHZ79" s="64"/>
      <c r="MIA79" s="64"/>
      <c r="MIB79" s="64"/>
      <c r="MIC79" s="64"/>
      <c r="MID79" s="64"/>
      <c r="MIE79" s="64"/>
      <c r="MIF79" s="64"/>
      <c r="MIG79" s="64"/>
      <c r="MIH79" s="64"/>
      <c r="MII79" s="64"/>
      <c r="MIJ79" s="64"/>
      <c r="MIK79" s="64"/>
      <c r="MIL79" s="64"/>
      <c r="MIM79" s="64"/>
      <c r="MIN79" s="64"/>
      <c r="MIO79" s="64"/>
      <c r="MIP79" s="64"/>
      <c r="MIQ79" s="64"/>
      <c r="MIR79" s="64"/>
      <c r="MIS79" s="64"/>
      <c r="MIT79" s="64"/>
      <c r="MIU79" s="64"/>
      <c r="MIV79" s="64"/>
      <c r="MIW79" s="64"/>
      <c r="MIX79" s="64"/>
      <c r="MIY79" s="64"/>
      <c r="MIZ79" s="64"/>
      <c r="MJA79" s="64"/>
      <c r="MJB79" s="64"/>
      <c r="MJC79" s="64"/>
      <c r="MJD79" s="64"/>
      <c r="MJE79" s="64"/>
      <c r="MJF79" s="64"/>
      <c r="MJG79" s="64"/>
      <c r="MJH79" s="64"/>
      <c r="MJI79" s="64"/>
      <c r="MJJ79" s="64"/>
      <c r="MJK79" s="64"/>
      <c r="MJL79" s="64"/>
      <c r="MJM79" s="64"/>
      <c r="MJN79" s="64"/>
      <c r="MJO79" s="64"/>
      <c r="MJP79" s="64"/>
      <c r="MJQ79" s="64"/>
      <c r="MJR79" s="64"/>
      <c r="MJS79" s="64"/>
      <c r="MJT79" s="64"/>
      <c r="MJU79" s="64"/>
      <c r="MJV79" s="64"/>
      <c r="MJW79" s="64"/>
      <c r="MJX79" s="64"/>
      <c r="MJY79" s="64"/>
      <c r="MJZ79" s="64"/>
      <c r="MKA79" s="64"/>
      <c r="MKB79" s="64"/>
      <c r="MKC79" s="64"/>
      <c r="MKD79" s="64"/>
      <c r="MKE79" s="64"/>
      <c r="MKF79" s="64"/>
      <c r="MKG79" s="64"/>
      <c r="MKH79" s="64"/>
      <c r="MKI79" s="64"/>
      <c r="MKJ79" s="64"/>
      <c r="MKK79" s="64"/>
      <c r="MKL79" s="64"/>
      <c r="MKM79" s="64"/>
      <c r="MKN79" s="64"/>
      <c r="MKO79" s="64"/>
      <c r="MKP79" s="64"/>
      <c r="MKQ79" s="64"/>
      <c r="MKR79" s="64"/>
      <c r="MKS79" s="64"/>
      <c r="MKT79" s="64"/>
      <c r="MKU79" s="64"/>
      <c r="MKV79" s="64"/>
      <c r="MKW79" s="64"/>
      <c r="MKX79" s="64"/>
      <c r="MKY79" s="64"/>
      <c r="MKZ79" s="64"/>
      <c r="MLA79" s="64"/>
      <c r="MLB79" s="64"/>
      <c r="MLC79" s="64"/>
      <c r="MLD79" s="64"/>
      <c r="MLE79" s="64"/>
      <c r="MLF79" s="64"/>
      <c r="MLG79" s="64"/>
      <c r="MLH79" s="64"/>
      <c r="MLI79" s="64"/>
      <c r="MLJ79" s="64"/>
      <c r="MLK79" s="64"/>
      <c r="MLL79" s="64"/>
      <c r="MLM79" s="64"/>
      <c r="MLN79" s="64"/>
      <c r="MLO79" s="64"/>
      <c r="MLP79" s="64"/>
      <c r="MLQ79" s="64"/>
      <c r="MLR79" s="64"/>
      <c r="MLS79" s="64"/>
      <c r="MLT79" s="64"/>
      <c r="MLU79" s="64"/>
      <c r="MLV79" s="64"/>
      <c r="MLW79" s="64"/>
      <c r="MLX79" s="64"/>
      <c r="MLY79" s="64"/>
      <c r="MLZ79" s="64"/>
      <c r="MMA79" s="64"/>
      <c r="MMB79" s="64"/>
      <c r="MMC79" s="64"/>
      <c r="MMD79" s="64"/>
      <c r="MME79" s="64"/>
      <c r="MMF79" s="64"/>
      <c r="MMG79" s="64"/>
      <c r="MMH79" s="64"/>
      <c r="MMI79" s="64"/>
      <c r="MMJ79" s="64"/>
      <c r="MMK79" s="64"/>
      <c r="MML79" s="64"/>
      <c r="MMM79" s="64"/>
      <c r="MMN79" s="64"/>
      <c r="MMO79" s="64"/>
      <c r="MMP79" s="64"/>
      <c r="MMQ79" s="64"/>
      <c r="MMR79" s="64"/>
      <c r="MMS79" s="64"/>
      <c r="MMT79" s="64"/>
      <c r="MMU79" s="64"/>
      <c r="MMV79" s="64"/>
      <c r="MMW79" s="64"/>
      <c r="MMX79" s="64"/>
      <c r="MMY79" s="64"/>
      <c r="MMZ79" s="64"/>
      <c r="MNA79" s="64"/>
      <c r="MNB79" s="64"/>
      <c r="MNC79" s="64"/>
      <c r="MND79" s="64"/>
      <c r="MNE79" s="64"/>
      <c r="MNF79" s="64"/>
      <c r="MNG79" s="64"/>
      <c r="MNH79" s="64"/>
      <c r="MNI79" s="64"/>
      <c r="MNJ79" s="64"/>
      <c r="MNK79" s="64"/>
      <c r="MNL79" s="64"/>
      <c r="MNM79" s="64"/>
      <c r="MNN79" s="64"/>
      <c r="MNO79" s="64"/>
      <c r="MNP79" s="64"/>
      <c r="MNQ79" s="64"/>
      <c r="MNR79" s="64"/>
      <c r="MNS79" s="64"/>
      <c r="MNT79" s="64"/>
      <c r="MNU79" s="64"/>
      <c r="MNV79" s="64"/>
      <c r="MNW79" s="64"/>
      <c r="MNX79" s="64"/>
      <c r="MNY79" s="64"/>
      <c r="MNZ79" s="64"/>
      <c r="MOA79" s="64"/>
      <c r="MOB79" s="64"/>
      <c r="MOC79" s="64"/>
      <c r="MOD79" s="64"/>
      <c r="MOE79" s="64"/>
      <c r="MOF79" s="64"/>
      <c r="MOG79" s="64"/>
      <c r="MOH79" s="64"/>
      <c r="MOI79" s="64"/>
      <c r="MOJ79" s="64"/>
      <c r="MOK79" s="64"/>
      <c r="MOL79" s="64"/>
      <c r="MOM79" s="64"/>
      <c r="MON79" s="64"/>
      <c r="MOO79" s="64"/>
      <c r="MOP79" s="64"/>
      <c r="MOQ79" s="64"/>
      <c r="MOR79" s="64"/>
      <c r="MOS79" s="64"/>
      <c r="MOT79" s="64"/>
      <c r="MOU79" s="64"/>
      <c r="MOV79" s="64"/>
      <c r="MOW79" s="64"/>
      <c r="MOX79" s="64"/>
      <c r="MOY79" s="64"/>
      <c r="MOZ79" s="64"/>
      <c r="MPA79" s="64"/>
      <c r="MPB79" s="64"/>
      <c r="MPC79" s="64"/>
      <c r="MPD79" s="64"/>
      <c r="MPE79" s="64"/>
      <c r="MPF79" s="64"/>
      <c r="MPG79" s="64"/>
      <c r="MPH79" s="64"/>
      <c r="MPI79" s="64"/>
      <c r="MPJ79" s="64"/>
      <c r="MPK79" s="64"/>
      <c r="MPL79" s="64"/>
      <c r="MPM79" s="64"/>
      <c r="MPN79" s="64"/>
      <c r="MPO79" s="64"/>
      <c r="MPP79" s="64"/>
      <c r="MPQ79" s="64"/>
      <c r="MPR79" s="64"/>
      <c r="MPS79" s="64"/>
      <c r="MPT79" s="64"/>
      <c r="MPU79" s="64"/>
      <c r="MPV79" s="64"/>
      <c r="MPW79" s="64"/>
      <c r="MPX79" s="64"/>
      <c r="MPY79" s="64"/>
      <c r="MPZ79" s="64"/>
      <c r="MQA79" s="64"/>
      <c r="MQB79" s="64"/>
      <c r="MQC79" s="64"/>
      <c r="MQD79" s="64"/>
      <c r="MQE79" s="64"/>
      <c r="MQF79" s="64"/>
      <c r="MQG79" s="64"/>
      <c r="MQH79" s="64"/>
      <c r="MQI79" s="64"/>
      <c r="MQJ79" s="64"/>
      <c r="MQK79" s="64"/>
      <c r="MQL79" s="64"/>
      <c r="MQM79" s="64"/>
      <c r="MQN79" s="64"/>
      <c r="MQO79" s="64"/>
      <c r="MQP79" s="64"/>
      <c r="MQQ79" s="64"/>
      <c r="MQR79" s="64"/>
      <c r="MQS79" s="64"/>
      <c r="MQT79" s="64"/>
      <c r="MQU79" s="64"/>
      <c r="MQV79" s="64"/>
      <c r="MQW79" s="64"/>
      <c r="MQX79" s="64"/>
      <c r="MQY79" s="64"/>
      <c r="MQZ79" s="64"/>
      <c r="MRA79" s="64"/>
      <c r="MRB79" s="64"/>
      <c r="MRC79" s="64"/>
      <c r="MRD79" s="64"/>
      <c r="MRE79" s="64"/>
      <c r="MRF79" s="64"/>
      <c r="MRG79" s="64"/>
      <c r="MRH79" s="64"/>
      <c r="MRI79" s="64"/>
      <c r="MRJ79" s="64"/>
      <c r="MRK79" s="64"/>
      <c r="MRL79" s="64"/>
      <c r="MRM79" s="64"/>
      <c r="MRN79" s="64"/>
      <c r="MRO79" s="64"/>
      <c r="MRP79" s="64"/>
      <c r="MRQ79" s="64"/>
      <c r="MRR79" s="64"/>
      <c r="MRS79" s="64"/>
      <c r="MRT79" s="64"/>
      <c r="MRU79" s="64"/>
      <c r="MRV79" s="64"/>
      <c r="MRW79" s="64"/>
      <c r="MRX79" s="64"/>
      <c r="MRY79" s="64"/>
      <c r="MRZ79" s="64"/>
      <c r="MSA79" s="64"/>
      <c r="MSB79" s="64"/>
      <c r="MSC79" s="64"/>
      <c r="MSD79" s="64"/>
      <c r="MSE79" s="64"/>
      <c r="MSF79" s="64"/>
      <c r="MSG79" s="64"/>
      <c r="MSH79" s="64"/>
      <c r="MSI79" s="64"/>
      <c r="MSJ79" s="64"/>
      <c r="MSK79" s="64"/>
      <c r="MSL79" s="64"/>
      <c r="MSM79" s="64"/>
      <c r="MSN79" s="64"/>
      <c r="MSO79" s="64"/>
      <c r="MSP79" s="64"/>
      <c r="MSQ79" s="64"/>
      <c r="MSR79" s="64"/>
      <c r="MSS79" s="64"/>
      <c r="MST79" s="64"/>
      <c r="MSU79" s="64"/>
      <c r="MSV79" s="64"/>
      <c r="MSW79" s="64"/>
      <c r="MSX79" s="64"/>
      <c r="MSY79" s="64"/>
      <c r="MSZ79" s="64"/>
      <c r="MTA79" s="64"/>
      <c r="MTB79" s="64"/>
      <c r="MTC79" s="64"/>
      <c r="MTD79" s="64"/>
      <c r="MTE79" s="64"/>
      <c r="MTF79" s="64"/>
      <c r="MTG79" s="64"/>
      <c r="MTH79" s="64"/>
      <c r="MTI79" s="64"/>
      <c r="MTJ79" s="64"/>
      <c r="MTK79" s="64"/>
      <c r="MTL79" s="64"/>
      <c r="MTM79" s="64"/>
      <c r="MTN79" s="64"/>
      <c r="MTO79" s="64"/>
      <c r="MTP79" s="64"/>
      <c r="MTQ79" s="64"/>
      <c r="MTR79" s="64"/>
      <c r="MTS79" s="64"/>
      <c r="MTT79" s="64"/>
      <c r="MTU79" s="64"/>
      <c r="MTV79" s="64"/>
      <c r="MTW79" s="64"/>
      <c r="MTX79" s="64"/>
      <c r="MTY79" s="64"/>
      <c r="MTZ79" s="64"/>
      <c r="MUA79" s="64"/>
      <c r="MUB79" s="64"/>
      <c r="MUC79" s="64"/>
      <c r="MUD79" s="64"/>
      <c r="MUE79" s="64"/>
      <c r="MUF79" s="64"/>
      <c r="MUG79" s="64"/>
      <c r="MUH79" s="64"/>
      <c r="MUI79" s="64"/>
      <c r="MUJ79" s="64"/>
      <c r="MUK79" s="64"/>
      <c r="MUL79" s="64"/>
      <c r="MUM79" s="64"/>
      <c r="MUN79" s="64"/>
      <c r="MUO79" s="64"/>
      <c r="MUP79" s="64"/>
      <c r="MUQ79" s="64"/>
      <c r="MUR79" s="64"/>
      <c r="MUS79" s="64"/>
      <c r="MUT79" s="64"/>
      <c r="MUU79" s="64"/>
      <c r="MUV79" s="64"/>
      <c r="MUW79" s="64"/>
      <c r="MUX79" s="64"/>
      <c r="MUY79" s="64"/>
      <c r="MUZ79" s="64"/>
      <c r="MVA79" s="64"/>
      <c r="MVB79" s="64"/>
      <c r="MVC79" s="64"/>
      <c r="MVD79" s="64"/>
      <c r="MVE79" s="64"/>
      <c r="MVF79" s="64"/>
      <c r="MVG79" s="64"/>
      <c r="MVH79" s="64"/>
      <c r="MVI79" s="64"/>
      <c r="MVJ79" s="64"/>
      <c r="MVK79" s="64"/>
      <c r="MVL79" s="64"/>
      <c r="MVM79" s="64"/>
      <c r="MVN79" s="64"/>
      <c r="MVO79" s="64"/>
      <c r="MVP79" s="64"/>
      <c r="MVQ79" s="64"/>
      <c r="MVR79" s="64"/>
      <c r="MVS79" s="64"/>
      <c r="MVT79" s="64"/>
      <c r="MVU79" s="64"/>
      <c r="MVV79" s="64"/>
      <c r="MVW79" s="64"/>
      <c r="MVX79" s="64"/>
      <c r="MVY79" s="64"/>
      <c r="MVZ79" s="64"/>
      <c r="MWA79" s="64"/>
      <c r="MWB79" s="64"/>
      <c r="MWC79" s="64"/>
      <c r="MWD79" s="64"/>
      <c r="MWE79" s="64"/>
      <c r="MWF79" s="64"/>
      <c r="MWG79" s="64"/>
      <c r="MWH79" s="64"/>
      <c r="MWI79" s="64"/>
      <c r="MWJ79" s="64"/>
      <c r="MWK79" s="64"/>
      <c r="MWL79" s="64"/>
      <c r="MWM79" s="64"/>
      <c r="MWN79" s="64"/>
      <c r="MWO79" s="64"/>
      <c r="MWP79" s="64"/>
      <c r="MWQ79" s="64"/>
      <c r="MWR79" s="64"/>
      <c r="MWS79" s="64"/>
      <c r="MWT79" s="64"/>
      <c r="MWU79" s="64"/>
      <c r="MWV79" s="64"/>
      <c r="MWW79" s="64"/>
      <c r="MWX79" s="64"/>
      <c r="MWY79" s="64"/>
      <c r="MWZ79" s="64"/>
      <c r="MXA79" s="64"/>
      <c r="MXB79" s="64"/>
      <c r="MXC79" s="64"/>
      <c r="MXD79" s="64"/>
      <c r="MXE79" s="64"/>
      <c r="MXF79" s="64"/>
      <c r="MXG79" s="64"/>
      <c r="MXH79" s="64"/>
      <c r="MXI79" s="64"/>
      <c r="MXJ79" s="64"/>
      <c r="MXK79" s="64"/>
      <c r="MXL79" s="64"/>
      <c r="MXM79" s="64"/>
      <c r="MXN79" s="64"/>
      <c r="MXO79" s="64"/>
      <c r="MXP79" s="64"/>
      <c r="MXQ79" s="64"/>
      <c r="MXR79" s="64"/>
      <c r="MXS79" s="64"/>
      <c r="MXT79" s="64"/>
      <c r="MXU79" s="64"/>
      <c r="MXV79" s="64"/>
      <c r="MXW79" s="64"/>
      <c r="MXX79" s="64"/>
      <c r="MXY79" s="64"/>
      <c r="MXZ79" s="64"/>
      <c r="MYA79" s="64"/>
      <c r="MYB79" s="64"/>
      <c r="MYC79" s="64"/>
      <c r="MYD79" s="64"/>
      <c r="MYE79" s="64"/>
      <c r="MYF79" s="64"/>
      <c r="MYG79" s="64"/>
      <c r="MYH79" s="64"/>
      <c r="MYI79" s="64"/>
      <c r="MYJ79" s="64"/>
      <c r="MYK79" s="64"/>
      <c r="MYL79" s="64"/>
      <c r="MYM79" s="64"/>
      <c r="MYN79" s="64"/>
      <c r="MYO79" s="64"/>
      <c r="MYP79" s="64"/>
      <c r="MYQ79" s="64"/>
      <c r="MYR79" s="64"/>
      <c r="MYS79" s="64"/>
      <c r="MYT79" s="64"/>
      <c r="MYU79" s="64"/>
      <c r="MYV79" s="64"/>
      <c r="MYW79" s="64"/>
      <c r="MYX79" s="64"/>
      <c r="MYY79" s="64"/>
      <c r="MYZ79" s="64"/>
      <c r="MZA79" s="64"/>
      <c r="MZB79" s="64"/>
      <c r="MZC79" s="64"/>
      <c r="MZD79" s="64"/>
      <c r="MZE79" s="64"/>
      <c r="MZF79" s="64"/>
      <c r="MZG79" s="64"/>
      <c r="MZH79" s="64"/>
      <c r="MZI79" s="64"/>
      <c r="MZJ79" s="64"/>
      <c r="MZK79" s="64"/>
      <c r="MZL79" s="64"/>
      <c r="MZM79" s="64"/>
      <c r="MZN79" s="64"/>
      <c r="MZO79" s="64"/>
      <c r="MZP79" s="64"/>
      <c r="MZQ79" s="64"/>
      <c r="MZR79" s="64"/>
      <c r="MZS79" s="64"/>
      <c r="MZT79" s="64"/>
      <c r="MZU79" s="64"/>
      <c r="MZV79" s="64"/>
      <c r="MZW79" s="64"/>
      <c r="MZX79" s="64"/>
      <c r="MZY79" s="64"/>
      <c r="MZZ79" s="64"/>
      <c r="NAA79" s="64"/>
      <c r="NAB79" s="64"/>
      <c r="NAC79" s="64"/>
      <c r="NAD79" s="64"/>
      <c r="NAE79" s="64"/>
      <c r="NAF79" s="64"/>
      <c r="NAG79" s="64"/>
      <c r="NAH79" s="64"/>
      <c r="NAI79" s="64"/>
      <c r="NAJ79" s="64"/>
      <c r="NAK79" s="64"/>
      <c r="NAL79" s="64"/>
      <c r="NAM79" s="64"/>
      <c r="NAN79" s="64"/>
      <c r="NAO79" s="64"/>
      <c r="NAP79" s="64"/>
      <c r="NAQ79" s="64"/>
      <c r="NAR79" s="64"/>
      <c r="NAS79" s="64"/>
      <c r="NAT79" s="64"/>
      <c r="NAU79" s="64"/>
      <c r="NAV79" s="64"/>
      <c r="NAW79" s="64"/>
      <c r="NAX79" s="64"/>
      <c r="NAY79" s="64"/>
      <c r="NAZ79" s="64"/>
      <c r="NBA79" s="64"/>
      <c r="NBB79" s="64"/>
      <c r="NBC79" s="64"/>
      <c r="NBD79" s="64"/>
      <c r="NBE79" s="64"/>
      <c r="NBF79" s="64"/>
      <c r="NBG79" s="64"/>
      <c r="NBH79" s="64"/>
      <c r="NBI79" s="64"/>
      <c r="NBJ79" s="64"/>
      <c r="NBK79" s="64"/>
      <c r="NBL79" s="64"/>
      <c r="NBM79" s="64"/>
      <c r="NBN79" s="64"/>
      <c r="NBO79" s="64"/>
      <c r="NBP79" s="64"/>
      <c r="NBQ79" s="64"/>
      <c r="NBR79" s="64"/>
      <c r="NBS79" s="64"/>
      <c r="NBT79" s="64"/>
      <c r="NBU79" s="64"/>
      <c r="NBV79" s="64"/>
      <c r="NBW79" s="64"/>
      <c r="NBX79" s="64"/>
      <c r="NBY79" s="64"/>
      <c r="NBZ79" s="64"/>
      <c r="NCA79" s="64"/>
      <c r="NCB79" s="64"/>
      <c r="NCC79" s="64"/>
      <c r="NCD79" s="64"/>
      <c r="NCE79" s="64"/>
      <c r="NCF79" s="64"/>
      <c r="NCG79" s="64"/>
      <c r="NCH79" s="64"/>
      <c r="NCI79" s="64"/>
      <c r="NCJ79" s="64"/>
      <c r="NCK79" s="64"/>
      <c r="NCL79" s="64"/>
      <c r="NCM79" s="64"/>
      <c r="NCN79" s="64"/>
      <c r="NCO79" s="64"/>
      <c r="NCP79" s="64"/>
      <c r="NCQ79" s="64"/>
      <c r="NCR79" s="64"/>
      <c r="NCS79" s="64"/>
      <c r="NCT79" s="64"/>
      <c r="NCU79" s="64"/>
      <c r="NCV79" s="64"/>
      <c r="NCW79" s="64"/>
      <c r="NCX79" s="64"/>
      <c r="NCY79" s="64"/>
      <c r="NCZ79" s="64"/>
      <c r="NDA79" s="64"/>
      <c r="NDB79" s="64"/>
      <c r="NDC79" s="64"/>
      <c r="NDD79" s="64"/>
      <c r="NDE79" s="64"/>
      <c r="NDF79" s="64"/>
      <c r="NDG79" s="64"/>
      <c r="NDH79" s="64"/>
      <c r="NDI79" s="64"/>
      <c r="NDJ79" s="64"/>
      <c r="NDK79" s="64"/>
      <c r="NDL79" s="64"/>
      <c r="NDM79" s="64"/>
      <c r="NDN79" s="64"/>
      <c r="NDO79" s="64"/>
      <c r="NDP79" s="64"/>
      <c r="NDQ79" s="64"/>
      <c r="NDR79" s="64"/>
      <c r="NDS79" s="64"/>
      <c r="NDT79" s="64"/>
      <c r="NDU79" s="64"/>
      <c r="NDV79" s="64"/>
      <c r="NDW79" s="64"/>
      <c r="NDX79" s="64"/>
      <c r="NDY79" s="64"/>
      <c r="NDZ79" s="64"/>
      <c r="NEA79" s="64"/>
      <c r="NEB79" s="64"/>
      <c r="NEC79" s="64"/>
      <c r="NED79" s="64"/>
      <c r="NEE79" s="64"/>
      <c r="NEF79" s="64"/>
      <c r="NEG79" s="64"/>
      <c r="NEH79" s="64"/>
      <c r="NEI79" s="64"/>
      <c r="NEJ79" s="64"/>
      <c r="NEK79" s="64"/>
      <c r="NEL79" s="64"/>
      <c r="NEM79" s="64"/>
      <c r="NEN79" s="64"/>
      <c r="NEO79" s="64"/>
      <c r="NEP79" s="64"/>
      <c r="NEQ79" s="64"/>
      <c r="NER79" s="64"/>
      <c r="NES79" s="64"/>
      <c r="NET79" s="64"/>
      <c r="NEU79" s="64"/>
      <c r="NEV79" s="64"/>
      <c r="NEW79" s="64"/>
      <c r="NEX79" s="64"/>
      <c r="NEY79" s="64"/>
      <c r="NEZ79" s="64"/>
      <c r="NFA79" s="64"/>
      <c r="NFB79" s="64"/>
      <c r="NFC79" s="64"/>
      <c r="NFD79" s="64"/>
      <c r="NFE79" s="64"/>
      <c r="NFF79" s="64"/>
      <c r="NFG79" s="64"/>
      <c r="NFH79" s="64"/>
      <c r="NFI79" s="64"/>
      <c r="NFJ79" s="64"/>
      <c r="NFK79" s="64"/>
      <c r="NFL79" s="64"/>
      <c r="NFM79" s="64"/>
      <c r="NFN79" s="64"/>
      <c r="NFO79" s="64"/>
      <c r="NFP79" s="64"/>
      <c r="NFQ79" s="64"/>
      <c r="NFR79" s="64"/>
      <c r="NFS79" s="64"/>
      <c r="NFT79" s="64"/>
      <c r="NFU79" s="64"/>
      <c r="NFV79" s="64"/>
      <c r="NFW79" s="64"/>
      <c r="NFX79" s="64"/>
      <c r="NFY79" s="64"/>
      <c r="NFZ79" s="64"/>
      <c r="NGA79" s="64"/>
      <c r="NGB79" s="64"/>
      <c r="NGC79" s="64"/>
      <c r="NGD79" s="64"/>
      <c r="NGE79" s="64"/>
      <c r="NGF79" s="64"/>
      <c r="NGG79" s="64"/>
      <c r="NGH79" s="64"/>
      <c r="NGI79" s="64"/>
      <c r="NGJ79" s="64"/>
      <c r="NGK79" s="64"/>
      <c r="NGL79" s="64"/>
      <c r="NGM79" s="64"/>
      <c r="NGN79" s="64"/>
      <c r="NGO79" s="64"/>
      <c r="NGP79" s="64"/>
      <c r="NGQ79" s="64"/>
      <c r="NGR79" s="64"/>
      <c r="NGS79" s="64"/>
      <c r="NGT79" s="64"/>
      <c r="NGU79" s="64"/>
      <c r="NGV79" s="64"/>
      <c r="NGW79" s="64"/>
      <c r="NGX79" s="64"/>
      <c r="NGY79" s="64"/>
      <c r="NGZ79" s="64"/>
      <c r="NHA79" s="64"/>
      <c r="NHB79" s="64"/>
      <c r="NHC79" s="64"/>
      <c r="NHD79" s="64"/>
      <c r="NHE79" s="64"/>
      <c r="NHF79" s="64"/>
      <c r="NHG79" s="64"/>
      <c r="NHH79" s="64"/>
      <c r="NHI79" s="64"/>
      <c r="NHJ79" s="64"/>
      <c r="NHK79" s="64"/>
      <c r="NHL79" s="64"/>
      <c r="NHM79" s="64"/>
      <c r="NHN79" s="64"/>
      <c r="NHO79" s="64"/>
      <c r="NHP79" s="64"/>
      <c r="NHQ79" s="64"/>
      <c r="NHR79" s="64"/>
      <c r="NHS79" s="64"/>
      <c r="NHT79" s="64"/>
      <c r="NHU79" s="64"/>
      <c r="NHV79" s="64"/>
      <c r="NHW79" s="64"/>
      <c r="NHX79" s="64"/>
      <c r="NHY79" s="64"/>
      <c r="NHZ79" s="64"/>
      <c r="NIA79" s="64"/>
      <c r="NIB79" s="64"/>
      <c r="NIC79" s="64"/>
      <c r="NID79" s="64"/>
      <c r="NIE79" s="64"/>
      <c r="NIF79" s="64"/>
      <c r="NIG79" s="64"/>
      <c r="NIH79" s="64"/>
      <c r="NII79" s="64"/>
      <c r="NIJ79" s="64"/>
      <c r="NIK79" s="64"/>
      <c r="NIL79" s="64"/>
      <c r="NIM79" s="64"/>
      <c r="NIN79" s="64"/>
      <c r="NIO79" s="64"/>
      <c r="NIP79" s="64"/>
      <c r="NIQ79" s="64"/>
      <c r="NIR79" s="64"/>
      <c r="NIS79" s="64"/>
      <c r="NIT79" s="64"/>
      <c r="NIU79" s="64"/>
      <c r="NIV79" s="64"/>
      <c r="NIW79" s="64"/>
      <c r="NIX79" s="64"/>
      <c r="NIY79" s="64"/>
      <c r="NIZ79" s="64"/>
      <c r="NJA79" s="64"/>
      <c r="NJB79" s="64"/>
      <c r="NJC79" s="64"/>
      <c r="NJD79" s="64"/>
      <c r="NJE79" s="64"/>
      <c r="NJF79" s="64"/>
      <c r="NJG79" s="64"/>
      <c r="NJH79" s="64"/>
      <c r="NJI79" s="64"/>
      <c r="NJJ79" s="64"/>
      <c r="NJK79" s="64"/>
      <c r="NJL79" s="64"/>
      <c r="NJM79" s="64"/>
      <c r="NJN79" s="64"/>
      <c r="NJO79" s="64"/>
      <c r="NJP79" s="64"/>
      <c r="NJQ79" s="64"/>
      <c r="NJR79" s="64"/>
      <c r="NJS79" s="64"/>
      <c r="NJT79" s="64"/>
      <c r="NJU79" s="64"/>
      <c r="NJV79" s="64"/>
      <c r="NJW79" s="64"/>
      <c r="NJX79" s="64"/>
      <c r="NJY79" s="64"/>
      <c r="NJZ79" s="64"/>
      <c r="NKA79" s="64"/>
      <c r="NKB79" s="64"/>
      <c r="NKC79" s="64"/>
      <c r="NKD79" s="64"/>
      <c r="NKE79" s="64"/>
      <c r="NKF79" s="64"/>
      <c r="NKG79" s="64"/>
      <c r="NKH79" s="64"/>
      <c r="NKI79" s="64"/>
      <c r="NKJ79" s="64"/>
      <c r="NKK79" s="64"/>
      <c r="NKL79" s="64"/>
      <c r="NKM79" s="64"/>
      <c r="NKN79" s="64"/>
      <c r="NKO79" s="64"/>
      <c r="NKP79" s="64"/>
      <c r="NKQ79" s="64"/>
      <c r="NKR79" s="64"/>
      <c r="NKS79" s="64"/>
      <c r="NKT79" s="64"/>
      <c r="NKU79" s="64"/>
      <c r="NKV79" s="64"/>
      <c r="NKW79" s="64"/>
      <c r="NKX79" s="64"/>
      <c r="NKY79" s="64"/>
      <c r="NKZ79" s="64"/>
      <c r="NLA79" s="64"/>
      <c r="NLB79" s="64"/>
      <c r="NLC79" s="64"/>
      <c r="NLD79" s="64"/>
      <c r="NLE79" s="64"/>
      <c r="NLF79" s="64"/>
      <c r="NLG79" s="64"/>
      <c r="NLH79" s="64"/>
      <c r="NLI79" s="64"/>
      <c r="NLJ79" s="64"/>
      <c r="NLK79" s="64"/>
      <c r="NLL79" s="64"/>
      <c r="NLM79" s="64"/>
      <c r="NLN79" s="64"/>
      <c r="NLO79" s="64"/>
      <c r="NLP79" s="64"/>
      <c r="NLQ79" s="64"/>
      <c r="NLR79" s="64"/>
      <c r="NLS79" s="64"/>
      <c r="NLT79" s="64"/>
      <c r="NLU79" s="64"/>
      <c r="NLV79" s="64"/>
      <c r="NLW79" s="64"/>
      <c r="NLX79" s="64"/>
      <c r="NLY79" s="64"/>
      <c r="NLZ79" s="64"/>
      <c r="NMA79" s="64"/>
      <c r="NMB79" s="64"/>
      <c r="NMC79" s="64"/>
      <c r="NMD79" s="64"/>
      <c r="NME79" s="64"/>
      <c r="NMF79" s="64"/>
      <c r="NMG79" s="64"/>
      <c r="NMH79" s="64"/>
      <c r="NMI79" s="64"/>
      <c r="NMJ79" s="64"/>
      <c r="NMK79" s="64"/>
      <c r="NML79" s="64"/>
      <c r="NMM79" s="64"/>
      <c r="NMN79" s="64"/>
      <c r="NMO79" s="64"/>
      <c r="NMP79" s="64"/>
      <c r="NMQ79" s="64"/>
      <c r="NMR79" s="64"/>
      <c r="NMS79" s="64"/>
      <c r="NMT79" s="64"/>
      <c r="NMU79" s="64"/>
      <c r="NMV79" s="64"/>
      <c r="NMW79" s="64"/>
      <c r="NMX79" s="64"/>
      <c r="NMY79" s="64"/>
      <c r="NMZ79" s="64"/>
      <c r="NNA79" s="64"/>
      <c r="NNB79" s="64"/>
      <c r="NNC79" s="64"/>
      <c r="NND79" s="64"/>
      <c r="NNE79" s="64"/>
      <c r="NNF79" s="64"/>
      <c r="NNG79" s="64"/>
      <c r="NNH79" s="64"/>
      <c r="NNI79" s="64"/>
      <c r="NNJ79" s="64"/>
      <c r="NNK79" s="64"/>
      <c r="NNL79" s="64"/>
      <c r="NNM79" s="64"/>
      <c r="NNN79" s="64"/>
      <c r="NNO79" s="64"/>
      <c r="NNP79" s="64"/>
      <c r="NNQ79" s="64"/>
      <c r="NNR79" s="64"/>
      <c r="NNS79" s="64"/>
      <c r="NNT79" s="64"/>
      <c r="NNU79" s="64"/>
      <c r="NNV79" s="64"/>
      <c r="NNW79" s="64"/>
      <c r="NNX79" s="64"/>
      <c r="NNY79" s="64"/>
      <c r="NNZ79" s="64"/>
      <c r="NOA79" s="64"/>
      <c r="NOB79" s="64"/>
      <c r="NOC79" s="64"/>
      <c r="NOD79" s="64"/>
      <c r="NOE79" s="64"/>
      <c r="NOF79" s="64"/>
      <c r="NOG79" s="64"/>
      <c r="NOH79" s="64"/>
      <c r="NOI79" s="64"/>
      <c r="NOJ79" s="64"/>
      <c r="NOK79" s="64"/>
      <c r="NOL79" s="64"/>
      <c r="NOM79" s="64"/>
      <c r="NON79" s="64"/>
      <c r="NOO79" s="64"/>
      <c r="NOP79" s="64"/>
      <c r="NOQ79" s="64"/>
      <c r="NOR79" s="64"/>
      <c r="NOS79" s="64"/>
      <c r="NOT79" s="64"/>
      <c r="NOU79" s="64"/>
      <c r="NOV79" s="64"/>
      <c r="NOW79" s="64"/>
      <c r="NOX79" s="64"/>
      <c r="NOY79" s="64"/>
      <c r="NOZ79" s="64"/>
      <c r="NPA79" s="64"/>
      <c r="NPB79" s="64"/>
      <c r="NPC79" s="64"/>
      <c r="NPD79" s="64"/>
      <c r="NPE79" s="64"/>
      <c r="NPF79" s="64"/>
      <c r="NPG79" s="64"/>
      <c r="NPH79" s="64"/>
      <c r="NPI79" s="64"/>
      <c r="NPJ79" s="64"/>
      <c r="NPK79" s="64"/>
      <c r="NPL79" s="64"/>
      <c r="NPM79" s="64"/>
      <c r="NPN79" s="64"/>
      <c r="NPO79" s="64"/>
      <c r="NPP79" s="64"/>
      <c r="NPQ79" s="64"/>
      <c r="NPR79" s="64"/>
      <c r="NPS79" s="64"/>
      <c r="NPT79" s="64"/>
      <c r="NPU79" s="64"/>
      <c r="NPV79" s="64"/>
      <c r="NPW79" s="64"/>
      <c r="NPX79" s="64"/>
      <c r="NPY79" s="64"/>
      <c r="NPZ79" s="64"/>
      <c r="NQA79" s="64"/>
      <c r="NQB79" s="64"/>
      <c r="NQC79" s="64"/>
      <c r="NQD79" s="64"/>
      <c r="NQE79" s="64"/>
      <c r="NQF79" s="64"/>
      <c r="NQG79" s="64"/>
      <c r="NQH79" s="64"/>
      <c r="NQI79" s="64"/>
      <c r="NQJ79" s="64"/>
      <c r="NQK79" s="64"/>
      <c r="NQL79" s="64"/>
      <c r="NQM79" s="64"/>
      <c r="NQN79" s="64"/>
      <c r="NQO79" s="64"/>
      <c r="NQP79" s="64"/>
      <c r="NQQ79" s="64"/>
      <c r="NQR79" s="64"/>
      <c r="NQS79" s="64"/>
      <c r="NQT79" s="64"/>
      <c r="NQU79" s="64"/>
      <c r="NQV79" s="64"/>
      <c r="NQW79" s="64"/>
      <c r="NQX79" s="64"/>
      <c r="NQY79" s="64"/>
      <c r="NQZ79" s="64"/>
      <c r="NRA79" s="64"/>
      <c r="NRB79" s="64"/>
      <c r="NRC79" s="64"/>
      <c r="NRD79" s="64"/>
      <c r="NRE79" s="64"/>
      <c r="NRF79" s="64"/>
      <c r="NRG79" s="64"/>
      <c r="NRH79" s="64"/>
      <c r="NRI79" s="64"/>
      <c r="NRJ79" s="64"/>
      <c r="NRK79" s="64"/>
      <c r="NRL79" s="64"/>
      <c r="NRM79" s="64"/>
      <c r="NRN79" s="64"/>
      <c r="NRO79" s="64"/>
      <c r="NRP79" s="64"/>
      <c r="NRQ79" s="64"/>
      <c r="NRR79" s="64"/>
      <c r="NRS79" s="64"/>
      <c r="NRT79" s="64"/>
      <c r="NRU79" s="64"/>
      <c r="NRV79" s="64"/>
      <c r="NRW79" s="64"/>
      <c r="NRX79" s="64"/>
      <c r="NRY79" s="64"/>
      <c r="NRZ79" s="64"/>
      <c r="NSA79" s="64"/>
      <c r="NSB79" s="64"/>
      <c r="NSC79" s="64"/>
      <c r="NSD79" s="64"/>
      <c r="NSE79" s="64"/>
      <c r="NSF79" s="64"/>
      <c r="NSG79" s="64"/>
      <c r="NSH79" s="64"/>
      <c r="NSI79" s="64"/>
      <c r="NSJ79" s="64"/>
      <c r="NSK79" s="64"/>
      <c r="NSL79" s="64"/>
      <c r="NSM79" s="64"/>
      <c r="NSN79" s="64"/>
      <c r="NSO79" s="64"/>
      <c r="NSP79" s="64"/>
      <c r="NSQ79" s="64"/>
      <c r="NSR79" s="64"/>
      <c r="NSS79" s="64"/>
      <c r="NST79" s="64"/>
      <c r="NSU79" s="64"/>
      <c r="NSV79" s="64"/>
      <c r="NSW79" s="64"/>
      <c r="NSX79" s="64"/>
      <c r="NSY79" s="64"/>
      <c r="NSZ79" s="64"/>
      <c r="NTA79" s="64"/>
      <c r="NTB79" s="64"/>
      <c r="NTC79" s="64"/>
      <c r="NTD79" s="64"/>
      <c r="NTE79" s="64"/>
      <c r="NTF79" s="64"/>
      <c r="NTG79" s="64"/>
      <c r="NTH79" s="64"/>
      <c r="NTI79" s="64"/>
      <c r="NTJ79" s="64"/>
      <c r="NTK79" s="64"/>
      <c r="NTL79" s="64"/>
      <c r="NTM79" s="64"/>
      <c r="NTN79" s="64"/>
      <c r="NTO79" s="64"/>
      <c r="NTP79" s="64"/>
      <c r="NTQ79" s="64"/>
      <c r="NTR79" s="64"/>
      <c r="NTS79" s="64"/>
      <c r="NTT79" s="64"/>
      <c r="NTU79" s="64"/>
      <c r="NTV79" s="64"/>
      <c r="NTW79" s="64"/>
      <c r="NTX79" s="64"/>
      <c r="NTY79" s="64"/>
      <c r="NTZ79" s="64"/>
      <c r="NUA79" s="64"/>
      <c r="NUB79" s="64"/>
      <c r="NUC79" s="64"/>
      <c r="NUD79" s="64"/>
      <c r="NUE79" s="64"/>
      <c r="NUF79" s="64"/>
      <c r="NUG79" s="64"/>
      <c r="NUH79" s="64"/>
      <c r="NUI79" s="64"/>
      <c r="NUJ79" s="64"/>
      <c r="NUK79" s="64"/>
      <c r="NUL79" s="64"/>
      <c r="NUM79" s="64"/>
      <c r="NUN79" s="64"/>
      <c r="NUO79" s="64"/>
      <c r="NUP79" s="64"/>
      <c r="NUQ79" s="64"/>
      <c r="NUR79" s="64"/>
      <c r="NUS79" s="64"/>
      <c r="NUT79" s="64"/>
      <c r="NUU79" s="64"/>
      <c r="NUV79" s="64"/>
      <c r="NUW79" s="64"/>
      <c r="NUX79" s="64"/>
      <c r="NUY79" s="64"/>
      <c r="NUZ79" s="64"/>
      <c r="NVA79" s="64"/>
      <c r="NVB79" s="64"/>
      <c r="NVC79" s="64"/>
      <c r="NVD79" s="64"/>
      <c r="NVE79" s="64"/>
      <c r="NVF79" s="64"/>
      <c r="NVG79" s="64"/>
      <c r="NVH79" s="64"/>
      <c r="NVI79" s="64"/>
      <c r="NVJ79" s="64"/>
      <c r="NVK79" s="64"/>
      <c r="NVL79" s="64"/>
      <c r="NVM79" s="64"/>
      <c r="NVN79" s="64"/>
      <c r="NVO79" s="64"/>
      <c r="NVP79" s="64"/>
      <c r="NVQ79" s="64"/>
      <c r="NVR79" s="64"/>
      <c r="NVS79" s="64"/>
      <c r="NVT79" s="64"/>
      <c r="NVU79" s="64"/>
      <c r="NVV79" s="64"/>
      <c r="NVW79" s="64"/>
      <c r="NVX79" s="64"/>
      <c r="NVY79" s="64"/>
      <c r="NVZ79" s="64"/>
      <c r="NWA79" s="64"/>
      <c r="NWB79" s="64"/>
      <c r="NWC79" s="64"/>
      <c r="NWD79" s="64"/>
      <c r="NWE79" s="64"/>
      <c r="NWF79" s="64"/>
      <c r="NWG79" s="64"/>
      <c r="NWH79" s="64"/>
      <c r="NWI79" s="64"/>
      <c r="NWJ79" s="64"/>
      <c r="NWK79" s="64"/>
      <c r="NWL79" s="64"/>
      <c r="NWM79" s="64"/>
      <c r="NWN79" s="64"/>
      <c r="NWO79" s="64"/>
      <c r="NWP79" s="64"/>
      <c r="NWQ79" s="64"/>
      <c r="NWR79" s="64"/>
      <c r="NWS79" s="64"/>
      <c r="NWT79" s="64"/>
      <c r="NWU79" s="64"/>
      <c r="NWV79" s="64"/>
      <c r="NWW79" s="64"/>
      <c r="NWX79" s="64"/>
      <c r="NWY79" s="64"/>
      <c r="NWZ79" s="64"/>
      <c r="NXA79" s="64"/>
      <c r="NXB79" s="64"/>
      <c r="NXC79" s="64"/>
      <c r="NXD79" s="64"/>
      <c r="NXE79" s="64"/>
      <c r="NXF79" s="64"/>
      <c r="NXG79" s="64"/>
      <c r="NXH79" s="64"/>
      <c r="NXI79" s="64"/>
      <c r="NXJ79" s="64"/>
      <c r="NXK79" s="64"/>
      <c r="NXL79" s="64"/>
      <c r="NXM79" s="64"/>
      <c r="NXN79" s="64"/>
      <c r="NXO79" s="64"/>
      <c r="NXP79" s="64"/>
      <c r="NXQ79" s="64"/>
      <c r="NXR79" s="64"/>
      <c r="NXS79" s="64"/>
      <c r="NXT79" s="64"/>
      <c r="NXU79" s="64"/>
      <c r="NXV79" s="64"/>
      <c r="NXW79" s="64"/>
      <c r="NXX79" s="64"/>
      <c r="NXY79" s="64"/>
      <c r="NXZ79" s="64"/>
      <c r="NYA79" s="64"/>
      <c r="NYB79" s="64"/>
      <c r="NYC79" s="64"/>
      <c r="NYD79" s="64"/>
      <c r="NYE79" s="64"/>
      <c r="NYF79" s="64"/>
      <c r="NYG79" s="64"/>
      <c r="NYH79" s="64"/>
      <c r="NYI79" s="64"/>
      <c r="NYJ79" s="64"/>
      <c r="NYK79" s="64"/>
      <c r="NYL79" s="64"/>
      <c r="NYM79" s="64"/>
      <c r="NYN79" s="64"/>
      <c r="NYO79" s="64"/>
      <c r="NYP79" s="64"/>
      <c r="NYQ79" s="64"/>
      <c r="NYR79" s="64"/>
      <c r="NYS79" s="64"/>
      <c r="NYT79" s="64"/>
      <c r="NYU79" s="64"/>
      <c r="NYV79" s="64"/>
      <c r="NYW79" s="64"/>
      <c r="NYX79" s="64"/>
      <c r="NYY79" s="64"/>
      <c r="NYZ79" s="64"/>
      <c r="NZA79" s="64"/>
      <c r="NZB79" s="64"/>
      <c r="NZC79" s="64"/>
      <c r="NZD79" s="64"/>
      <c r="NZE79" s="64"/>
      <c r="NZF79" s="64"/>
      <c r="NZG79" s="64"/>
      <c r="NZH79" s="64"/>
      <c r="NZI79" s="64"/>
      <c r="NZJ79" s="64"/>
      <c r="NZK79" s="64"/>
      <c r="NZL79" s="64"/>
      <c r="NZM79" s="64"/>
      <c r="NZN79" s="64"/>
      <c r="NZO79" s="64"/>
      <c r="NZP79" s="64"/>
      <c r="NZQ79" s="64"/>
      <c r="NZR79" s="64"/>
      <c r="NZS79" s="64"/>
      <c r="NZT79" s="64"/>
      <c r="NZU79" s="64"/>
      <c r="NZV79" s="64"/>
      <c r="NZW79" s="64"/>
      <c r="NZX79" s="64"/>
      <c r="NZY79" s="64"/>
      <c r="NZZ79" s="64"/>
      <c r="OAA79" s="64"/>
      <c r="OAB79" s="64"/>
      <c r="OAC79" s="64"/>
      <c r="OAD79" s="64"/>
      <c r="OAE79" s="64"/>
      <c r="OAF79" s="64"/>
      <c r="OAG79" s="64"/>
      <c r="OAH79" s="64"/>
      <c r="OAI79" s="64"/>
      <c r="OAJ79" s="64"/>
      <c r="OAK79" s="64"/>
      <c r="OAL79" s="64"/>
      <c r="OAM79" s="64"/>
      <c r="OAN79" s="64"/>
      <c r="OAO79" s="64"/>
      <c r="OAP79" s="64"/>
      <c r="OAQ79" s="64"/>
      <c r="OAR79" s="64"/>
      <c r="OAS79" s="64"/>
      <c r="OAT79" s="64"/>
      <c r="OAU79" s="64"/>
      <c r="OAV79" s="64"/>
      <c r="OAW79" s="64"/>
      <c r="OAX79" s="64"/>
      <c r="OAY79" s="64"/>
      <c r="OAZ79" s="64"/>
      <c r="OBA79" s="64"/>
      <c r="OBB79" s="64"/>
      <c r="OBC79" s="64"/>
      <c r="OBD79" s="64"/>
      <c r="OBE79" s="64"/>
      <c r="OBF79" s="64"/>
      <c r="OBG79" s="64"/>
      <c r="OBH79" s="64"/>
      <c r="OBI79" s="64"/>
      <c r="OBJ79" s="64"/>
      <c r="OBK79" s="64"/>
      <c r="OBL79" s="64"/>
      <c r="OBM79" s="64"/>
      <c r="OBN79" s="64"/>
      <c r="OBO79" s="64"/>
      <c r="OBP79" s="64"/>
      <c r="OBQ79" s="64"/>
      <c r="OBR79" s="64"/>
      <c r="OBS79" s="64"/>
      <c r="OBT79" s="64"/>
      <c r="OBU79" s="64"/>
      <c r="OBV79" s="64"/>
      <c r="OBW79" s="64"/>
      <c r="OBX79" s="64"/>
      <c r="OBY79" s="64"/>
      <c r="OBZ79" s="64"/>
      <c r="OCA79" s="64"/>
      <c r="OCB79" s="64"/>
      <c r="OCC79" s="64"/>
      <c r="OCD79" s="64"/>
      <c r="OCE79" s="64"/>
      <c r="OCF79" s="64"/>
      <c r="OCG79" s="64"/>
      <c r="OCH79" s="64"/>
      <c r="OCI79" s="64"/>
      <c r="OCJ79" s="64"/>
      <c r="OCK79" s="64"/>
      <c r="OCL79" s="64"/>
      <c r="OCM79" s="64"/>
      <c r="OCN79" s="64"/>
      <c r="OCO79" s="64"/>
      <c r="OCP79" s="64"/>
      <c r="OCQ79" s="64"/>
      <c r="OCR79" s="64"/>
      <c r="OCS79" s="64"/>
      <c r="OCT79" s="64"/>
      <c r="OCU79" s="64"/>
      <c r="OCV79" s="64"/>
      <c r="OCW79" s="64"/>
      <c r="OCX79" s="64"/>
      <c r="OCY79" s="64"/>
      <c r="OCZ79" s="64"/>
      <c r="ODA79" s="64"/>
      <c r="ODB79" s="64"/>
      <c r="ODC79" s="64"/>
      <c r="ODD79" s="64"/>
      <c r="ODE79" s="64"/>
      <c r="ODF79" s="64"/>
      <c r="ODG79" s="64"/>
      <c r="ODH79" s="64"/>
      <c r="ODI79" s="64"/>
      <c r="ODJ79" s="64"/>
      <c r="ODK79" s="64"/>
      <c r="ODL79" s="64"/>
      <c r="ODM79" s="64"/>
      <c r="ODN79" s="64"/>
      <c r="ODO79" s="64"/>
      <c r="ODP79" s="64"/>
      <c r="ODQ79" s="64"/>
      <c r="ODR79" s="64"/>
      <c r="ODS79" s="64"/>
      <c r="ODT79" s="64"/>
      <c r="ODU79" s="64"/>
      <c r="ODV79" s="64"/>
      <c r="ODW79" s="64"/>
      <c r="ODX79" s="64"/>
      <c r="ODY79" s="64"/>
      <c r="ODZ79" s="64"/>
      <c r="OEA79" s="64"/>
      <c r="OEB79" s="64"/>
      <c r="OEC79" s="64"/>
      <c r="OED79" s="64"/>
      <c r="OEE79" s="64"/>
      <c r="OEF79" s="64"/>
      <c r="OEG79" s="64"/>
      <c r="OEH79" s="64"/>
      <c r="OEI79" s="64"/>
      <c r="OEJ79" s="64"/>
      <c r="OEK79" s="64"/>
      <c r="OEL79" s="64"/>
      <c r="OEM79" s="64"/>
      <c r="OEN79" s="64"/>
      <c r="OEO79" s="64"/>
      <c r="OEP79" s="64"/>
      <c r="OEQ79" s="64"/>
      <c r="OER79" s="64"/>
      <c r="OES79" s="64"/>
      <c r="OET79" s="64"/>
      <c r="OEU79" s="64"/>
      <c r="OEV79" s="64"/>
      <c r="OEW79" s="64"/>
      <c r="OEX79" s="64"/>
      <c r="OEY79" s="64"/>
      <c r="OEZ79" s="64"/>
      <c r="OFA79" s="64"/>
      <c r="OFB79" s="64"/>
      <c r="OFC79" s="64"/>
      <c r="OFD79" s="64"/>
      <c r="OFE79" s="64"/>
      <c r="OFF79" s="64"/>
      <c r="OFG79" s="64"/>
      <c r="OFH79" s="64"/>
      <c r="OFI79" s="64"/>
      <c r="OFJ79" s="64"/>
      <c r="OFK79" s="64"/>
      <c r="OFL79" s="64"/>
      <c r="OFM79" s="64"/>
      <c r="OFN79" s="64"/>
      <c r="OFO79" s="64"/>
      <c r="OFP79" s="64"/>
      <c r="OFQ79" s="64"/>
      <c r="OFR79" s="64"/>
      <c r="OFS79" s="64"/>
      <c r="OFT79" s="64"/>
      <c r="OFU79" s="64"/>
      <c r="OFV79" s="64"/>
      <c r="OFW79" s="64"/>
      <c r="OFX79" s="64"/>
      <c r="OFY79" s="64"/>
      <c r="OFZ79" s="64"/>
      <c r="OGA79" s="64"/>
      <c r="OGB79" s="64"/>
      <c r="OGC79" s="64"/>
      <c r="OGD79" s="64"/>
      <c r="OGE79" s="64"/>
      <c r="OGF79" s="64"/>
      <c r="OGG79" s="64"/>
      <c r="OGH79" s="64"/>
      <c r="OGI79" s="64"/>
      <c r="OGJ79" s="64"/>
      <c r="OGK79" s="64"/>
      <c r="OGL79" s="64"/>
      <c r="OGM79" s="64"/>
      <c r="OGN79" s="64"/>
      <c r="OGO79" s="64"/>
      <c r="OGP79" s="64"/>
      <c r="OGQ79" s="64"/>
      <c r="OGR79" s="64"/>
      <c r="OGS79" s="64"/>
      <c r="OGT79" s="64"/>
      <c r="OGU79" s="64"/>
      <c r="OGV79" s="64"/>
      <c r="OGW79" s="64"/>
      <c r="OGX79" s="64"/>
      <c r="OGY79" s="64"/>
      <c r="OGZ79" s="64"/>
      <c r="OHA79" s="64"/>
      <c r="OHB79" s="64"/>
      <c r="OHC79" s="64"/>
      <c r="OHD79" s="64"/>
      <c r="OHE79" s="64"/>
      <c r="OHF79" s="64"/>
      <c r="OHG79" s="64"/>
      <c r="OHH79" s="64"/>
      <c r="OHI79" s="64"/>
      <c r="OHJ79" s="64"/>
      <c r="OHK79" s="64"/>
      <c r="OHL79" s="64"/>
      <c r="OHM79" s="64"/>
      <c r="OHN79" s="64"/>
      <c r="OHO79" s="64"/>
      <c r="OHP79" s="64"/>
      <c r="OHQ79" s="64"/>
      <c r="OHR79" s="64"/>
      <c r="OHS79" s="64"/>
      <c r="OHT79" s="64"/>
      <c r="OHU79" s="64"/>
      <c r="OHV79" s="64"/>
      <c r="OHW79" s="64"/>
      <c r="OHX79" s="64"/>
      <c r="OHY79" s="64"/>
      <c r="OHZ79" s="64"/>
      <c r="OIA79" s="64"/>
      <c r="OIB79" s="64"/>
      <c r="OIC79" s="64"/>
      <c r="OID79" s="64"/>
      <c r="OIE79" s="64"/>
      <c r="OIF79" s="64"/>
      <c r="OIG79" s="64"/>
      <c r="OIH79" s="64"/>
      <c r="OII79" s="64"/>
      <c r="OIJ79" s="64"/>
      <c r="OIK79" s="64"/>
      <c r="OIL79" s="64"/>
      <c r="OIM79" s="64"/>
      <c r="OIN79" s="64"/>
      <c r="OIO79" s="64"/>
      <c r="OIP79" s="64"/>
      <c r="OIQ79" s="64"/>
      <c r="OIR79" s="64"/>
      <c r="OIS79" s="64"/>
      <c r="OIT79" s="64"/>
      <c r="OIU79" s="64"/>
      <c r="OIV79" s="64"/>
      <c r="OIW79" s="64"/>
      <c r="OIX79" s="64"/>
      <c r="OIY79" s="64"/>
      <c r="OIZ79" s="64"/>
      <c r="OJA79" s="64"/>
      <c r="OJB79" s="64"/>
      <c r="OJC79" s="64"/>
      <c r="OJD79" s="64"/>
      <c r="OJE79" s="64"/>
      <c r="OJF79" s="64"/>
      <c r="OJG79" s="64"/>
      <c r="OJH79" s="64"/>
      <c r="OJI79" s="64"/>
      <c r="OJJ79" s="64"/>
      <c r="OJK79" s="64"/>
      <c r="OJL79" s="64"/>
      <c r="OJM79" s="64"/>
      <c r="OJN79" s="64"/>
      <c r="OJO79" s="64"/>
      <c r="OJP79" s="64"/>
      <c r="OJQ79" s="64"/>
      <c r="OJR79" s="64"/>
      <c r="OJS79" s="64"/>
      <c r="OJT79" s="64"/>
      <c r="OJU79" s="64"/>
      <c r="OJV79" s="64"/>
      <c r="OJW79" s="64"/>
      <c r="OJX79" s="64"/>
      <c r="OJY79" s="64"/>
      <c r="OJZ79" s="64"/>
      <c r="OKA79" s="64"/>
      <c r="OKB79" s="64"/>
      <c r="OKC79" s="64"/>
      <c r="OKD79" s="64"/>
      <c r="OKE79" s="64"/>
      <c r="OKF79" s="64"/>
      <c r="OKG79" s="64"/>
      <c r="OKH79" s="64"/>
      <c r="OKI79" s="64"/>
      <c r="OKJ79" s="64"/>
      <c r="OKK79" s="64"/>
      <c r="OKL79" s="64"/>
      <c r="OKM79" s="64"/>
      <c r="OKN79" s="64"/>
      <c r="OKO79" s="64"/>
      <c r="OKP79" s="64"/>
      <c r="OKQ79" s="64"/>
      <c r="OKR79" s="64"/>
      <c r="OKS79" s="64"/>
      <c r="OKT79" s="64"/>
      <c r="OKU79" s="64"/>
      <c r="OKV79" s="64"/>
      <c r="OKW79" s="64"/>
      <c r="OKX79" s="64"/>
      <c r="OKY79" s="64"/>
      <c r="OKZ79" s="64"/>
      <c r="OLA79" s="64"/>
      <c r="OLB79" s="64"/>
      <c r="OLC79" s="64"/>
      <c r="OLD79" s="64"/>
      <c r="OLE79" s="64"/>
      <c r="OLF79" s="64"/>
      <c r="OLG79" s="64"/>
      <c r="OLH79" s="64"/>
      <c r="OLI79" s="64"/>
      <c r="OLJ79" s="64"/>
      <c r="OLK79" s="64"/>
      <c r="OLL79" s="64"/>
      <c r="OLM79" s="64"/>
      <c r="OLN79" s="64"/>
      <c r="OLO79" s="64"/>
      <c r="OLP79" s="64"/>
      <c r="OLQ79" s="64"/>
      <c r="OLR79" s="64"/>
      <c r="OLS79" s="64"/>
      <c r="OLT79" s="64"/>
      <c r="OLU79" s="64"/>
      <c r="OLV79" s="64"/>
      <c r="OLW79" s="64"/>
      <c r="OLX79" s="64"/>
      <c r="OLY79" s="64"/>
      <c r="OLZ79" s="64"/>
      <c r="OMA79" s="64"/>
      <c r="OMB79" s="64"/>
      <c r="OMC79" s="64"/>
      <c r="OMD79" s="64"/>
      <c r="OME79" s="64"/>
      <c r="OMF79" s="64"/>
      <c r="OMG79" s="64"/>
      <c r="OMH79" s="64"/>
      <c r="OMI79" s="64"/>
      <c r="OMJ79" s="64"/>
      <c r="OMK79" s="64"/>
      <c r="OML79" s="64"/>
      <c r="OMM79" s="64"/>
      <c r="OMN79" s="64"/>
      <c r="OMO79" s="64"/>
      <c r="OMP79" s="64"/>
      <c r="OMQ79" s="64"/>
      <c r="OMR79" s="64"/>
      <c r="OMS79" s="64"/>
      <c r="OMT79" s="64"/>
      <c r="OMU79" s="64"/>
      <c r="OMV79" s="64"/>
      <c r="OMW79" s="64"/>
      <c r="OMX79" s="64"/>
      <c r="OMY79" s="64"/>
      <c r="OMZ79" s="64"/>
      <c r="ONA79" s="64"/>
      <c r="ONB79" s="64"/>
      <c r="ONC79" s="64"/>
      <c r="OND79" s="64"/>
      <c r="ONE79" s="64"/>
      <c r="ONF79" s="64"/>
      <c r="ONG79" s="64"/>
      <c r="ONH79" s="64"/>
      <c r="ONI79" s="64"/>
      <c r="ONJ79" s="64"/>
      <c r="ONK79" s="64"/>
      <c r="ONL79" s="64"/>
      <c r="ONM79" s="64"/>
      <c r="ONN79" s="64"/>
      <c r="ONO79" s="64"/>
      <c r="ONP79" s="64"/>
      <c r="ONQ79" s="64"/>
      <c r="ONR79" s="64"/>
      <c r="ONS79" s="64"/>
      <c r="ONT79" s="64"/>
      <c r="ONU79" s="64"/>
      <c r="ONV79" s="64"/>
      <c r="ONW79" s="64"/>
      <c r="ONX79" s="64"/>
      <c r="ONY79" s="64"/>
      <c r="ONZ79" s="64"/>
      <c r="OOA79" s="64"/>
      <c r="OOB79" s="64"/>
      <c r="OOC79" s="64"/>
      <c r="OOD79" s="64"/>
      <c r="OOE79" s="64"/>
      <c r="OOF79" s="64"/>
      <c r="OOG79" s="64"/>
      <c r="OOH79" s="64"/>
      <c r="OOI79" s="64"/>
      <c r="OOJ79" s="64"/>
      <c r="OOK79" s="64"/>
      <c r="OOL79" s="64"/>
      <c r="OOM79" s="64"/>
      <c r="OON79" s="64"/>
      <c r="OOO79" s="64"/>
      <c r="OOP79" s="64"/>
      <c r="OOQ79" s="64"/>
      <c r="OOR79" s="64"/>
      <c r="OOS79" s="64"/>
      <c r="OOT79" s="64"/>
      <c r="OOU79" s="64"/>
      <c r="OOV79" s="64"/>
      <c r="OOW79" s="64"/>
      <c r="OOX79" s="64"/>
      <c r="OOY79" s="64"/>
      <c r="OOZ79" s="64"/>
      <c r="OPA79" s="64"/>
      <c r="OPB79" s="64"/>
      <c r="OPC79" s="64"/>
      <c r="OPD79" s="64"/>
      <c r="OPE79" s="64"/>
      <c r="OPF79" s="64"/>
      <c r="OPG79" s="64"/>
      <c r="OPH79" s="64"/>
      <c r="OPI79" s="64"/>
      <c r="OPJ79" s="64"/>
      <c r="OPK79" s="64"/>
      <c r="OPL79" s="64"/>
      <c r="OPM79" s="64"/>
      <c r="OPN79" s="64"/>
      <c r="OPO79" s="64"/>
      <c r="OPP79" s="64"/>
      <c r="OPQ79" s="64"/>
      <c r="OPR79" s="64"/>
      <c r="OPS79" s="64"/>
      <c r="OPT79" s="64"/>
      <c r="OPU79" s="64"/>
      <c r="OPV79" s="64"/>
      <c r="OPW79" s="64"/>
      <c r="OPX79" s="64"/>
      <c r="OPY79" s="64"/>
      <c r="OPZ79" s="64"/>
      <c r="OQA79" s="64"/>
      <c r="OQB79" s="64"/>
      <c r="OQC79" s="64"/>
      <c r="OQD79" s="64"/>
      <c r="OQE79" s="64"/>
      <c r="OQF79" s="64"/>
      <c r="OQG79" s="64"/>
      <c r="OQH79" s="64"/>
      <c r="OQI79" s="64"/>
      <c r="OQJ79" s="64"/>
      <c r="OQK79" s="64"/>
      <c r="OQL79" s="64"/>
      <c r="OQM79" s="64"/>
      <c r="OQN79" s="64"/>
      <c r="OQO79" s="64"/>
      <c r="OQP79" s="64"/>
      <c r="OQQ79" s="64"/>
      <c r="OQR79" s="64"/>
      <c r="OQS79" s="64"/>
      <c r="OQT79" s="64"/>
      <c r="OQU79" s="64"/>
      <c r="OQV79" s="64"/>
      <c r="OQW79" s="64"/>
      <c r="OQX79" s="64"/>
      <c r="OQY79" s="64"/>
      <c r="OQZ79" s="64"/>
      <c r="ORA79" s="64"/>
      <c r="ORB79" s="64"/>
      <c r="ORC79" s="64"/>
      <c r="ORD79" s="64"/>
      <c r="ORE79" s="64"/>
      <c r="ORF79" s="64"/>
      <c r="ORG79" s="64"/>
      <c r="ORH79" s="64"/>
      <c r="ORI79" s="64"/>
      <c r="ORJ79" s="64"/>
      <c r="ORK79" s="64"/>
      <c r="ORL79" s="64"/>
      <c r="ORM79" s="64"/>
      <c r="ORN79" s="64"/>
      <c r="ORO79" s="64"/>
      <c r="ORP79" s="64"/>
      <c r="ORQ79" s="64"/>
      <c r="ORR79" s="64"/>
      <c r="ORS79" s="64"/>
      <c r="ORT79" s="64"/>
      <c r="ORU79" s="64"/>
      <c r="ORV79" s="64"/>
      <c r="ORW79" s="64"/>
      <c r="ORX79" s="64"/>
      <c r="ORY79" s="64"/>
      <c r="ORZ79" s="64"/>
      <c r="OSA79" s="64"/>
      <c r="OSB79" s="64"/>
      <c r="OSC79" s="64"/>
      <c r="OSD79" s="64"/>
      <c r="OSE79" s="64"/>
      <c r="OSF79" s="64"/>
      <c r="OSG79" s="64"/>
      <c r="OSH79" s="64"/>
      <c r="OSI79" s="64"/>
      <c r="OSJ79" s="64"/>
      <c r="OSK79" s="64"/>
      <c r="OSL79" s="64"/>
      <c r="OSM79" s="64"/>
      <c r="OSN79" s="64"/>
      <c r="OSO79" s="64"/>
      <c r="OSP79" s="64"/>
      <c r="OSQ79" s="64"/>
      <c r="OSR79" s="64"/>
      <c r="OSS79" s="64"/>
      <c r="OST79" s="64"/>
      <c r="OSU79" s="64"/>
      <c r="OSV79" s="64"/>
      <c r="OSW79" s="64"/>
      <c r="OSX79" s="64"/>
      <c r="OSY79" s="64"/>
      <c r="OSZ79" s="64"/>
      <c r="OTA79" s="64"/>
      <c r="OTB79" s="64"/>
      <c r="OTC79" s="64"/>
      <c r="OTD79" s="64"/>
      <c r="OTE79" s="64"/>
      <c r="OTF79" s="64"/>
      <c r="OTG79" s="64"/>
      <c r="OTH79" s="64"/>
      <c r="OTI79" s="64"/>
      <c r="OTJ79" s="64"/>
      <c r="OTK79" s="64"/>
      <c r="OTL79" s="64"/>
      <c r="OTM79" s="64"/>
      <c r="OTN79" s="64"/>
      <c r="OTO79" s="64"/>
      <c r="OTP79" s="64"/>
      <c r="OTQ79" s="64"/>
      <c r="OTR79" s="64"/>
      <c r="OTS79" s="64"/>
      <c r="OTT79" s="64"/>
      <c r="OTU79" s="64"/>
      <c r="OTV79" s="64"/>
      <c r="OTW79" s="64"/>
      <c r="OTX79" s="64"/>
      <c r="OTY79" s="64"/>
      <c r="OTZ79" s="64"/>
      <c r="OUA79" s="64"/>
      <c r="OUB79" s="64"/>
      <c r="OUC79" s="64"/>
      <c r="OUD79" s="64"/>
      <c r="OUE79" s="64"/>
      <c r="OUF79" s="64"/>
      <c r="OUG79" s="64"/>
      <c r="OUH79" s="64"/>
      <c r="OUI79" s="64"/>
      <c r="OUJ79" s="64"/>
      <c r="OUK79" s="64"/>
      <c r="OUL79" s="64"/>
      <c r="OUM79" s="64"/>
      <c r="OUN79" s="64"/>
      <c r="OUO79" s="64"/>
      <c r="OUP79" s="64"/>
      <c r="OUQ79" s="64"/>
      <c r="OUR79" s="64"/>
      <c r="OUS79" s="64"/>
      <c r="OUT79" s="64"/>
      <c r="OUU79" s="64"/>
      <c r="OUV79" s="64"/>
      <c r="OUW79" s="64"/>
      <c r="OUX79" s="64"/>
      <c r="OUY79" s="64"/>
      <c r="OUZ79" s="64"/>
      <c r="OVA79" s="64"/>
      <c r="OVB79" s="64"/>
      <c r="OVC79" s="64"/>
      <c r="OVD79" s="64"/>
      <c r="OVE79" s="64"/>
      <c r="OVF79" s="64"/>
      <c r="OVG79" s="64"/>
      <c r="OVH79" s="64"/>
      <c r="OVI79" s="64"/>
      <c r="OVJ79" s="64"/>
      <c r="OVK79" s="64"/>
      <c r="OVL79" s="64"/>
      <c r="OVM79" s="64"/>
      <c r="OVN79" s="64"/>
      <c r="OVO79" s="64"/>
      <c r="OVP79" s="64"/>
      <c r="OVQ79" s="64"/>
      <c r="OVR79" s="64"/>
      <c r="OVS79" s="64"/>
      <c r="OVT79" s="64"/>
      <c r="OVU79" s="64"/>
      <c r="OVV79" s="64"/>
      <c r="OVW79" s="64"/>
      <c r="OVX79" s="64"/>
      <c r="OVY79" s="64"/>
      <c r="OVZ79" s="64"/>
      <c r="OWA79" s="64"/>
      <c r="OWB79" s="64"/>
      <c r="OWC79" s="64"/>
      <c r="OWD79" s="64"/>
      <c r="OWE79" s="64"/>
      <c r="OWF79" s="64"/>
      <c r="OWG79" s="64"/>
      <c r="OWH79" s="64"/>
      <c r="OWI79" s="64"/>
      <c r="OWJ79" s="64"/>
      <c r="OWK79" s="64"/>
      <c r="OWL79" s="64"/>
      <c r="OWM79" s="64"/>
      <c r="OWN79" s="64"/>
      <c r="OWO79" s="64"/>
      <c r="OWP79" s="64"/>
      <c r="OWQ79" s="64"/>
      <c r="OWR79" s="64"/>
      <c r="OWS79" s="64"/>
      <c r="OWT79" s="64"/>
      <c r="OWU79" s="64"/>
      <c r="OWV79" s="64"/>
      <c r="OWW79" s="64"/>
      <c r="OWX79" s="64"/>
      <c r="OWY79" s="64"/>
      <c r="OWZ79" s="64"/>
      <c r="OXA79" s="64"/>
      <c r="OXB79" s="64"/>
      <c r="OXC79" s="64"/>
      <c r="OXD79" s="64"/>
      <c r="OXE79" s="64"/>
      <c r="OXF79" s="64"/>
      <c r="OXG79" s="64"/>
      <c r="OXH79" s="64"/>
      <c r="OXI79" s="64"/>
      <c r="OXJ79" s="64"/>
      <c r="OXK79" s="64"/>
      <c r="OXL79" s="64"/>
      <c r="OXM79" s="64"/>
      <c r="OXN79" s="64"/>
      <c r="OXO79" s="64"/>
      <c r="OXP79" s="64"/>
      <c r="OXQ79" s="64"/>
      <c r="OXR79" s="64"/>
      <c r="OXS79" s="64"/>
      <c r="OXT79" s="64"/>
      <c r="OXU79" s="64"/>
      <c r="OXV79" s="64"/>
      <c r="OXW79" s="64"/>
      <c r="OXX79" s="64"/>
      <c r="OXY79" s="64"/>
      <c r="OXZ79" s="64"/>
      <c r="OYA79" s="64"/>
      <c r="OYB79" s="64"/>
      <c r="OYC79" s="64"/>
      <c r="OYD79" s="64"/>
      <c r="OYE79" s="64"/>
      <c r="OYF79" s="64"/>
      <c r="OYG79" s="64"/>
      <c r="OYH79" s="64"/>
      <c r="OYI79" s="64"/>
      <c r="OYJ79" s="64"/>
      <c r="OYK79" s="64"/>
      <c r="OYL79" s="64"/>
      <c r="OYM79" s="64"/>
      <c r="OYN79" s="64"/>
      <c r="OYO79" s="64"/>
      <c r="OYP79" s="64"/>
      <c r="OYQ79" s="64"/>
      <c r="OYR79" s="64"/>
      <c r="OYS79" s="64"/>
      <c r="OYT79" s="64"/>
      <c r="OYU79" s="64"/>
      <c r="OYV79" s="64"/>
      <c r="OYW79" s="64"/>
      <c r="OYX79" s="64"/>
      <c r="OYY79" s="64"/>
      <c r="OYZ79" s="64"/>
      <c r="OZA79" s="64"/>
      <c r="OZB79" s="64"/>
      <c r="OZC79" s="64"/>
      <c r="OZD79" s="64"/>
      <c r="OZE79" s="64"/>
      <c r="OZF79" s="64"/>
      <c r="OZG79" s="64"/>
      <c r="OZH79" s="64"/>
      <c r="OZI79" s="64"/>
      <c r="OZJ79" s="64"/>
      <c r="OZK79" s="64"/>
      <c r="OZL79" s="64"/>
      <c r="OZM79" s="64"/>
      <c r="OZN79" s="64"/>
      <c r="OZO79" s="64"/>
      <c r="OZP79" s="64"/>
      <c r="OZQ79" s="64"/>
      <c r="OZR79" s="64"/>
      <c r="OZS79" s="64"/>
      <c r="OZT79" s="64"/>
      <c r="OZU79" s="64"/>
      <c r="OZV79" s="64"/>
      <c r="OZW79" s="64"/>
      <c r="OZX79" s="64"/>
      <c r="OZY79" s="64"/>
      <c r="OZZ79" s="64"/>
      <c r="PAA79" s="64"/>
      <c r="PAB79" s="64"/>
      <c r="PAC79" s="64"/>
      <c r="PAD79" s="64"/>
      <c r="PAE79" s="64"/>
      <c r="PAF79" s="64"/>
      <c r="PAG79" s="64"/>
      <c r="PAH79" s="64"/>
      <c r="PAI79" s="64"/>
      <c r="PAJ79" s="64"/>
      <c r="PAK79" s="64"/>
      <c r="PAL79" s="64"/>
      <c r="PAM79" s="64"/>
      <c r="PAN79" s="64"/>
      <c r="PAO79" s="64"/>
      <c r="PAP79" s="64"/>
      <c r="PAQ79" s="64"/>
      <c r="PAR79" s="64"/>
      <c r="PAS79" s="64"/>
      <c r="PAT79" s="64"/>
      <c r="PAU79" s="64"/>
      <c r="PAV79" s="64"/>
      <c r="PAW79" s="64"/>
      <c r="PAX79" s="64"/>
      <c r="PAY79" s="64"/>
      <c r="PAZ79" s="64"/>
      <c r="PBA79" s="64"/>
      <c r="PBB79" s="64"/>
      <c r="PBC79" s="64"/>
      <c r="PBD79" s="64"/>
      <c r="PBE79" s="64"/>
      <c r="PBF79" s="64"/>
      <c r="PBG79" s="64"/>
      <c r="PBH79" s="64"/>
      <c r="PBI79" s="64"/>
      <c r="PBJ79" s="64"/>
      <c r="PBK79" s="64"/>
      <c r="PBL79" s="64"/>
      <c r="PBM79" s="64"/>
      <c r="PBN79" s="64"/>
      <c r="PBO79" s="64"/>
      <c r="PBP79" s="64"/>
      <c r="PBQ79" s="64"/>
      <c r="PBR79" s="64"/>
      <c r="PBS79" s="64"/>
      <c r="PBT79" s="64"/>
      <c r="PBU79" s="64"/>
      <c r="PBV79" s="64"/>
      <c r="PBW79" s="64"/>
      <c r="PBX79" s="64"/>
      <c r="PBY79" s="64"/>
      <c r="PBZ79" s="64"/>
      <c r="PCA79" s="64"/>
      <c r="PCB79" s="64"/>
      <c r="PCC79" s="64"/>
      <c r="PCD79" s="64"/>
      <c r="PCE79" s="64"/>
      <c r="PCF79" s="64"/>
      <c r="PCG79" s="64"/>
      <c r="PCH79" s="64"/>
      <c r="PCI79" s="64"/>
      <c r="PCJ79" s="64"/>
      <c r="PCK79" s="64"/>
      <c r="PCL79" s="64"/>
      <c r="PCM79" s="64"/>
      <c r="PCN79" s="64"/>
      <c r="PCO79" s="64"/>
      <c r="PCP79" s="64"/>
      <c r="PCQ79" s="64"/>
      <c r="PCR79" s="64"/>
      <c r="PCS79" s="64"/>
      <c r="PCT79" s="64"/>
      <c r="PCU79" s="64"/>
      <c r="PCV79" s="64"/>
      <c r="PCW79" s="64"/>
      <c r="PCX79" s="64"/>
      <c r="PCY79" s="64"/>
      <c r="PCZ79" s="64"/>
      <c r="PDA79" s="64"/>
      <c r="PDB79" s="64"/>
      <c r="PDC79" s="64"/>
      <c r="PDD79" s="64"/>
      <c r="PDE79" s="64"/>
      <c r="PDF79" s="64"/>
      <c r="PDG79" s="64"/>
      <c r="PDH79" s="64"/>
      <c r="PDI79" s="64"/>
      <c r="PDJ79" s="64"/>
      <c r="PDK79" s="64"/>
      <c r="PDL79" s="64"/>
      <c r="PDM79" s="64"/>
      <c r="PDN79" s="64"/>
      <c r="PDO79" s="64"/>
      <c r="PDP79" s="64"/>
      <c r="PDQ79" s="64"/>
      <c r="PDR79" s="64"/>
      <c r="PDS79" s="64"/>
      <c r="PDT79" s="64"/>
      <c r="PDU79" s="64"/>
      <c r="PDV79" s="64"/>
      <c r="PDW79" s="64"/>
      <c r="PDX79" s="64"/>
      <c r="PDY79" s="64"/>
      <c r="PDZ79" s="64"/>
      <c r="PEA79" s="64"/>
      <c r="PEB79" s="64"/>
      <c r="PEC79" s="64"/>
      <c r="PED79" s="64"/>
      <c r="PEE79" s="64"/>
      <c r="PEF79" s="64"/>
      <c r="PEG79" s="64"/>
      <c r="PEH79" s="64"/>
      <c r="PEI79" s="64"/>
      <c r="PEJ79" s="64"/>
      <c r="PEK79" s="64"/>
      <c r="PEL79" s="64"/>
      <c r="PEM79" s="64"/>
      <c r="PEN79" s="64"/>
      <c r="PEO79" s="64"/>
      <c r="PEP79" s="64"/>
      <c r="PEQ79" s="64"/>
      <c r="PER79" s="64"/>
      <c r="PES79" s="64"/>
      <c r="PET79" s="64"/>
      <c r="PEU79" s="64"/>
      <c r="PEV79" s="64"/>
      <c r="PEW79" s="64"/>
      <c r="PEX79" s="64"/>
      <c r="PEY79" s="64"/>
      <c r="PEZ79" s="64"/>
      <c r="PFA79" s="64"/>
      <c r="PFB79" s="64"/>
      <c r="PFC79" s="64"/>
      <c r="PFD79" s="64"/>
      <c r="PFE79" s="64"/>
      <c r="PFF79" s="64"/>
      <c r="PFG79" s="64"/>
      <c r="PFH79" s="64"/>
      <c r="PFI79" s="64"/>
      <c r="PFJ79" s="64"/>
      <c r="PFK79" s="64"/>
      <c r="PFL79" s="64"/>
      <c r="PFM79" s="64"/>
      <c r="PFN79" s="64"/>
      <c r="PFO79" s="64"/>
      <c r="PFP79" s="64"/>
      <c r="PFQ79" s="64"/>
      <c r="PFR79" s="64"/>
      <c r="PFS79" s="64"/>
      <c r="PFT79" s="64"/>
      <c r="PFU79" s="64"/>
      <c r="PFV79" s="64"/>
      <c r="PFW79" s="64"/>
      <c r="PFX79" s="64"/>
      <c r="PFY79" s="64"/>
      <c r="PFZ79" s="64"/>
      <c r="PGA79" s="64"/>
      <c r="PGB79" s="64"/>
      <c r="PGC79" s="64"/>
      <c r="PGD79" s="64"/>
      <c r="PGE79" s="64"/>
      <c r="PGF79" s="64"/>
      <c r="PGG79" s="64"/>
      <c r="PGH79" s="64"/>
      <c r="PGI79" s="64"/>
      <c r="PGJ79" s="64"/>
      <c r="PGK79" s="64"/>
      <c r="PGL79" s="64"/>
      <c r="PGM79" s="64"/>
      <c r="PGN79" s="64"/>
      <c r="PGO79" s="64"/>
      <c r="PGP79" s="64"/>
      <c r="PGQ79" s="64"/>
      <c r="PGR79" s="64"/>
      <c r="PGS79" s="64"/>
      <c r="PGT79" s="64"/>
      <c r="PGU79" s="64"/>
      <c r="PGV79" s="64"/>
      <c r="PGW79" s="64"/>
      <c r="PGX79" s="64"/>
      <c r="PGY79" s="64"/>
      <c r="PGZ79" s="64"/>
      <c r="PHA79" s="64"/>
      <c r="PHB79" s="64"/>
      <c r="PHC79" s="64"/>
      <c r="PHD79" s="64"/>
      <c r="PHE79" s="64"/>
      <c r="PHF79" s="64"/>
      <c r="PHG79" s="64"/>
      <c r="PHH79" s="64"/>
      <c r="PHI79" s="64"/>
      <c r="PHJ79" s="64"/>
      <c r="PHK79" s="64"/>
      <c r="PHL79" s="64"/>
      <c r="PHM79" s="64"/>
      <c r="PHN79" s="64"/>
      <c r="PHO79" s="64"/>
      <c r="PHP79" s="64"/>
      <c r="PHQ79" s="64"/>
      <c r="PHR79" s="64"/>
      <c r="PHS79" s="64"/>
      <c r="PHT79" s="64"/>
      <c r="PHU79" s="64"/>
      <c r="PHV79" s="64"/>
      <c r="PHW79" s="64"/>
      <c r="PHX79" s="64"/>
      <c r="PHY79" s="64"/>
      <c r="PHZ79" s="64"/>
      <c r="PIA79" s="64"/>
      <c r="PIB79" s="64"/>
      <c r="PIC79" s="64"/>
      <c r="PID79" s="64"/>
      <c r="PIE79" s="64"/>
      <c r="PIF79" s="64"/>
      <c r="PIG79" s="64"/>
      <c r="PIH79" s="64"/>
      <c r="PII79" s="64"/>
      <c r="PIJ79" s="64"/>
      <c r="PIK79" s="64"/>
      <c r="PIL79" s="64"/>
      <c r="PIM79" s="64"/>
      <c r="PIN79" s="64"/>
      <c r="PIO79" s="64"/>
      <c r="PIP79" s="64"/>
      <c r="PIQ79" s="64"/>
      <c r="PIR79" s="64"/>
      <c r="PIS79" s="64"/>
      <c r="PIT79" s="64"/>
      <c r="PIU79" s="64"/>
      <c r="PIV79" s="64"/>
      <c r="PIW79" s="64"/>
      <c r="PIX79" s="64"/>
      <c r="PIY79" s="64"/>
      <c r="PIZ79" s="64"/>
      <c r="PJA79" s="64"/>
      <c r="PJB79" s="64"/>
      <c r="PJC79" s="64"/>
      <c r="PJD79" s="64"/>
      <c r="PJE79" s="64"/>
      <c r="PJF79" s="64"/>
      <c r="PJG79" s="64"/>
      <c r="PJH79" s="64"/>
      <c r="PJI79" s="64"/>
      <c r="PJJ79" s="64"/>
      <c r="PJK79" s="64"/>
      <c r="PJL79" s="64"/>
      <c r="PJM79" s="64"/>
      <c r="PJN79" s="64"/>
      <c r="PJO79" s="64"/>
      <c r="PJP79" s="64"/>
      <c r="PJQ79" s="64"/>
      <c r="PJR79" s="64"/>
      <c r="PJS79" s="64"/>
      <c r="PJT79" s="64"/>
      <c r="PJU79" s="64"/>
      <c r="PJV79" s="64"/>
      <c r="PJW79" s="64"/>
      <c r="PJX79" s="64"/>
      <c r="PJY79" s="64"/>
      <c r="PJZ79" s="64"/>
      <c r="PKA79" s="64"/>
      <c r="PKB79" s="64"/>
      <c r="PKC79" s="64"/>
      <c r="PKD79" s="64"/>
      <c r="PKE79" s="64"/>
      <c r="PKF79" s="64"/>
      <c r="PKG79" s="64"/>
      <c r="PKH79" s="64"/>
      <c r="PKI79" s="64"/>
      <c r="PKJ79" s="64"/>
      <c r="PKK79" s="64"/>
      <c r="PKL79" s="64"/>
      <c r="PKM79" s="64"/>
      <c r="PKN79" s="64"/>
      <c r="PKO79" s="64"/>
      <c r="PKP79" s="64"/>
      <c r="PKQ79" s="64"/>
      <c r="PKR79" s="64"/>
      <c r="PKS79" s="64"/>
      <c r="PKT79" s="64"/>
      <c r="PKU79" s="64"/>
      <c r="PKV79" s="64"/>
      <c r="PKW79" s="64"/>
      <c r="PKX79" s="64"/>
      <c r="PKY79" s="64"/>
      <c r="PKZ79" s="64"/>
      <c r="PLA79" s="64"/>
      <c r="PLB79" s="64"/>
      <c r="PLC79" s="64"/>
      <c r="PLD79" s="64"/>
      <c r="PLE79" s="64"/>
      <c r="PLF79" s="64"/>
      <c r="PLG79" s="64"/>
      <c r="PLH79" s="64"/>
      <c r="PLI79" s="64"/>
      <c r="PLJ79" s="64"/>
      <c r="PLK79" s="64"/>
      <c r="PLL79" s="64"/>
      <c r="PLM79" s="64"/>
      <c r="PLN79" s="64"/>
      <c r="PLO79" s="64"/>
      <c r="PLP79" s="64"/>
      <c r="PLQ79" s="64"/>
      <c r="PLR79" s="64"/>
      <c r="PLS79" s="64"/>
      <c r="PLT79" s="64"/>
      <c r="PLU79" s="64"/>
      <c r="PLV79" s="64"/>
      <c r="PLW79" s="64"/>
      <c r="PLX79" s="64"/>
      <c r="PLY79" s="64"/>
      <c r="PLZ79" s="64"/>
      <c r="PMA79" s="64"/>
      <c r="PMB79" s="64"/>
      <c r="PMC79" s="64"/>
      <c r="PMD79" s="64"/>
      <c r="PME79" s="64"/>
      <c r="PMF79" s="64"/>
      <c r="PMG79" s="64"/>
      <c r="PMH79" s="64"/>
      <c r="PMI79" s="64"/>
      <c r="PMJ79" s="64"/>
      <c r="PMK79" s="64"/>
      <c r="PML79" s="64"/>
      <c r="PMM79" s="64"/>
      <c r="PMN79" s="64"/>
      <c r="PMO79" s="64"/>
      <c r="PMP79" s="64"/>
      <c r="PMQ79" s="64"/>
      <c r="PMR79" s="64"/>
      <c r="PMS79" s="64"/>
      <c r="PMT79" s="64"/>
      <c r="PMU79" s="64"/>
      <c r="PMV79" s="64"/>
      <c r="PMW79" s="64"/>
      <c r="PMX79" s="64"/>
      <c r="PMY79" s="64"/>
      <c r="PMZ79" s="64"/>
      <c r="PNA79" s="64"/>
      <c r="PNB79" s="64"/>
      <c r="PNC79" s="64"/>
      <c r="PND79" s="64"/>
      <c r="PNE79" s="64"/>
      <c r="PNF79" s="64"/>
      <c r="PNG79" s="64"/>
      <c r="PNH79" s="64"/>
      <c r="PNI79" s="64"/>
      <c r="PNJ79" s="64"/>
      <c r="PNK79" s="64"/>
      <c r="PNL79" s="64"/>
      <c r="PNM79" s="64"/>
      <c r="PNN79" s="64"/>
      <c r="PNO79" s="64"/>
      <c r="PNP79" s="64"/>
      <c r="PNQ79" s="64"/>
      <c r="PNR79" s="64"/>
      <c r="PNS79" s="64"/>
      <c r="PNT79" s="64"/>
      <c r="PNU79" s="64"/>
      <c r="PNV79" s="64"/>
      <c r="PNW79" s="64"/>
      <c r="PNX79" s="64"/>
      <c r="PNY79" s="64"/>
      <c r="PNZ79" s="64"/>
      <c r="POA79" s="64"/>
      <c r="POB79" s="64"/>
      <c r="POC79" s="64"/>
      <c r="POD79" s="64"/>
      <c r="POE79" s="64"/>
      <c r="POF79" s="64"/>
      <c r="POG79" s="64"/>
      <c r="POH79" s="64"/>
      <c r="POI79" s="64"/>
      <c r="POJ79" s="64"/>
      <c r="POK79" s="64"/>
      <c r="POL79" s="64"/>
      <c r="POM79" s="64"/>
      <c r="PON79" s="64"/>
      <c r="POO79" s="64"/>
      <c r="POP79" s="64"/>
      <c r="POQ79" s="64"/>
      <c r="POR79" s="64"/>
      <c r="POS79" s="64"/>
      <c r="POT79" s="64"/>
      <c r="POU79" s="64"/>
      <c r="POV79" s="64"/>
      <c r="POW79" s="64"/>
      <c r="POX79" s="64"/>
      <c r="POY79" s="64"/>
      <c r="POZ79" s="64"/>
      <c r="PPA79" s="64"/>
      <c r="PPB79" s="64"/>
      <c r="PPC79" s="64"/>
      <c r="PPD79" s="64"/>
      <c r="PPE79" s="64"/>
      <c r="PPF79" s="64"/>
      <c r="PPG79" s="64"/>
      <c r="PPH79" s="64"/>
      <c r="PPI79" s="64"/>
      <c r="PPJ79" s="64"/>
      <c r="PPK79" s="64"/>
      <c r="PPL79" s="64"/>
      <c r="PPM79" s="64"/>
      <c r="PPN79" s="64"/>
      <c r="PPO79" s="64"/>
      <c r="PPP79" s="64"/>
      <c r="PPQ79" s="64"/>
      <c r="PPR79" s="64"/>
      <c r="PPS79" s="64"/>
      <c r="PPT79" s="64"/>
      <c r="PPU79" s="64"/>
      <c r="PPV79" s="64"/>
      <c r="PPW79" s="64"/>
      <c r="PPX79" s="64"/>
      <c r="PPY79" s="64"/>
      <c r="PPZ79" s="64"/>
      <c r="PQA79" s="64"/>
      <c r="PQB79" s="64"/>
      <c r="PQC79" s="64"/>
      <c r="PQD79" s="64"/>
      <c r="PQE79" s="64"/>
      <c r="PQF79" s="64"/>
      <c r="PQG79" s="64"/>
      <c r="PQH79" s="64"/>
      <c r="PQI79" s="64"/>
      <c r="PQJ79" s="64"/>
      <c r="PQK79" s="64"/>
      <c r="PQL79" s="64"/>
      <c r="PQM79" s="64"/>
      <c r="PQN79" s="64"/>
      <c r="PQO79" s="64"/>
      <c r="PQP79" s="64"/>
      <c r="PQQ79" s="64"/>
      <c r="PQR79" s="64"/>
      <c r="PQS79" s="64"/>
      <c r="PQT79" s="64"/>
      <c r="PQU79" s="64"/>
      <c r="PQV79" s="64"/>
      <c r="PQW79" s="64"/>
      <c r="PQX79" s="64"/>
      <c r="PQY79" s="64"/>
      <c r="PQZ79" s="64"/>
      <c r="PRA79" s="64"/>
      <c r="PRB79" s="64"/>
      <c r="PRC79" s="64"/>
      <c r="PRD79" s="64"/>
      <c r="PRE79" s="64"/>
      <c r="PRF79" s="64"/>
      <c r="PRG79" s="64"/>
      <c r="PRH79" s="64"/>
      <c r="PRI79" s="64"/>
      <c r="PRJ79" s="64"/>
      <c r="PRK79" s="64"/>
      <c r="PRL79" s="64"/>
      <c r="PRM79" s="64"/>
      <c r="PRN79" s="64"/>
      <c r="PRO79" s="64"/>
      <c r="PRP79" s="64"/>
      <c r="PRQ79" s="64"/>
      <c r="PRR79" s="64"/>
      <c r="PRS79" s="64"/>
      <c r="PRT79" s="64"/>
      <c r="PRU79" s="64"/>
      <c r="PRV79" s="64"/>
      <c r="PRW79" s="64"/>
      <c r="PRX79" s="64"/>
      <c r="PRY79" s="64"/>
      <c r="PRZ79" s="64"/>
      <c r="PSA79" s="64"/>
      <c r="PSB79" s="64"/>
      <c r="PSC79" s="64"/>
      <c r="PSD79" s="64"/>
      <c r="PSE79" s="64"/>
      <c r="PSF79" s="64"/>
      <c r="PSG79" s="64"/>
      <c r="PSH79" s="64"/>
      <c r="PSI79" s="64"/>
      <c r="PSJ79" s="64"/>
      <c r="PSK79" s="64"/>
      <c r="PSL79" s="64"/>
      <c r="PSM79" s="64"/>
      <c r="PSN79" s="64"/>
      <c r="PSO79" s="64"/>
      <c r="PSP79" s="64"/>
      <c r="PSQ79" s="64"/>
      <c r="PSR79" s="64"/>
      <c r="PSS79" s="64"/>
      <c r="PST79" s="64"/>
      <c r="PSU79" s="64"/>
      <c r="PSV79" s="64"/>
      <c r="PSW79" s="64"/>
      <c r="PSX79" s="64"/>
      <c r="PSY79" s="64"/>
      <c r="PSZ79" s="64"/>
      <c r="PTA79" s="64"/>
      <c r="PTB79" s="64"/>
      <c r="PTC79" s="64"/>
      <c r="PTD79" s="64"/>
      <c r="PTE79" s="64"/>
      <c r="PTF79" s="64"/>
      <c r="PTG79" s="64"/>
      <c r="PTH79" s="64"/>
      <c r="PTI79" s="64"/>
      <c r="PTJ79" s="64"/>
      <c r="PTK79" s="64"/>
      <c r="PTL79" s="64"/>
      <c r="PTM79" s="64"/>
      <c r="PTN79" s="64"/>
      <c r="PTO79" s="64"/>
      <c r="PTP79" s="64"/>
      <c r="PTQ79" s="64"/>
      <c r="PTR79" s="64"/>
      <c r="PTS79" s="64"/>
      <c r="PTT79" s="64"/>
      <c r="PTU79" s="64"/>
      <c r="PTV79" s="64"/>
      <c r="PTW79" s="64"/>
      <c r="PTX79" s="64"/>
      <c r="PTY79" s="64"/>
      <c r="PTZ79" s="64"/>
      <c r="PUA79" s="64"/>
      <c r="PUB79" s="64"/>
      <c r="PUC79" s="64"/>
      <c r="PUD79" s="64"/>
      <c r="PUE79" s="64"/>
      <c r="PUF79" s="64"/>
      <c r="PUG79" s="64"/>
      <c r="PUH79" s="64"/>
      <c r="PUI79" s="64"/>
      <c r="PUJ79" s="64"/>
      <c r="PUK79" s="64"/>
      <c r="PUL79" s="64"/>
      <c r="PUM79" s="64"/>
      <c r="PUN79" s="64"/>
      <c r="PUO79" s="64"/>
      <c r="PUP79" s="64"/>
      <c r="PUQ79" s="64"/>
      <c r="PUR79" s="64"/>
      <c r="PUS79" s="64"/>
      <c r="PUT79" s="64"/>
      <c r="PUU79" s="64"/>
      <c r="PUV79" s="64"/>
      <c r="PUW79" s="64"/>
      <c r="PUX79" s="64"/>
      <c r="PUY79" s="64"/>
      <c r="PUZ79" s="64"/>
      <c r="PVA79" s="64"/>
      <c r="PVB79" s="64"/>
      <c r="PVC79" s="64"/>
      <c r="PVD79" s="64"/>
      <c r="PVE79" s="64"/>
      <c r="PVF79" s="64"/>
      <c r="PVG79" s="64"/>
      <c r="PVH79" s="64"/>
      <c r="PVI79" s="64"/>
      <c r="PVJ79" s="64"/>
      <c r="PVK79" s="64"/>
      <c r="PVL79" s="64"/>
      <c r="PVM79" s="64"/>
      <c r="PVN79" s="64"/>
      <c r="PVO79" s="64"/>
      <c r="PVP79" s="64"/>
      <c r="PVQ79" s="64"/>
      <c r="PVR79" s="64"/>
      <c r="PVS79" s="64"/>
      <c r="PVT79" s="64"/>
      <c r="PVU79" s="64"/>
      <c r="PVV79" s="64"/>
      <c r="PVW79" s="64"/>
      <c r="PVX79" s="64"/>
      <c r="PVY79" s="64"/>
      <c r="PVZ79" s="64"/>
      <c r="PWA79" s="64"/>
      <c r="PWB79" s="64"/>
      <c r="PWC79" s="64"/>
      <c r="PWD79" s="64"/>
      <c r="PWE79" s="64"/>
      <c r="PWF79" s="64"/>
      <c r="PWG79" s="64"/>
      <c r="PWH79" s="64"/>
      <c r="PWI79" s="64"/>
      <c r="PWJ79" s="64"/>
      <c r="PWK79" s="64"/>
      <c r="PWL79" s="64"/>
      <c r="PWM79" s="64"/>
      <c r="PWN79" s="64"/>
      <c r="PWO79" s="64"/>
      <c r="PWP79" s="64"/>
      <c r="PWQ79" s="64"/>
      <c r="PWR79" s="64"/>
      <c r="PWS79" s="64"/>
      <c r="PWT79" s="64"/>
      <c r="PWU79" s="64"/>
      <c r="PWV79" s="64"/>
      <c r="PWW79" s="64"/>
      <c r="PWX79" s="64"/>
      <c r="PWY79" s="64"/>
      <c r="PWZ79" s="64"/>
      <c r="PXA79" s="64"/>
      <c r="PXB79" s="64"/>
      <c r="PXC79" s="64"/>
      <c r="PXD79" s="64"/>
      <c r="PXE79" s="64"/>
      <c r="PXF79" s="64"/>
      <c r="PXG79" s="64"/>
      <c r="PXH79" s="64"/>
      <c r="PXI79" s="64"/>
      <c r="PXJ79" s="64"/>
      <c r="PXK79" s="64"/>
      <c r="PXL79" s="64"/>
      <c r="PXM79" s="64"/>
      <c r="PXN79" s="64"/>
      <c r="PXO79" s="64"/>
      <c r="PXP79" s="64"/>
      <c r="PXQ79" s="64"/>
      <c r="PXR79" s="64"/>
      <c r="PXS79" s="64"/>
      <c r="PXT79" s="64"/>
      <c r="PXU79" s="64"/>
      <c r="PXV79" s="64"/>
      <c r="PXW79" s="64"/>
      <c r="PXX79" s="64"/>
      <c r="PXY79" s="64"/>
      <c r="PXZ79" s="64"/>
      <c r="PYA79" s="64"/>
      <c r="PYB79" s="64"/>
      <c r="PYC79" s="64"/>
      <c r="PYD79" s="64"/>
      <c r="PYE79" s="64"/>
      <c r="PYF79" s="64"/>
      <c r="PYG79" s="64"/>
      <c r="PYH79" s="64"/>
      <c r="PYI79" s="64"/>
      <c r="PYJ79" s="64"/>
      <c r="PYK79" s="64"/>
      <c r="PYL79" s="64"/>
      <c r="PYM79" s="64"/>
      <c r="PYN79" s="64"/>
      <c r="PYO79" s="64"/>
      <c r="PYP79" s="64"/>
      <c r="PYQ79" s="64"/>
      <c r="PYR79" s="64"/>
      <c r="PYS79" s="64"/>
      <c r="PYT79" s="64"/>
      <c r="PYU79" s="64"/>
      <c r="PYV79" s="64"/>
      <c r="PYW79" s="64"/>
      <c r="PYX79" s="64"/>
      <c r="PYY79" s="64"/>
      <c r="PYZ79" s="64"/>
      <c r="PZA79" s="64"/>
      <c r="PZB79" s="64"/>
      <c r="PZC79" s="64"/>
      <c r="PZD79" s="64"/>
      <c r="PZE79" s="64"/>
      <c r="PZF79" s="64"/>
      <c r="PZG79" s="64"/>
      <c r="PZH79" s="64"/>
      <c r="PZI79" s="64"/>
      <c r="PZJ79" s="64"/>
      <c r="PZK79" s="64"/>
      <c r="PZL79" s="64"/>
      <c r="PZM79" s="64"/>
      <c r="PZN79" s="64"/>
      <c r="PZO79" s="64"/>
      <c r="PZP79" s="64"/>
      <c r="PZQ79" s="64"/>
      <c r="PZR79" s="64"/>
      <c r="PZS79" s="64"/>
      <c r="PZT79" s="64"/>
      <c r="PZU79" s="64"/>
      <c r="PZV79" s="64"/>
      <c r="PZW79" s="64"/>
      <c r="PZX79" s="64"/>
      <c r="PZY79" s="64"/>
      <c r="PZZ79" s="64"/>
      <c r="QAA79" s="64"/>
      <c r="QAB79" s="64"/>
      <c r="QAC79" s="64"/>
      <c r="QAD79" s="64"/>
      <c r="QAE79" s="64"/>
      <c r="QAF79" s="64"/>
      <c r="QAG79" s="64"/>
      <c r="QAH79" s="64"/>
      <c r="QAI79" s="64"/>
      <c r="QAJ79" s="64"/>
      <c r="QAK79" s="64"/>
      <c r="QAL79" s="64"/>
      <c r="QAM79" s="64"/>
      <c r="QAN79" s="64"/>
      <c r="QAO79" s="64"/>
      <c r="QAP79" s="64"/>
      <c r="QAQ79" s="64"/>
      <c r="QAR79" s="64"/>
      <c r="QAS79" s="64"/>
      <c r="QAT79" s="64"/>
      <c r="QAU79" s="64"/>
      <c r="QAV79" s="64"/>
      <c r="QAW79" s="64"/>
      <c r="QAX79" s="64"/>
      <c r="QAY79" s="64"/>
      <c r="QAZ79" s="64"/>
      <c r="QBA79" s="64"/>
      <c r="QBB79" s="64"/>
      <c r="QBC79" s="64"/>
      <c r="QBD79" s="64"/>
      <c r="QBE79" s="64"/>
      <c r="QBF79" s="64"/>
      <c r="QBG79" s="64"/>
      <c r="QBH79" s="64"/>
      <c r="QBI79" s="64"/>
      <c r="QBJ79" s="64"/>
      <c r="QBK79" s="64"/>
      <c r="QBL79" s="64"/>
      <c r="QBM79" s="64"/>
      <c r="QBN79" s="64"/>
      <c r="QBO79" s="64"/>
      <c r="QBP79" s="64"/>
      <c r="QBQ79" s="64"/>
      <c r="QBR79" s="64"/>
      <c r="QBS79" s="64"/>
      <c r="QBT79" s="64"/>
      <c r="QBU79" s="64"/>
      <c r="QBV79" s="64"/>
      <c r="QBW79" s="64"/>
      <c r="QBX79" s="64"/>
      <c r="QBY79" s="64"/>
      <c r="QBZ79" s="64"/>
      <c r="QCA79" s="64"/>
      <c r="QCB79" s="64"/>
      <c r="QCC79" s="64"/>
      <c r="QCD79" s="64"/>
      <c r="QCE79" s="64"/>
      <c r="QCF79" s="64"/>
      <c r="QCG79" s="64"/>
      <c r="QCH79" s="64"/>
      <c r="QCI79" s="64"/>
      <c r="QCJ79" s="64"/>
      <c r="QCK79" s="64"/>
      <c r="QCL79" s="64"/>
      <c r="QCM79" s="64"/>
      <c r="QCN79" s="64"/>
      <c r="QCO79" s="64"/>
      <c r="QCP79" s="64"/>
      <c r="QCQ79" s="64"/>
      <c r="QCR79" s="64"/>
      <c r="QCS79" s="64"/>
      <c r="QCT79" s="64"/>
      <c r="QCU79" s="64"/>
      <c r="QCV79" s="64"/>
      <c r="QCW79" s="64"/>
      <c r="QCX79" s="64"/>
      <c r="QCY79" s="64"/>
      <c r="QCZ79" s="64"/>
      <c r="QDA79" s="64"/>
      <c r="QDB79" s="64"/>
      <c r="QDC79" s="64"/>
      <c r="QDD79" s="64"/>
      <c r="QDE79" s="64"/>
      <c r="QDF79" s="64"/>
      <c r="QDG79" s="64"/>
      <c r="QDH79" s="64"/>
      <c r="QDI79" s="64"/>
      <c r="QDJ79" s="64"/>
      <c r="QDK79" s="64"/>
      <c r="QDL79" s="64"/>
      <c r="QDM79" s="64"/>
      <c r="QDN79" s="64"/>
      <c r="QDO79" s="64"/>
      <c r="QDP79" s="64"/>
      <c r="QDQ79" s="64"/>
      <c r="QDR79" s="64"/>
      <c r="QDS79" s="64"/>
      <c r="QDT79" s="64"/>
      <c r="QDU79" s="64"/>
      <c r="QDV79" s="64"/>
      <c r="QDW79" s="64"/>
      <c r="QDX79" s="64"/>
      <c r="QDY79" s="64"/>
      <c r="QDZ79" s="64"/>
      <c r="QEA79" s="64"/>
      <c r="QEB79" s="64"/>
      <c r="QEC79" s="64"/>
      <c r="QED79" s="64"/>
      <c r="QEE79" s="64"/>
      <c r="QEF79" s="64"/>
      <c r="QEG79" s="64"/>
      <c r="QEH79" s="64"/>
      <c r="QEI79" s="64"/>
      <c r="QEJ79" s="64"/>
      <c r="QEK79" s="64"/>
      <c r="QEL79" s="64"/>
      <c r="QEM79" s="64"/>
      <c r="QEN79" s="64"/>
      <c r="QEO79" s="64"/>
      <c r="QEP79" s="64"/>
      <c r="QEQ79" s="64"/>
      <c r="QER79" s="64"/>
      <c r="QES79" s="64"/>
      <c r="QET79" s="64"/>
      <c r="QEU79" s="64"/>
      <c r="QEV79" s="64"/>
      <c r="QEW79" s="64"/>
      <c r="QEX79" s="64"/>
      <c r="QEY79" s="64"/>
      <c r="QEZ79" s="64"/>
      <c r="QFA79" s="64"/>
      <c r="QFB79" s="64"/>
      <c r="QFC79" s="64"/>
      <c r="QFD79" s="64"/>
      <c r="QFE79" s="64"/>
      <c r="QFF79" s="64"/>
      <c r="QFG79" s="64"/>
      <c r="QFH79" s="64"/>
      <c r="QFI79" s="64"/>
      <c r="QFJ79" s="64"/>
      <c r="QFK79" s="64"/>
      <c r="QFL79" s="64"/>
      <c r="QFM79" s="64"/>
      <c r="QFN79" s="64"/>
      <c r="QFO79" s="64"/>
      <c r="QFP79" s="64"/>
      <c r="QFQ79" s="64"/>
      <c r="QFR79" s="64"/>
      <c r="QFS79" s="64"/>
      <c r="QFT79" s="64"/>
      <c r="QFU79" s="64"/>
      <c r="QFV79" s="64"/>
      <c r="QFW79" s="64"/>
      <c r="QFX79" s="64"/>
      <c r="QFY79" s="64"/>
      <c r="QFZ79" s="64"/>
      <c r="QGA79" s="64"/>
      <c r="QGB79" s="64"/>
      <c r="QGC79" s="64"/>
      <c r="QGD79" s="64"/>
      <c r="QGE79" s="64"/>
      <c r="QGF79" s="64"/>
      <c r="QGG79" s="64"/>
      <c r="QGH79" s="64"/>
      <c r="QGI79" s="64"/>
      <c r="QGJ79" s="64"/>
      <c r="QGK79" s="64"/>
      <c r="QGL79" s="64"/>
      <c r="QGM79" s="64"/>
      <c r="QGN79" s="64"/>
      <c r="QGO79" s="64"/>
      <c r="QGP79" s="64"/>
      <c r="QGQ79" s="64"/>
      <c r="QGR79" s="64"/>
      <c r="QGS79" s="64"/>
      <c r="QGT79" s="64"/>
      <c r="QGU79" s="64"/>
      <c r="QGV79" s="64"/>
      <c r="QGW79" s="64"/>
      <c r="QGX79" s="64"/>
      <c r="QGY79" s="64"/>
      <c r="QGZ79" s="64"/>
      <c r="QHA79" s="64"/>
      <c r="QHB79" s="64"/>
      <c r="QHC79" s="64"/>
      <c r="QHD79" s="64"/>
      <c r="QHE79" s="64"/>
      <c r="QHF79" s="64"/>
      <c r="QHG79" s="64"/>
      <c r="QHH79" s="64"/>
      <c r="QHI79" s="64"/>
      <c r="QHJ79" s="64"/>
      <c r="QHK79" s="64"/>
      <c r="QHL79" s="64"/>
      <c r="QHM79" s="64"/>
      <c r="QHN79" s="64"/>
      <c r="QHO79" s="64"/>
      <c r="QHP79" s="64"/>
      <c r="QHQ79" s="64"/>
      <c r="QHR79" s="64"/>
      <c r="QHS79" s="64"/>
      <c r="QHT79" s="64"/>
      <c r="QHU79" s="64"/>
      <c r="QHV79" s="64"/>
      <c r="QHW79" s="64"/>
      <c r="QHX79" s="64"/>
      <c r="QHY79" s="64"/>
      <c r="QHZ79" s="64"/>
      <c r="QIA79" s="64"/>
      <c r="QIB79" s="64"/>
      <c r="QIC79" s="64"/>
      <c r="QID79" s="64"/>
      <c r="QIE79" s="64"/>
      <c r="QIF79" s="64"/>
      <c r="QIG79" s="64"/>
      <c r="QIH79" s="64"/>
      <c r="QII79" s="64"/>
      <c r="QIJ79" s="64"/>
      <c r="QIK79" s="64"/>
      <c r="QIL79" s="64"/>
      <c r="QIM79" s="64"/>
      <c r="QIN79" s="64"/>
      <c r="QIO79" s="64"/>
      <c r="QIP79" s="64"/>
      <c r="QIQ79" s="64"/>
      <c r="QIR79" s="64"/>
      <c r="QIS79" s="64"/>
      <c r="QIT79" s="64"/>
      <c r="QIU79" s="64"/>
      <c r="QIV79" s="64"/>
      <c r="QIW79" s="64"/>
      <c r="QIX79" s="64"/>
      <c r="QIY79" s="64"/>
      <c r="QIZ79" s="64"/>
      <c r="QJA79" s="64"/>
      <c r="QJB79" s="64"/>
      <c r="QJC79" s="64"/>
      <c r="QJD79" s="64"/>
      <c r="QJE79" s="64"/>
      <c r="QJF79" s="64"/>
      <c r="QJG79" s="64"/>
      <c r="QJH79" s="64"/>
      <c r="QJI79" s="64"/>
      <c r="QJJ79" s="64"/>
      <c r="QJK79" s="64"/>
      <c r="QJL79" s="64"/>
      <c r="QJM79" s="64"/>
      <c r="QJN79" s="64"/>
      <c r="QJO79" s="64"/>
      <c r="QJP79" s="64"/>
      <c r="QJQ79" s="64"/>
      <c r="QJR79" s="64"/>
      <c r="QJS79" s="64"/>
      <c r="QJT79" s="64"/>
      <c r="QJU79" s="64"/>
      <c r="QJV79" s="64"/>
      <c r="QJW79" s="64"/>
      <c r="QJX79" s="64"/>
      <c r="QJY79" s="64"/>
      <c r="QJZ79" s="64"/>
      <c r="QKA79" s="64"/>
      <c r="QKB79" s="64"/>
      <c r="QKC79" s="64"/>
      <c r="QKD79" s="64"/>
      <c r="QKE79" s="64"/>
      <c r="QKF79" s="64"/>
      <c r="QKG79" s="64"/>
      <c r="QKH79" s="64"/>
      <c r="QKI79" s="64"/>
      <c r="QKJ79" s="64"/>
      <c r="QKK79" s="64"/>
      <c r="QKL79" s="64"/>
      <c r="QKM79" s="64"/>
      <c r="QKN79" s="64"/>
      <c r="QKO79" s="64"/>
      <c r="QKP79" s="64"/>
      <c r="QKQ79" s="64"/>
      <c r="QKR79" s="64"/>
      <c r="QKS79" s="64"/>
      <c r="QKT79" s="64"/>
      <c r="QKU79" s="64"/>
      <c r="QKV79" s="64"/>
      <c r="QKW79" s="64"/>
      <c r="QKX79" s="64"/>
      <c r="QKY79" s="64"/>
      <c r="QKZ79" s="64"/>
      <c r="QLA79" s="64"/>
      <c r="QLB79" s="64"/>
      <c r="QLC79" s="64"/>
      <c r="QLD79" s="64"/>
      <c r="QLE79" s="64"/>
      <c r="QLF79" s="64"/>
      <c r="QLG79" s="64"/>
      <c r="QLH79" s="64"/>
      <c r="QLI79" s="64"/>
      <c r="QLJ79" s="64"/>
      <c r="QLK79" s="64"/>
      <c r="QLL79" s="64"/>
      <c r="QLM79" s="64"/>
      <c r="QLN79" s="64"/>
      <c r="QLO79" s="64"/>
      <c r="QLP79" s="64"/>
      <c r="QLQ79" s="64"/>
      <c r="QLR79" s="64"/>
      <c r="QLS79" s="64"/>
      <c r="QLT79" s="64"/>
      <c r="QLU79" s="64"/>
      <c r="QLV79" s="64"/>
      <c r="QLW79" s="64"/>
      <c r="QLX79" s="64"/>
      <c r="QLY79" s="64"/>
      <c r="QLZ79" s="64"/>
      <c r="QMA79" s="64"/>
      <c r="QMB79" s="64"/>
      <c r="QMC79" s="64"/>
      <c r="QMD79" s="64"/>
      <c r="QME79" s="64"/>
      <c r="QMF79" s="64"/>
      <c r="QMG79" s="64"/>
      <c r="QMH79" s="64"/>
      <c r="QMI79" s="64"/>
      <c r="QMJ79" s="64"/>
      <c r="QMK79" s="64"/>
      <c r="QML79" s="64"/>
      <c r="QMM79" s="64"/>
      <c r="QMN79" s="64"/>
      <c r="QMO79" s="64"/>
      <c r="QMP79" s="64"/>
      <c r="QMQ79" s="64"/>
      <c r="QMR79" s="64"/>
      <c r="QMS79" s="64"/>
      <c r="QMT79" s="64"/>
      <c r="QMU79" s="64"/>
      <c r="QMV79" s="64"/>
      <c r="QMW79" s="64"/>
      <c r="QMX79" s="64"/>
      <c r="QMY79" s="64"/>
      <c r="QMZ79" s="64"/>
      <c r="QNA79" s="64"/>
      <c r="QNB79" s="64"/>
      <c r="QNC79" s="64"/>
      <c r="QND79" s="64"/>
      <c r="QNE79" s="64"/>
      <c r="QNF79" s="64"/>
      <c r="QNG79" s="64"/>
      <c r="QNH79" s="64"/>
      <c r="QNI79" s="64"/>
      <c r="QNJ79" s="64"/>
      <c r="QNK79" s="64"/>
      <c r="QNL79" s="64"/>
      <c r="QNM79" s="64"/>
      <c r="QNN79" s="64"/>
      <c r="QNO79" s="64"/>
      <c r="QNP79" s="64"/>
      <c r="QNQ79" s="64"/>
      <c r="QNR79" s="64"/>
      <c r="QNS79" s="64"/>
      <c r="QNT79" s="64"/>
      <c r="QNU79" s="64"/>
      <c r="QNV79" s="64"/>
      <c r="QNW79" s="64"/>
      <c r="QNX79" s="64"/>
      <c r="QNY79" s="64"/>
      <c r="QNZ79" s="64"/>
      <c r="QOA79" s="64"/>
      <c r="QOB79" s="64"/>
      <c r="QOC79" s="64"/>
      <c r="QOD79" s="64"/>
      <c r="QOE79" s="64"/>
      <c r="QOF79" s="64"/>
      <c r="QOG79" s="64"/>
      <c r="QOH79" s="64"/>
      <c r="QOI79" s="64"/>
      <c r="QOJ79" s="64"/>
      <c r="QOK79" s="64"/>
      <c r="QOL79" s="64"/>
      <c r="QOM79" s="64"/>
      <c r="QON79" s="64"/>
      <c r="QOO79" s="64"/>
      <c r="QOP79" s="64"/>
      <c r="QOQ79" s="64"/>
      <c r="QOR79" s="64"/>
      <c r="QOS79" s="64"/>
      <c r="QOT79" s="64"/>
      <c r="QOU79" s="64"/>
      <c r="QOV79" s="64"/>
      <c r="QOW79" s="64"/>
      <c r="QOX79" s="64"/>
      <c r="QOY79" s="64"/>
      <c r="QOZ79" s="64"/>
      <c r="QPA79" s="64"/>
      <c r="QPB79" s="64"/>
      <c r="QPC79" s="64"/>
      <c r="QPD79" s="64"/>
      <c r="QPE79" s="64"/>
      <c r="QPF79" s="64"/>
      <c r="QPG79" s="64"/>
      <c r="QPH79" s="64"/>
      <c r="QPI79" s="64"/>
      <c r="QPJ79" s="64"/>
      <c r="QPK79" s="64"/>
      <c r="QPL79" s="64"/>
      <c r="QPM79" s="64"/>
      <c r="QPN79" s="64"/>
      <c r="QPO79" s="64"/>
      <c r="QPP79" s="64"/>
      <c r="QPQ79" s="64"/>
      <c r="QPR79" s="64"/>
      <c r="QPS79" s="64"/>
      <c r="QPT79" s="64"/>
      <c r="QPU79" s="64"/>
      <c r="QPV79" s="64"/>
      <c r="QPW79" s="64"/>
      <c r="QPX79" s="64"/>
      <c r="QPY79" s="64"/>
      <c r="QPZ79" s="64"/>
      <c r="QQA79" s="64"/>
      <c r="QQB79" s="64"/>
      <c r="QQC79" s="64"/>
      <c r="QQD79" s="64"/>
      <c r="QQE79" s="64"/>
      <c r="QQF79" s="64"/>
      <c r="QQG79" s="64"/>
      <c r="QQH79" s="64"/>
      <c r="QQI79" s="64"/>
      <c r="QQJ79" s="64"/>
      <c r="QQK79" s="64"/>
      <c r="QQL79" s="64"/>
      <c r="QQM79" s="64"/>
      <c r="QQN79" s="64"/>
      <c r="QQO79" s="64"/>
      <c r="QQP79" s="64"/>
      <c r="QQQ79" s="64"/>
      <c r="QQR79" s="64"/>
      <c r="QQS79" s="64"/>
      <c r="QQT79" s="64"/>
      <c r="QQU79" s="64"/>
      <c r="QQV79" s="64"/>
      <c r="QQW79" s="64"/>
      <c r="QQX79" s="64"/>
      <c r="QQY79" s="64"/>
      <c r="QQZ79" s="64"/>
      <c r="QRA79" s="64"/>
      <c r="QRB79" s="64"/>
      <c r="QRC79" s="64"/>
      <c r="QRD79" s="64"/>
      <c r="QRE79" s="64"/>
      <c r="QRF79" s="64"/>
      <c r="QRG79" s="64"/>
      <c r="QRH79" s="64"/>
      <c r="QRI79" s="64"/>
      <c r="QRJ79" s="64"/>
      <c r="QRK79" s="64"/>
      <c r="QRL79" s="64"/>
      <c r="QRM79" s="64"/>
      <c r="QRN79" s="64"/>
      <c r="QRO79" s="64"/>
      <c r="QRP79" s="64"/>
      <c r="QRQ79" s="64"/>
      <c r="QRR79" s="64"/>
      <c r="QRS79" s="64"/>
      <c r="QRT79" s="64"/>
      <c r="QRU79" s="64"/>
      <c r="QRV79" s="64"/>
      <c r="QRW79" s="64"/>
      <c r="QRX79" s="64"/>
      <c r="QRY79" s="64"/>
      <c r="QRZ79" s="64"/>
      <c r="QSA79" s="64"/>
      <c r="QSB79" s="64"/>
      <c r="QSC79" s="64"/>
      <c r="QSD79" s="64"/>
      <c r="QSE79" s="64"/>
      <c r="QSF79" s="64"/>
      <c r="QSG79" s="64"/>
      <c r="QSH79" s="64"/>
      <c r="QSI79" s="64"/>
      <c r="QSJ79" s="64"/>
      <c r="QSK79" s="64"/>
      <c r="QSL79" s="64"/>
      <c r="QSM79" s="64"/>
      <c r="QSN79" s="64"/>
      <c r="QSO79" s="64"/>
      <c r="QSP79" s="64"/>
      <c r="QSQ79" s="64"/>
      <c r="QSR79" s="64"/>
      <c r="QSS79" s="64"/>
      <c r="QST79" s="64"/>
      <c r="QSU79" s="64"/>
      <c r="QSV79" s="64"/>
      <c r="QSW79" s="64"/>
      <c r="QSX79" s="64"/>
      <c r="QSY79" s="64"/>
      <c r="QSZ79" s="64"/>
      <c r="QTA79" s="64"/>
      <c r="QTB79" s="64"/>
      <c r="QTC79" s="64"/>
      <c r="QTD79" s="64"/>
      <c r="QTE79" s="64"/>
      <c r="QTF79" s="64"/>
      <c r="QTG79" s="64"/>
      <c r="QTH79" s="64"/>
      <c r="QTI79" s="64"/>
      <c r="QTJ79" s="64"/>
      <c r="QTK79" s="64"/>
      <c r="QTL79" s="64"/>
      <c r="QTM79" s="64"/>
      <c r="QTN79" s="64"/>
      <c r="QTO79" s="64"/>
      <c r="QTP79" s="64"/>
      <c r="QTQ79" s="64"/>
      <c r="QTR79" s="64"/>
      <c r="QTS79" s="64"/>
      <c r="QTT79" s="64"/>
      <c r="QTU79" s="64"/>
      <c r="QTV79" s="64"/>
      <c r="QTW79" s="64"/>
      <c r="QTX79" s="64"/>
      <c r="QTY79" s="64"/>
      <c r="QTZ79" s="64"/>
      <c r="QUA79" s="64"/>
      <c r="QUB79" s="64"/>
      <c r="QUC79" s="64"/>
      <c r="QUD79" s="64"/>
      <c r="QUE79" s="64"/>
      <c r="QUF79" s="64"/>
      <c r="QUG79" s="64"/>
      <c r="QUH79" s="64"/>
      <c r="QUI79" s="64"/>
      <c r="QUJ79" s="64"/>
      <c r="QUK79" s="64"/>
      <c r="QUL79" s="64"/>
      <c r="QUM79" s="64"/>
      <c r="QUN79" s="64"/>
      <c r="QUO79" s="64"/>
      <c r="QUP79" s="64"/>
      <c r="QUQ79" s="64"/>
      <c r="QUR79" s="64"/>
      <c r="QUS79" s="64"/>
      <c r="QUT79" s="64"/>
      <c r="QUU79" s="64"/>
      <c r="QUV79" s="64"/>
      <c r="QUW79" s="64"/>
      <c r="QUX79" s="64"/>
      <c r="QUY79" s="64"/>
      <c r="QUZ79" s="64"/>
      <c r="QVA79" s="64"/>
      <c r="QVB79" s="64"/>
      <c r="QVC79" s="64"/>
      <c r="QVD79" s="64"/>
      <c r="QVE79" s="64"/>
      <c r="QVF79" s="64"/>
      <c r="QVG79" s="64"/>
      <c r="QVH79" s="64"/>
      <c r="QVI79" s="64"/>
      <c r="QVJ79" s="64"/>
      <c r="QVK79" s="64"/>
      <c r="QVL79" s="64"/>
      <c r="QVM79" s="64"/>
      <c r="QVN79" s="64"/>
      <c r="QVO79" s="64"/>
      <c r="QVP79" s="64"/>
      <c r="QVQ79" s="64"/>
      <c r="QVR79" s="64"/>
      <c r="QVS79" s="64"/>
      <c r="QVT79" s="64"/>
      <c r="QVU79" s="64"/>
      <c r="QVV79" s="64"/>
      <c r="QVW79" s="64"/>
      <c r="QVX79" s="64"/>
      <c r="QVY79" s="64"/>
      <c r="QVZ79" s="64"/>
      <c r="QWA79" s="64"/>
      <c r="QWB79" s="64"/>
      <c r="QWC79" s="64"/>
      <c r="QWD79" s="64"/>
      <c r="QWE79" s="64"/>
      <c r="QWF79" s="64"/>
      <c r="QWG79" s="64"/>
      <c r="QWH79" s="64"/>
      <c r="QWI79" s="64"/>
      <c r="QWJ79" s="64"/>
      <c r="QWK79" s="64"/>
      <c r="QWL79" s="64"/>
      <c r="QWM79" s="64"/>
      <c r="QWN79" s="64"/>
      <c r="QWO79" s="64"/>
      <c r="QWP79" s="64"/>
      <c r="QWQ79" s="64"/>
      <c r="QWR79" s="64"/>
      <c r="QWS79" s="64"/>
      <c r="QWT79" s="64"/>
      <c r="QWU79" s="64"/>
      <c r="QWV79" s="64"/>
      <c r="QWW79" s="64"/>
      <c r="QWX79" s="64"/>
      <c r="QWY79" s="64"/>
      <c r="QWZ79" s="64"/>
      <c r="QXA79" s="64"/>
      <c r="QXB79" s="64"/>
      <c r="QXC79" s="64"/>
      <c r="QXD79" s="64"/>
      <c r="QXE79" s="64"/>
      <c r="QXF79" s="64"/>
      <c r="QXG79" s="64"/>
      <c r="QXH79" s="64"/>
      <c r="QXI79" s="64"/>
      <c r="QXJ79" s="64"/>
      <c r="QXK79" s="64"/>
      <c r="QXL79" s="64"/>
      <c r="QXM79" s="64"/>
      <c r="QXN79" s="64"/>
      <c r="QXO79" s="64"/>
      <c r="QXP79" s="64"/>
      <c r="QXQ79" s="64"/>
      <c r="QXR79" s="64"/>
      <c r="QXS79" s="64"/>
      <c r="QXT79" s="64"/>
      <c r="QXU79" s="64"/>
      <c r="QXV79" s="64"/>
      <c r="QXW79" s="64"/>
      <c r="QXX79" s="64"/>
      <c r="QXY79" s="64"/>
      <c r="QXZ79" s="64"/>
      <c r="QYA79" s="64"/>
      <c r="QYB79" s="64"/>
      <c r="QYC79" s="64"/>
      <c r="QYD79" s="64"/>
      <c r="QYE79" s="64"/>
      <c r="QYF79" s="64"/>
      <c r="QYG79" s="64"/>
      <c r="QYH79" s="64"/>
      <c r="QYI79" s="64"/>
      <c r="QYJ79" s="64"/>
      <c r="QYK79" s="64"/>
      <c r="QYL79" s="64"/>
      <c r="QYM79" s="64"/>
      <c r="QYN79" s="64"/>
      <c r="QYO79" s="64"/>
      <c r="QYP79" s="64"/>
      <c r="QYQ79" s="64"/>
      <c r="QYR79" s="64"/>
      <c r="QYS79" s="64"/>
      <c r="QYT79" s="64"/>
      <c r="QYU79" s="64"/>
      <c r="QYV79" s="64"/>
      <c r="QYW79" s="64"/>
      <c r="QYX79" s="64"/>
      <c r="QYY79" s="64"/>
      <c r="QYZ79" s="64"/>
      <c r="QZA79" s="64"/>
      <c r="QZB79" s="64"/>
      <c r="QZC79" s="64"/>
      <c r="QZD79" s="64"/>
      <c r="QZE79" s="64"/>
      <c r="QZF79" s="64"/>
      <c r="QZG79" s="64"/>
      <c r="QZH79" s="64"/>
      <c r="QZI79" s="64"/>
      <c r="QZJ79" s="64"/>
      <c r="QZK79" s="64"/>
      <c r="QZL79" s="64"/>
      <c r="QZM79" s="64"/>
      <c r="QZN79" s="64"/>
      <c r="QZO79" s="64"/>
      <c r="QZP79" s="64"/>
      <c r="QZQ79" s="64"/>
      <c r="QZR79" s="64"/>
      <c r="QZS79" s="64"/>
      <c r="QZT79" s="64"/>
      <c r="QZU79" s="64"/>
      <c r="QZV79" s="64"/>
      <c r="QZW79" s="64"/>
      <c r="QZX79" s="64"/>
      <c r="QZY79" s="64"/>
      <c r="QZZ79" s="64"/>
      <c r="RAA79" s="64"/>
      <c r="RAB79" s="64"/>
      <c r="RAC79" s="64"/>
      <c r="RAD79" s="64"/>
      <c r="RAE79" s="64"/>
      <c r="RAF79" s="64"/>
      <c r="RAG79" s="64"/>
      <c r="RAH79" s="64"/>
      <c r="RAI79" s="64"/>
      <c r="RAJ79" s="64"/>
      <c r="RAK79" s="64"/>
      <c r="RAL79" s="64"/>
      <c r="RAM79" s="64"/>
      <c r="RAN79" s="64"/>
      <c r="RAO79" s="64"/>
      <c r="RAP79" s="64"/>
      <c r="RAQ79" s="64"/>
      <c r="RAR79" s="64"/>
      <c r="RAS79" s="64"/>
      <c r="RAT79" s="64"/>
      <c r="RAU79" s="64"/>
      <c r="RAV79" s="64"/>
      <c r="RAW79" s="64"/>
      <c r="RAX79" s="64"/>
      <c r="RAY79" s="64"/>
      <c r="RAZ79" s="64"/>
      <c r="RBA79" s="64"/>
      <c r="RBB79" s="64"/>
      <c r="RBC79" s="64"/>
      <c r="RBD79" s="64"/>
      <c r="RBE79" s="64"/>
      <c r="RBF79" s="64"/>
      <c r="RBG79" s="64"/>
      <c r="RBH79" s="64"/>
      <c r="RBI79" s="64"/>
      <c r="RBJ79" s="64"/>
      <c r="RBK79" s="64"/>
      <c r="RBL79" s="64"/>
      <c r="RBM79" s="64"/>
      <c r="RBN79" s="64"/>
      <c r="RBO79" s="64"/>
      <c r="RBP79" s="64"/>
      <c r="RBQ79" s="64"/>
      <c r="RBR79" s="64"/>
      <c r="RBS79" s="64"/>
      <c r="RBT79" s="64"/>
      <c r="RBU79" s="64"/>
      <c r="RBV79" s="64"/>
      <c r="RBW79" s="64"/>
      <c r="RBX79" s="64"/>
      <c r="RBY79" s="64"/>
      <c r="RBZ79" s="64"/>
      <c r="RCA79" s="64"/>
      <c r="RCB79" s="64"/>
      <c r="RCC79" s="64"/>
      <c r="RCD79" s="64"/>
      <c r="RCE79" s="64"/>
      <c r="RCF79" s="64"/>
      <c r="RCG79" s="64"/>
      <c r="RCH79" s="64"/>
      <c r="RCI79" s="64"/>
      <c r="RCJ79" s="64"/>
      <c r="RCK79" s="64"/>
      <c r="RCL79" s="64"/>
      <c r="RCM79" s="64"/>
      <c r="RCN79" s="64"/>
      <c r="RCO79" s="64"/>
      <c r="RCP79" s="64"/>
      <c r="RCQ79" s="64"/>
      <c r="RCR79" s="64"/>
      <c r="RCS79" s="64"/>
      <c r="RCT79" s="64"/>
      <c r="RCU79" s="64"/>
      <c r="RCV79" s="64"/>
      <c r="RCW79" s="64"/>
      <c r="RCX79" s="64"/>
      <c r="RCY79" s="64"/>
      <c r="RCZ79" s="64"/>
      <c r="RDA79" s="64"/>
      <c r="RDB79" s="64"/>
      <c r="RDC79" s="64"/>
      <c r="RDD79" s="64"/>
      <c r="RDE79" s="64"/>
      <c r="RDF79" s="64"/>
      <c r="RDG79" s="64"/>
      <c r="RDH79" s="64"/>
      <c r="RDI79" s="64"/>
      <c r="RDJ79" s="64"/>
      <c r="RDK79" s="64"/>
      <c r="RDL79" s="64"/>
      <c r="RDM79" s="64"/>
      <c r="RDN79" s="64"/>
      <c r="RDO79" s="64"/>
      <c r="RDP79" s="64"/>
      <c r="RDQ79" s="64"/>
      <c r="RDR79" s="64"/>
      <c r="RDS79" s="64"/>
      <c r="RDT79" s="64"/>
      <c r="RDU79" s="64"/>
      <c r="RDV79" s="64"/>
      <c r="RDW79" s="64"/>
      <c r="RDX79" s="64"/>
      <c r="RDY79" s="64"/>
      <c r="RDZ79" s="64"/>
      <c r="REA79" s="64"/>
      <c r="REB79" s="64"/>
      <c r="REC79" s="64"/>
      <c r="RED79" s="64"/>
      <c r="REE79" s="64"/>
      <c r="REF79" s="64"/>
      <c r="REG79" s="64"/>
      <c r="REH79" s="64"/>
      <c r="REI79" s="64"/>
      <c r="REJ79" s="64"/>
      <c r="REK79" s="64"/>
      <c r="REL79" s="64"/>
      <c r="REM79" s="64"/>
      <c r="REN79" s="64"/>
      <c r="REO79" s="64"/>
      <c r="REP79" s="64"/>
      <c r="REQ79" s="64"/>
      <c r="RER79" s="64"/>
      <c r="RES79" s="64"/>
      <c r="RET79" s="64"/>
      <c r="REU79" s="64"/>
      <c r="REV79" s="64"/>
      <c r="REW79" s="64"/>
      <c r="REX79" s="64"/>
      <c r="REY79" s="64"/>
      <c r="REZ79" s="64"/>
      <c r="RFA79" s="64"/>
      <c r="RFB79" s="64"/>
      <c r="RFC79" s="64"/>
      <c r="RFD79" s="64"/>
      <c r="RFE79" s="64"/>
      <c r="RFF79" s="64"/>
      <c r="RFG79" s="64"/>
      <c r="RFH79" s="64"/>
      <c r="RFI79" s="64"/>
      <c r="RFJ79" s="64"/>
      <c r="RFK79" s="64"/>
      <c r="RFL79" s="64"/>
      <c r="RFM79" s="64"/>
      <c r="RFN79" s="64"/>
      <c r="RFO79" s="64"/>
      <c r="RFP79" s="64"/>
      <c r="RFQ79" s="64"/>
      <c r="RFR79" s="64"/>
      <c r="RFS79" s="64"/>
      <c r="RFT79" s="64"/>
      <c r="RFU79" s="64"/>
      <c r="RFV79" s="64"/>
      <c r="RFW79" s="64"/>
      <c r="RFX79" s="64"/>
      <c r="RFY79" s="64"/>
      <c r="RFZ79" s="64"/>
      <c r="RGA79" s="64"/>
      <c r="RGB79" s="64"/>
      <c r="RGC79" s="64"/>
      <c r="RGD79" s="64"/>
      <c r="RGE79" s="64"/>
      <c r="RGF79" s="64"/>
      <c r="RGG79" s="64"/>
      <c r="RGH79" s="64"/>
      <c r="RGI79" s="64"/>
      <c r="RGJ79" s="64"/>
      <c r="RGK79" s="64"/>
      <c r="RGL79" s="64"/>
      <c r="RGM79" s="64"/>
      <c r="RGN79" s="64"/>
      <c r="RGO79" s="64"/>
      <c r="RGP79" s="64"/>
      <c r="RGQ79" s="64"/>
      <c r="RGR79" s="64"/>
      <c r="RGS79" s="64"/>
      <c r="RGT79" s="64"/>
      <c r="RGU79" s="64"/>
      <c r="RGV79" s="64"/>
      <c r="RGW79" s="64"/>
      <c r="RGX79" s="64"/>
      <c r="RGY79" s="64"/>
      <c r="RGZ79" s="64"/>
      <c r="RHA79" s="64"/>
      <c r="RHB79" s="64"/>
      <c r="RHC79" s="64"/>
      <c r="RHD79" s="64"/>
      <c r="RHE79" s="64"/>
      <c r="RHF79" s="64"/>
      <c r="RHG79" s="64"/>
      <c r="RHH79" s="64"/>
      <c r="RHI79" s="64"/>
      <c r="RHJ79" s="64"/>
      <c r="RHK79" s="64"/>
      <c r="RHL79" s="64"/>
      <c r="RHM79" s="64"/>
      <c r="RHN79" s="64"/>
      <c r="RHO79" s="64"/>
      <c r="RHP79" s="64"/>
      <c r="RHQ79" s="64"/>
      <c r="RHR79" s="64"/>
      <c r="RHS79" s="64"/>
      <c r="RHT79" s="64"/>
      <c r="RHU79" s="64"/>
      <c r="RHV79" s="64"/>
      <c r="RHW79" s="64"/>
      <c r="RHX79" s="64"/>
      <c r="RHY79" s="64"/>
      <c r="RHZ79" s="64"/>
      <c r="RIA79" s="64"/>
      <c r="RIB79" s="64"/>
      <c r="RIC79" s="64"/>
      <c r="RID79" s="64"/>
      <c r="RIE79" s="64"/>
      <c r="RIF79" s="64"/>
      <c r="RIG79" s="64"/>
      <c r="RIH79" s="64"/>
      <c r="RII79" s="64"/>
      <c r="RIJ79" s="64"/>
      <c r="RIK79" s="64"/>
      <c r="RIL79" s="64"/>
      <c r="RIM79" s="64"/>
      <c r="RIN79" s="64"/>
      <c r="RIO79" s="64"/>
      <c r="RIP79" s="64"/>
      <c r="RIQ79" s="64"/>
      <c r="RIR79" s="64"/>
      <c r="RIS79" s="64"/>
      <c r="RIT79" s="64"/>
      <c r="RIU79" s="64"/>
      <c r="RIV79" s="64"/>
      <c r="RIW79" s="64"/>
      <c r="RIX79" s="64"/>
      <c r="RIY79" s="64"/>
      <c r="RIZ79" s="64"/>
      <c r="RJA79" s="64"/>
      <c r="RJB79" s="64"/>
      <c r="RJC79" s="64"/>
      <c r="RJD79" s="64"/>
      <c r="RJE79" s="64"/>
      <c r="RJF79" s="64"/>
      <c r="RJG79" s="64"/>
      <c r="RJH79" s="64"/>
      <c r="RJI79" s="64"/>
      <c r="RJJ79" s="64"/>
      <c r="RJK79" s="64"/>
      <c r="RJL79" s="64"/>
      <c r="RJM79" s="64"/>
      <c r="RJN79" s="64"/>
      <c r="RJO79" s="64"/>
      <c r="RJP79" s="64"/>
      <c r="RJQ79" s="64"/>
      <c r="RJR79" s="64"/>
      <c r="RJS79" s="64"/>
      <c r="RJT79" s="64"/>
      <c r="RJU79" s="64"/>
      <c r="RJV79" s="64"/>
      <c r="RJW79" s="64"/>
      <c r="RJX79" s="64"/>
      <c r="RJY79" s="64"/>
      <c r="RJZ79" s="64"/>
      <c r="RKA79" s="64"/>
      <c r="RKB79" s="64"/>
      <c r="RKC79" s="64"/>
      <c r="RKD79" s="64"/>
      <c r="RKE79" s="64"/>
      <c r="RKF79" s="64"/>
      <c r="RKG79" s="64"/>
      <c r="RKH79" s="64"/>
      <c r="RKI79" s="64"/>
      <c r="RKJ79" s="64"/>
      <c r="RKK79" s="64"/>
      <c r="RKL79" s="64"/>
      <c r="RKM79" s="64"/>
      <c r="RKN79" s="64"/>
      <c r="RKO79" s="64"/>
      <c r="RKP79" s="64"/>
      <c r="RKQ79" s="64"/>
      <c r="RKR79" s="64"/>
      <c r="RKS79" s="64"/>
      <c r="RKT79" s="64"/>
      <c r="RKU79" s="64"/>
      <c r="RKV79" s="64"/>
      <c r="RKW79" s="64"/>
      <c r="RKX79" s="64"/>
      <c r="RKY79" s="64"/>
      <c r="RKZ79" s="64"/>
      <c r="RLA79" s="64"/>
      <c r="RLB79" s="64"/>
      <c r="RLC79" s="64"/>
      <c r="RLD79" s="64"/>
      <c r="RLE79" s="64"/>
      <c r="RLF79" s="64"/>
      <c r="RLG79" s="64"/>
      <c r="RLH79" s="64"/>
      <c r="RLI79" s="64"/>
      <c r="RLJ79" s="64"/>
      <c r="RLK79" s="64"/>
      <c r="RLL79" s="64"/>
      <c r="RLM79" s="64"/>
      <c r="RLN79" s="64"/>
      <c r="RLO79" s="64"/>
      <c r="RLP79" s="64"/>
      <c r="RLQ79" s="64"/>
      <c r="RLR79" s="64"/>
      <c r="RLS79" s="64"/>
      <c r="RLT79" s="64"/>
      <c r="RLU79" s="64"/>
      <c r="RLV79" s="64"/>
      <c r="RLW79" s="64"/>
      <c r="RLX79" s="64"/>
      <c r="RLY79" s="64"/>
      <c r="RLZ79" s="64"/>
      <c r="RMA79" s="64"/>
      <c r="RMB79" s="64"/>
      <c r="RMC79" s="64"/>
      <c r="RMD79" s="64"/>
      <c r="RME79" s="64"/>
      <c r="RMF79" s="64"/>
      <c r="RMG79" s="64"/>
      <c r="RMH79" s="64"/>
      <c r="RMI79" s="64"/>
      <c r="RMJ79" s="64"/>
      <c r="RMK79" s="64"/>
      <c r="RML79" s="64"/>
      <c r="RMM79" s="64"/>
      <c r="RMN79" s="64"/>
      <c r="RMO79" s="64"/>
      <c r="RMP79" s="64"/>
      <c r="RMQ79" s="64"/>
      <c r="RMR79" s="64"/>
      <c r="RMS79" s="64"/>
      <c r="RMT79" s="64"/>
      <c r="RMU79" s="64"/>
      <c r="RMV79" s="64"/>
      <c r="RMW79" s="64"/>
      <c r="RMX79" s="64"/>
      <c r="RMY79" s="64"/>
      <c r="RMZ79" s="64"/>
      <c r="RNA79" s="64"/>
      <c r="RNB79" s="64"/>
      <c r="RNC79" s="64"/>
      <c r="RND79" s="64"/>
      <c r="RNE79" s="64"/>
      <c r="RNF79" s="64"/>
      <c r="RNG79" s="64"/>
      <c r="RNH79" s="64"/>
      <c r="RNI79" s="64"/>
      <c r="RNJ79" s="64"/>
      <c r="RNK79" s="64"/>
      <c r="RNL79" s="64"/>
      <c r="RNM79" s="64"/>
      <c r="RNN79" s="64"/>
      <c r="RNO79" s="64"/>
      <c r="RNP79" s="64"/>
      <c r="RNQ79" s="64"/>
      <c r="RNR79" s="64"/>
      <c r="RNS79" s="64"/>
      <c r="RNT79" s="64"/>
      <c r="RNU79" s="64"/>
      <c r="RNV79" s="64"/>
      <c r="RNW79" s="64"/>
      <c r="RNX79" s="64"/>
      <c r="RNY79" s="64"/>
      <c r="RNZ79" s="64"/>
      <c r="ROA79" s="64"/>
      <c r="ROB79" s="64"/>
      <c r="ROC79" s="64"/>
      <c r="ROD79" s="64"/>
      <c r="ROE79" s="64"/>
      <c r="ROF79" s="64"/>
      <c r="ROG79" s="64"/>
      <c r="ROH79" s="64"/>
      <c r="ROI79" s="64"/>
      <c r="ROJ79" s="64"/>
      <c r="ROK79" s="64"/>
      <c r="ROL79" s="64"/>
      <c r="ROM79" s="64"/>
      <c r="RON79" s="64"/>
      <c r="ROO79" s="64"/>
      <c r="ROP79" s="64"/>
      <c r="ROQ79" s="64"/>
      <c r="ROR79" s="64"/>
      <c r="ROS79" s="64"/>
      <c r="ROT79" s="64"/>
      <c r="ROU79" s="64"/>
      <c r="ROV79" s="64"/>
      <c r="ROW79" s="64"/>
      <c r="ROX79" s="64"/>
      <c r="ROY79" s="64"/>
      <c r="ROZ79" s="64"/>
      <c r="RPA79" s="64"/>
      <c r="RPB79" s="64"/>
      <c r="RPC79" s="64"/>
      <c r="RPD79" s="64"/>
      <c r="RPE79" s="64"/>
      <c r="RPF79" s="64"/>
      <c r="RPG79" s="64"/>
      <c r="RPH79" s="64"/>
      <c r="RPI79" s="64"/>
      <c r="RPJ79" s="64"/>
      <c r="RPK79" s="64"/>
      <c r="RPL79" s="64"/>
      <c r="RPM79" s="64"/>
      <c r="RPN79" s="64"/>
      <c r="RPO79" s="64"/>
      <c r="RPP79" s="64"/>
      <c r="RPQ79" s="64"/>
      <c r="RPR79" s="64"/>
      <c r="RPS79" s="64"/>
      <c r="RPT79" s="64"/>
      <c r="RPU79" s="64"/>
      <c r="RPV79" s="64"/>
      <c r="RPW79" s="64"/>
      <c r="RPX79" s="64"/>
      <c r="RPY79" s="64"/>
      <c r="RPZ79" s="64"/>
      <c r="RQA79" s="64"/>
      <c r="RQB79" s="64"/>
      <c r="RQC79" s="64"/>
      <c r="RQD79" s="64"/>
      <c r="RQE79" s="64"/>
      <c r="RQF79" s="64"/>
      <c r="RQG79" s="64"/>
      <c r="RQH79" s="64"/>
      <c r="RQI79" s="64"/>
      <c r="RQJ79" s="64"/>
      <c r="RQK79" s="64"/>
      <c r="RQL79" s="64"/>
      <c r="RQM79" s="64"/>
      <c r="RQN79" s="64"/>
      <c r="RQO79" s="64"/>
      <c r="RQP79" s="64"/>
      <c r="RQQ79" s="64"/>
      <c r="RQR79" s="64"/>
      <c r="RQS79" s="64"/>
      <c r="RQT79" s="64"/>
      <c r="RQU79" s="64"/>
      <c r="RQV79" s="64"/>
      <c r="RQW79" s="64"/>
      <c r="RQX79" s="64"/>
      <c r="RQY79" s="64"/>
      <c r="RQZ79" s="64"/>
      <c r="RRA79" s="64"/>
      <c r="RRB79" s="64"/>
      <c r="RRC79" s="64"/>
      <c r="RRD79" s="64"/>
      <c r="RRE79" s="64"/>
      <c r="RRF79" s="64"/>
      <c r="RRG79" s="64"/>
      <c r="RRH79" s="64"/>
      <c r="RRI79" s="64"/>
      <c r="RRJ79" s="64"/>
      <c r="RRK79" s="64"/>
      <c r="RRL79" s="64"/>
      <c r="RRM79" s="64"/>
      <c r="RRN79" s="64"/>
      <c r="RRO79" s="64"/>
      <c r="RRP79" s="64"/>
      <c r="RRQ79" s="64"/>
      <c r="RRR79" s="64"/>
      <c r="RRS79" s="64"/>
      <c r="RRT79" s="64"/>
      <c r="RRU79" s="64"/>
      <c r="RRV79" s="64"/>
      <c r="RRW79" s="64"/>
      <c r="RRX79" s="64"/>
      <c r="RRY79" s="64"/>
      <c r="RRZ79" s="64"/>
      <c r="RSA79" s="64"/>
      <c r="RSB79" s="64"/>
      <c r="RSC79" s="64"/>
      <c r="RSD79" s="64"/>
      <c r="RSE79" s="64"/>
      <c r="RSF79" s="64"/>
      <c r="RSG79" s="64"/>
      <c r="RSH79" s="64"/>
      <c r="RSI79" s="64"/>
      <c r="RSJ79" s="64"/>
      <c r="RSK79" s="64"/>
      <c r="RSL79" s="64"/>
      <c r="RSM79" s="64"/>
      <c r="RSN79" s="64"/>
      <c r="RSO79" s="64"/>
      <c r="RSP79" s="64"/>
      <c r="RSQ79" s="64"/>
      <c r="RSR79" s="64"/>
      <c r="RSS79" s="64"/>
      <c r="RST79" s="64"/>
      <c r="RSU79" s="64"/>
      <c r="RSV79" s="64"/>
      <c r="RSW79" s="64"/>
      <c r="RSX79" s="64"/>
      <c r="RSY79" s="64"/>
      <c r="RSZ79" s="64"/>
      <c r="RTA79" s="64"/>
      <c r="RTB79" s="64"/>
      <c r="RTC79" s="64"/>
      <c r="RTD79" s="64"/>
      <c r="RTE79" s="64"/>
      <c r="RTF79" s="64"/>
      <c r="RTG79" s="64"/>
      <c r="RTH79" s="64"/>
      <c r="RTI79" s="64"/>
      <c r="RTJ79" s="64"/>
      <c r="RTK79" s="64"/>
      <c r="RTL79" s="64"/>
      <c r="RTM79" s="64"/>
      <c r="RTN79" s="64"/>
      <c r="RTO79" s="64"/>
      <c r="RTP79" s="64"/>
      <c r="RTQ79" s="64"/>
      <c r="RTR79" s="64"/>
      <c r="RTS79" s="64"/>
      <c r="RTT79" s="64"/>
      <c r="RTU79" s="64"/>
      <c r="RTV79" s="64"/>
      <c r="RTW79" s="64"/>
      <c r="RTX79" s="64"/>
      <c r="RTY79" s="64"/>
      <c r="RTZ79" s="64"/>
      <c r="RUA79" s="64"/>
      <c r="RUB79" s="64"/>
      <c r="RUC79" s="64"/>
      <c r="RUD79" s="64"/>
      <c r="RUE79" s="64"/>
      <c r="RUF79" s="64"/>
      <c r="RUG79" s="64"/>
      <c r="RUH79" s="64"/>
      <c r="RUI79" s="64"/>
      <c r="RUJ79" s="64"/>
      <c r="RUK79" s="64"/>
      <c r="RUL79" s="64"/>
      <c r="RUM79" s="64"/>
      <c r="RUN79" s="64"/>
      <c r="RUO79" s="64"/>
      <c r="RUP79" s="64"/>
      <c r="RUQ79" s="64"/>
      <c r="RUR79" s="64"/>
      <c r="RUS79" s="64"/>
      <c r="RUT79" s="64"/>
      <c r="RUU79" s="64"/>
      <c r="RUV79" s="64"/>
      <c r="RUW79" s="64"/>
      <c r="RUX79" s="64"/>
      <c r="RUY79" s="64"/>
      <c r="RUZ79" s="64"/>
      <c r="RVA79" s="64"/>
      <c r="RVB79" s="64"/>
      <c r="RVC79" s="64"/>
      <c r="RVD79" s="64"/>
      <c r="RVE79" s="64"/>
      <c r="RVF79" s="64"/>
      <c r="RVG79" s="64"/>
      <c r="RVH79" s="64"/>
      <c r="RVI79" s="64"/>
      <c r="RVJ79" s="64"/>
      <c r="RVK79" s="64"/>
      <c r="RVL79" s="64"/>
      <c r="RVM79" s="64"/>
      <c r="RVN79" s="64"/>
      <c r="RVO79" s="64"/>
      <c r="RVP79" s="64"/>
      <c r="RVQ79" s="64"/>
      <c r="RVR79" s="64"/>
      <c r="RVS79" s="64"/>
      <c r="RVT79" s="64"/>
      <c r="RVU79" s="64"/>
      <c r="RVV79" s="64"/>
      <c r="RVW79" s="64"/>
      <c r="RVX79" s="64"/>
      <c r="RVY79" s="64"/>
      <c r="RVZ79" s="64"/>
      <c r="RWA79" s="64"/>
      <c r="RWB79" s="64"/>
      <c r="RWC79" s="64"/>
      <c r="RWD79" s="64"/>
      <c r="RWE79" s="64"/>
      <c r="RWF79" s="64"/>
      <c r="RWG79" s="64"/>
      <c r="RWH79" s="64"/>
      <c r="RWI79" s="64"/>
      <c r="RWJ79" s="64"/>
      <c r="RWK79" s="64"/>
      <c r="RWL79" s="64"/>
      <c r="RWM79" s="64"/>
      <c r="RWN79" s="64"/>
      <c r="RWO79" s="64"/>
      <c r="RWP79" s="64"/>
      <c r="RWQ79" s="64"/>
      <c r="RWR79" s="64"/>
      <c r="RWS79" s="64"/>
      <c r="RWT79" s="64"/>
      <c r="RWU79" s="64"/>
      <c r="RWV79" s="64"/>
      <c r="RWW79" s="64"/>
      <c r="RWX79" s="64"/>
      <c r="RWY79" s="64"/>
      <c r="RWZ79" s="64"/>
      <c r="RXA79" s="64"/>
      <c r="RXB79" s="64"/>
      <c r="RXC79" s="64"/>
      <c r="RXD79" s="64"/>
      <c r="RXE79" s="64"/>
      <c r="RXF79" s="64"/>
      <c r="RXG79" s="64"/>
      <c r="RXH79" s="64"/>
      <c r="RXI79" s="64"/>
      <c r="RXJ79" s="64"/>
      <c r="RXK79" s="64"/>
      <c r="RXL79" s="64"/>
      <c r="RXM79" s="64"/>
      <c r="RXN79" s="64"/>
      <c r="RXO79" s="64"/>
      <c r="RXP79" s="64"/>
      <c r="RXQ79" s="64"/>
      <c r="RXR79" s="64"/>
      <c r="RXS79" s="64"/>
      <c r="RXT79" s="64"/>
      <c r="RXU79" s="64"/>
      <c r="RXV79" s="64"/>
      <c r="RXW79" s="64"/>
      <c r="RXX79" s="64"/>
      <c r="RXY79" s="64"/>
      <c r="RXZ79" s="64"/>
      <c r="RYA79" s="64"/>
      <c r="RYB79" s="64"/>
      <c r="RYC79" s="64"/>
      <c r="RYD79" s="64"/>
      <c r="RYE79" s="64"/>
      <c r="RYF79" s="64"/>
      <c r="RYG79" s="64"/>
      <c r="RYH79" s="64"/>
      <c r="RYI79" s="64"/>
      <c r="RYJ79" s="64"/>
      <c r="RYK79" s="64"/>
      <c r="RYL79" s="64"/>
      <c r="RYM79" s="64"/>
      <c r="RYN79" s="64"/>
      <c r="RYO79" s="64"/>
      <c r="RYP79" s="64"/>
      <c r="RYQ79" s="64"/>
      <c r="RYR79" s="64"/>
      <c r="RYS79" s="64"/>
      <c r="RYT79" s="64"/>
      <c r="RYU79" s="64"/>
      <c r="RYV79" s="64"/>
      <c r="RYW79" s="64"/>
      <c r="RYX79" s="64"/>
      <c r="RYY79" s="64"/>
      <c r="RYZ79" s="64"/>
      <c r="RZA79" s="64"/>
      <c r="RZB79" s="64"/>
      <c r="RZC79" s="64"/>
      <c r="RZD79" s="64"/>
      <c r="RZE79" s="64"/>
      <c r="RZF79" s="64"/>
      <c r="RZG79" s="64"/>
      <c r="RZH79" s="64"/>
      <c r="RZI79" s="64"/>
      <c r="RZJ79" s="64"/>
      <c r="RZK79" s="64"/>
      <c r="RZL79" s="64"/>
      <c r="RZM79" s="64"/>
      <c r="RZN79" s="64"/>
      <c r="RZO79" s="64"/>
      <c r="RZP79" s="64"/>
      <c r="RZQ79" s="64"/>
      <c r="RZR79" s="64"/>
      <c r="RZS79" s="64"/>
      <c r="RZT79" s="64"/>
      <c r="RZU79" s="64"/>
      <c r="RZV79" s="64"/>
      <c r="RZW79" s="64"/>
      <c r="RZX79" s="64"/>
      <c r="RZY79" s="64"/>
      <c r="RZZ79" s="64"/>
      <c r="SAA79" s="64"/>
      <c r="SAB79" s="64"/>
      <c r="SAC79" s="64"/>
      <c r="SAD79" s="64"/>
      <c r="SAE79" s="64"/>
      <c r="SAF79" s="64"/>
      <c r="SAG79" s="64"/>
      <c r="SAH79" s="64"/>
      <c r="SAI79" s="64"/>
      <c r="SAJ79" s="64"/>
      <c r="SAK79" s="64"/>
      <c r="SAL79" s="64"/>
      <c r="SAM79" s="64"/>
      <c r="SAN79" s="64"/>
      <c r="SAO79" s="64"/>
      <c r="SAP79" s="64"/>
      <c r="SAQ79" s="64"/>
      <c r="SAR79" s="64"/>
      <c r="SAS79" s="64"/>
      <c r="SAT79" s="64"/>
      <c r="SAU79" s="64"/>
      <c r="SAV79" s="64"/>
      <c r="SAW79" s="64"/>
      <c r="SAX79" s="64"/>
      <c r="SAY79" s="64"/>
      <c r="SAZ79" s="64"/>
      <c r="SBA79" s="64"/>
      <c r="SBB79" s="64"/>
      <c r="SBC79" s="64"/>
      <c r="SBD79" s="64"/>
      <c r="SBE79" s="64"/>
      <c r="SBF79" s="64"/>
      <c r="SBG79" s="64"/>
      <c r="SBH79" s="64"/>
      <c r="SBI79" s="64"/>
      <c r="SBJ79" s="64"/>
      <c r="SBK79" s="64"/>
      <c r="SBL79" s="64"/>
      <c r="SBM79" s="64"/>
      <c r="SBN79" s="64"/>
      <c r="SBO79" s="64"/>
      <c r="SBP79" s="64"/>
      <c r="SBQ79" s="64"/>
      <c r="SBR79" s="64"/>
      <c r="SBS79" s="64"/>
      <c r="SBT79" s="64"/>
      <c r="SBU79" s="64"/>
      <c r="SBV79" s="64"/>
      <c r="SBW79" s="64"/>
      <c r="SBX79" s="64"/>
      <c r="SBY79" s="64"/>
      <c r="SBZ79" s="64"/>
      <c r="SCA79" s="64"/>
      <c r="SCB79" s="64"/>
      <c r="SCC79" s="64"/>
      <c r="SCD79" s="64"/>
      <c r="SCE79" s="64"/>
      <c r="SCF79" s="64"/>
      <c r="SCG79" s="64"/>
      <c r="SCH79" s="64"/>
      <c r="SCI79" s="64"/>
      <c r="SCJ79" s="64"/>
      <c r="SCK79" s="64"/>
      <c r="SCL79" s="64"/>
      <c r="SCM79" s="64"/>
      <c r="SCN79" s="64"/>
      <c r="SCO79" s="64"/>
      <c r="SCP79" s="64"/>
      <c r="SCQ79" s="64"/>
      <c r="SCR79" s="64"/>
      <c r="SCS79" s="64"/>
      <c r="SCT79" s="64"/>
      <c r="SCU79" s="64"/>
      <c r="SCV79" s="64"/>
      <c r="SCW79" s="64"/>
      <c r="SCX79" s="64"/>
      <c r="SCY79" s="64"/>
      <c r="SCZ79" s="64"/>
      <c r="SDA79" s="64"/>
      <c r="SDB79" s="64"/>
      <c r="SDC79" s="64"/>
      <c r="SDD79" s="64"/>
      <c r="SDE79" s="64"/>
      <c r="SDF79" s="64"/>
      <c r="SDG79" s="64"/>
      <c r="SDH79" s="64"/>
      <c r="SDI79" s="64"/>
      <c r="SDJ79" s="64"/>
      <c r="SDK79" s="64"/>
      <c r="SDL79" s="64"/>
      <c r="SDM79" s="64"/>
      <c r="SDN79" s="64"/>
      <c r="SDO79" s="64"/>
      <c r="SDP79" s="64"/>
      <c r="SDQ79" s="64"/>
      <c r="SDR79" s="64"/>
      <c r="SDS79" s="64"/>
      <c r="SDT79" s="64"/>
      <c r="SDU79" s="64"/>
      <c r="SDV79" s="64"/>
      <c r="SDW79" s="64"/>
      <c r="SDX79" s="64"/>
      <c r="SDY79" s="64"/>
      <c r="SDZ79" s="64"/>
      <c r="SEA79" s="64"/>
      <c r="SEB79" s="64"/>
      <c r="SEC79" s="64"/>
      <c r="SED79" s="64"/>
      <c r="SEE79" s="64"/>
      <c r="SEF79" s="64"/>
      <c r="SEG79" s="64"/>
      <c r="SEH79" s="64"/>
      <c r="SEI79" s="64"/>
      <c r="SEJ79" s="64"/>
      <c r="SEK79" s="64"/>
      <c r="SEL79" s="64"/>
      <c r="SEM79" s="64"/>
      <c r="SEN79" s="64"/>
      <c r="SEO79" s="64"/>
      <c r="SEP79" s="64"/>
      <c r="SEQ79" s="64"/>
      <c r="SER79" s="64"/>
      <c r="SES79" s="64"/>
      <c r="SET79" s="64"/>
      <c r="SEU79" s="64"/>
      <c r="SEV79" s="64"/>
      <c r="SEW79" s="64"/>
      <c r="SEX79" s="64"/>
      <c r="SEY79" s="64"/>
      <c r="SEZ79" s="64"/>
      <c r="SFA79" s="64"/>
      <c r="SFB79" s="64"/>
      <c r="SFC79" s="64"/>
      <c r="SFD79" s="64"/>
      <c r="SFE79" s="64"/>
      <c r="SFF79" s="64"/>
      <c r="SFG79" s="64"/>
      <c r="SFH79" s="64"/>
      <c r="SFI79" s="64"/>
      <c r="SFJ79" s="64"/>
      <c r="SFK79" s="64"/>
      <c r="SFL79" s="64"/>
      <c r="SFM79" s="64"/>
      <c r="SFN79" s="64"/>
      <c r="SFO79" s="64"/>
      <c r="SFP79" s="64"/>
      <c r="SFQ79" s="64"/>
      <c r="SFR79" s="64"/>
      <c r="SFS79" s="64"/>
      <c r="SFT79" s="64"/>
      <c r="SFU79" s="64"/>
      <c r="SFV79" s="64"/>
      <c r="SFW79" s="64"/>
      <c r="SFX79" s="64"/>
      <c r="SFY79" s="64"/>
      <c r="SFZ79" s="64"/>
      <c r="SGA79" s="64"/>
      <c r="SGB79" s="64"/>
      <c r="SGC79" s="64"/>
      <c r="SGD79" s="64"/>
      <c r="SGE79" s="64"/>
      <c r="SGF79" s="64"/>
      <c r="SGG79" s="64"/>
      <c r="SGH79" s="64"/>
      <c r="SGI79" s="64"/>
      <c r="SGJ79" s="64"/>
      <c r="SGK79" s="64"/>
      <c r="SGL79" s="64"/>
      <c r="SGM79" s="64"/>
      <c r="SGN79" s="64"/>
      <c r="SGO79" s="64"/>
      <c r="SGP79" s="64"/>
      <c r="SGQ79" s="64"/>
      <c r="SGR79" s="64"/>
      <c r="SGS79" s="64"/>
      <c r="SGT79" s="64"/>
      <c r="SGU79" s="64"/>
      <c r="SGV79" s="64"/>
      <c r="SGW79" s="64"/>
      <c r="SGX79" s="64"/>
      <c r="SGY79" s="64"/>
      <c r="SGZ79" s="64"/>
      <c r="SHA79" s="64"/>
      <c r="SHB79" s="64"/>
      <c r="SHC79" s="64"/>
      <c r="SHD79" s="64"/>
      <c r="SHE79" s="64"/>
      <c r="SHF79" s="64"/>
      <c r="SHG79" s="64"/>
      <c r="SHH79" s="64"/>
      <c r="SHI79" s="64"/>
      <c r="SHJ79" s="64"/>
      <c r="SHK79" s="64"/>
      <c r="SHL79" s="64"/>
      <c r="SHM79" s="64"/>
      <c r="SHN79" s="64"/>
      <c r="SHO79" s="64"/>
      <c r="SHP79" s="64"/>
      <c r="SHQ79" s="64"/>
      <c r="SHR79" s="64"/>
      <c r="SHS79" s="64"/>
      <c r="SHT79" s="64"/>
      <c r="SHU79" s="64"/>
      <c r="SHV79" s="64"/>
      <c r="SHW79" s="64"/>
      <c r="SHX79" s="64"/>
      <c r="SHY79" s="64"/>
      <c r="SHZ79" s="64"/>
      <c r="SIA79" s="64"/>
      <c r="SIB79" s="64"/>
      <c r="SIC79" s="64"/>
      <c r="SID79" s="64"/>
      <c r="SIE79" s="64"/>
      <c r="SIF79" s="64"/>
      <c r="SIG79" s="64"/>
      <c r="SIH79" s="64"/>
      <c r="SII79" s="64"/>
      <c r="SIJ79" s="64"/>
      <c r="SIK79" s="64"/>
      <c r="SIL79" s="64"/>
      <c r="SIM79" s="64"/>
      <c r="SIN79" s="64"/>
      <c r="SIO79" s="64"/>
      <c r="SIP79" s="64"/>
      <c r="SIQ79" s="64"/>
      <c r="SIR79" s="64"/>
      <c r="SIS79" s="64"/>
      <c r="SIT79" s="64"/>
      <c r="SIU79" s="64"/>
      <c r="SIV79" s="64"/>
      <c r="SIW79" s="64"/>
      <c r="SIX79" s="64"/>
      <c r="SIY79" s="64"/>
      <c r="SIZ79" s="64"/>
      <c r="SJA79" s="64"/>
      <c r="SJB79" s="64"/>
      <c r="SJC79" s="64"/>
      <c r="SJD79" s="64"/>
      <c r="SJE79" s="64"/>
      <c r="SJF79" s="64"/>
      <c r="SJG79" s="64"/>
      <c r="SJH79" s="64"/>
      <c r="SJI79" s="64"/>
      <c r="SJJ79" s="64"/>
      <c r="SJK79" s="64"/>
      <c r="SJL79" s="64"/>
      <c r="SJM79" s="64"/>
      <c r="SJN79" s="64"/>
      <c r="SJO79" s="64"/>
      <c r="SJP79" s="64"/>
      <c r="SJQ79" s="64"/>
      <c r="SJR79" s="64"/>
      <c r="SJS79" s="64"/>
      <c r="SJT79" s="64"/>
      <c r="SJU79" s="64"/>
      <c r="SJV79" s="64"/>
      <c r="SJW79" s="64"/>
      <c r="SJX79" s="64"/>
      <c r="SJY79" s="64"/>
      <c r="SJZ79" s="64"/>
      <c r="SKA79" s="64"/>
      <c r="SKB79" s="64"/>
      <c r="SKC79" s="64"/>
      <c r="SKD79" s="64"/>
      <c r="SKE79" s="64"/>
      <c r="SKF79" s="64"/>
      <c r="SKG79" s="64"/>
      <c r="SKH79" s="64"/>
      <c r="SKI79" s="64"/>
      <c r="SKJ79" s="64"/>
      <c r="SKK79" s="64"/>
      <c r="SKL79" s="64"/>
      <c r="SKM79" s="64"/>
      <c r="SKN79" s="64"/>
      <c r="SKO79" s="64"/>
      <c r="SKP79" s="64"/>
      <c r="SKQ79" s="64"/>
      <c r="SKR79" s="64"/>
      <c r="SKS79" s="64"/>
      <c r="SKT79" s="64"/>
      <c r="SKU79" s="64"/>
      <c r="SKV79" s="64"/>
      <c r="SKW79" s="64"/>
      <c r="SKX79" s="64"/>
      <c r="SKY79" s="64"/>
      <c r="SKZ79" s="64"/>
      <c r="SLA79" s="64"/>
      <c r="SLB79" s="64"/>
      <c r="SLC79" s="64"/>
      <c r="SLD79" s="64"/>
      <c r="SLE79" s="64"/>
      <c r="SLF79" s="64"/>
      <c r="SLG79" s="64"/>
      <c r="SLH79" s="64"/>
      <c r="SLI79" s="64"/>
      <c r="SLJ79" s="64"/>
      <c r="SLK79" s="64"/>
      <c r="SLL79" s="64"/>
      <c r="SLM79" s="64"/>
      <c r="SLN79" s="64"/>
      <c r="SLO79" s="64"/>
      <c r="SLP79" s="64"/>
      <c r="SLQ79" s="64"/>
      <c r="SLR79" s="64"/>
      <c r="SLS79" s="64"/>
      <c r="SLT79" s="64"/>
      <c r="SLU79" s="64"/>
      <c r="SLV79" s="64"/>
      <c r="SLW79" s="64"/>
      <c r="SLX79" s="64"/>
      <c r="SLY79" s="64"/>
      <c r="SLZ79" s="64"/>
      <c r="SMA79" s="64"/>
      <c r="SMB79" s="64"/>
      <c r="SMC79" s="64"/>
      <c r="SMD79" s="64"/>
      <c r="SME79" s="64"/>
      <c r="SMF79" s="64"/>
      <c r="SMG79" s="64"/>
      <c r="SMH79" s="64"/>
      <c r="SMI79" s="64"/>
      <c r="SMJ79" s="64"/>
      <c r="SMK79" s="64"/>
      <c r="SML79" s="64"/>
      <c r="SMM79" s="64"/>
      <c r="SMN79" s="64"/>
      <c r="SMO79" s="64"/>
      <c r="SMP79" s="64"/>
      <c r="SMQ79" s="64"/>
      <c r="SMR79" s="64"/>
      <c r="SMS79" s="64"/>
      <c r="SMT79" s="64"/>
      <c r="SMU79" s="64"/>
      <c r="SMV79" s="64"/>
      <c r="SMW79" s="64"/>
      <c r="SMX79" s="64"/>
      <c r="SMY79" s="64"/>
      <c r="SMZ79" s="64"/>
      <c r="SNA79" s="64"/>
      <c r="SNB79" s="64"/>
      <c r="SNC79" s="64"/>
      <c r="SND79" s="64"/>
      <c r="SNE79" s="64"/>
      <c r="SNF79" s="64"/>
      <c r="SNG79" s="64"/>
      <c r="SNH79" s="64"/>
      <c r="SNI79" s="64"/>
      <c r="SNJ79" s="64"/>
      <c r="SNK79" s="64"/>
      <c r="SNL79" s="64"/>
      <c r="SNM79" s="64"/>
      <c r="SNN79" s="64"/>
      <c r="SNO79" s="64"/>
      <c r="SNP79" s="64"/>
      <c r="SNQ79" s="64"/>
      <c r="SNR79" s="64"/>
      <c r="SNS79" s="64"/>
      <c r="SNT79" s="64"/>
      <c r="SNU79" s="64"/>
      <c r="SNV79" s="64"/>
      <c r="SNW79" s="64"/>
      <c r="SNX79" s="64"/>
      <c r="SNY79" s="64"/>
      <c r="SNZ79" s="64"/>
      <c r="SOA79" s="64"/>
      <c r="SOB79" s="64"/>
      <c r="SOC79" s="64"/>
      <c r="SOD79" s="64"/>
      <c r="SOE79" s="64"/>
      <c r="SOF79" s="64"/>
      <c r="SOG79" s="64"/>
      <c r="SOH79" s="64"/>
      <c r="SOI79" s="64"/>
      <c r="SOJ79" s="64"/>
      <c r="SOK79" s="64"/>
      <c r="SOL79" s="64"/>
      <c r="SOM79" s="64"/>
      <c r="SON79" s="64"/>
      <c r="SOO79" s="64"/>
      <c r="SOP79" s="64"/>
      <c r="SOQ79" s="64"/>
      <c r="SOR79" s="64"/>
      <c r="SOS79" s="64"/>
      <c r="SOT79" s="64"/>
      <c r="SOU79" s="64"/>
      <c r="SOV79" s="64"/>
      <c r="SOW79" s="64"/>
      <c r="SOX79" s="64"/>
      <c r="SOY79" s="64"/>
      <c r="SOZ79" s="64"/>
      <c r="SPA79" s="64"/>
      <c r="SPB79" s="64"/>
      <c r="SPC79" s="64"/>
      <c r="SPD79" s="64"/>
      <c r="SPE79" s="64"/>
      <c r="SPF79" s="64"/>
      <c r="SPG79" s="64"/>
      <c r="SPH79" s="64"/>
      <c r="SPI79" s="64"/>
      <c r="SPJ79" s="64"/>
      <c r="SPK79" s="64"/>
      <c r="SPL79" s="64"/>
      <c r="SPM79" s="64"/>
      <c r="SPN79" s="64"/>
      <c r="SPO79" s="64"/>
      <c r="SPP79" s="64"/>
      <c r="SPQ79" s="64"/>
      <c r="SPR79" s="64"/>
      <c r="SPS79" s="64"/>
      <c r="SPT79" s="64"/>
      <c r="SPU79" s="64"/>
      <c r="SPV79" s="64"/>
      <c r="SPW79" s="64"/>
      <c r="SPX79" s="64"/>
      <c r="SPY79" s="64"/>
      <c r="SPZ79" s="64"/>
      <c r="SQA79" s="64"/>
      <c r="SQB79" s="64"/>
      <c r="SQC79" s="64"/>
      <c r="SQD79" s="64"/>
      <c r="SQE79" s="64"/>
      <c r="SQF79" s="64"/>
      <c r="SQG79" s="64"/>
      <c r="SQH79" s="64"/>
      <c r="SQI79" s="64"/>
      <c r="SQJ79" s="64"/>
      <c r="SQK79" s="64"/>
      <c r="SQL79" s="64"/>
      <c r="SQM79" s="64"/>
      <c r="SQN79" s="64"/>
      <c r="SQO79" s="64"/>
      <c r="SQP79" s="64"/>
      <c r="SQQ79" s="64"/>
      <c r="SQR79" s="64"/>
      <c r="SQS79" s="64"/>
      <c r="SQT79" s="64"/>
      <c r="SQU79" s="64"/>
      <c r="SQV79" s="64"/>
      <c r="SQW79" s="64"/>
      <c r="SQX79" s="64"/>
      <c r="SQY79" s="64"/>
      <c r="SQZ79" s="64"/>
      <c r="SRA79" s="64"/>
      <c r="SRB79" s="64"/>
      <c r="SRC79" s="64"/>
      <c r="SRD79" s="64"/>
      <c r="SRE79" s="64"/>
      <c r="SRF79" s="64"/>
      <c r="SRG79" s="64"/>
      <c r="SRH79" s="64"/>
      <c r="SRI79" s="64"/>
      <c r="SRJ79" s="64"/>
      <c r="SRK79" s="64"/>
      <c r="SRL79" s="64"/>
      <c r="SRM79" s="64"/>
      <c r="SRN79" s="64"/>
      <c r="SRO79" s="64"/>
      <c r="SRP79" s="64"/>
      <c r="SRQ79" s="64"/>
      <c r="SRR79" s="64"/>
      <c r="SRS79" s="64"/>
      <c r="SRT79" s="64"/>
      <c r="SRU79" s="64"/>
      <c r="SRV79" s="64"/>
      <c r="SRW79" s="64"/>
      <c r="SRX79" s="64"/>
      <c r="SRY79" s="64"/>
      <c r="SRZ79" s="64"/>
      <c r="SSA79" s="64"/>
      <c r="SSB79" s="64"/>
      <c r="SSC79" s="64"/>
      <c r="SSD79" s="64"/>
      <c r="SSE79" s="64"/>
      <c r="SSF79" s="64"/>
      <c r="SSG79" s="64"/>
      <c r="SSH79" s="64"/>
      <c r="SSI79" s="64"/>
      <c r="SSJ79" s="64"/>
      <c r="SSK79" s="64"/>
      <c r="SSL79" s="64"/>
      <c r="SSM79" s="64"/>
      <c r="SSN79" s="64"/>
      <c r="SSO79" s="64"/>
      <c r="SSP79" s="64"/>
      <c r="SSQ79" s="64"/>
      <c r="SSR79" s="64"/>
      <c r="SSS79" s="64"/>
      <c r="SST79" s="64"/>
      <c r="SSU79" s="64"/>
      <c r="SSV79" s="64"/>
      <c r="SSW79" s="64"/>
      <c r="SSX79" s="64"/>
      <c r="SSY79" s="64"/>
      <c r="SSZ79" s="64"/>
      <c r="STA79" s="64"/>
      <c r="STB79" s="64"/>
      <c r="STC79" s="64"/>
      <c r="STD79" s="64"/>
      <c r="STE79" s="64"/>
      <c r="STF79" s="64"/>
      <c r="STG79" s="64"/>
      <c r="STH79" s="64"/>
      <c r="STI79" s="64"/>
      <c r="STJ79" s="64"/>
      <c r="STK79" s="64"/>
      <c r="STL79" s="64"/>
      <c r="STM79" s="64"/>
      <c r="STN79" s="64"/>
      <c r="STO79" s="64"/>
      <c r="STP79" s="64"/>
      <c r="STQ79" s="64"/>
      <c r="STR79" s="64"/>
      <c r="STS79" s="64"/>
      <c r="STT79" s="64"/>
      <c r="STU79" s="64"/>
      <c r="STV79" s="64"/>
      <c r="STW79" s="64"/>
      <c r="STX79" s="64"/>
      <c r="STY79" s="64"/>
      <c r="STZ79" s="64"/>
      <c r="SUA79" s="64"/>
      <c r="SUB79" s="64"/>
      <c r="SUC79" s="64"/>
      <c r="SUD79" s="64"/>
      <c r="SUE79" s="64"/>
      <c r="SUF79" s="64"/>
      <c r="SUG79" s="64"/>
      <c r="SUH79" s="64"/>
      <c r="SUI79" s="64"/>
      <c r="SUJ79" s="64"/>
      <c r="SUK79" s="64"/>
      <c r="SUL79" s="64"/>
      <c r="SUM79" s="64"/>
      <c r="SUN79" s="64"/>
      <c r="SUO79" s="64"/>
      <c r="SUP79" s="64"/>
      <c r="SUQ79" s="64"/>
      <c r="SUR79" s="64"/>
      <c r="SUS79" s="64"/>
      <c r="SUT79" s="64"/>
      <c r="SUU79" s="64"/>
      <c r="SUV79" s="64"/>
      <c r="SUW79" s="64"/>
      <c r="SUX79" s="64"/>
      <c r="SUY79" s="64"/>
      <c r="SUZ79" s="64"/>
      <c r="SVA79" s="64"/>
      <c r="SVB79" s="64"/>
      <c r="SVC79" s="64"/>
      <c r="SVD79" s="64"/>
      <c r="SVE79" s="64"/>
      <c r="SVF79" s="64"/>
      <c r="SVG79" s="64"/>
      <c r="SVH79" s="64"/>
      <c r="SVI79" s="64"/>
      <c r="SVJ79" s="64"/>
      <c r="SVK79" s="64"/>
      <c r="SVL79" s="64"/>
      <c r="SVM79" s="64"/>
      <c r="SVN79" s="64"/>
      <c r="SVO79" s="64"/>
      <c r="SVP79" s="64"/>
      <c r="SVQ79" s="64"/>
      <c r="SVR79" s="64"/>
      <c r="SVS79" s="64"/>
      <c r="SVT79" s="64"/>
      <c r="SVU79" s="64"/>
      <c r="SVV79" s="64"/>
      <c r="SVW79" s="64"/>
      <c r="SVX79" s="64"/>
      <c r="SVY79" s="64"/>
      <c r="SVZ79" s="64"/>
      <c r="SWA79" s="64"/>
      <c r="SWB79" s="64"/>
      <c r="SWC79" s="64"/>
      <c r="SWD79" s="64"/>
      <c r="SWE79" s="64"/>
      <c r="SWF79" s="64"/>
      <c r="SWG79" s="64"/>
      <c r="SWH79" s="64"/>
      <c r="SWI79" s="64"/>
      <c r="SWJ79" s="64"/>
      <c r="SWK79" s="64"/>
      <c r="SWL79" s="64"/>
      <c r="SWM79" s="64"/>
      <c r="SWN79" s="64"/>
      <c r="SWO79" s="64"/>
      <c r="SWP79" s="64"/>
      <c r="SWQ79" s="64"/>
      <c r="SWR79" s="64"/>
      <c r="SWS79" s="64"/>
      <c r="SWT79" s="64"/>
      <c r="SWU79" s="64"/>
      <c r="SWV79" s="64"/>
      <c r="SWW79" s="64"/>
      <c r="SWX79" s="64"/>
      <c r="SWY79" s="64"/>
      <c r="SWZ79" s="64"/>
      <c r="SXA79" s="64"/>
      <c r="SXB79" s="64"/>
      <c r="SXC79" s="64"/>
      <c r="SXD79" s="64"/>
      <c r="SXE79" s="64"/>
      <c r="SXF79" s="64"/>
      <c r="SXG79" s="64"/>
      <c r="SXH79" s="64"/>
      <c r="SXI79" s="64"/>
      <c r="SXJ79" s="64"/>
      <c r="SXK79" s="64"/>
      <c r="SXL79" s="64"/>
      <c r="SXM79" s="64"/>
      <c r="SXN79" s="64"/>
      <c r="SXO79" s="64"/>
      <c r="SXP79" s="64"/>
      <c r="SXQ79" s="64"/>
      <c r="SXR79" s="64"/>
      <c r="SXS79" s="64"/>
      <c r="SXT79" s="64"/>
      <c r="SXU79" s="64"/>
      <c r="SXV79" s="64"/>
      <c r="SXW79" s="64"/>
      <c r="SXX79" s="64"/>
      <c r="SXY79" s="64"/>
      <c r="SXZ79" s="64"/>
      <c r="SYA79" s="64"/>
      <c r="SYB79" s="64"/>
      <c r="SYC79" s="64"/>
      <c r="SYD79" s="64"/>
      <c r="SYE79" s="64"/>
      <c r="SYF79" s="64"/>
      <c r="SYG79" s="64"/>
      <c r="SYH79" s="64"/>
      <c r="SYI79" s="64"/>
      <c r="SYJ79" s="64"/>
      <c r="SYK79" s="64"/>
      <c r="SYL79" s="64"/>
      <c r="SYM79" s="64"/>
      <c r="SYN79" s="64"/>
      <c r="SYO79" s="64"/>
      <c r="SYP79" s="64"/>
      <c r="SYQ79" s="64"/>
      <c r="SYR79" s="64"/>
      <c r="SYS79" s="64"/>
      <c r="SYT79" s="64"/>
      <c r="SYU79" s="64"/>
      <c r="SYV79" s="64"/>
      <c r="SYW79" s="64"/>
      <c r="SYX79" s="64"/>
      <c r="SYY79" s="64"/>
      <c r="SYZ79" s="64"/>
      <c r="SZA79" s="64"/>
      <c r="SZB79" s="64"/>
      <c r="SZC79" s="64"/>
      <c r="SZD79" s="64"/>
      <c r="SZE79" s="64"/>
      <c r="SZF79" s="64"/>
      <c r="SZG79" s="64"/>
      <c r="SZH79" s="64"/>
      <c r="SZI79" s="64"/>
      <c r="SZJ79" s="64"/>
      <c r="SZK79" s="64"/>
      <c r="SZL79" s="64"/>
      <c r="SZM79" s="64"/>
      <c r="SZN79" s="64"/>
      <c r="SZO79" s="64"/>
      <c r="SZP79" s="64"/>
      <c r="SZQ79" s="64"/>
      <c r="SZR79" s="64"/>
      <c r="SZS79" s="64"/>
      <c r="SZT79" s="64"/>
      <c r="SZU79" s="64"/>
      <c r="SZV79" s="64"/>
      <c r="SZW79" s="64"/>
      <c r="SZX79" s="64"/>
      <c r="SZY79" s="64"/>
      <c r="SZZ79" s="64"/>
      <c r="TAA79" s="64"/>
      <c r="TAB79" s="64"/>
      <c r="TAC79" s="64"/>
      <c r="TAD79" s="64"/>
      <c r="TAE79" s="64"/>
      <c r="TAF79" s="64"/>
      <c r="TAG79" s="64"/>
      <c r="TAH79" s="64"/>
      <c r="TAI79" s="64"/>
      <c r="TAJ79" s="64"/>
      <c r="TAK79" s="64"/>
      <c r="TAL79" s="64"/>
      <c r="TAM79" s="64"/>
      <c r="TAN79" s="64"/>
      <c r="TAO79" s="64"/>
      <c r="TAP79" s="64"/>
      <c r="TAQ79" s="64"/>
      <c r="TAR79" s="64"/>
      <c r="TAS79" s="64"/>
      <c r="TAT79" s="64"/>
      <c r="TAU79" s="64"/>
      <c r="TAV79" s="64"/>
      <c r="TAW79" s="64"/>
      <c r="TAX79" s="64"/>
      <c r="TAY79" s="64"/>
      <c r="TAZ79" s="64"/>
      <c r="TBA79" s="64"/>
      <c r="TBB79" s="64"/>
      <c r="TBC79" s="64"/>
      <c r="TBD79" s="64"/>
      <c r="TBE79" s="64"/>
      <c r="TBF79" s="64"/>
      <c r="TBG79" s="64"/>
      <c r="TBH79" s="64"/>
      <c r="TBI79" s="64"/>
      <c r="TBJ79" s="64"/>
      <c r="TBK79" s="64"/>
      <c r="TBL79" s="64"/>
      <c r="TBM79" s="64"/>
      <c r="TBN79" s="64"/>
      <c r="TBO79" s="64"/>
      <c r="TBP79" s="64"/>
      <c r="TBQ79" s="64"/>
      <c r="TBR79" s="64"/>
      <c r="TBS79" s="64"/>
      <c r="TBT79" s="64"/>
      <c r="TBU79" s="64"/>
      <c r="TBV79" s="64"/>
      <c r="TBW79" s="64"/>
      <c r="TBX79" s="64"/>
      <c r="TBY79" s="64"/>
      <c r="TBZ79" s="64"/>
      <c r="TCA79" s="64"/>
      <c r="TCB79" s="64"/>
      <c r="TCC79" s="64"/>
      <c r="TCD79" s="64"/>
      <c r="TCE79" s="64"/>
      <c r="TCF79" s="64"/>
      <c r="TCG79" s="64"/>
      <c r="TCH79" s="64"/>
      <c r="TCI79" s="64"/>
      <c r="TCJ79" s="64"/>
      <c r="TCK79" s="64"/>
      <c r="TCL79" s="64"/>
      <c r="TCM79" s="64"/>
      <c r="TCN79" s="64"/>
      <c r="TCO79" s="64"/>
      <c r="TCP79" s="64"/>
      <c r="TCQ79" s="64"/>
      <c r="TCR79" s="64"/>
      <c r="TCS79" s="64"/>
      <c r="TCT79" s="64"/>
      <c r="TCU79" s="64"/>
      <c r="TCV79" s="64"/>
      <c r="TCW79" s="64"/>
      <c r="TCX79" s="64"/>
      <c r="TCY79" s="64"/>
      <c r="TCZ79" s="64"/>
      <c r="TDA79" s="64"/>
      <c r="TDB79" s="64"/>
      <c r="TDC79" s="64"/>
      <c r="TDD79" s="64"/>
      <c r="TDE79" s="64"/>
      <c r="TDF79" s="64"/>
      <c r="TDG79" s="64"/>
      <c r="TDH79" s="64"/>
      <c r="TDI79" s="64"/>
      <c r="TDJ79" s="64"/>
      <c r="TDK79" s="64"/>
      <c r="TDL79" s="64"/>
      <c r="TDM79" s="64"/>
      <c r="TDN79" s="64"/>
      <c r="TDO79" s="64"/>
      <c r="TDP79" s="64"/>
      <c r="TDQ79" s="64"/>
      <c r="TDR79" s="64"/>
      <c r="TDS79" s="64"/>
      <c r="TDT79" s="64"/>
      <c r="TDU79" s="64"/>
      <c r="TDV79" s="64"/>
      <c r="TDW79" s="64"/>
      <c r="TDX79" s="64"/>
      <c r="TDY79" s="64"/>
      <c r="TDZ79" s="64"/>
      <c r="TEA79" s="64"/>
      <c r="TEB79" s="64"/>
      <c r="TEC79" s="64"/>
      <c r="TED79" s="64"/>
      <c r="TEE79" s="64"/>
      <c r="TEF79" s="64"/>
      <c r="TEG79" s="64"/>
      <c r="TEH79" s="64"/>
      <c r="TEI79" s="64"/>
      <c r="TEJ79" s="64"/>
      <c r="TEK79" s="64"/>
      <c r="TEL79" s="64"/>
      <c r="TEM79" s="64"/>
      <c r="TEN79" s="64"/>
      <c r="TEO79" s="64"/>
      <c r="TEP79" s="64"/>
      <c r="TEQ79" s="64"/>
      <c r="TER79" s="64"/>
      <c r="TES79" s="64"/>
      <c r="TET79" s="64"/>
      <c r="TEU79" s="64"/>
      <c r="TEV79" s="64"/>
      <c r="TEW79" s="64"/>
      <c r="TEX79" s="64"/>
      <c r="TEY79" s="64"/>
      <c r="TEZ79" s="64"/>
      <c r="TFA79" s="64"/>
      <c r="TFB79" s="64"/>
      <c r="TFC79" s="64"/>
      <c r="TFD79" s="64"/>
      <c r="TFE79" s="64"/>
      <c r="TFF79" s="64"/>
      <c r="TFG79" s="64"/>
      <c r="TFH79" s="64"/>
      <c r="TFI79" s="64"/>
      <c r="TFJ79" s="64"/>
      <c r="TFK79" s="64"/>
      <c r="TFL79" s="64"/>
      <c r="TFM79" s="64"/>
      <c r="TFN79" s="64"/>
      <c r="TFO79" s="64"/>
      <c r="TFP79" s="64"/>
      <c r="TFQ79" s="64"/>
      <c r="TFR79" s="64"/>
      <c r="TFS79" s="64"/>
      <c r="TFT79" s="64"/>
      <c r="TFU79" s="64"/>
      <c r="TFV79" s="64"/>
      <c r="TFW79" s="64"/>
      <c r="TFX79" s="64"/>
      <c r="TFY79" s="64"/>
      <c r="TFZ79" s="64"/>
      <c r="TGA79" s="64"/>
      <c r="TGB79" s="64"/>
      <c r="TGC79" s="64"/>
      <c r="TGD79" s="64"/>
      <c r="TGE79" s="64"/>
      <c r="TGF79" s="64"/>
      <c r="TGG79" s="64"/>
      <c r="TGH79" s="64"/>
      <c r="TGI79" s="64"/>
      <c r="TGJ79" s="64"/>
      <c r="TGK79" s="64"/>
      <c r="TGL79" s="64"/>
      <c r="TGM79" s="64"/>
      <c r="TGN79" s="64"/>
      <c r="TGO79" s="64"/>
      <c r="TGP79" s="64"/>
      <c r="TGQ79" s="64"/>
      <c r="TGR79" s="64"/>
      <c r="TGS79" s="64"/>
      <c r="TGT79" s="64"/>
      <c r="TGU79" s="64"/>
      <c r="TGV79" s="64"/>
      <c r="TGW79" s="64"/>
      <c r="TGX79" s="64"/>
      <c r="TGY79" s="64"/>
      <c r="TGZ79" s="64"/>
      <c r="THA79" s="64"/>
      <c r="THB79" s="64"/>
      <c r="THC79" s="64"/>
      <c r="THD79" s="64"/>
      <c r="THE79" s="64"/>
      <c r="THF79" s="64"/>
      <c r="THG79" s="64"/>
      <c r="THH79" s="64"/>
      <c r="THI79" s="64"/>
      <c r="THJ79" s="64"/>
      <c r="THK79" s="64"/>
      <c r="THL79" s="64"/>
      <c r="THM79" s="64"/>
      <c r="THN79" s="64"/>
      <c r="THO79" s="64"/>
      <c r="THP79" s="64"/>
      <c r="THQ79" s="64"/>
      <c r="THR79" s="64"/>
      <c r="THS79" s="64"/>
      <c r="THT79" s="64"/>
      <c r="THU79" s="64"/>
      <c r="THV79" s="64"/>
      <c r="THW79" s="64"/>
      <c r="THX79" s="64"/>
      <c r="THY79" s="64"/>
      <c r="THZ79" s="64"/>
      <c r="TIA79" s="64"/>
      <c r="TIB79" s="64"/>
      <c r="TIC79" s="64"/>
      <c r="TID79" s="64"/>
      <c r="TIE79" s="64"/>
      <c r="TIF79" s="64"/>
      <c r="TIG79" s="64"/>
      <c r="TIH79" s="64"/>
      <c r="TII79" s="64"/>
      <c r="TIJ79" s="64"/>
      <c r="TIK79" s="64"/>
      <c r="TIL79" s="64"/>
      <c r="TIM79" s="64"/>
      <c r="TIN79" s="64"/>
      <c r="TIO79" s="64"/>
      <c r="TIP79" s="64"/>
      <c r="TIQ79" s="64"/>
      <c r="TIR79" s="64"/>
      <c r="TIS79" s="64"/>
      <c r="TIT79" s="64"/>
      <c r="TIU79" s="64"/>
      <c r="TIV79" s="64"/>
      <c r="TIW79" s="64"/>
      <c r="TIX79" s="64"/>
      <c r="TIY79" s="64"/>
      <c r="TIZ79" s="64"/>
      <c r="TJA79" s="64"/>
      <c r="TJB79" s="64"/>
      <c r="TJC79" s="64"/>
      <c r="TJD79" s="64"/>
      <c r="TJE79" s="64"/>
      <c r="TJF79" s="64"/>
      <c r="TJG79" s="64"/>
      <c r="TJH79" s="64"/>
      <c r="TJI79" s="64"/>
      <c r="TJJ79" s="64"/>
      <c r="TJK79" s="64"/>
      <c r="TJL79" s="64"/>
      <c r="TJM79" s="64"/>
      <c r="TJN79" s="64"/>
      <c r="TJO79" s="64"/>
      <c r="TJP79" s="64"/>
      <c r="TJQ79" s="64"/>
      <c r="TJR79" s="64"/>
      <c r="TJS79" s="64"/>
      <c r="TJT79" s="64"/>
      <c r="TJU79" s="64"/>
      <c r="TJV79" s="64"/>
      <c r="TJW79" s="64"/>
      <c r="TJX79" s="64"/>
      <c r="TJY79" s="64"/>
      <c r="TJZ79" s="64"/>
      <c r="TKA79" s="64"/>
      <c r="TKB79" s="64"/>
      <c r="TKC79" s="64"/>
      <c r="TKD79" s="64"/>
      <c r="TKE79" s="64"/>
      <c r="TKF79" s="64"/>
      <c r="TKG79" s="64"/>
      <c r="TKH79" s="64"/>
      <c r="TKI79" s="64"/>
      <c r="TKJ79" s="64"/>
      <c r="TKK79" s="64"/>
      <c r="TKL79" s="64"/>
      <c r="TKM79" s="64"/>
      <c r="TKN79" s="64"/>
      <c r="TKO79" s="64"/>
      <c r="TKP79" s="64"/>
      <c r="TKQ79" s="64"/>
      <c r="TKR79" s="64"/>
      <c r="TKS79" s="64"/>
      <c r="TKT79" s="64"/>
      <c r="TKU79" s="64"/>
      <c r="TKV79" s="64"/>
      <c r="TKW79" s="64"/>
      <c r="TKX79" s="64"/>
      <c r="TKY79" s="64"/>
      <c r="TKZ79" s="64"/>
      <c r="TLA79" s="64"/>
      <c r="TLB79" s="64"/>
      <c r="TLC79" s="64"/>
      <c r="TLD79" s="64"/>
      <c r="TLE79" s="64"/>
      <c r="TLF79" s="64"/>
      <c r="TLG79" s="64"/>
      <c r="TLH79" s="64"/>
      <c r="TLI79" s="64"/>
      <c r="TLJ79" s="64"/>
      <c r="TLK79" s="64"/>
      <c r="TLL79" s="64"/>
      <c r="TLM79" s="64"/>
      <c r="TLN79" s="64"/>
      <c r="TLO79" s="64"/>
      <c r="TLP79" s="64"/>
      <c r="TLQ79" s="64"/>
      <c r="TLR79" s="64"/>
      <c r="TLS79" s="64"/>
      <c r="TLT79" s="64"/>
      <c r="TLU79" s="64"/>
      <c r="TLV79" s="64"/>
      <c r="TLW79" s="64"/>
      <c r="TLX79" s="64"/>
      <c r="TLY79" s="64"/>
      <c r="TLZ79" s="64"/>
      <c r="TMA79" s="64"/>
      <c r="TMB79" s="64"/>
      <c r="TMC79" s="64"/>
      <c r="TMD79" s="64"/>
      <c r="TME79" s="64"/>
      <c r="TMF79" s="64"/>
      <c r="TMG79" s="64"/>
      <c r="TMH79" s="64"/>
      <c r="TMI79" s="64"/>
      <c r="TMJ79" s="64"/>
      <c r="TMK79" s="64"/>
      <c r="TML79" s="64"/>
      <c r="TMM79" s="64"/>
      <c r="TMN79" s="64"/>
      <c r="TMO79" s="64"/>
      <c r="TMP79" s="64"/>
      <c r="TMQ79" s="64"/>
      <c r="TMR79" s="64"/>
      <c r="TMS79" s="64"/>
      <c r="TMT79" s="64"/>
      <c r="TMU79" s="64"/>
      <c r="TMV79" s="64"/>
      <c r="TMW79" s="64"/>
      <c r="TMX79" s="64"/>
      <c r="TMY79" s="64"/>
      <c r="TMZ79" s="64"/>
      <c r="TNA79" s="64"/>
      <c r="TNB79" s="64"/>
      <c r="TNC79" s="64"/>
      <c r="TND79" s="64"/>
      <c r="TNE79" s="64"/>
      <c r="TNF79" s="64"/>
      <c r="TNG79" s="64"/>
      <c r="TNH79" s="64"/>
      <c r="TNI79" s="64"/>
      <c r="TNJ79" s="64"/>
      <c r="TNK79" s="64"/>
      <c r="TNL79" s="64"/>
      <c r="TNM79" s="64"/>
      <c r="TNN79" s="64"/>
      <c r="TNO79" s="64"/>
      <c r="TNP79" s="64"/>
      <c r="TNQ79" s="64"/>
      <c r="TNR79" s="64"/>
      <c r="TNS79" s="64"/>
      <c r="TNT79" s="64"/>
      <c r="TNU79" s="64"/>
      <c r="TNV79" s="64"/>
      <c r="TNW79" s="64"/>
      <c r="TNX79" s="64"/>
      <c r="TNY79" s="64"/>
      <c r="TNZ79" s="64"/>
      <c r="TOA79" s="64"/>
      <c r="TOB79" s="64"/>
      <c r="TOC79" s="64"/>
      <c r="TOD79" s="64"/>
      <c r="TOE79" s="64"/>
      <c r="TOF79" s="64"/>
      <c r="TOG79" s="64"/>
      <c r="TOH79" s="64"/>
      <c r="TOI79" s="64"/>
      <c r="TOJ79" s="64"/>
      <c r="TOK79" s="64"/>
      <c r="TOL79" s="64"/>
      <c r="TOM79" s="64"/>
      <c r="TON79" s="64"/>
      <c r="TOO79" s="64"/>
      <c r="TOP79" s="64"/>
      <c r="TOQ79" s="64"/>
      <c r="TOR79" s="64"/>
      <c r="TOS79" s="64"/>
      <c r="TOT79" s="64"/>
      <c r="TOU79" s="64"/>
      <c r="TOV79" s="64"/>
      <c r="TOW79" s="64"/>
      <c r="TOX79" s="64"/>
      <c r="TOY79" s="64"/>
      <c r="TOZ79" s="64"/>
      <c r="TPA79" s="64"/>
      <c r="TPB79" s="64"/>
      <c r="TPC79" s="64"/>
      <c r="TPD79" s="64"/>
      <c r="TPE79" s="64"/>
      <c r="TPF79" s="64"/>
      <c r="TPG79" s="64"/>
      <c r="TPH79" s="64"/>
      <c r="TPI79" s="64"/>
      <c r="TPJ79" s="64"/>
      <c r="TPK79" s="64"/>
      <c r="TPL79" s="64"/>
      <c r="TPM79" s="64"/>
      <c r="TPN79" s="64"/>
      <c r="TPO79" s="64"/>
      <c r="TPP79" s="64"/>
      <c r="TPQ79" s="64"/>
      <c r="TPR79" s="64"/>
      <c r="TPS79" s="64"/>
      <c r="TPT79" s="64"/>
      <c r="TPU79" s="64"/>
      <c r="TPV79" s="64"/>
      <c r="TPW79" s="64"/>
      <c r="TPX79" s="64"/>
      <c r="TPY79" s="64"/>
      <c r="TPZ79" s="64"/>
      <c r="TQA79" s="64"/>
      <c r="TQB79" s="64"/>
      <c r="TQC79" s="64"/>
      <c r="TQD79" s="64"/>
      <c r="TQE79" s="64"/>
      <c r="TQF79" s="64"/>
      <c r="TQG79" s="64"/>
      <c r="TQH79" s="64"/>
      <c r="TQI79" s="64"/>
      <c r="TQJ79" s="64"/>
      <c r="TQK79" s="64"/>
      <c r="TQL79" s="64"/>
      <c r="TQM79" s="64"/>
      <c r="TQN79" s="64"/>
      <c r="TQO79" s="64"/>
      <c r="TQP79" s="64"/>
      <c r="TQQ79" s="64"/>
      <c r="TQR79" s="64"/>
      <c r="TQS79" s="64"/>
      <c r="TQT79" s="64"/>
      <c r="TQU79" s="64"/>
      <c r="TQV79" s="64"/>
      <c r="TQW79" s="64"/>
      <c r="TQX79" s="64"/>
      <c r="TQY79" s="64"/>
      <c r="TQZ79" s="64"/>
      <c r="TRA79" s="64"/>
      <c r="TRB79" s="64"/>
      <c r="TRC79" s="64"/>
      <c r="TRD79" s="64"/>
      <c r="TRE79" s="64"/>
      <c r="TRF79" s="64"/>
      <c r="TRG79" s="64"/>
      <c r="TRH79" s="64"/>
      <c r="TRI79" s="64"/>
      <c r="TRJ79" s="64"/>
      <c r="TRK79" s="64"/>
      <c r="TRL79" s="64"/>
      <c r="TRM79" s="64"/>
      <c r="TRN79" s="64"/>
      <c r="TRO79" s="64"/>
      <c r="TRP79" s="64"/>
      <c r="TRQ79" s="64"/>
      <c r="TRR79" s="64"/>
      <c r="TRS79" s="64"/>
      <c r="TRT79" s="64"/>
      <c r="TRU79" s="64"/>
      <c r="TRV79" s="64"/>
      <c r="TRW79" s="64"/>
      <c r="TRX79" s="64"/>
      <c r="TRY79" s="64"/>
      <c r="TRZ79" s="64"/>
      <c r="TSA79" s="64"/>
      <c r="TSB79" s="64"/>
      <c r="TSC79" s="64"/>
      <c r="TSD79" s="64"/>
      <c r="TSE79" s="64"/>
      <c r="TSF79" s="64"/>
      <c r="TSG79" s="64"/>
      <c r="TSH79" s="64"/>
      <c r="TSI79" s="64"/>
      <c r="TSJ79" s="64"/>
      <c r="TSK79" s="64"/>
      <c r="TSL79" s="64"/>
      <c r="TSM79" s="64"/>
      <c r="TSN79" s="64"/>
      <c r="TSO79" s="64"/>
      <c r="TSP79" s="64"/>
      <c r="TSQ79" s="64"/>
      <c r="TSR79" s="64"/>
      <c r="TSS79" s="64"/>
      <c r="TST79" s="64"/>
      <c r="TSU79" s="64"/>
      <c r="TSV79" s="64"/>
      <c r="TSW79" s="64"/>
      <c r="TSX79" s="64"/>
      <c r="TSY79" s="64"/>
      <c r="TSZ79" s="64"/>
      <c r="TTA79" s="64"/>
      <c r="TTB79" s="64"/>
      <c r="TTC79" s="64"/>
      <c r="TTD79" s="64"/>
      <c r="TTE79" s="64"/>
      <c r="TTF79" s="64"/>
      <c r="TTG79" s="64"/>
      <c r="TTH79" s="64"/>
      <c r="TTI79" s="64"/>
      <c r="TTJ79" s="64"/>
      <c r="TTK79" s="64"/>
      <c r="TTL79" s="64"/>
      <c r="TTM79" s="64"/>
      <c r="TTN79" s="64"/>
      <c r="TTO79" s="64"/>
      <c r="TTP79" s="64"/>
      <c r="TTQ79" s="64"/>
      <c r="TTR79" s="64"/>
      <c r="TTS79" s="64"/>
      <c r="TTT79" s="64"/>
      <c r="TTU79" s="64"/>
      <c r="TTV79" s="64"/>
      <c r="TTW79" s="64"/>
      <c r="TTX79" s="64"/>
      <c r="TTY79" s="64"/>
      <c r="TTZ79" s="64"/>
      <c r="TUA79" s="64"/>
      <c r="TUB79" s="64"/>
      <c r="TUC79" s="64"/>
      <c r="TUD79" s="64"/>
      <c r="TUE79" s="64"/>
      <c r="TUF79" s="64"/>
      <c r="TUG79" s="64"/>
      <c r="TUH79" s="64"/>
      <c r="TUI79" s="64"/>
      <c r="TUJ79" s="64"/>
      <c r="TUK79" s="64"/>
      <c r="TUL79" s="64"/>
      <c r="TUM79" s="64"/>
      <c r="TUN79" s="64"/>
      <c r="TUO79" s="64"/>
      <c r="TUP79" s="64"/>
      <c r="TUQ79" s="64"/>
      <c r="TUR79" s="64"/>
      <c r="TUS79" s="64"/>
      <c r="TUT79" s="64"/>
      <c r="TUU79" s="64"/>
      <c r="TUV79" s="64"/>
      <c r="TUW79" s="64"/>
      <c r="TUX79" s="64"/>
      <c r="TUY79" s="64"/>
      <c r="TUZ79" s="64"/>
      <c r="TVA79" s="64"/>
      <c r="TVB79" s="64"/>
      <c r="TVC79" s="64"/>
      <c r="TVD79" s="64"/>
      <c r="TVE79" s="64"/>
      <c r="TVF79" s="64"/>
      <c r="TVG79" s="64"/>
      <c r="TVH79" s="64"/>
      <c r="TVI79" s="64"/>
      <c r="TVJ79" s="64"/>
      <c r="TVK79" s="64"/>
      <c r="TVL79" s="64"/>
      <c r="TVM79" s="64"/>
      <c r="TVN79" s="64"/>
      <c r="TVO79" s="64"/>
      <c r="TVP79" s="64"/>
      <c r="TVQ79" s="64"/>
      <c r="TVR79" s="64"/>
      <c r="TVS79" s="64"/>
      <c r="TVT79" s="64"/>
      <c r="TVU79" s="64"/>
      <c r="TVV79" s="64"/>
      <c r="TVW79" s="64"/>
      <c r="TVX79" s="64"/>
      <c r="TVY79" s="64"/>
      <c r="TVZ79" s="64"/>
      <c r="TWA79" s="64"/>
      <c r="TWB79" s="64"/>
      <c r="TWC79" s="64"/>
      <c r="TWD79" s="64"/>
      <c r="TWE79" s="64"/>
      <c r="TWF79" s="64"/>
      <c r="TWG79" s="64"/>
      <c r="TWH79" s="64"/>
      <c r="TWI79" s="64"/>
      <c r="TWJ79" s="64"/>
      <c r="TWK79" s="64"/>
      <c r="TWL79" s="64"/>
      <c r="TWM79" s="64"/>
      <c r="TWN79" s="64"/>
      <c r="TWO79" s="64"/>
      <c r="TWP79" s="64"/>
      <c r="TWQ79" s="64"/>
      <c r="TWR79" s="64"/>
      <c r="TWS79" s="64"/>
      <c r="TWT79" s="64"/>
      <c r="TWU79" s="64"/>
      <c r="TWV79" s="64"/>
      <c r="TWW79" s="64"/>
      <c r="TWX79" s="64"/>
      <c r="TWY79" s="64"/>
      <c r="TWZ79" s="64"/>
      <c r="TXA79" s="64"/>
      <c r="TXB79" s="64"/>
      <c r="TXC79" s="64"/>
      <c r="TXD79" s="64"/>
      <c r="TXE79" s="64"/>
      <c r="TXF79" s="64"/>
      <c r="TXG79" s="64"/>
      <c r="TXH79" s="64"/>
      <c r="TXI79" s="64"/>
      <c r="TXJ79" s="64"/>
      <c r="TXK79" s="64"/>
      <c r="TXL79" s="64"/>
      <c r="TXM79" s="64"/>
      <c r="TXN79" s="64"/>
      <c r="TXO79" s="64"/>
      <c r="TXP79" s="64"/>
      <c r="TXQ79" s="64"/>
      <c r="TXR79" s="64"/>
      <c r="TXS79" s="64"/>
      <c r="TXT79" s="64"/>
      <c r="TXU79" s="64"/>
      <c r="TXV79" s="64"/>
      <c r="TXW79" s="64"/>
      <c r="TXX79" s="64"/>
      <c r="TXY79" s="64"/>
      <c r="TXZ79" s="64"/>
      <c r="TYA79" s="64"/>
      <c r="TYB79" s="64"/>
      <c r="TYC79" s="64"/>
      <c r="TYD79" s="64"/>
      <c r="TYE79" s="64"/>
      <c r="TYF79" s="64"/>
      <c r="TYG79" s="64"/>
      <c r="TYH79" s="64"/>
      <c r="TYI79" s="64"/>
      <c r="TYJ79" s="64"/>
      <c r="TYK79" s="64"/>
      <c r="TYL79" s="64"/>
      <c r="TYM79" s="64"/>
      <c r="TYN79" s="64"/>
      <c r="TYO79" s="64"/>
      <c r="TYP79" s="64"/>
      <c r="TYQ79" s="64"/>
      <c r="TYR79" s="64"/>
      <c r="TYS79" s="64"/>
      <c r="TYT79" s="64"/>
      <c r="TYU79" s="64"/>
      <c r="TYV79" s="64"/>
      <c r="TYW79" s="64"/>
      <c r="TYX79" s="64"/>
      <c r="TYY79" s="64"/>
      <c r="TYZ79" s="64"/>
      <c r="TZA79" s="64"/>
      <c r="TZB79" s="64"/>
      <c r="TZC79" s="64"/>
      <c r="TZD79" s="64"/>
      <c r="TZE79" s="64"/>
      <c r="TZF79" s="64"/>
      <c r="TZG79" s="64"/>
      <c r="TZH79" s="64"/>
      <c r="TZI79" s="64"/>
      <c r="TZJ79" s="64"/>
      <c r="TZK79" s="64"/>
      <c r="TZL79" s="64"/>
      <c r="TZM79" s="64"/>
      <c r="TZN79" s="64"/>
      <c r="TZO79" s="64"/>
      <c r="TZP79" s="64"/>
      <c r="TZQ79" s="64"/>
      <c r="TZR79" s="64"/>
      <c r="TZS79" s="64"/>
      <c r="TZT79" s="64"/>
      <c r="TZU79" s="64"/>
      <c r="TZV79" s="64"/>
      <c r="TZW79" s="64"/>
      <c r="TZX79" s="64"/>
      <c r="TZY79" s="64"/>
      <c r="TZZ79" s="64"/>
      <c r="UAA79" s="64"/>
      <c r="UAB79" s="64"/>
      <c r="UAC79" s="64"/>
      <c r="UAD79" s="64"/>
      <c r="UAE79" s="64"/>
      <c r="UAF79" s="64"/>
      <c r="UAG79" s="64"/>
      <c r="UAH79" s="64"/>
      <c r="UAI79" s="64"/>
      <c r="UAJ79" s="64"/>
      <c r="UAK79" s="64"/>
      <c r="UAL79" s="64"/>
      <c r="UAM79" s="64"/>
      <c r="UAN79" s="64"/>
      <c r="UAO79" s="64"/>
      <c r="UAP79" s="64"/>
      <c r="UAQ79" s="64"/>
      <c r="UAR79" s="64"/>
      <c r="UAS79" s="64"/>
      <c r="UAT79" s="64"/>
      <c r="UAU79" s="64"/>
      <c r="UAV79" s="64"/>
      <c r="UAW79" s="64"/>
      <c r="UAX79" s="64"/>
      <c r="UAY79" s="64"/>
      <c r="UAZ79" s="64"/>
      <c r="UBA79" s="64"/>
      <c r="UBB79" s="64"/>
      <c r="UBC79" s="64"/>
      <c r="UBD79" s="64"/>
      <c r="UBE79" s="64"/>
      <c r="UBF79" s="64"/>
      <c r="UBG79" s="64"/>
      <c r="UBH79" s="64"/>
      <c r="UBI79" s="64"/>
      <c r="UBJ79" s="64"/>
      <c r="UBK79" s="64"/>
      <c r="UBL79" s="64"/>
      <c r="UBM79" s="64"/>
      <c r="UBN79" s="64"/>
      <c r="UBO79" s="64"/>
      <c r="UBP79" s="64"/>
      <c r="UBQ79" s="64"/>
      <c r="UBR79" s="64"/>
      <c r="UBS79" s="64"/>
      <c r="UBT79" s="64"/>
      <c r="UBU79" s="64"/>
      <c r="UBV79" s="64"/>
      <c r="UBW79" s="64"/>
      <c r="UBX79" s="64"/>
      <c r="UBY79" s="64"/>
      <c r="UBZ79" s="64"/>
      <c r="UCA79" s="64"/>
      <c r="UCB79" s="64"/>
      <c r="UCC79" s="64"/>
      <c r="UCD79" s="64"/>
      <c r="UCE79" s="64"/>
      <c r="UCF79" s="64"/>
      <c r="UCG79" s="64"/>
      <c r="UCH79" s="64"/>
      <c r="UCI79" s="64"/>
      <c r="UCJ79" s="64"/>
      <c r="UCK79" s="64"/>
      <c r="UCL79" s="64"/>
      <c r="UCM79" s="64"/>
      <c r="UCN79" s="64"/>
      <c r="UCO79" s="64"/>
      <c r="UCP79" s="64"/>
      <c r="UCQ79" s="64"/>
      <c r="UCR79" s="64"/>
      <c r="UCS79" s="64"/>
      <c r="UCT79" s="64"/>
      <c r="UCU79" s="64"/>
      <c r="UCV79" s="64"/>
      <c r="UCW79" s="64"/>
      <c r="UCX79" s="64"/>
      <c r="UCY79" s="64"/>
      <c r="UCZ79" s="64"/>
      <c r="UDA79" s="64"/>
      <c r="UDB79" s="64"/>
      <c r="UDC79" s="64"/>
      <c r="UDD79" s="64"/>
      <c r="UDE79" s="64"/>
      <c r="UDF79" s="64"/>
      <c r="UDG79" s="64"/>
      <c r="UDH79" s="64"/>
      <c r="UDI79" s="64"/>
      <c r="UDJ79" s="64"/>
      <c r="UDK79" s="64"/>
      <c r="UDL79" s="64"/>
      <c r="UDM79" s="64"/>
      <c r="UDN79" s="64"/>
      <c r="UDO79" s="64"/>
      <c r="UDP79" s="64"/>
      <c r="UDQ79" s="64"/>
      <c r="UDR79" s="64"/>
      <c r="UDS79" s="64"/>
      <c r="UDT79" s="64"/>
      <c r="UDU79" s="64"/>
      <c r="UDV79" s="64"/>
      <c r="UDW79" s="64"/>
      <c r="UDX79" s="64"/>
      <c r="UDY79" s="64"/>
      <c r="UDZ79" s="64"/>
      <c r="UEA79" s="64"/>
      <c r="UEB79" s="64"/>
      <c r="UEC79" s="64"/>
      <c r="UED79" s="64"/>
      <c r="UEE79" s="64"/>
      <c r="UEF79" s="64"/>
      <c r="UEG79" s="64"/>
      <c r="UEH79" s="64"/>
      <c r="UEI79" s="64"/>
      <c r="UEJ79" s="64"/>
      <c r="UEK79" s="64"/>
      <c r="UEL79" s="64"/>
      <c r="UEM79" s="64"/>
      <c r="UEN79" s="64"/>
      <c r="UEO79" s="64"/>
      <c r="UEP79" s="64"/>
      <c r="UEQ79" s="64"/>
      <c r="UER79" s="64"/>
      <c r="UES79" s="64"/>
      <c r="UET79" s="64"/>
      <c r="UEU79" s="64"/>
      <c r="UEV79" s="64"/>
      <c r="UEW79" s="64"/>
      <c r="UEX79" s="64"/>
      <c r="UEY79" s="64"/>
      <c r="UEZ79" s="64"/>
      <c r="UFA79" s="64"/>
      <c r="UFB79" s="64"/>
      <c r="UFC79" s="64"/>
      <c r="UFD79" s="64"/>
      <c r="UFE79" s="64"/>
      <c r="UFF79" s="64"/>
      <c r="UFG79" s="64"/>
      <c r="UFH79" s="64"/>
      <c r="UFI79" s="64"/>
      <c r="UFJ79" s="64"/>
      <c r="UFK79" s="64"/>
      <c r="UFL79" s="64"/>
      <c r="UFM79" s="64"/>
      <c r="UFN79" s="64"/>
      <c r="UFO79" s="64"/>
      <c r="UFP79" s="64"/>
      <c r="UFQ79" s="64"/>
      <c r="UFR79" s="64"/>
      <c r="UFS79" s="64"/>
      <c r="UFT79" s="64"/>
      <c r="UFU79" s="64"/>
      <c r="UFV79" s="64"/>
      <c r="UFW79" s="64"/>
      <c r="UFX79" s="64"/>
      <c r="UFY79" s="64"/>
      <c r="UFZ79" s="64"/>
      <c r="UGA79" s="64"/>
      <c r="UGB79" s="64"/>
      <c r="UGC79" s="64"/>
      <c r="UGD79" s="64"/>
      <c r="UGE79" s="64"/>
      <c r="UGF79" s="64"/>
      <c r="UGG79" s="64"/>
      <c r="UGH79" s="64"/>
      <c r="UGI79" s="64"/>
      <c r="UGJ79" s="64"/>
      <c r="UGK79" s="64"/>
      <c r="UGL79" s="64"/>
      <c r="UGM79" s="64"/>
      <c r="UGN79" s="64"/>
      <c r="UGO79" s="64"/>
      <c r="UGP79" s="64"/>
      <c r="UGQ79" s="64"/>
      <c r="UGR79" s="64"/>
      <c r="UGS79" s="64"/>
      <c r="UGT79" s="64"/>
      <c r="UGU79" s="64"/>
      <c r="UGV79" s="64"/>
      <c r="UGW79" s="64"/>
      <c r="UGX79" s="64"/>
      <c r="UGY79" s="64"/>
      <c r="UGZ79" s="64"/>
      <c r="UHA79" s="64"/>
      <c r="UHB79" s="64"/>
      <c r="UHC79" s="64"/>
      <c r="UHD79" s="64"/>
      <c r="UHE79" s="64"/>
      <c r="UHF79" s="64"/>
      <c r="UHG79" s="64"/>
      <c r="UHH79" s="64"/>
      <c r="UHI79" s="64"/>
      <c r="UHJ79" s="64"/>
      <c r="UHK79" s="64"/>
      <c r="UHL79" s="64"/>
      <c r="UHM79" s="64"/>
      <c r="UHN79" s="64"/>
      <c r="UHO79" s="64"/>
      <c r="UHP79" s="64"/>
      <c r="UHQ79" s="64"/>
      <c r="UHR79" s="64"/>
      <c r="UHS79" s="64"/>
      <c r="UHT79" s="64"/>
      <c r="UHU79" s="64"/>
      <c r="UHV79" s="64"/>
      <c r="UHW79" s="64"/>
      <c r="UHX79" s="64"/>
      <c r="UHY79" s="64"/>
      <c r="UHZ79" s="64"/>
      <c r="UIA79" s="64"/>
      <c r="UIB79" s="64"/>
      <c r="UIC79" s="64"/>
      <c r="UID79" s="64"/>
      <c r="UIE79" s="64"/>
      <c r="UIF79" s="64"/>
      <c r="UIG79" s="64"/>
      <c r="UIH79" s="64"/>
      <c r="UII79" s="64"/>
      <c r="UIJ79" s="64"/>
      <c r="UIK79" s="64"/>
      <c r="UIL79" s="64"/>
      <c r="UIM79" s="64"/>
      <c r="UIN79" s="64"/>
      <c r="UIO79" s="64"/>
      <c r="UIP79" s="64"/>
      <c r="UIQ79" s="64"/>
      <c r="UIR79" s="64"/>
      <c r="UIS79" s="64"/>
      <c r="UIT79" s="64"/>
      <c r="UIU79" s="64"/>
      <c r="UIV79" s="64"/>
      <c r="UIW79" s="64"/>
      <c r="UIX79" s="64"/>
      <c r="UIY79" s="64"/>
      <c r="UIZ79" s="64"/>
      <c r="UJA79" s="64"/>
      <c r="UJB79" s="64"/>
      <c r="UJC79" s="64"/>
      <c r="UJD79" s="64"/>
      <c r="UJE79" s="64"/>
      <c r="UJF79" s="64"/>
      <c r="UJG79" s="64"/>
      <c r="UJH79" s="64"/>
      <c r="UJI79" s="64"/>
      <c r="UJJ79" s="64"/>
      <c r="UJK79" s="64"/>
      <c r="UJL79" s="64"/>
      <c r="UJM79" s="64"/>
      <c r="UJN79" s="64"/>
      <c r="UJO79" s="64"/>
      <c r="UJP79" s="64"/>
      <c r="UJQ79" s="64"/>
      <c r="UJR79" s="64"/>
      <c r="UJS79" s="64"/>
      <c r="UJT79" s="64"/>
      <c r="UJU79" s="64"/>
      <c r="UJV79" s="64"/>
      <c r="UJW79" s="64"/>
      <c r="UJX79" s="64"/>
      <c r="UJY79" s="64"/>
      <c r="UJZ79" s="64"/>
      <c r="UKA79" s="64"/>
      <c r="UKB79" s="64"/>
      <c r="UKC79" s="64"/>
      <c r="UKD79" s="64"/>
      <c r="UKE79" s="64"/>
      <c r="UKF79" s="64"/>
      <c r="UKG79" s="64"/>
      <c r="UKH79" s="64"/>
      <c r="UKI79" s="64"/>
      <c r="UKJ79" s="64"/>
      <c r="UKK79" s="64"/>
      <c r="UKL79" s="64"/>
      <c r="UKM79" s="64"/>
      <c r="UKN79" s="64"/>
      <c r="UKO79" s="64"/>
      <c r="UKP79" s="64"/>
      <c r="UKQ79" s="64"/>
      <c r="UKR79" s="64"/>
      <c r="UKS79" s="64"/>
      <c r="UKT79" s="64"/>
      <c r="UKU79" s="64"/>
      <c r="UKV79" s="64"/>
      <c r="UKW79" s="64"/>
      <c r="UKX79" s="64"/>
      <c r="UKY79" s="64"/>
      <c r="UKZ79" s="64"/>
      <c r="ULA79" s="64"/>
      <c r="ULB79" s="64"/>
      <c r="ULC79" s="64"/>
      <c r="ULD79" s="64"/>
      <c r="ULE79" s="64"/>
      <c r="ULF79" s="64"/>
      <c r="ULG79" s="64"/>
      <c r="ULH79" s="64"/>
      <c r="ULI79" s="64"/>
      <c r="ULJ79" s="64"/>
      <c r="ULK79" s="64"/>
      <c r="ULL79" s="64"/>
      <c r="ULM79" s="64"/>
      <c r="ULN79" s="64"/>
      <c r="ULO79" s="64"/>
      <c r="ULP79" s="64"/>
      <c r="ULQ79" s="64"/>
      <c r="ULR79" s="64"/>
      <c r="ULS79" s="64"/>
      <c r="ULT79" s="64"/>
      <c r="ULU79" s="64"/>
      <c r="ULV79" s="64"/>
      <c r="ULW79" s="64"/>
      <c r="ULX79" s="64"/>
      <c r="ULY79" s="64"/>
      <c r="ULZ79" s="64"/>
      <c r="UMA79" s="64"/>
      <c r="UMB79" s="64"/>
      <c r="UMC79" s="64"/>
      <c r="UMD79" s="64"/>
      <c r="UME79" s="64"/>
      <c r="UMF79" s="64"/>
      <c r="UMG79" s="64"/>
      <c r="UMH79" s="64"/>
      <c r="UMI79" s="64"/>
      <c r="UMJ79" s="64"/>
      <c r="UMK79" s="64"/>
      <c r="UML79" s="64"/>
      <c r="UMM79" s="64"/>
      <c r="UMN79" s="64"/>
      <c r="UMO79" s="64"/>
      <c r="UMP79" s="64"/>
      <c r="UMQ79" s="64"/>
      <c r="UMR79" s="64"/>
      <c r="UMS79" s="64"/>
      <c r="UMT79" s="64"/>
      <c r="UMU79" s="64"/>
      <c r="UMV79" s="64"/>
      <c r="UMW79" s="64"/>
      <c r="UMX79" s="64"/>
      <c r="UMY79" s="64"/>
      <c r="UMZ79" s="64"/>
      <c r="UNA79" s="64"/>
      <c r="UNB79" s="64"/>
      <c r="UNC79" s="64"/>
      <c r="UND79" s="64"/>
      <c r="UNE79" s="64"/>
      <c r="UNF79" s="64"/>
      <c r="UNG79" s="64"/>
      <c r="UNH79" s="64"/>
      <c r="UNI79" s="64"/>
      <c r="UNJ79" s="64"/>
      <c r="UNK79" s="64"/>
      <c r="UNL79" s="64"/>
      <c r="UNM79" s="64"/>
      <c r="UNN79" s="64"/>
      <c r="UNO79" s="64"/>
      <c r="UNP79" s="64"/>
      <c r="UNQ79" s="64"/>
      <c r="UNR79" s="64"/>
      <c r="UNS79" s="64"/>
      <c r="UNT79" s="64"/>
      <c r="UNU79" s="64"/>
      <c r="UNV79" s="64"/>
      <c r="UNW79" s="64"/>
      <c r="UNX79" s="64"/>
      <c r="UNY79" s="64"/>
      <c r="UNZ79" s="64"/>
      <c r="UOA79" s="64"/>
      <c r="UOB79" s="64"/>
      <c r="UOC79" s="64"/>
      <c r="UOD79" s="64"/>
      <c r="UOE79" s="64"/>
      <c r="UOF79" s="64"/>
      <c r="UOG79" s="64"/>
      <c r="UOH79" s="64"/>
      <c r="UOI79" s="64"/>
      <c r="UOJ79" s="64"/>
      <c r="UOK79" s="64"/>
      <c r="UOL79" s="64"/>
      <c r="UOM79" s="64"/>
      <c r="UON79" s="64"/>
      <c r="UOO79" s="64"/>
      <c r="UOP79" s="64"/>
      <c r="UOQ79" s="64"/>
      <c r="UOR79" s="64"/>
      <c r="UOS79" s="64"/>
      <c r="UOT79" s="64"/>
      <c r="UOU79" s="64"/>
      <c r="UOV79" s="64"/>
      <c r="UOW79" s="64"/>
      <c r="UOX79" s="64"/>
      <c r="UOY79" s="64"/>
      <c r="UOZ79" s="64"/>
      <c r="UPA79" s="64"/>
      <c r="UPB79" s="64"/>
      <c r="UPC79" s="64"/>
      <c r="UPD79" s="64"/>
      <c r="UPE79" s="64"/>
      <c r="UPF79" s="64"/>
      <c r="UPG79" s="64"/>
      <c r="UPH79" s="64"/>
      <c r="UPI79" s="64"/>
      <c r="UPJ79" s="64"/>
      <c r="UPK79" s="64"/>
      <c r="UPL79" s="64"/>
      <c r="UPM79" s="64"/>
      <c r="UPN79" s="64"/>
      <c r="UPO79" s="64"/>
      <c r="UPP79" s="64"/>
      <c r="UPQ79" s="64"/>
      <c r="UPR79" s="64"/>
      <c r="UPS79" s="64"/>
      <c r="UPT79" s="64"/>
      <c r="UPU79" s="64"/>
      <c r="UPV79" s="64"/>
      <c r="UPW79" s="64"/>
      <c r="UPX79" s="64"/>
      <c r="UPY79" s="64"/>
      <c r="UPZ79" s="64"/>
      <c r="UQA79" s="64"/>
      <c r="UQB79" s="64"/>
      <c r="UQC79" s="64"/>
      <c r="UQD79" s="64"/>
      <c r="UQE79" s="64"/>
      <c r="UQF79" s="64"/>
      <c r="UQG79" s="64"/>
      <c r="UQH79" s="64"/>
      <c r="UQI79" s="64"/>
      <c r="UQJ79" s="64"/>
      <c r="UQK79" s="64"/>
      <c r="UQL79" s="64"/>
      <c r="UQM79" s="64"/>
      <c r="UQN79" s="64"/>
      <c r="UQO79" s="64"/>
      <c r="UQP79" s="64"/>
      <c r="UQQ79" s="64"/>
      <c r="UQR79" s="64"/>
      <c r="UQS79" s="64"/>
      <c r="UQT79" s="64"/>
      <c r="UQU79" s="64"/>
      <c r="UQV79" s="64"/>
      <c r="UQW79" s="64"/>
      <c r="UQX79" s="64"/>
      <c r="UQY79" s="64"/>
      <c r="UQZ79" s="64"/>
      <c r="URA79" s="64"/>
      <c r="URB79" s="64"/>
      <c r="URC79" s="64"/>
      <c r="URD79" s="64"/>
      <c r="URE79" s="64"/>
      <c r="URF79" s="64"/>
      <c r="URG79" s="64"/>
      <c r="URH79" s="64"/>
      <c r="URI79" s="64"/>
      <c r="URJ79" s="64"/>
      <c r="URK79" s="64"/>
      <c r="URL79" s="64"/>
      <c r="URM79" s="64"/>
      <c r="URN79" s="64"/>
      <c r="URO79" s="64"/>
      <c r="URP79" s="64"/>
      <c r="URQ79" s="64"/>
      <c r="URR79" s="64"/>
      <c r="URS79" s="64"/>
      <c r="URT79" s="64"/>
      <c r="URU79" s="64"/>
      <c r="URV79" s="64"/>
      <c r="URW79" s="64"/>
      <c r="URX79" s="64"/>
      <c r="URY79" s="64"/>
      <c r="URZ79" s="64"/>
      <c r="USA79" s="64"/>
      <c r="USB79" s="64"/>
      <c r="USC79" s="64"/>
      <c r="USD79" s="64"/>
      <c r="USE79" s="64"/>
      <c r="USF79" s="64"/>
      <c r="USG79" s="64"/>
      <c r="USH79" s="64"/>
      <c r="USI79" s="64"/>
      <c r="USJ79" s="64"/>
      <c r="USK79" s="64"/>
      <c r="USL79" s="64"/>
      <c r="USM79" s="64"/>
      <c r="USN79" s="64"/>
      <c r="USO79" s="64"/>
      <c r="USP79" s="64"/>
      <c r="USQ79" s="64"/>
      <c r="USR79" s="64"/>
      <c r="USS79" s="64"/>
      <c r="UST79" s="64"/>
      <c r="USU79" s="64"/>
      <c r="USV79" s="64"/>
      <c r="USW79" s="64"/>
      <c r="USX79" s="64"/>
      <c r="USY79" s="64"/>
      <c r="USZ79" s="64"/>
      <c r="UTA79" s="64"/>
      <c r="UTB79" s="64"/>
      <c r="UTC79" s="64"/>
      <c r="UTD79" s="64"/>
      <c r="UTE79" s="64"/>
      <c r="UTF79" s="64"/>
      <c r="UTG79" s="64"/>
      <c r="UTH79" s="64"/>
      <c r="UTI79" s="64"/>
      <c r="UTJ79" s="64"/>
      <c r="UTK79" s="64"/>
      <c r="UTL79" s="64"/>
      <c r="UTM79" s="64"/>
      <c r="UTN79" s="64"/>
      <c r="UTO79" s="64"/>
      <c r="UTP79" s="64"/>
      <c r="UTQ79" s="64"/>
      <c r="UTR79" s="64"/>
      <c r="UTS79" s="64"/>
      <c r="UTT79" s="64"/>
      <c r="UTU79" s="64"/>
      <c r="UTV79" s="64"/>
      <c r="UTW79" s="64"/>
      <c r="UTX79" s="64"/>
      <c r="UTY79" s="64"/>
      <c r="UTZ79" s="64"/>
      <c r="UUA79" s="64"/>
      <c r="UUB79" s="64"/>
      <c r="UUC79" s="64"/>
      <c r="UUD79" s="64"/>
      <c r="UUE79" s="64"/>
      <c r="UUF79" s="64"/>
      <c r="UUG79" s="64"/>
      <c r="UUH79" s="64"/>
      <c r="UUI79" s="64"/>
      <c r="UUJ79" s="64"/>
      <c r="UUK79" s="64"/>
      <c r="UUL79" s="64"/>
      <c r="UUM79" s="64"/>
      <c r="UUN79" s="64"/>
      <c r="UUO79" s="64"/>
      <c r="UUP79" s="64"/>
      <c r="UUQ79" s="64"/>
      <c r="UUR79" s="64"/>
      <c r="UUS79" s="64"/>
      <c r="UUT79" s="64"/>
      <c r="UUU79" s="64"/>
      <c r="UUV79" s="64"/>
      <c r="UUW79" s="64"/>
      <c r="UUX79" s="64"/>
      <c r="UUY79" s="64"/>
      <c r="UUZ79" s="64"/>
      <c r="UVA79" s="64"/>
      <c r="UVB79" s="64"/>
      <c r="UVC79" s="64"/>
      <c r="UVD79" s="64"/>
      <c r="UVE79" s="64"/>
      <c r="UVF79" s="64"/>
      <c r="UVG79" s="64"/>
      <c r="UVH79" s="64"/>
      <c r="UVI79" s="64"/>
      <c r="UVJ79" s="64"/>
      <c r="UVK79" s="64"/>
      <c r="UVL79" s="64"/>
      <c r="UVM79" s="64"/>
      <c r="UVN79" s="64"/>
      <c r="UVO79" s="64"/>
      <c r="UVP79" s="64"/>
      <c r="UVQ79" s="64"/>
      <c r="UVR79" s="64"/>
      <c r="UVS79" s="64"/>
      <c r="UVT79" s="64"/>
      <c r="UVU79" s="64"/>
      <c r="UVV79" s="64"/>
      <c r="UVW79" s="64"/>
      <c r="UVX79" s="64"/>
      <c r="UVY79" s="64"/>
      <c r="UVZ79" s="64"/>
      <c r="UWA79" s="64"/>
      <c r="UWB79" s="64"/>
      <c r="UWC79" s="64"/>
      <c r="UWD79" s="64"/>
      <c r="UWE79" s="64"/>
      <c r="UWF79" s="64"/>
      <c r="UWG79" s="64"/>
      <c r="UWH79" s="64"/>
      <c r="UWI79" s="64"/>
      <c r="UWJ79" s="64"/>
      <c r="UWK79" s="64"/>
      <c r="UWL79" s="64"/>
      <c r="UWM79" s="64"/>
      <c r="UWN79" s="64"/>
      <c r="UWO79" s="64"/>
      <c r="UWP79" s="64"/>
      <c r="UWQ79" s="64"/>
      <c r="UWR79" s="64"/>
      <c r="UWS79" s="64"/>
      <c r="UWT79" s="64"/>
      <c r="UWU79" s="64"/>
      <c r="UWV79" s="64"/>
      <c r="UWW79" s="64"/>
      <c r="UWX79" s="64"/>
      <c r="UWY79" s="64"/>
      <c r="UWZ79" s="64"/>
      <c r="UXA79" s="64"/>
      <c r="UXB79" s="64"/>
      <c r="UXC79" s="64"/>
      <c r="UXD79" s="64"/>
      <c r="UXE79" s="64"/>
      <c r="UXF79" s="64"/>
      <c r="UXG79" s="64"/>
      <c r="UXH79" s="64"/>
      <c r="UXI79" s="64"/>
      <c r="UXJ79" s="64"/>
      <c r="UXK79" s="64"/>
      <c r="UXL79" s="64"/>
      <c r="UXM79" s="64"/>
      <c r="UXN79" s="64"/>
      <c r="UXO79" s="64"/>
      <c r="UXP79" s="64"/>
      <c r="UXQ79" s="64"/>
      <c r="UXR79" s="64"/>
      <c r="UXS79" s="64"/>
      <c r="UXT79" s="64"/>
      <c r="UXU79" s="64"/>
      <c r="UXV79" s="64"/>
      <c r="UXW79" s="64"/>
      <c r="UXX79" s="64"/>
      <c r="UXY79" s="64"/>
      <c r="UXZ79" s="64"/>
      <c r="UYA79" s="64"/>
      <c r="UYB79" s="64"/>
      <c r="UYC79" s="64"/>
      <c r="UYD79" s="64"/>
      <c r="UYE79" s="64"/>
      <c r="UYF79" s="64"/>
      <c r="UYG79" s="64"/>
      <c r="UYH79" s="64"/>
      <c r="UYI79" s="64"/>
      <c r="UYJ79" s="64"/>
      <c r="UYK79" s="64"/>
      <c r="UYL79" s="64"/>
      <c r="UYM79" s="64"/>
      <c r="UYN79" s="64"/>
      <c r="UYO79" s="64"/>
      <c r="UYP79" s="64"/>
      <c r="UYQ79" s="64"/>
      <c r="UYR79" s="64"/>
      <c r="UYS79" s="64"/>
      <c r="UYT79" s="64"/>
      <c r="UYU79" s="64"/>
      <c r="UYV79" s="64"/>
      <c r="UYW79" s="64"/>
      <c r="UYX79" s="64"/>
      <c r="UYY79" s="64"/>
      <c r="UYZ79" s="64"/>
      <c r="UZA79" s="64"/>
      <c r="UZB79" s="64"/>
      <c r="UZC79" s="64"/>
      <c r="UZD79" s="64"/>
      <c r="UZE79" s="64"/>
      <c r="UZF79" s="64"/>
      <c r="UZG79" s="64"/>
      <c r="UZH79" s="64"/>
      <c r="UZI79" s="64"/>
      <c r="UZJ79" s="64"/>
      <c r="UZK79" s="64"/>
      <c r="UZL79" s="64"/>
      <c r="UZM79" s="64"/>
      <c r="UZN79" s="64"/>
      <c r="UZO79" s="64"/>
      <c r="UZP79" s="64"/>
      <c r="UZQ79" s="64"/>
      <c r="UZR79" s="64"/>
      <c r="UZS79" s="64"/>
      <c r="UZT79" s="64"/>
      <c r="UZU79" s="64"/>
      <c r="UZV79" s="64"/>
      <c r="UZW79" s="64"/>
      <c r="UZX79" s="64"/>
      <c r="UZY79" s="64"/>
      <c r="UZZ79" s="64"/>
      <c r="VAA79" s="64"/>
      <c r="VAB79" s="64"/>
      <c r="VAC79" s="64"/>
      <c r="VAD79" s="64"/>
      <c r="VAE79" s="64"/>
      <c r="VAF79" s="64"/>
      <c r="VAG79" s="64"/>
      <c r="VAH79" s="64"/>
      <c r="VAI79" s="64"/>
      <c r="VAJ79" s="64"/>
      <c r="VAK79" s="64"/>
      <c r="VAL79" s="64"/>
      <c r="VAM79" s="64"/>
      <c r="VAN79" s="64"/>
      <c r="VAO79" s="64"/>
      <c r="VAP79" s="64"/>
      <c r="VAQ79" s="64"/>
      <c r="VAR79" s="64"/>
      <c r="VAS79" s="64"/>
      <c r="VAT79" s="64"/>
      <c r="VAU79" s="64"/>
      <c r="VAV79" s="64"/>
      <c r="VAW79" s="64"/>
      <c r="VAX79" s="64"/>
      <c r="VAY79" s="64"/>
      <c r="VAZ79" s="64"/>
      <c r="VBA79" s="64"/>
      <c r="VBB79" s="64"/>
      <c r="VBC79" s="64"/>
      <c r="VBD79" s="64"/>
      <c r="VBE79" s="64"/>
      <c r="VBF79" s="64"/>
      <c r="VBG79" s="64"/>
      <c r="VBH79" s="64"/>
      <c r="VBI79" s="64"/>
      <c r="VBJ79" s="64"/>
      <c r="VBK79" s="64"/>
      <c r="VBL79" s="64"/>
      <c r="VBM79" s="64"/>
      <c r="VBN79" s="64"/>
      <c r="VBO79" s="64"/>
      <c r="VBP79" s="64"/>
      <c r="VBQ79" s="64"/>
      <c r="VBR79" s="64"/>
      <c r="VBS79" s="64"/>
      <c r="VBT79" s="64"/>
      <c r="VBU79" s="64"/>
      <c r="VBV79" s="64"/>
      <c r="VBW79" s="64"/>
      <c r="VBX79" s="64"/>
      <c r="VBY79" s="64"/>
      <c r="VBZ79" s="64"/>
      <c r="VCA79" s="64"/>
      <c r="VCB79" s="64"/>
      <c r="VCC79" s="64"/>
      <c r="VCD79" s="64"/>
      <c r="VCE79" s="64"/>
      <c r="VCF79" s="64"/>
      <c r="VCG79" s="64"/>
      <c r="VCH79" s="64"/>
      <c r="VCI79" s="64"/>
      <c r="VCJ79" s="64"/>
      <c r="VCK79" s="64"/>
      <c r="VCL79" s="64"/>
      <c r="VCM79" s="64"/>
      <c r="VCN79" s="64"/>
      <c r="VCO79" s="64"/>
      <c r="VCP79" s="64"/>
      <c r="VCQ79" s="64"/>
      <c r="VCR79" s="64"/>
      <c r="VCS79" s="64"/>
      <c r="VCT79" s="64"/>
      <c r="VCU79" s="64"/>
      <c r="VCV79" s="64"/>
      <c r="VCW79" s="64"/>
      <c r="VCX79" s="64"/>
      <c r="VCY79" s="64"/>
      <c r="VCZ79" s="64"/>
      <c r="VDA79" s="64"/>
      <c r="VDB79" s="64"/>
      <c r="VDC79" s="64"/>
      <c r="VDD79" s="64"/>
      <c r="VDE79" s="64"/>
      <c r="VDF79" s="64"/>
      <c r="VDG79" s="64"/>
      <c r="VDH79" s="64"/>
      <c r="VDI79" s="64"/>
      <c r="VDJ79" s="64"/>
      <c r="VDK79" s="64"/>
      <c r="VDL79" s="64"/>
      <c r="VDM79" s="64"/>
      <c r="VDN79" s="64"/>
      <c r="VDO79" s="64"/>
      <c r="VDP79" s="64"/>
      <c r="VDQ79" s="64"/>
      <c r="VDR79" s="64"/>
      <c r="VDS79" s="64"/>
      <c r="VDT79" s="64"/>
      <c r="VDU79" s="64"/>
      <c r="VDV79" s="64"/>
      <c r="VDW79" s="64"/>
      <c r="VDX79" s="64"/>
      <c r="VDY79" s="64"/>
      <c r="VDZ79" s="64"/>
      <c r="VEA79" s="64"/>
      <c r="VEB79" s="64"/>
      <c r="VEC79" s="64"/>
      <c r="VED79" s="64"/>
      <c r="VEE79" s="64"/>
      <c r="VEF79" s="64"/>
      <c r="VEG79" s="64"/>
      <c r="VEH79" s="64"/>
      <c r="VEI79" s="64"/>
      <c r="VEJ79" s="64"/>
      <c r="VEK79" s="64"/>
      <c r="VEL79" s="64"/>
      <c r="VEM79" s="64"/>
      <c r="VEN79" s="64"/>
      <c r="VEO79" s="64"/>
      <c r="VEP79" s="64"/>
      <c r="VEQ79" s="64"/>
      <c r="VER79" s="64"/>
      <c r="VES79" s="64"/>
      <c r="VET79" s="64"/>
      <c r="VEU79" s="64"/>
      <c r="VEV79" s="64"/>
      <c r="VEW79" s="64"/>
      <c r="VEX79" s="64"/>
      <c r="VEY79" s="64"/>
      <c r="VEZ79" s="64"/>
      <c r="VFA79" s="64"/>
      <c r="VFB79" s="64"/>
      <c r="VFC79" s="64"/>
      <c r="VFD79" s="64"/>
      <c r="VFE79" s="64"/>
      <c r="VFF79" s="64"/>
      <c r="VFG79" s="64"/>
      <c r="VFH79" s="64"/>
      <c r="VFI79" s="64"/>
      <c r="VFJ79" s="64"/>
      <c r="VFK79" s="64"/>
      <c r="VFL79" s="64"/>
      <c r="VFM79" s="64"/>
      <c r="VFN79" s="64"/>
      <c r="VFO79" s="64"/>
      <c r="VFP79" s="64"/>
      <c r="VFQ79" s="64"/>
      <c r="VFR79" s="64"/>
      <c r="VFS79" s="64"/>
      <c r="VFT79" s="64"/>
      <c r="VFU79" s="64"/>
      <c r="VFV79" s="64"/>
      <c r="VFW79" s="64"/>
      <c r="VFX79" s="64"/>
      <c r="VFY79" s="64"/>
      <c r="VFZ79" s="64"/>
      <c r="VGA79" s="64"/>
      <c r="VGB79" s="64"/>
      <c r="VGC79" s="64"/>
      <c r="VGD79" s="64"/>
      <c r="VGE79" s="64"/>
      <c r="VGF79" s="64"/>
      <c r="VGG79" s="64"/>
      <c r="VGH79" s="64"/>
      <c r="VGI79" s="64"/>
      <c r="VGJ79" s="64"/>
      <c r="VGK79" s="64"/>
      <c r="VGL79" s="64"/>
      <c r="VGM79" s="64"/>
      <c r="VGN79" s="64"/>
      <c r="VGO79" s="64"/>
      <c r="VGP79" s="64"/>
      <c r="VGQ79" s="64"/>
      <c r="VGR79" s="64"/>
      <c r="VGS79" s="64"/>
      <c r="VGT79" s="64"/>
      <c r="VGU79" s="64"/>
      <c r="VGV79" s="64"/>
      <c r="VGW79" s="64"/>
      <c r="VGX79" s="64"/>
      <c r="VGY79" s="64"/>
      <c r="VGZ79" s="64"/>
      <c r="VHA79" s="64"/>
      <c r="VHB79" s="64"/>
      <c r="VHC79" s="64"/>
      <c r="VHD79" s="64"/>
      <c r="VHE79" s="64"/>
      <c r="VHF79" s="64"/>
      <c r="VHG79" s="64"/>
      <c r="VHH79" s="64"/>
      <c r="VHI79" s="64"/>
      <c r="VHJ79" s="64"/>
      <c r="VHK79" s="64"/>
      <c r="VHL79" s="64"/>
      <c r="VHM79" s="64"/>
      <c r="VHN79" s="64"/>
      <c r="VHO79" s="64"/>
      <c r="VHP79" s="64"/>
      <c r="VHQ79" s="64"/>
      <c r="VHR79" s="64"/>
      <c r="VHS79" s="64"/>
      <c r="VHT79" s="64"/>
      <c r="VHU79" s="64"/>
      <c r="VHV79" s="64"/>
      <c r="VHW79" s="64"/>
      <c r="VHX79" s="64"/>
      <c r="VHY79" s="64"/>
      <c r="VHZ79" s="64"/>
      <c r="VIA79" s="64"/>
      <c r="VIB79" s="64"/>
      <c r="VIC79" s="64"/>
      <c r="VID79" s="64"/>
      <c r="VIE79" s="64"/>
      <c r="VIF79" s="64"/>
      <c r="VIG79" s="64"/>
      <c r="VIH79" s="64"/>
      <c r="VII79" s="64"/>
      <c r="VIJ79" s="64"/>
      <c r="VIK79" s="64"/>
      <c r="VIL79" s="64"/>
      <c r="VIM79" s="64"/>
      <c r="VIN79" s="64"/>
      <c r="VIO79" s="64"/>
      <c r="VIP79" s="64"/>
      <c r="VIQ79" s="64"/>
      <c r="VIR79" s="64"/>
      <c r="VIS79" s="64"/>
      <c r="VIT79" s="64"/>
      <c r="VIU79" s="64"/>
      <c r="VIV79" s="64"/>
      <c r="VIW79" s="64"/>
      <c r="VIX79" s="64"/>
      <c r="VIY79" s="64"/>
      <c r="VIZ79" s="64"/>
      <c r="VJA79" s="64"/>
      <c r="VJB79" s="64"/>
      <c r="VJC79" s="64"/>
      <c r="VJD79" s="64"/>
      <c r="VJE79" s="64"/>
      <c r="VJF79" s="64"/>
      <c r="VJG79" s="64"/>
      <c r="VJH79" s="64"/>
      <c r="VJI79" s="64"/>
      <c r="VJJ79" s="64"/>
      <c r="VJK79" s="64"/>
      <c r="VJL79" s="64"/>
      <c r="VJM79" s="64"/>
      <c r="VJN79" s="64"/>
      <c r="VJO79" s="64"/>
      <c r="VJP79" s="64"/>
      <c r="VJQ79" s="64"/>
      <c r="VJR79" s="64"/>
      <c r="VJS79" s="64"/>
      <c r="VJT79" s="64"/>
      <c r="VJU79" s="64"/>
      <c r="VJV79" s="64"/>
      <c r="VJW79" s="64"/>
      <c r="VJX79" s="64"/>
      <c r="VJY79" s="64"/>
      <c r="VJZ79" s="64"/>
      <c r="VKA79" s="64"/>
      <c r="VKB79" s="64"/>
      <c r="VKC79" s="64"/>
      <c r="VKD79" s="64"/>
      <c r="VKE79" s="64"/>
      <c r="VKF79" s="64"/>
      <c r="VKG79" s="64"/>
      <c r="VKH79" s="64"/>
      <c r="VKI79" s="64"/>
      <c r="VKJ79" s="64"/>
      <c r="VKK79" s="64"/>
      <c r="VKL79" s="64"/>
      <c r="VKM79" s="64"/>
      <c r="VKN79" s="64"/>
      <c r="VKO79" s="64"/>
      <c r="VKP79" s="64"/>
      <c r="VKQ79" s="64"/>
      <c r="VKR79" s="64"/>
      <c r="VKS79" s="64"/>
      <c r="VKT79" s="64"/>
      <c r="VKU79" s="64"/>
      <c r="VKV79" s="64"/>
      <c r="VKW79" s="64"/>
      <c r="VKX79" s="64"/>
      <c r="VKY79" s="64"/>
      <c r="VKZ79" s="64"/>
      <c r="VLA79" s="64"/>
      <c r="VLB79" s="64"/>
      <c r="VLC79" s="64"/>
      <c r="VLD79" s="64"/>
      <c r="VLE79" s="64"/>
      <c r="VLF79" s="64"/>
      <c r="VLG79" s="64"/>
      <c r="VLH79" s="64"/>
      <c r="VLI79" s="64"/>
      <c r="VLJ79" s="64"/>
      <c r="VLK79" s="64"/>
      <c r="VLL79" s="64"/>
      <c r="VLM79" s="64"/>
      <c r="VLN79" s="64"/>
      <c r="VLO79" s="64"/>
      <c r="VLP79" s="64"/>
      <c r="VLQ79" s="64"/>
      <c r="VLR79" s="64"/>
      <c r="VLS79" s="64"/>
      <c r="VLT79" s="64"/>
      <c r="VLU79" s="64"/>
      <c r="VLV79" s="64"/>
      <c r="VLW79" s="64"/>
      <c r="VLX79" s="64"/>
      <c r="VLY79" s="64"/>
      <c r="VLZ79" s="64"/>
      <c r="VMA79" s="64"/>
      <c r="VMB79" s="64"/>
      <c r="VMC79" s="64"/>
      <c r="VMD79" s="64"/>
      <c r="VME79" s="64"/>
      <c r="VMF79" s="64"/>
      <c r="VMG79" s="64"/>
      <c r="VMH79" s="64"/>
      <c r="VMI79" s="64"/>
      <c r="VMJ79" s="64"/>
      <c r="VMK79" s="64"/>
      <c r="VML79" s="64"/>
      <c r="VMM79" s="64"/>
      <c r="VMN79" s="64"/>
      <c r="VMO79" s="64"/>
      <c r="VMP79" s="64"/>
      <c r="VMQ79" s="64"/>
      <c r="VMR79" s="64"/>
      <c r="VMS79" s="64"/>
      <c r="VMT79" s="64"/>
      <c r="VMU79" s="64"/>
      <c r="VMV79" s="64"/>
      <c r="VMW79" s="64"/>
      <c r="VMX79" s="64"/>
      <c r="VMY79" s="64"/>
      <c r="VMZ79" s="64"/>
      <c r="VNA79" s="64"/>
      <c r="VNB79" s="64"/>
      <c r="VNC79" s="64"/>
      <c r="VND79" s="64"/>
      <c r="VNE79" s="64"/>
      <c r="VNF79" s="64"/>
      <c r="VNG79" s="64"/>
      <c r="VNH79" s="64"/>
      <c r="VNI79" s="64"/>
      <c r="VNJ79" s="64"/>
      <c r="VNK79" s="64"/>
      <c r="VNL79" s="64"/>
      <c r="VNM79" s="64"/>
      <c r="VNN79" s="64"/>
      <c r="VNO79" s="64"/>
      <c r="VNP79" s="64"/>
      <c r="VNQ79" s="64"/>
      <c r="VNR79" s="64"/>
      <c r="VNS79" s="64"/>
      <c r="VNT79" s="64"/>
      <c r="VNU79" s="64"/>
      <c r="VNV79" s="64"/>
      <c r="VNW79" s="64"/>
      <c r="VNX79" s="64"/>
      <c r="VNY79" s="64"/>
      <c r="VNZ79" s="64"/>
      <c r="VOA79" s="64"/>
      <c r="VOB79" s="64"/>
      <c r="VOC79" s="64"/>
      <c r="VOD79" s="64"/>
      <c r="VOE79" s="64"/>
      <c r="VOF79" s="64"/>
      <c r="VOG79" s="64"/>
      <c r="VOH79" s="64"/>
      <c r="VOI79" s="64"/>
      <c r="VOJ79" s="64"/>
      <c r="VOK79" s="64"/>
      <c r="VOL79" s="64"/>
      <c r="VOM79" s="64"/>
      <c r="VON79" s="64"/>
      <c r="VOO79" s="64"/>
      <c r="VOP79" s="64"/>
      <c r="VOQ79" s="64"/>
      <c r="VOR79" s="64"/>
      <c r="VOS79" s="64"/>
      <c r="VOT79" s="64"/>
      <c r="VOU79" s="64"/>
      <c r="VOV79" s="64"/>
      <c r="VOW79" s="64"/>
      <c r="VOX79" s="64"/>
      <c r="VOY79" s="64"/>
      <c r="VOZ79" s="64"/>
      <c r="VPA79" s="64"/>
      <c r="VPB79" s="64"/>
      <c r="VPC79" s="64"/>
      <c r="VPD79" s="64"/>
      <c r="VPE79" s="64"/>
      <c r="VPF79" s="64"/>
      <c r="VPG79" s="64"/>
      <c r="VPH79" s="64"/>
      <c r="VPI79" s="64"/>
      <c r="VPJ79" s="64"/>
      <c r="VPK79" s="64"/>
      <c r="VPL79" s="64"/>
      <c r="VPM79" s="64"/>
      <c r="VPN79" s="64"/>
      <c r="VPO79" s="64"/>
      <c r="VPP79" s="64"/>
      <c r="VPQ79" s="64"/>
      <c r="VPR79" s="64"/>
      <c r="VPS79" s="64"/>
      <c r="VPT79" s="64"/>
      <c r="VPU79" s="64"/>
      <c r="VPV79" s="64"/>
      <c r="VPW79" s="64"/>
      <c r="VPX79" s="64"/>
      <c r="VPY79" s="64"/>
      <c r="VPZ79" s="64"/>
      <c r="VQA79" s="64"/>
      <c r="VQB79" s="64"/>
      <c r="VQC79" s="64"/>
      <c r="VQD79" s="64"/>
      <c r="VQE79" s="64"/>
      <c r="VQF79" s="64"/>
      <c r="VQG79" s="64"/>
      <c r="VQH79" s="64"/>
      <c r="VQI79" s="64"/>
      <c r="VQJ79" s="64"/>
      <c r="VQK79" s="64"/>
      <c r="VQL79" s="64"/>
      <c r="VQM79" s="64"/>
      <c r="VQN79" s="64"/>
      <c r="VQO79" s="64"/>
      <c r="VQP79" s="64"/>
      <c r="VQQ79" s="64"/>
      <c r="VQR79" s="64"/>
      <c r="VQS79" s="64"/>
      <c r="VQT79" s="64"/>
      <c r="VQU79" s="64"/>
      <c r="VQV79" s="64"/>
      <c r="VQW79" s="64"/>
      <c r="VQX79" s="64"/>
      <c r="VQY79" s="64"/>
      <c r="VQZ79" s="64"/>
      <c r="VRA79" s="64"/>
      <c r="VRB79" s="64"/>
      <c r="VRC79" s="64"/>
      <c r="VRD79" s="64"/>
      <c r="VRE79" s="64"/>
      <c r="VRF79" s="64"/>
      <c r="VRG79" s="64"/>
      <c r="VRH79" s="64"/>
      <c r="VRI79" s="64"/>
      <c r="VRJ79" s="64"/>
      <c r="VRK79" s="64"/>
      <c r="VRL79" s="64"/>
      <c r="VRM79" s="64"/>
      <c r="VRN79" s="64"/>
      <c r="VRO79" s="64"/>
      <c r="VRP79" s="64"/>
      <c r="VRQ79" s="64"/>
      <c r="VRR79" s="64"/>
      <c r="VRS79" s="64"/>
      <c r="VRT79" s="64"/>
      <c r="VRU79" s="64"/>
      <c r="VRV79" s="64"/>
      <c r="VRW79" s="64"/>
      <c r="VRX79" s="64"/>
      <c r="VRY79" s="64"/>
      <c r="VRZ79" s="64"/>
      <c r="VSA79" s="64"/>
      <c r="VSB79" s="64"/>
      <c r="VSC79" s="64"/>
      <c r="VSD79" s="64"/>
      <c r="VSE79" s="64"/>
      <c r="VSF79" s="64"/>
      <c r="VSG79" s="64"/>
      <c r="VSH79" s="64"/>
      <c r="VSI79" s="64"/>
      <c r="VSJ79" s="64"/>
      <c r="VSK79" s="64"/>
      <c r="VSL79" s="64"/>
      <c r="VSM79" s="64"/>
      <c r="VSN79" s="64"/>
      <c r="VSO79" s="64"/>
      <c r="VSP79" s="64"/>
      <c r="VSQ79" s="64"/>
      <c r="VSR79" s="64"/>
      <c r="VSS79" s="64"/>
      <c r="VST79" s="64"/>
      <c r="VSU79" s="64"/>
      <c r="VSV79" s="64"/>
      <c r="VSW79" s="64"/>
      <c r="VSX79" s="64"/>
      <c r="VSY79" s="64"/>
      <c r="VSZ79" s="64"/>
      <c r="VTA79" s="64"/>
      <c r="VTB79" s="64"/>
      <c r="VTC79" s="64"/>
      <c r="VTD79" s="64"/>
      <c r="VTE79" s="64"/>
      <c r="VTF79" s="64"/>
      <c r="VTG79" s="64"/>
      <c r="VTH79" s="64"/>
      <c r="VTI79" s="64"/>
      <c r="VTJ79" s="64"/>
      <c r="VTK79" s="64"/>
      <c r="VTL79" s="64"/>
      <c r="VTM79" s="64"/>
      <c r="VTN79" s="64"/>
      <c r="VTO79" s="64"/>
      <c r="VTP79" s="64"/>
      <c r="VTQ79" s="64"/>
      <c r="VTR79" s="64"/>
      <c r="VTS79" s="64"/>
      <c r="VTT79" s="64"/>
      <c r="VTU79" s="64"/>
      <c r="VTV79" s="64"/>
      <c r="VTW79" s="64"/>
      <c r="VTX79" s="64"/>
      <c r="VTY79" s="64"/>
      <c r="VTZ79" s="64"/>
      <c r="VUA79" s="64"/>
      <c r="VUB79" s="64"/>
      <c r="VUC79" s="64"/>
      <c r="VUD79" s="64"/>
      <c r="VUE79" s="64"/>
      <c r="VUF79" s="64"/>
      <c r="VUG79" s="64"/>
      <c r="VUH79" s="64"/>
      <c r="VUI79" s="64"/>
      <c r="VUJ79" s="64"/>
      <c r="VUK79" s="64"/>
      <c r="VUL79" s="64"/>
      <c r="VUM79" s="64"/>
      <c r="VUN79" s="64"/>
      <c r="VUO79" s="64"/>
      <c r="VUP79" s="64"/>
      <c r="VUQ79" s="64"/>
      <c r="VUR79" s="64"/>
      <c r="VUS79" s="64"/>
      <c r="VUT79" s="64"/>
      <c r="VUU79" s="64"/>
      <c r="VUV79" s="64"/>
      <c r="VUW79" s="64"/>
      <c r="VUX79" s="64"/>
      <c r="VUY79" s="64"/>
      <c r="VUZ79" s="64"/>
      <c r="VVA79" s="64"/>
      <c r="VVB79" s="64"/>
      <c r="VVC79" s="64"/>
      <c r="VVD79" s="64"/>
      <c r="VVE79" s="64"/>
      <c r="VVF79" s="64"/>
      <c r="VVG79" s="64"/>
      <c r="VVH79" s="64"/>
      <c r="VVI79" s="64"/>
      <c r="VVJ79" s="64"/>
      <c r="VVK79" s="64"/>
      <c r="VVL79" s="64"/>
      <c r="VVM79" s="64"/>
      <c r="VVN79" s="64"/>
      <c r="VVO79" s="64"/>
      <c r="VVP79" s="64"/>
      <c r="VVQ79" s="64"/>
      <c r="VVR79" s="64"/>
      <c r="VVS79" s="64"/>
      <c r="VVT79" s="64"/>
      <c r="VVU79" s="64"/>
      <c r="VVV79" s="64"/>
      <c r="VVW79" s="64"/>
      <c r="VVX79" s="64"/>
      <c r="VVY79" s="64"/>
      <c r="VVZ79" s="64"/>
      <c r="VWA79" s="64"/>
      <c r="VWB79" s="64"/>
      <c r="VWC79" s="64"/>
      <c r="VWD79" s="64"/>
      <c r="VWE79" s="64"/>
      <c r="VWF79" s="64"/>
      <c r="VWG79" s="64"/>
      <c r="VWH79" s="64"/>
      <c r="VWI79" s="64"/>
      <c r="VWJ79" s="64"/>
      <c r="VWK79" s="64"/>
      <c r="VWL79" s="64"/>
      <c r="VWM79" s="64"/>
      <c r="VWN79" s="64"/>
      <c r="VWO79" s="64"/>
      <c r="VWP79" s="64"/>
      <c r="VWQ79" s="64"/>
      <c r="VWR79" s="64"/>
      <c r="VWS79" s="64"/>
      <c r="VWT79" s="64"/>
      <c r="VWU79" s="64"/>
      <c r="VWV79" s="64"/>
      <c r="VWW79" s="64"/>
      <c r="VWX79" s="64"/>
      <c r="VWY79" s="64"/>
      <c r="VWZ79" s="64"/>
      <c r="VXA79" s="64"/>
      <c r="VXB79" s="64"/>
      <c r="VXC79" s="64"/>
      <c r="VXD79" s="64"/>
      <c r="VXE79" s="64"/>
      <c r="VXF79" s="64"/>
      <c r="VXG79" s="64"/>
      <c r="VXH79" s="64"/>
      <c r="VXI79" s="64"/>
      <c r="VXJ79" s="64"/>
      <c r="VXK79" s="64"/>
      <c r="VXL79" s="64"/>
      <c r="VXM79" s="64"/>
      <c r="VXN79" s="64"/>
      <c r="VXO79" s="64"/>
      <c r="VXP79" s="64"/>
      <c r="VXQ79" s="64"/>
      <c r="VXR79" s="64"/>
      <c r="VXS79" s="64"/>
      <c r="VXT79" s="64"/>
      <c r="VXU79" s="64"/>
      <c r="VXV79" s="64"/>
      <c r="VXW79" s="64"/>
      <c r="VXX79" s="64"/>
      <c r="VXY79" s="64"/>
      <c r="VXZ79" s="64"/>
      <c r="VYA79" s="64"/>
      <c r="VYB79" s="64"/>
      <c r="VYC79" s="64"/>
      <c r="VYD79" s="64"/>
      <c r="VYE79" s="64"/>
      <c r="VYF79" s="64"/>
      <c r="VYG79" s="64"/>
      <c r="VYH79" s="64"/>
      <c r="VYI79" s="64"/>
      <c r="VYJ79" s="64"/>
      <c r="VYK79" s="64"/>
      <c r="VYL79" s="64"/>
      <c r="VYM79" s="64"/>
      <c r="VYN79" s="64"/>
      <c r="VYO79" s="64"/>
      <c r="VYP79" s="64"/>
      <c r="VYQ79" s="64"/>
      <c r="VYR79" s="64"/>
      <c r="VYS79" s="64"/>
      <c r="VYT79" s="64"/>
      <c r="VYU79" s="64"/>
      <c r="VYV79" s="64"/>
      <c r="VYW79" s="64"/>
      <c r="VYX79" s="64"/>
      <c r="VYY79" s="64"/>
      <c r="VYZ79" s="64"/>
      <c r="VZA79" s="64"/>
      <c r="VZB79" s="64"/>
      <c r="VZC79" s="64"/>
      <c r="VZD79" s="64"/>
      <c r="VZE79" s="64"/>
      <c r="VZF79" s="64"/>
      <c r="VZG79" s="64"/>
      <c r="VZH79" s="64"/>
      <c r="VZI79" s="64"/>
      <c r="VZJ79" s="64"/>
      <c r="VZK79" s="64"/>
      <c r="VZL79" s="64"/>
      <c r="VZM79" s="64"/>
      <c r="VZN79" s="64"/>
      <c r="VZO79" s="64"/>
      <c r="VZP79" s="64"/>
      <c r="VZQ79" s="64"/>
      <c r="VZR79" s="64"/>
      <c r="VZS79" s="64"/>
      <c r="VZT79" s="64"/>
      <c r="VZU79" s="64"/>
      <c r="VZV79" s="64"/>
      <c r="VZW79" s="64"/>
      <c r="VZX79" s="64"/>
      <c r="VZY79" s="64"/>
      <c r="VZZ79" s="64"/>
      <c r="WAA79" s="64"/>
      <c r="WAB79" s="64"/>
      <c r="WAC79" s="64"/>
      <c r="WAD79" s="64"/>
      <c r="WAE79" s="64"/>
      <c r="WAF79" s="64"/>
      <c r="WAG79" s="64"/>
      <c r="WAH79" s="64"/>
      <c r="WAI79" s="64"/>
      <c r="WAJ79" s="64"/>
      <c r="WAK79" s="64"/>
      <c r="WAL79" s="64"/>
      <c r="WAM79" s="64"/>
      <c r="WAN79" s="64"/>
      <c r="WAO79" s="64"/>
      <c r="WAP79" s="64"/>
      <c r="WAQ79" s="64"/>
      <c r="WAR79" s="64"/>
      <c r="WAS79" s="64"/>
      <c r="WAT79" s="64"/>
      <c r="WAU79" s="64"/>
      <c r="WAV79" s="64"/>
      <c r="WAW79" s="64"/>
      <c r="WAX79" s="64"/>
      <c r="WAY79" s="64"/>
      <c r="WAZ79" s="64"/>
      <c r="WBA79" s="64"/>
      <c r="WBB79" s="64"/>
      <c r="WBC79" s="64"/>
      <c r="WBD79" s="64"/>
      <c r="WBE79" s="64"/>
      <c r="WBF79" s="64"/>
      <c r="WBG79" s="64"/>
      <c r="WBH79" s="64"/>
      <c r="WBI79" s="64"/>
      <c r="WBJ79" s="64"/>
      <c r="WBK79" s="64"/>
      <c r="WBL79" s="64"/>
      <c r="WBM79" s="64"/>
      <c r="WBN79" s="64"/>
      <c r="WBO79" s="64"/>
      <c r="WBP79" s="64"/>
      <c r="WBQ79" s="64"/>
      <c r="WBR79" s="64"/>
      <c r="WBS79" s="64"/>
      <c r="WBT79" s="64"/>
      <c r="WBU79" s="64"/>
      <c r="WBV79" s="64"/>
      <c r="WBW79" s="64"/>
      <c r="WBX79" s="64"/>
      <c r="WBY79" s="64"/>
      <c r="WBZ79" s="64"/>
      <c r="WCA79" s="64"/>
      <c r="WCB79" s="64"/>
      <c r="WCC79" s="64"/>
      <c r="WCD79" s="64"/>
      <c r="WCE79" s="64"/>
      <c r="WCF79" s="64"/>
      <c r="WCG79" s="64"/>
      <c r="WCH79" s="64"/>
      <c r="WCI79" s="64"/>
      <c r="WCJ79" s="64"/>
      <c r="WCK79" s="64"/>
      <c r="WCL79" s="64"/>
      <c r="WCM79" s="64"/>
      <c r="WCN79" s="64"/>
      <c r="WCO79" s="64"/>
      <c r="WCP79" s="64"/>
      <c r="WCQ79" s="64"/>
      <c r="WCR79" s="64"/>
      <c r="WCS79" s="64"/>
      <c r="WCT79" s="64"/>
      <c r="WCU79" s="64"/>
      <c r="WCV79" s="64"/>
      <c r="WCW79" s="64"/>
      <c r="WCX79" s="64"/>
      <c r="WCY79" s="64"/>
      <c r="WCZ79" s="64"/>
      <c r="WDA79" s="64"/>
      <c r="WDB79" s="64"/>
      <c r="WDC79" s="64"/>
      <c r="WDD79" s="64"/>
      <c r="WDE79" s="64"/>
      <c r="WDF79" s="64"/>
      <c r="WDG79" s="64"/>
      <c r="WDH79" s="64"/>
      <c r="WDI79" s="64"/>
      <c r="WDJ79" s="64"/>
      <c r="WDK79" s="64"/>
      <c r="WDL79" s="64"/>
      <c r="WDM79" s="64"/>
      <c r="WDN79" s="64"/>
      <c r="WDO79" s="64"/>
      <c r="WDP79" s="64"/>
      <c r="WDQ79" s="64"/>
      <c r="WDR79" s="64"/>
      <c r="WDS79" s="64"/>
      <c r="WDT79" s="64"/>
      <c r="WDU79" s="64"/>
      <c r="WDV79" s="64"/>
      <c r="WDW79" s="64"/>
      <c r="WDX79" s="64"/>
      <c r="WDY79" s="64"/>
      <c r="WDZ79" s="64"/>
      <c r="WEA79" s="64"/>
      <c r="WEB79" s="64"/>
      <c r="WEC79" s="64"/>
      <c r="WED79" s="64"/>
      <c r="WEE79" s="64"/>
      <c r="WEF79" s="64"/>
      <c r="WEG79" s="64"/>
      <c r="WEH79" s="64"/>
      <c r="WEI79" s="64"/>
      <c r="WEJ79" s="64"/>
      <c r="WEK79" s="64"/>
      <c r="WEL79" s="64"/>
      <c r="WEM79" s="64"/>
      <c r="WEN79" s="64"/>
      <c r="WEO79" s="64"/>
      <c r="WEP79" s="64"/>
      <c r="WEQ79" s="64"/>
      <c r="WER79" s="64"/>
      <c r="WES79" s="64"/>
      <c r="WET79" s="64"/>
      <c r="WEU79" s="64"/>
      <c r="WEV79" s="64"/>
      <c r="WEW79" s="64"/>
      <c r="WEX79" s="64"/>
      <c r="WEY79" s="64"/>
      <c r="WEZ79" s="64"/>
      <c r="WFA79" s="64"/>
      <c r="WFB79" s="64"/>
      <c r="WFC79" s="64"/>
      <c r="WFD79" s="64"/>
      <c r="WFE79" s="64"/>
      <c r="WFF79" s="64"/>
      <c r="WFG79" s="64"/>
      <c r="WFH79" s="64"/>
      <c r="WFI79" s="64"/>
      <c r="WFJ79" s="64"/>
      <c r="WFK79" s="64"/>
      <c r="WFL79" s="64"/>
      <c r="WFM79" s="64"/>
      <c r="WFN79" s="64"/>
      <c r="WFO79" s="64"/>
      <c r="WFP79" s="64"/>
      <c r="WFQ79" s="64"/>
      <c r="WFR79" s="64"/>
      <c r="WFS79" s="64"/>
      <c r="WFT79" s="64"/>
      <c r="WFU79" s="64"/>
      <c r="WFV79" s="64"/>
      <c r="WFW79" s="64"/>
      <c r="WFX79" s="64"/>
      <c r="WFY79" s="64"/>
      <c r="WFZ79" s="64"/>
      <c r="WGA79" s="64"/>
      <c r="WGB79" s="64"/>
      <c r="WGC79" s="64"/>
      <c r="WGD79" s="64"/>
      <c r="WGE79" s="64"/>
      <c r="WGF79" s="64"/>
      <c r="WGG79" s="64"/>
      <c r="WGH79" s="64"/>
      <c r="WGI79" s="64"/>
      <c r="WGJ79" s="64"/>
      <c r="WGK79" s="64"/>
      <c r="WGL79" s="64"/>
      <c r="WGM79" s="64"/>
      <c r="WGN79" s="64"/>
      <c r="WGO79" s="64"/>
      <c r="WGP79" s="64"/>
      <c r="WGQ79" s="64"/>
      <c r="WGR79" s="64"/>
      <c r="WGS79" s="64"/>
      <c r="WGT79" s="64"/>
      <c r="WGU79" s="64"/>
      <c r="WGV79" s="64"/>
      <c r="WGW79" s="64"/>
      <c r="WGX79" s="64"/>
      <c r="WGY79" s="64"/>
      <c r="WGZ79" s="64"/>
      <c r="WHA79" s="64"/>
      <c r="WHB79" s="64"/>
      <c r="WHC79" s="64"/>
      <c r="WHD79" s="64"/>
      <c r="WHE79" s="64"/>
      <c r="WHF79" s="64"/>
      <c r="WHG79" s="64"/>
      <c r="WHH79" s="64"/>
      <c r="WHI79" s="64"/>
      <c r="WHJ79" s="64"/>
      <c r="WHK79" s="64"/>
      <c r="WHL79" s="64"/>
      <c r="WHM79" s="64"/>
      <c r="WHN79" s="64"/>
      <c r="WHO79" s="64"/>
      <c r="WHP79" s="64"/>
      <c r="WHQ79" s="64"/>
      <c r="WHR79" s="64"/>
      <c r="WHS79" s="64"/>
      <c r="WHT79" s="64"/>
      <c r="WHU79" s="64"/>
      <c r="WHV79" s="64"/>
      <c r="WHW79" s="64"/>
      <c r="WHX79" s="64"/>
      <c r="WHY79" s="64"/>
      <c r="WHZ79" s="64"/>
      <c r="WIA79" s="64"/>
      <c r="WIB79" s="64"/>
      <c r="WIC79" s="64"/>
      <c r="WID79" s="64"/>
      <c r="WIE79" s="64"/>
      <c r="WIF79" s="64"/>
      <c r="WIG79" s="64"/>
      <c r="WIH79" s="64"/>
      <c r="WII79" s="64"/>
      <c r="WIJ79" s="64"/>
      <c r="WIK79" s="64"/>
      <c r="WIL79" s="64"/>
      <c r="WIM79" s="64"/>
      <c r="WIN79" s="64"/>
      <c r="WIO79" s="64"/>
      <c r="WIP79" s="64"/>
      <c r="WIQ79" s="64"/>
      <c r="WIR79" s="64"/>
      <c r="WIS79" s="64"/>
      <c r="WIT79" s="64"/>
      <c r="WIU79" s="64"/>
      <c r="WIV79" s="64"/>
      <c r="WIW79" s="64"/>
      <c r="WIX79" s="64"/>
      <c r="WIY79" s="64"/>
      <c r="WIZ79" s="64"/>
      <c r="WJA79" s="64"/>
      <c r="WJB79" s="64"/>
      <c r="WJC79" s="64"/>
      <c r="WJD79" s="64"/>
      <c r="WJE79" s="64"/>
      <c r="WJF79" s="64"/>
      <c r="WJG79" s="64"/>
      <c r="WJH79" s="64"/>
      <c r="WJI79" s="64"/>
      <c r="WJJ79" s="64"/>
      <c r="WJK79" s="64"/>
      <c r="WJL79" s="64"/>
      <c r="WJM79" s="64"/>
      <c r="WJN79" s="64"/>
      <c r="WJO79" s="64"/>
      <c r="WJP79" s="64"/>
      <c r="WJQ79" s="64"/>
      <c r="WJR79" s="64"/>
      <c r="WJS79" s="64"/>
      <c r="WJT79" s="64"/>
      <c r="WJU79" s="64"/>
      <c r="WJV79" s="64"/>
      <c r="WJW79" s="64"/>
      <c r="WJX79" s="64"/>
      <c r="WJY79" s="64"/>
      <c r="WJZ79" s="64"/>
      <c r="WKA79" s="64"/>
      <c r="WKB79" s="64"/>
      <c r="WKC79" s="64"/>
      <c r="WKD79" s="64"/>
      <c r="WKE79" s="64"/>
      <c r="WKF79" s="64"/>
      <c r="WKG79" s="64"/>
      <c r="WKH79" s="64"/>
      <c r="WKI79" s="64"/>
      <c r="WKJ79" s="64"/>
      <c r="WKK79" s="64"/>
      <c r="WKL79" s="64"/>
      <c r="WKM79" s="64"/>
      <c r="WKN79" s="64"/>
      <c r="WKO79" s="64"/>
      <c r="WKP79" s="64"/>
      <c r="WKQ79" s="64"/>
      <c r="WKR79" s="64"/>
      <c r="WKS79" s="64"/>
      <c r="WKT79" s="64"/>
      <c r="WKU79" s="64"/>
      <c r="WKV79" s="64"/>
      <c r="WKW79" s="64"/>
      <c r="WKX79" s="64"/>
      <c r="WKY79" s="64"/>
      <c r="WKZ79" s="64"/>
      <c r="WLA79" s="64"/>
      <c r="WLB79" s="64"/>
      <c r="WLC79" s="64"/>
      <c r="WLD79" s="64"/>
      <c r="WLE79" s="64"/>
      <c r="WLF79" s="64"/>
      <c r="WLG79" s="64"/>
      <c r="WLH79" s="64"/>
      <c r="WLI79" s="64"/>
      <c r="WLJ79" s="64"/>
      <c r="WLK79" s="64"/>
      <c r="WLL79" s="64"/>
      <c r="WLM79" s="64"/>
      <c r="WLN79" s="64"/>
      <c r="WLO79" s="64"/>
      <c r="WLP79" s="64"/>
      <c r="WLQ79" s="64"/>
      <c r="WLR79" s="64"/>
      <c r="WLS79" s="64"/>
      <c r="WLT79" s="64"/>
      <c r="WLU79" s="64"/>
      <c r="WLV79" s="64"/>
      <c r="WLW79" s="64"/>
      <c r="WLX79" s="64"/>
      <c r="WLY79" s="64"/>
      <c r="WLZ79" s="64"/>
      <c r="WMA79" s="64"/>
      <c r="WMB79" s="64"/>
      <c r="WMC79" s="64"/>
      <c r="WMD79" s="64"/>
      <c r="WME79" s="64"/>
      <c r="WMF79" s="64"/>
      <c r="WMG79" s="64"/>
      <c r="WMH79" s="64"/>
      <c r="WMI79" s="64"/>
      <c r="WMJ79" s="64"/>
      <c r="WMK79" s="64"/>
      <c r="WML79" s="64"/>
      <c r="WMM79" s="64"/>
      <c r="WMN79" s="64"/>
      <c r="WMO79" s="64"/>
      <c r="WMP79" s="64"/>
      <c r="WMQ79" s="64"/>
      <c r="WMR79" s="64"/>
      <c r="WMS79" s="64"/>
      <c r="WMT79" s="64"/>
      <c r="WMU79" s="64"/>
      <c r="WMV79" s="64"/>
      <c r="WMW79" s="64"/>
      <c r="WMX79" s="64"/>
      <c r="WMY79" s="64"/>
      <c r="WMZ79" s="64"/>
      <c r="WNA79" s="64"/>
      <c r="WNB79" s="64"/>
      <c r="WNC79" s="64"/>
      <c r="WND79" s="64"/>
      <c r="WNE79" s="64"/>
      <c r="WNF79" s="64"/>
      <c r="WNG79" s="64"/>
      <c r="WNH79" s="64"/>
      <c r="WNI79" s="64"/>
      <c r="WNJ79" s="64"/>
      <c r="WNK79" s="64"/>
      <c r="WNL79" s="64"/>
      <c r="WNM79" s="64"/>
      <c r="WNN79" s="64"/>
      <c r="WNO79" s="64"/>
      <c r="WNP79" s="64"/>
      <c r="WNQ79" s="64"/>
      <c r="WNR79" s="64"/>
      <c r="WNS79" s="64"/>
      <c r="WNT79" s="64"/>
      <c r="WNU79" s="64"/>
      <c r="WNV79" s="64"/>
      <c r="WNW79" s="64"/>
      <c r="WNX79" s="64"/>
      <c r="WNY79" s="64"/>
      <c r="WNZ79" s="64"/>
      <c r="WOA79" s="64"/>
      <c r="WOB79" s="64"/>
      <c r="WOC79" s="64"/>
      <c r="WOD79" s="64"/>
      <c r="WOE79" s="64"/>
      <c r="WOF79" s="64"/>
      <c r="WOG79" s="64"/>
      <c r="WOH79" s="64"/>
      <c r="WOI79" s="64"/>
      <c r="WOJ79" s="64"/>
      <c r="WOK79" s="64"/>
      <c r="WOL79" s="64"/>
      <c r="WOM79" s="64"/>
      <c r="WON79" s="64"/>
      <c r="WOO79" s="64"/>
      <c r="WOP79" s="64"/>
      <c r="WOQ79" s="64"/>
      <c r="WOR79" s="64"/>
      <c r="WOS79" s="64"/>
      <c r="WOT79" s="64"/>
      <c r="WOU79" s="64"/>
      <c r="WOV79" s="64"/>
      <c r="WOW79" s="64"/>
      <c r="WOX79" s="64"/>
      <c r="WOY79" s="64"/>
      <c r="WOZ79" s="64"/>
      <c r="WPA79" s="64"/>
      <c r="WPB79" s="64"/>
      <c r="WPC79" s="64"/>
      <c r="WPD79" s="64"/>
      <c r="WPE79" s="64"/>
      <c r="WPF79" s="64"/>
      <c r="WPG79" s="64"/>
      <c r="WPH79" s="64"/>
      <c r="WPI79" s="64"/>
      <c r="WPJ79" s="64"/>
      <c r="WPK79" s="64"/>
      <c r="WPL79" s="64"/>
      <c r="WPM79" s="64"/>
      <c r="WPN79" s="64"/>
      <c r="WPO79" s="64"/>
      <c r="WPP79" s="64"/>
      <c r="WPQ79" s="64"/>
      <c r="WPR79" s="64"/>
      <c r="WPS79" s="64"/>
      <c r="WPT79" s="64"/>
      <c r="WPU79" s="64"/>
      <c r="WPV79" s="64"/>
      <c r="WPW79" s="64"/>
      <c r="WPX79" s="64"/>
      <c r="WPY79" s="64"/>
      <c r="WPZ79" s="64"/>
      <c r="WQA79" s="64"/>
      <c r="WQB79" s="64"/>
      <c r="WQC79" s="64"/>
      <c r="WQD79" s="64"/>
      <c r="WQE79" s="64"/>
      <c r="WQF79" s="64"/>
      <c r="WQG79" s="64"/>
      <c r="WQH79" s="64"/>
      <c r="WQI79" s="64"/>
      <c r="WQJ79" s="64"/>
      <c r="WQK79" s="64"/>
      <c r="WQL79" s="64"/>
      <c r="WQM79" s="64"/>
      <c r="WQN79" s="64"/>
      <c r="WQO79" s="64"/>
      <c r="WQP79" s="64"/>
      <c r="WQQ79" s="64"/>
      <c r="WQR79" s="64"/>
      <c r="WQS79" s="64"/>
      <c r="WQT79" s="64"/>
      <c r="WQU79" s="64"/>
      <c r="WQV79" s="64"/>
      <c r="WQW79" s="64"/>
      <c r="WQX79" s="64"/>
      <c r="WQY79" s="64"/>
      <c r="WQZ79" s="64"/>
      <c r="WRA79" s="64"/>
      <c r="WRB79" s="64"/>
      <c r="WRC79" s="64"/>
      <c r="WRD79" s="64"/>
      <c r="WRE79" s="64"/>
      <c r="WRF79" s="64"/>
      <c r="WRG79" s="64"/>
      <c r="WRH79" s="64"/>
      <c r="WRI79" s="64"/>
      <c r="WRJ79" s="64"/>
      <c r="WRK79" s="64"/>
      <c r="WRL79" s="64"/>
      <c r="WRM79" s="64"/>
      <c r="WRN79" s="64"/>
      <c r="WRO79" s="64"/>
      <c r="WRP79" s="64"/>
      <c r="WRQ79" s="64"/>
      <c r="WRR79" s="64"/>
      <c r="WRS79" s="64"/>
      <c r="WRT79" s="64"/>
      <c r="WRU79" s="64"/>
      <c r="WRV79" s="64"/>
      <c r="WRW79" s="64"/>
      <c r="WRX79" s="64"/>
      <c r="WRY79" s="64"/>
      <c r="WRZ79" s="64"/>
      <c r="WSA79" s="64"/>
      <c r="WSB79" s="64"/>
      <c r="WSC79" s="64"/>
      <c r="WSD79" s="64"/>
      <c r="WSE79" s="64"/>
      <c r="WSF79" s="64"/>
      <c r="WSG79" s="64"/>
      <c r="WSH79" s="64"/>
      <c r="WSI79" s="64"/>
      <c r="WSJ79" s="64"/>
      <c r="WSK79" s="64"/>
      <c r="WSL79" s="64"/>
      <c r="WSM79" s="64"/>
      <c r="WSN79" s="64"/>
      <c r="WSO79" s="64"/>
      <c r="WSP79" s="64"/>
      <c r="WSQ79" s="64"/>
      <c r="WSR79" s="64"/>
      <c r="WSS79" s="64"/>
      <c r="WST79" s="64"/>
      <c r="WSU79" s="64"/>
      <c r="WSV79" s="64"/>
      <c r="WSW79" s="64"/>
      <c r="WSX79" s="64"/>
      <c r="WSY79" s="64"/>
      <c r="WSZ79" s="64"/>
      <c r="WTA79" s="64"/>
      <c r="WTB79" s="64"/>
      <c r="WTC79" s="64"/>
      <c r="WTD79" s="64"/>
      <c r="WTE79" s="64"/>
      <c r="WTF79" s="64"/>
      <c r="WTG79" s="64"/>
      <c r="WTH79" s="64"/>
      <c r="WTI79" s="64"/>
      <c r="WTJ79" s="64"/>
      <c r="WTK79" s="64"/>
      <c r="WTL79" s="64"/>
      <c r="WTM79" s="64"/>
      <c r="WTN79" s="64"/>
      <c r="WTO79" s="64"/>
      <c r="WTP79" s="64"/>
      <c r="WTQ79" s="64"/>
      <c r="WTR79" s="64"/>
      <c r="WTS79" s="64"/>
      <c r="WTT79" s="64"/>
      <c r="WTU79" s="64"/>
      <c r="WTV79" s="64"/>
      <c r="WTW79" s="64"/>
      <c r="WTX79" s="64"/>
      <c r="WTY79" s="64"/>
      <c r="WTZ79" s="64"/>
      <c r="WUA79" s="64"/>
      <c r="WUB79" s="64"/>
      <c r="WUC79" s="64"/>
      <c r="WUD79" s="64"/>
      <c r="WUE79" s="64"/>
      <c r="WUF79" s="64"/>
      <c r="WUG79" s="64"/>
      <c r="WUH79" s="64"/>
      <c r="WUI79" s="64"/>
      <c r="WUJ79" s="64"/>
      <c r="WUK79" s="64"/>
      <c r="WUL79" s="64"/>
      <c r="WUM79" s="64"/>
      <c r="WUN79" s="64"/>
      <c r="WUO79" s="64"/>
      <c r="WUP79" s="64"/>
      <c r="WUQ79" s="64"/>
      <c r="WUR79" s="64"/>
      <c r="WUS79" s="64"/>
      <c r="WUT79" s="64"/>
      <c r="WUU79" s="64"/>
      <c r="WUV79" s="64"/>
      <c r="WUW79" s="64"/>
      <c r="WUX79" s="64"/>
      <c r="WUY79" s="64"/>
      <c r="WUZ79" s="64"/>
      <c r="WVA79" s="64"/>
      <c r="WVB79" s="64"/>
      <c r="WVC79" s="64"/>
      <c r="WVD79" s="64"/>
      <c r="WVE79" s="64"/>
      <c r="WVF79" s="64"/>
      <c r="WVG79" s="64"/>
      <c r="WVH79" s="64"/>
      <c r="WVI79" s="64"/>
      <c r="WVJ79" s="64"/>
      <c r="WVK79" s="64"/>
      <c r="WVL79" s="64"/>
      <c r="WVM79" s="64"/>
      <c r="WVN79" s="64"/>
      <c r="WVO79" s="64"/>
      <c r="WVP79" s="64"/>
      <c r="WVQ79" s="64"/>
      <c r="WVR79" s="64"/>
      <c r="WVS79" s="64"/>
      <c r="WVT79" s="64"/>
      <c r="WVU79" s="64"/>
      <c r="WVV79" s="64"/>
      <c r="WVW79" s="64"/>
      <c r="WVX79" s="64"/>
      <c r="WVY79" s="64"/>
      <c r="WVZ79" s="64"/>
      <c r="WWA79" s="64"/>
      <c r="WWB79" s="64"/>
      <c r="WWC79" s="64"/>
      <c r="WWD79" s="64"/>
      <c r="WWE79" s="64"/>
      <c r="WWF79" s="64"/>
      <c r="WWG79" s="64"/>
      <c r="WWH79" s="64"/>
      <c r="WWI79" s="64"/>
      <c r="WWJ79" s="64"/>
      <c r="WWK79" s="64"/>
      <c r="WWL79" s="64"/>
      <c r="WWM79" s="64"/>
      <c r="WWN79" s="64"/>
      <c r="WWO79" s="64"/>
      <c r="WWP79" s="64"/>
      <c r="WWQ79" s="64"/>
      <c r="WWR79" s="64"/>
      <c r="WWS79" s="64"/>
      <c r="WWT79" s="64"/>
      <c r="WWU79" s="64"/>
      <c r="WWV79" s="64"/>
      <c r="WWW79" s="64"/>
      <c r="WWX79" s="64"/>
      <c r="WWY79" s="64"/>
      <c r="WWZ79" s="64"/>
      <c r="WXA79" s="64"/>
      <c r="WXB79" s="64"/>
      <c r="WXC79" s="64"/>
      <c r="WXD79" s="64"/>
      <c r="WXE79" s="64"/>
      <c r="WXF79" s="64"/>
      <c r="WXG79" s="64"/>
      <c r="WXH79" s="64"/>
      <c r="WXI79" s="64"/>
      <c r="WXJ79" s="64"/>
      <c r="WXK79" s="64"/>
      <c r="WXL79" s="64"/>
      <c r="WXM79" s="64"/>
      <c r="WXN79" s="64"/>
      <c r="WXO79" s="64"/>
      <c r="WXP79" s="64"/>
      <c r="WXQ79" s="64"/>
      <c r="WXR79" s="64"/>
      <c r="WXS79" s="64"/>
      <c r="WXT79" s="64"/>
      <c r="WXU79" s="64"/>
      <c r="WXV79" s="64"/>
      <c r="WXW79" s="64"/>
      <c r="WXX79" s="64"/>
      <c r="WXY79" s="64"/>
      <c r="WXZ79" s="64"/>
      <c r="WYA79" s="64"/>
      <c r="WYB79" s="64"/>
      <c r="WYC79" s="64"/>
      <c r="WYD79" s="64"/>
      <c r="WYE79" s="64"/>
      <c r="WYF79" s="64"/>
      <c r="WYG79" s="64"/>
      <c r="WYH79" s="64"/>
      <c r="WYI79" s="64"/>
      <c r="WYJ79" s="64"/>
      <c r="WYK79" s="64"/>
      <c r="WYL79" s="64"/>
      <c r="WYM79" s="64"/>
      <c r="WYN79" s="64"/>
      <c r="WYO79" s="64"/>
      <c r="WYP79" s="64"/>
      <c r="WYQ79" s="64"/>
      <c r="WYR79" s="64"/>
      <c r="WYS79" s="64"/>
      <c r="WYT79" s="64"/>
      <c r="WYU79" s="64"/>
      <c r="WYV79" s="64"/>
      <c r="WYW79" s="64"/>
      <c r="WYX79" s="64"/>
      <c r="WYY79" s="64"/>
      <c r="WYZ79" s="64"/>
      <c r="WZA79" s="64"/>
      <c r="WZB79" s="64"/>
      <c r="WZC79" s="64"/>
      <c r="WZD79" s="64"/>
      <c r="WZE79" s="64"/>
      <c r="WZF79" s="64"/>
      <c r="WZG79" s="64"/>
      <c r="WZH79" s="64"/>
      <c r="WZI79" s="64"/>
      <c r="WZJ79" s="64"/>
      <c r="WZK79" s="64"/>
      <c r="WZL79" s="64"/>
      <c r="WZM79" s="64"/>
      <c r="WZN79" s="64"/>
      <c r="WZO79" s="64"/>
      <c r="WZP79" s="64"/>
      <c r="WZQ79" s="64"/>
      <c r="WZR79" s="64"/>
      <c r="WZS79" s="64"/>
      <c r="WZT79" s="64"/>
      <c r="WZU79" s="64"/>
      <c r="WZV79" s="64"/>
      <c r="WZW79" s="64"/>
      <c r="WZX79" s="64"/>
      <c r="WZY79" s="64"/>
      <c r="WZZ79" s="64"/>
      <c r="XAA79" s="64"/>
      <c r="XAB79" s="64"/>
      <c r="XAC79" s="64"/>
      <c r="XAD79" s="64"/>
      <c r="XAE79" s="64"/>
      <c r="XAF79" s="64"/>
      <c r="XAG79" s="64"/>
      <c r="XAH79" s="64"/>
      <c r="XAI79" s="64"/>
      <c r="XAJ79" s="64"/>
      <c r="XAK79" s="64"/>
      <c r="XAL79" s="64"/>
      <c r="XAM79" s="64"/>
      <c r="XAN79" s="64"/>
      <c r="XAO79" s="64"/>
      <c r="XAP79" s="64"/>
      <c r="XAQ79" s="64"/>
      <c r="XAR79" s="64"/>
      <c r="XAS79" s="64"/>
      <c r="XAT79" s="64"/>
      <c r="XAU79" s="64"/>
      <c r="XAV79" s="64"/>
      <c r="XAW79" s="64"/>
      <c r="XAX79" s="64"/>
      <c r="XAY79" s="64"/>
      <c r="XAZ79" s="64"/>
      <c r="XBA79" s="64"/>
      <c r="XBB79" s="64"/>
      <c r="XBC79" s="64"/>
      <c r="XBD79" s="64"/>
      <c r="XBE79" s="64"/>
      <c r="XBF79" s="64"/>
      <c r="XBG79" s="64"/>
      <c r="XBH79" s="64"/>
      <c r="XBI79" s="64"/>
      <c r="XBJ79" s="64"/>
      <c r="XBK79" s="64"/>
      <c r="XBL79" s="64"/>
      <c r="XBM79" s="64"/>
      <c r="XBN79" s="64"/>
      <c r="XBO79" s="64"/>
      <c r="XBP79" s="64"/>
      <c r="XBQ79" s="64"/>
      <c r="XBR79" s="64"/>
      <c r="XBS79" s="64"/>
      <c r="XBT79" s="64"/>
      <c r="XBU79" s="64"/>
      <c r="XBV79" s="64"/>
      <c r="XBW79" s="64"/>
      <c r="XBX79" s="64"/>
      <c r="XBY79" s="64"/>
      <c r="XBZ79" s="64"/>
      <c r="XCA79" s="64"/>
      <c r="XCB79" s="64"/>
      <c r="XCC79" s="64"/>
      <c r="XCD79" s="64"/>
      <c r="XCE79" s="64"/>
      <c r="XCF79" s="64"/>
      <c r="XCG79" s="64"/>
      <c r="XCH79" s="64"/>
      <c r="XCI79" s="64"/>
      <c r="XCJ79" s="64"/>
      <c r="XCK79" s="64"/>
      <c r="XCL79" s="64"/>
      <c r="XCM79" s="64"/>
      <c r="XCN79" s="64"/>
      <c r="XCO79" s="64"/>
      <c r="XCP79" s="64"/>
      <c r="XCQ79" s="64"/>
      <c r="XCR79" s="64"/>
      <c r="XCS79" s="64"/>
      <c r="XCT79" s="64"/>
      <c r="XCU79" s="64"/>
      <c r="XCV79" s="64"/>
      <c r="XCW79" s="64"/>
      <c r="XCX79" s="64"/>
      <c r="XCY79" s="64"/>
      <c r="XCZ79" s="64"/>
      <c r="XDA79" s="64"/>
      <c r="XDB79" s="64"/>
      <c r="XDC79" s="64"/>
      <c r="XDD79" s="64"/>
      <c r="XDE79" s="64"/>
      <c r="XDF79" s="64"/>
      <c r="XDG79" s="64"/>
      <c r="XDH79" s="64"/>
      <c r="XDI79" s="64"/>
      <c r="XDJ79" s="64"/>
      <c r="XDK79" s="64"/>
      <c r="XDL79" s="64"/>
      <c r="XDM79" s="64"/>
      <c r="XDN79" s="64"/>
      <c r="XDO79" s="64"/>
      <c r="XDP79" s="64"/>
      <c r="XDQ79" s="64"/>
      <c r="XDR79" s="64"/>
      <c r="XDS79" s="64"/>
      <c r="XDT79" s="64"/>
      <c r="XDU79" s="64"/>
      <c r="XDV79" s="64"/>
      <c r="XDW79" s="64"/>
      <c r="XDX79" s="64"/>
      <c r="XDY79" s="64"/>
      <c r="XDZ79" s="64"/>
      <c r="XEA79" s="64"/>
      <c r="XEB79" s="64"/>
      <c r="XEC79" s="64"/>
      <c r="XED79" s="64"/>
      <c r="XEE79" s="64"/>
      <c r="XEF79" s="64"/>
      <c r="XEG79" s="64"/>
      <c r="XEH79" s="64"/>
      <c r="XEI79" s="64"/>
      <c r="XEJ79" s="64"/>
      <c r="XEK79" s="64"/>
      <c r="XEL79" s="64"/>
      <c r="XEM79" s="64"/>
      <c r="XEN79" s="64"/>
      <c r="XEO79" s="64"/>
      <c r="XEP79" s="64"/>
      <c r="XEQ79" s="64"/>
      <c r="XER79" s="64"/>
      <c r="XES79" s="64"/>
      <c r="XET79" s="64"/>
      <c r="XEU79" s="64"/>
      <c r="XEV79" s="64"/>
      <c r="XEW79" s="64"/>
      <c r="XEX79" s="64"/>
      <c r="XEY79" s="64"/>
      <c r="XEZ79" s="64"/>
      <c r="XFA79" s="64"/>
      <c r="XFB79" s="64"/>
      <c r="XFC79" s="64"/>
      <c r="XFD79" s="64"/>
    </row>
    <row r="80" spans="1:16384" x14ac:dyDescent="0.25">
      <c r="A80" s="51">
        <f t="shared" si="2"/>
        <v>10</v>
      </c>
      <c r="B80" s="64" t="s">
        <v>124</v>
      </c>
      <c r="C80" s="53"/>
      <c r="D80" s="53"/>
      <c r="E80" s="53"/>
      <c r="F80" s="53"/>
      <c r="G80" s="53" t="s">
        <v>61</v>
      </c>
      <c r="H80" s="53"/>
      <c r="I80" s="53"/>
      <c r="J80" s="53"/>
      <c r="K80" s="53"/>
      <c r="L80" s="53"/>
      <c r="M80" s="53"/>
      <c r="N80" s="53" t="s">
        <v>60</v>
      </c>
      <c r="O80" s="53" t="s">
        <v>61</v>
      </c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 t="s">
        <v>60</v>
      </c>
      <c r="AB80" s="53" t="s">
        <v>61</v>
      </c>
      <c r="AC80" s="53"/>
      <c r="AD80" s="53"/>
      <c r="AE80" s="53"/>
      <c r="AF80" s="53"/>
      <c r="AG80" s="53"/>
      <c r="AH80" s="54"/>
    </row>
    <row r="81" spans="1:34" x14ac:dyDescent="0.25">
      <c r="A81" s="51">
        <f t="shared" si="2"/>
        <v>11</v>
      </c>
      <c r="B81" s="64" t="s">
        <v>176</v>
      </c>
      <c r="C81" s="53"/>
      <c r="D81" s="53"/>
      <c r="E81" s="53"/>
      <c r="F81" s="53"/>
      <c r="G81" s="53"/>
      <c r="H81" s="53"/>
      <c r="I81" s="53" t="s">
        <v>61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4"/>
    </row>
    <row r="82" spans="1:34" x14ac:dyDescent="0.25">
      <c r="A82" s="51">
        <f t="shared" si="2"/>
        <v>12</v>
      </c>
      <c r="B82" s="64" t="s">
        <v>84</v>
      </c>
      <c r="C82" s="53"/>
      <c r="D82" s="53"/>
      <c r="E82" s="53"/>
      <c r="F82" s="53"/>
      <c r="G82" s="53"/>
      <c r="H82" s="53"/>
      <c r="I82" s="53" t="s">
        <v>61</v>
      </c>
      <c r="J82" s="53"/>
      <c r="K82" s="53"/>
      <c r="L82" s="53"/>
      <c r="M82" s="53"/>
      <c r="N82" s="53"/>
      <c r="O82" s="53"/>
      <c r="P82" s="53" t="s">
        <v>61</v>
      </c>
      <c r="Q82" s="53"/>
      <c r="R82" s="53"/>
      <c r="S82" s="53"/>
      <c r="T82" s="53"/>
      <c r="U82" s="53"/>
      <c r="V82" s="53"/>
      <c r="W82" s="53"/>
      <c r="X82" s="53"/>
      <c r="Y82" s="53" t="s">
        <v>59</v>
      </c>
      <c r="Z82" s="53"/>
      <c r="AA82" s="53"/>
      <c r="AB82" s="53"/>
      <c r="AC82" s="53"/>
      <c r="AD82" s="53"/>
      <c r="AE82" s="53"/>
      <c r="AF82" s="53"/>
      <c r="AG82" s="53"/>
      <c r="AH82" s="54"/>
    </row>
    <row r="83" spans="1:34" x14ac:dyDescent="0.25">
      <c r="A83" s="51">
        <f t="shared" si="2"/>
        <v>13</v>
      </c>
      <c r="B83" s="64" t="s">
        <v>98</v>
      </c>
      <c r="C83" s="53"/>
      <c r="D83" s="53"/>
      <c r="E83" s="53"/>
      <c r="F83" s="53"/>
      <c r="G83" s="53"/>
      <c r="H83" s="53"/>
      <c r="I83" s="53"/>
      <c r="J83" s="53"/>
      <c r="K83" s="53" t="s">
        <v>61</v>
      </c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 t="s">
        <v>60</v>
      </c>
      <c r="AC83" s="53"/>
      <c r="AD83" s="53"/>
      <c r="AE83" s="53"/>
      <c r="AF83" s="53"/>
      <c r="AG83" s="53"/>
      <c r="AH83" s="54"/>
    </row>
    <row r="84" spans="1:34" x14ac:dyDescent="0.25">
      <c r="A84" s="51">
        <f t="shared" si="2"/>
        <v>14</v>
      </c>
      <c r="B84" s="64" t="s">
        <v>127</v>
      </c>
      <c r="C84" s="53"/>
      <c r="D84" s="53"/>
      <c r="E84" s="53"/>
      <c r="F84" s="53"/>
      <c r="G84" s="53"/>
      <c r="H84" s="53"/>
      <c r="I84" s="53"/>
      <c r="J84" s="53"/>
      <c r="K84" s="53" t="s">
        <v>61</v>
      </c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4"/>
    </row>
    <row r="85" spans="1:34" x14ac:dyDescent="0.25">
      <c r="A85" s="51">
        <f t="shared" si="2"/>
        <v>15</v>
      </c>
      <c r="B85" s="64" t="s">
        <v>102</v>
      </c>
      <c r="C85" s="53"/>
      <c r="D85" s="53"/>
      <c r="E85" s="53"/>
      <c r="F85" s="53"/>
      <c r="G85" s="53"/>
      <c r="H85" s="53"/>
      <c r="I85" s="53"/>
      <c r="J85" s="53"/>
      <c r="K85" s="53"/>
      <c r="L85" s="53" t="s">
        <v>61</v>
      </c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4"/>
    </row>
    <row r="86" spans="1:34" x14ac:dyDescent="0.25">
      <c r="A86" s="51">
        <f t="shared" si="2"/>
        <v>16</v>
      </c>
      <c r="B86" s="64" t="s">
        <v>177</v>
      </c>
      <c r="C86" s="53"/>
      <c r="D86" s="53"/>
      <c r="E86" s="53"/>
      <c r="F86" s="53"/>
      <c r="G86" s="53"/>
      <c r="H86" s="53"/>
      <c r="I86" s="53"/>
      <c r="J86" s="53"/>
      <c r="K86" s="53"/>
      <c r="L86" s="53" t="s">
        <v>61</v>
      </c>
      <c r="M86" s="53"/>
      <c r="N86" s="53"/>
      <c r="O86" s="53"/>
      <c r="P86" s="53"/>
      <c r="Q86" s="53"/>
      <c r="R86" s="53"/>
      <c r="S86" s="53"/>
      <c r="T86" s="53"/>
      <c r="U86" s="53" t="s">
        <v>61</v>
      </c>
      <c r="V86" s="53"/>
      <c r="W86" s="53"/>
      <c r="X86" s="53"/>
      <c r="Y86" s="53"/>
      <c r="Z86" s="53"/>
      <c r="AA86" s="53"/>
      <c r="AB86" s="53"/>
      <c r="AC86" s="53" t="s">
        <v>61</v>
      </c>
      <c r="AD86" s="53"/>
      <c r="AE86" s="53"/>
      <c r="AF86" s="53"/>
      <c r="AG86" s="53"/>
      <c r="AH86" s="54"/>
    </row>
    <row r="87" spans="1:34" x14ac:dyDescent="0.25">
      <c r="A87" s="51">
        <f t="shared" si="2"/>
        <v>17</v>
      </c>
      <c r="B87" s="64" t="s">
        <v>126</v>
      </c>
      <c r="C87" s="53"/>
      <c r="D87" s="53"/>
      <c r="E87" s="53"/>
      <c r="F87" s="53"/>
      <c r="G87" s="53"/>
      <c r="H87" s="53"/>
      <c r="I87" s="53"/>
      <c r="J87" s="53"/>
      <c r="K87" s="53"/>
      <c r="L87" s="53" t="s">
        <v>61</v>
      </c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4"/>
    </row>
    <row r="88" spans="1:34" x14ac:dyDescent="0.25">
      <c r="A88" s="51">
        <f t="shared" si="2"/>
        <v>18</v>
      </c>
      <c r="B88" s="64" t="s">
        <v>99</v>
      </c>
      <c r="C88" s="53"/>
      <c r="D88" s="53"/>
      <c r="E88" s="53"/>
      <c r="F88" s="53"/>
      <c r="G88" s="53"/>
      <c r="H88" s="53"/>
      <c r="I88" s="53"/>
      <c r="J88" s="53"/>
      <c r="K88" s="53"/>
      <c r="L88" s="53" t="s">
        <v>61</v>
      </c>
      <c r="M88" s="53"/>
      <c r="N88" s="53"/>
      <c r="O88" s="53" t="s">
        <v>60</v>
      </c>
      <c r="P88" s="53"/>
      <c r="Q88" s="53"/>
      <c r="R88" s="53"/>
      <c r="S88" s="53"/>
      <c r="T88" s="53"/>
      <c r="U88" s="53" t="s">
        <v>60</v>
      </c>
      <c r="V88" s="53"/>
      <c r="W88" s="53"/>
      <c r="X88" s="53"/>
      <c r="Y88" s="53"/>
      <c r="Z88" s="53"/>
      <c r="AA88" s="53" t="s">
        <v>59</v>
      </c>
      <c r="AB88" s="53"/>
      <c r="AC88" s="53"/>
      <c r="AD88" s="53"/>
      <c r="AE88" s="53"/>
      <c r="AF88" s="53"/>
      <c r="AG88" s="53"/>
      <c r="AH88" s="54"/>
    </row>
    <row r="89" spans="1:34" x14ac:dyDescent="0.25">
      <c r="A89" s="51">
        <f t="shared" si="2"/>
        <v>19</v>
      </c>
      <c r="B89" s="64" t="s">
        <v>138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 t="s">
        <v>61</v>
      </c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4"/>
    </row>
    <row r="90" spans="1:34" x14ac:dyDescent="0.25">
      <c r="A90" s="51">
        <f t="shared" si="2"/>
        <v>20</v>
      </c>
      <c r="B90" s="64" t="s">
        <v>178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 t="s">
        <v>61</v>
      </c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4"/>
    </row>
    <row r="91" spans="1:34" x14ac:dyDescent="0.25">
      <c r="A91" s="51">
        <f t="shared" si="2"/>
        <v>21</v>
      </c>
      <c r="B91" s="64" t="s">
        <v>179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 t="s">
        <v>59</v>
      </c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 t="s">
        <v>60</v>
      </c>
      <c r="AD91" s="53"/>
      <c r="AE91" s="53"/>
      <c r="AF91" s="53"/>
      <c r="AG91" s="53"/>
      <c r="AH91" s="54"/>
    </row>
    <row r="92" spans="1:34" x14ac:dyDescent="0.25">
      <c r="A92" s="51">
        <f t="shared" si="2"/>
        <v>22</v>
      </c>
      <c r="B92" s="64" t="s">
        <v>66</v>
      </c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 t="s">
        <v>60</v>
      </c>
      <c r="O92" s="53"/>
      <c r="P92" s="53"/>
      <c r="Q92" s="53"/>
      <c r="R92" s="53" t="s">
        <v>61</v>
      </c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4"/>
    </row>
    <row r="93" spans="1:34" x14ac:dyDescent="0.25">
      <c r="A93" s="51">
        <f t="shared" si="2"/>
        <v>23</v>
      </c>
      <c r="B93" s="64" t="s">
        <v>75</v>
      </c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 t="s">
        <v>60</v>
      </c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 t="s">
        <v>59</v>
      </c>
      <c r="AD93" s="53"/>
      <c r="AE93" s="53"/>
      <c r="AF93" s="53"/>
      <c r="AG93" s="53"/>
      <c r="AH93" s="54"/>
    </row>
    <row r="94" spans="1:34" x14ac:dyDescent="0.25">
      <c r="A94" s="51">
        <f t="shared" si="2"/>
        <v>24</v>
      </c>
      <c r="B94" s="64" t="s">
        <v>180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 t="s">
        <v>60</v>
      </c>
      <c r="O94" s="53" t="s">
        <v>61</v>
      </c>
      <c r="P94" s="53"/>
      <c r="Q94" s="53"/>
      <c r="R94" s="53"/>
      <c r="S94" s="53"/>
      <c r="T94" s="53" t="s">
        <v>60</v>
      </c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4"/>
    </row>
    <row r="95" spans="1:34" x14ac:dyDescent="0.25">
      <c r="A95" s="51">
        <f t="shared" si="2"/>
        <v>25</v>
      </c>
      <c r="B95" s="64" t="s">
        <v>181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 t="s">
        <v>60</v>
      </c>
      <c r="P95" s="53"/>
      <c r="Q95" s="53"/>
      <c r="R95" s="53"/>
      <c r="S95" s="53"/>
      <c r="T95" s="53"/>
      <c r="U95" s="53" t="s">
        <v>60</v>
      </c>
      <c r="V95" s="53"/>
      <c r="W95" s="53"/>
      <c r="X95" s="53"/>
      <c r="Y95" s="53"/>
      <c r="Z95" s="53"/>
      <c r="AA95" s="53" t="s">
        <v>60</v>
      </c>
      <c r="AB95" s="53"/>
      <c r="AC95" s="53"/>
      <c r="AD95" s="53"/>
      <c r="AE95" s="53"/>
      <c r="AF95" s="53"/>
      <c r="AG95" s="53"/>
      <c r="AH95" s="54"/>
    </row>
    <row r="96" spans="1:34" x14ac:dyDescent="0.25">
      <c r="A96" s="51">
        <f t="shared" si="2"/>
        <v>26</v>
      </c>
      <c r="B96" s="64" t="s">
        <v>88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 t="s">
        <v>60</v>
      </c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 t="s">
        <v>60</v>
      </c>
      <c r="AB96" s="53"/>
      <c r="AC96" s="53"/>
      <c r="AD96" s="53"/>
      <c r="AE96" s="53"/>
      <c r="AF96" s="53"/>
      <c r="AG96" s="53"/>
      <c r="AH96" s="54"/>
    </row>
    <row r="97" spans="1:34" x14ac:dyDescent="0.25">
      <c r="A97" s="51">
        <f t="shared" si="2"/>
        <v>27</v>
      </c>
      <c r="B97" s="64" t="s">
        <v>89</v>
      </c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 t="s">
        <v>60</v>
      </c>
      <c r="P97" s="53"/>
      <c r="Q97" s="53"/>
      <c r="R97" s="53"/>
      <c r="S97" s="53"/>
      <c r="T97" s="53" t="s">
        <v>61</v>
      </c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4"/>
    </row>
    <row r="98" spans="1:34" x14ac:dyDescent="0.25">
      <c r="A98" s="51">
        <f t="shared" si="2"/>
        <v>28</v>
      </c>
      <c r="B98" s="64" t="s">
        <v>134</v>
      </c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 t="s">
        <v>60</v>
      </c>
      <c r="P98" s="53"/>
      <c r="Q98" s="53"/>
      <c r="R98" s="53"/>
      <c r="S98" s="53"/>
      <c r="T98" s="53" t="s">
        <v>60</v>
      </c>
      <c r="U98" s="53" t="s">
        <v>61</v>
      </c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4"/>
    </row>
    <row r="99" spans="1:34" x14ac:dyDescent="0.25">
      <c r="A99" s="51">
        <f t="shared" si="2"/>
        <v>29</v>
      </c>
      <c r="B99" s="64" t="s">
        <v>106</v>
      </c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 t="s">
        <v>60</v>
      </c>
      <c r="P99" s="53"/>
      <c r="Q99" s="53"/>
      <c r="R99" s="53"/>
      <c r="S99" s="53"/>
      <c r="T99" s="53" t="s">
        <v>61</v>
      </c>
      <c r="U99" s="53"/>
      <c r="V99" s="53"/>
      <c r="W99" s="53"/>
      <c r="X99" s="53"/>
      <c r="Y99" s="53"/>
      <c r="Z99" s="53" t="s">
        <v>60</v>
      </c>
      <c r="AA99" s="53" t="s">
        <v>61</v>
      </c>
      <c r="AB99" s="53"/>
      <c r="AC99" s="53"/>
      <c r="AD99" s="53"/>
      <c r="AE99" s="53"/>
      <c r="AF99" s="53"/>
      <c r="AG99" s="53"/>
      <c r="AH99" s="54"/>
    </row>
    <row r="100" spans="1:34" x14ac:dyDescent="0.25">
      <c r="A100" s="51">
        <f t="shared" si="2"/>
        <v>30</v>
      </c>
      <c r="B100" s="64" t="s">
        <v>79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 t="s">
        <v>60</v>
      </c>
      <c r="P100" s="53"/>
      <c r="Q100" s="53"/>
      <c r="R100" s="53"/>
      <c r="S100" s="53"/>
      <c r="T100" s="53" t="s">
        <v>61</v>
      </c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4"/>
    </row>
    <row r="101" spans="1:34" x14ac:dyDescent="0.25">
      <c r="A101" s="51">
        <f t="shared" si="2"/>
        <v>31</v>
      </c>
      <c r="B101" s="64" t="s">
        <v>182</v>
      </c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 t="s">
        <v>60</v>
      </c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4"/>
    </row>
    <row r="102" spans="1:34" x14ac:dyDescent="0.25">
      <c r="A102" s="51">
        <f t="shared" si="2"/>
        <v>32</v>
      </c>
      <c r="B102" s="64" t="s">
        <v>126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 t="s">
        <v>61</v>
      </c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 t="s">
        <v>61</v>
      </c>
      <c r="AC102" s="53"/>
      <c r="AD102" s="53"/>
      <c r="AE102" s="53"/>
      <c r="AF102" s="53"/>
      <c r="AG102" s="53"/>
      <c r="AH102" s="54"/>
    </row>
    <row r="103" spans="1:34" x14ac:dyDescent="0.25">
      <c r="A103" s="51">
        <f t="shared" si="2"/>
        <v>33</v>
      </c>
      <c r="B103" s="64" t="s">
        <v>73</v>
      </c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 t="s">
        <v>59</v>
      </c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4"/>
    </row>
    <row r="104" spans="1:34" x14ac:dyDescent="0.25">
      <c r="A104" s="51">
        <f t="shared" si="2"/>
        <v>34</v>
      </c>
      <c r="B104" s="64" t="s">
        <v>131</v>
      </c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 t="s">
        <v>59</v>
      </c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4"/>
    </row>
    <row r="105" spans="1:34" x14ac:dyDescent="0.25">
      <c r="A105" s="51">
        <f t="shared" si="2"/>
        <v>35</v>
      </c>
      <c r="B105" s="64" t="s">
        <v>132</v>
      </c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 t="s">
        <v>60</v>
      </c>
      <c r="U105" s="53" t="s">
        <v>61</v>
      </c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4"/>
    </row>
    <row r="106" spans="1:34" x14ac:dyDescent="0.25">
      <c r="A106" s="51">
        <f t="shared" si="2"/>
        <v>36</v>
      </c>
      <c r="B106" s="64" t="s">
        <v>97</v>
      </c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 t="s">
        <v>59</v>
      </c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4"/>
    </row>
    <row r="107" spans="1:34" x14ac:dyDescent="0.25">
      <c r="A107" s="51">
        <f t="shared" si="2"/>
        <v>37</v>
      </c>
      <c r="B107" s="64" t="s">
        <v>130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 t="s">
        <v>60</v>
      </c>
      <c r="V107" s="53" t="s">
        <v>61</v>
      </c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4"/>
    </row>
    <row r="108" spans="1:34" x14ac:dyDescent="0.25">
      <c r="A108" s="51">
        <f t="shared" si="2"/>
        <v>38</v>
      </c>
      <c r="B108" s="64" t="s">
        <v>113</v>
      </c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 t="s">
        <v>59</v>
      </c>
      <c r="AC108" s="53"/>
      <c r="AD108" s="53"/>
      <c r="AE108" s="53"/>
      <c r="AF108" s="53"/>
      <c r="AG108" s="53"/>
      <c r="AH108" s="54"/>
    </row>
    <row r="109" spans="1:34" x14ac:dyDescent="0.25">
      <c r="A109" s="51">
        <f t="shared" si="2"/>
        <v>39</v>
      </c>
      <c r="B109" s="64" t="s">
        <v>183</v>
      </c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 t="s">
        <v>60</v>
      </c>
      <c r="AC109" s="53" t="s">
        <v>61</v>
      </c>
      <c r="AD109" s="53"/>
      <c r="AE109" s="53"/>
      <c r="AF109" s="53"/>
      <c r="AG109" s="53"/>
      <c r="AH109" s="54"/>
    </row>
    <row r="110" spans="1:34" x14ac:dyDescent="0.25">
      <c r="A110" s="51">
        <f t="shared" si="2"/>
        <v>40</v>
      </c>
      <c r="B110" s="64" t="s">
        <v>87</v>
      </c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 t="s">
        <v>60</v>
      </c>
      <c r="AC110" s="53"/>
      <c r="AD110" s="53"/>
      <c r="AE110" s="53"/>
      <c r="AF110" s="53"/>
      <c r="AG110" s="53"/>
      <c r="AH110" s="54"/>
    </row>
    <row r="111" spans="1:34" x14ac:dyDescent="0.25">
      <c r="A111" s="51">
        <f t="shared" si="2"/>
        <v>41</v>
      </c>
      <c r="B111" s="64" t="s">
        <v>91</v>
      </c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 t="s">
        <v>60</v>
      </c>
      <c r="AC111" s="53"/>
      <c r="AD111" s="53"/>
      <c r="AE111" s="53"/>
      <c r="AF111" s="53"/>
      <c r="AG111" s="53"/>
      <c r="AH111" s="54"/>
    </row>
    <row r="112" spans="1:34" x14ac:dyDescent="0.25">
      <c r="A112" s="51">
        <f t="shared" si="2"/>
        <v>42</v>
      </c>
      <c r="B112" s="64" t="s">
        <v>184</v>
      </c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 t="s">
        <v>60</v>
      </c>
      <c r="AC112" s="53"/>
      <c r="AD112" s="53"/>
      <c r="AE112" s="53"/>
      <c r="AF112" s="53"/>
      <c r="AG112" s="53"/>
      <c r="AH112" s="54"/>
    </row>
    <row r="113" spans="1:34" x14ac:dyDescent="0.25">
      <c r="A113" s="51">
        <f t="shared" si="2"/>
        <v>43</v>
      </c>
      <c r="B113" s="64" t="s">
        <v>138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 t="s">
        <v>60</v>
      </c>
      <c r="AD113" s="53"/>
      <c r="AE113" s="53"/>
      <c r="AF113" s="53"/>
      <c r="AG113" s="53"/>
      <c r="AH113" s="54"/>
    </row>
    <row r="114" spans="1:34" x14ac:dyDescent="0.25">
      <c r="A114" s="51">
        <f t="shared" si="2"/>
        <v>44</v>
      </c>
      <c r="B114" s="64" t="s">
        <v>112</v>
      </c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 t="s">
        <v>60</v>
      </c>
      <c r="AD114" s="53"/>
      <c r="AE114" s="53"/>
      <c r="AF114" s="53"/>
      <c r="AG114" s="53"/>
      <c r="AH114" s="54"/>
    </row>
    <row r="115" spans="1:34" x14ac:dyDescent="0.25">
      <c r="A115" s="51">
        <f t="shared" si="2"/>
        <v>45</v>
      </c>
      <c r="B115" s="64" t="s">
        <v>157</v>
      </c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 t="s">
        <v>60</v>
      </c>
      <c r="AD115" s="53" t="s">
        <v>61</v>
      </c>
      <c r="AE115" s="53"/>
      <c r="AF115" s="53"/>
      <c r="AG115" s="53"/>
      <c r="AH115" s="54"/>
    </row>
    <row r="116" spans="1:34" hidden="1" x14ac:dyDescent="0.25">
      <c r="A116" s="51">
        <f t="shared" si="2"/>
        <v>46</v>
      </c>
      <c r="B116" s="52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4"/>
    </row>
    <row r="117" spans="1:34" hidden="1" x14ac:dyDescent="0.25">
      <c r="A117" s="51">
        <f t="shared" si="2"/>
        <v>47</v>
      </c>
      <c r="B117" s="52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4"/>
    </row>
    <row r="118" spans="1:34" hidden="1" x14ac:dyDescent="0.25">
      <c r="A118" s="51">
        <f t="shared" si="2"/>
        <v>48</v>
      </c>
      <c r="B118" s="52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4"/>
    </row>
    <row r="119" spans="1:34" hidden="1" x14ac:dyDescent="0.25">
      <c r="A119" s="51">
        <f t="shared" si="2"/>
        <v>49</v>
      </c>
      <c r="B119" s="52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4"/>
    </row>
    <row r="120" spans="1:34" hidden="1" x14ac:dyDescent="0.25">
      <c r="A120" s="51">
        <f t="shared" si="2"/>
        <v>50</v>
      </c>
      <c r="B120" s="52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4"/>
    </row>
    <row r="121" spans="1:34" hidden="1" x14ac:dyDescent="0.25">
      <c r="A121" s="51">
        <f t="shared" si="2"/>
        <v>51</v>
      </c>
      <c r="B121" s="52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4"/>
    </row>
    <row r="122" spans="1:34" hidden="1" x14ac:dyDescent="0.25">
      <c r="A122" s="51">
        <f t="shared" si="2"/>
        <v>52</v>
      </c>
      <c r="B122" s="52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4"/>
    </row>
    <row r="123" spans="1:34" hidden="1" x14ac:dyDescent="0.25">
      <c r="A123" s="51">
        <f t="shared" si="2"/>
        <v>53</v>
      </c>
      <c r="B123" s="52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4"/>
    </row>
    <row r="124" spans="1:34" hidden="1" x14ac:dyDescent="0.25">
      <c r="A124" s="51">
        <f t="shared" si="2"/>
        <v>54</v>
      </c>
      <c r="B124" s="52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4"/>
    </row>
    <row r="125" spans="1:34" hidden="1" x14ac:dyDescent="0.25">
      <c r="A125" s="51">
        <f t="shared" si="2"/>
        <v>55</v>
      </c>
      <c r="B125" s="52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4"/>
    </row>
    <row r="126" spans="1:34" hidden="1" x14ac:dyDescent="0.25">
      <c r="A126" s="51">
        <f t="shared" si="2"/>
        <v>56</v>
      </c>
      <c r="B126" s="52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4"/>
    </row>
    <row r="127" spans="1:34" hidden="1" x14ac:dyDescent="0.25">
      <c r="A127" s="51">
        <f t="shared" si="2"/>
        <v>57</v>
      </c>
      <c r="B127" s="52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4"/>
    </row>
    <row r="128" spans="1:34" hidden="1" x14ac:dyDescent="0.25">
      <c r="A128" s="51">
        <f t="shared" si="2"/>
        <v>58</v>
      </c>
      <c r="B128" s="52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4"/>
    </row>
    <row r="129" spans="1:16384" hidden="1" x14ac:dyDescent="0.25">
      <c r="A129" s="51">
        <f t="shared" si="2"/>
        <v>59</v>
      </c>
      <c r="B129" s="52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4"/>
    </row>
    <row r="130" spans="1:16384" hidden="1" x14ac:dyDescent="0.25">
      <c r="A130" s="51">
        <f t="shared" si="2"/>
        <v>60</v>
      </c>
      <c r="B130" s="52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4"/>
    </row>
    <row r="131" spans="1:16384" hidden="1" x14ac:dyDescent="0.25">
      <c r="A131" s="51">
        <f t="shared" si="2"/>
        <v>61</v>
      </c>
      <c r="B131" s="52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4"/>
    </row>
    <row r="132" spans="1:16384" hidden="1" x14ac:dyDescent="0.25">
      <c r="A132" s="51">
        <f t="shared" si="2"/>
        <v>62</v>
      </c>
      <c r="B132" s="52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4"/>
    </row>
    <row r="133" spans="1:16384" hidden="1" x14ac:dyDescent="0.25">
      <c r="A133" s="51">
        <f t="shared" si="2"/>
        <v>63</v>
      </c>
      <c r="B133" s="52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4"/>
    </row>
    <row r="134" spans="1:16384" hidden="1" x14ac:dyDescent="0.25">
      <c r="A134" s="51">
        <f t="shared" si="2"/>
        <v>64</v>
      </c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4"/>
      <c r="AC134" s="64"/>
      <c r="AD134" s="64"/>
      <c r="AE134" s="64"/>
      <c r="AF134" s="64"/>
      <c r="AG134" s="64"/>
      <c r="AH134" s="64"/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/>
      <c r="AW134" s="64"/>
      <c r="AX134" s="64"/>
      <c r="AY134" s="64"/>
      <c r="AZ134" s="64"/>
      <c r="BA134" s="64"/>
      <c r="BB134" s="64"/>
      <c r="BC134" s="64"/>
      <c r="BD134" s="64"/>
      <c r="BE134" s="64"/>
      <c r="BF134" s="64"/>
      <c r="BG134" s="64"/>
      <c r="BH134" s="64"/>
      <c r="BI134" s="64"/>
      <c r="BJ134" s="64"/>
      <c r="BK134" s="64"/>
      <c r="BL134" s="64"/>
      <c r="BM134" s="64"/>
      <c r="BN134" s="64"/>
      <c r="BO134" s="64"/>
      <c r="BP134" s="64"/>
      <c r="BQ134" s="64"/>
      <c r="BR134" s="64"/>
      <c r="BS134" s="64"/>
      <c r="BT134" s="64"/>
      <c r="BU134" s="64"/>
      <c r="BV134" s="64"/>
      <c r="BW134" s="64"/>
      <c r="BX134" s="64"/>
      <c r="BY134" s="64"/>
      <c r="BZ134" s="64"/>
      <c r="CA134" s="64"/>
      <c r="CB134" s="64"/>
      <c r="CC134" s="64"/>
      <c r="CD134" s="64"/>
      <c r="CE134" s="64"/>
      <c r="CF134" s="64"/>
      <c r="CG134" s="64"/>
      <c r="CH134" s="64"/>
      <c r="CI134" s="64"/>
      <c r="CJ134" s="64"/>
      <c r="CK134" s="64"/>
      <c r="CL134" s="64"/>
      <c r="CM134" s="64"/>
      <c r="CN134" s="64"/>
      <c r="CO134" s="64"/>
      <c r="CP134" s="64"/>
      <c r="CQ134" s="64"/>
      <c r="CR134" s="64"/>
      <c r="CS134" s="64"/>
      <c r="CT134" s="64"/>
      <c r="CU134" s="64"/>
      <c r="CV134" s="64"/>
      <c r="CW134" s="64"/>
      <c r="CX134" s="64"/>
      <c r="CY134" s="64"/>
      <c r="CZ134" s="64"/>
      <c r="DA134" s="64"/>
      <c r="DB134" s="64"/>
      <c r="DC134" s="64"/>
      <c r="DD134" s="64"/>
      <c r="DE134" s="64"/>
      <c r="DF134" s="64"/>
      <c r="DG134" s="64"/>
      <c r="DH134" s="64"/>
      <c r="DI134" s="64"/>
      <c r="DJ134" s="64"/>
      <c r="DK134" s="64"/>
      <c r="DL134" s="64"/>
      <c r="DM134" s="64"/>
      <c r="DN134" s="64"/>
      <c r="DO134" s="64"/>
      <c r="DP134" s="64"/>
      <c r="DQ134" s="64"/>
      <c r="DR134" s="64"/>
      <c r="DS134" s="64"/>
      <c r="DT134" s="64"/>
      <c r="DU134" s="64"/>
      <c r="DV134" s="64"/>
      <c r="DW134" s="64"/>
      <c r="DX134" s="64"/>
      <c r="DY134" s="64"/>
      <c r="DZ134" s="64"/>
      <c r="EA134" s="64"/>
      <c r="EB134" s="64"/>
      <c r="EC134" s="64"/>
      <c r="ED134" s="64"/>
      <c r="EE134" s="64"/>
      <c r="EF134" s="64"/>
      <c r="EG134" s="64"/>
      <c r="EH134" s="64"/>
      <c r="EI134" s="64"/>
      <c r="EJ134" s="64"/>
      <c r="EK134" s="64"/>
      <c r="EL134" s="64"/>
      <c r="EM134" s="64"/>
      <c r="EN134" s="64"/>
      <c r="EO134" s="64"/>
      <c r="EP134" s="64"/>
      <c r="EQ134" s="64"/>
      <c r="ER134" s="64"/>
      <c r="ES134" s="64"/>
      <c r="ET134" s="64"/>
      <c r="EU134" s="64"/>
      <c r="EV134" s="64"/>
      <c r="EW134" s="64"/>
      <c r="EX134" s="64"/>
      <c r="EY134" s="64"/>
      <c r="EZ134" s="64"/>
      <c r="FA134" s="64"/>
      <c r="FB134" s="64"/>
      <c r="FC134" s="64"/>
      <c r="FD134" s="64"/>
      <c r="FE134" s="64"/>
      <c r="FF134" s="64"/>
      <c r="FG134" s="64"/>
      <c r="FH134" s="64"/>
      <c r="FI134" s="64"/>
      <c r="FJ134" s="64"/>
      <c r="FK134" s="64"/>
      <c r="FL134" s="64"/>
      <c r="FM134" s="64"/>
      <c r="FN134" s="64"/>
      <c r="FO134" s="64"/>
      <c r="FP134" s="64"/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/>
      <c r="IP134" s="64"/>
      <c r="IQ134" s="64"/>
      <c r="IR134" s="64"/>
      <c r="IS134" s="64"/>
      <c r="IT134" s="64"/>
      <c r="IU134" s="64"/>
      <c r="IV134" s="64"/>
      <c r="IW134" s="64"/>
      <c r="IX134" s="64"/>
      <c r="IY134" s="64"/>
      <c r="IZ134" s="64"/>
      <c r="JA134" s="64"/>
      <c r="JB134" s="64"/>
      <c r="JC134" s="64"/>
      <c r="JD134" s="64"/>
      <c r="JE134" s="64"/>
      <c r="JF134" s="64"/>
      <c r="JG134" s="64"/>
      <c r="JH134" s="64"/>
      <c r="JI134" s="64"/>
      <c r="JJ134" s="64"/>
      <c r="JK134" s="64"/>
      <c r="JL134" s="64"/>
      <c r="JM134" s="64"/>
      <c r="JN134" s="64"/>
      <c r="JO134" s="64"/>
      <c r="JP134" s="64"/>
      <c r="JQ134" s="64"/>
      <c r="JR134" s="64"/>
      <c r="JS134" s="64"/>
      <c r="JT134" s="64"/>
      <c r="JU134" s="64"/>
      <c r="JV134" s="64"/>
      <c r="JW134" s="64"/>
      <c r="JX134" s="64"/>
      <c r="JY134" s="64"/>
      <c r="JZ134" s="64"/>
      <c r="KA134" s="64"/>
      <c r="KB134" s="64"/>
      <c r="KC134" s="64"/>
      <c r="KD134" s="64"/>
      <c r="KE134" s="64"/>
      <c r="KF134" s="64"/>
      <c r="KG134" s="64"/>
      <c r="KH134" s="64"/>
      <c r="KI134" s="64"/>
      <c r="KJ134" s="64"/>
      <c r="KK134" s="64"/>
      <c r="KL134" s="64"/>
      <c r="KM134" s="64"/>
      <c r="KN134" s="64"/>
      <c r="KO134" s="64"/>
      <c r="KP134" s="64"/>
      <c r="KQ134" s="64"/>
      <c r="KR134" s="64"/>
      <c r="KS134" s="64"/>
      <c r="KT134" s="64"/>
      <c r="KU134" s="64"/>
      <c r="KV134" s="64"/>
      <c r="KW134" s="64"/>
      <c r="KX134" s="64"/>
      <c r="KY134" s="64"/>
      <c r="KZ134" s="64"/>
      <c r="LA134" s="64"/>
      <c r="LB134" s="64"/>
      <c r="LC134" s="64"/>
      <c r="LD134" s="64"/>
      <c r="LE134" s="64"/>
      <c r="LF134" s="64"/>
      <c r="LG134" s="64"/>
      <c r="LH134" s="64"/>
      <c r="LI134" s="64"/>
      <c r="LJ134" s="64"/>
      <c r="LK134" s="64"/>
      <c r="LL134" s="64"/>
      <c r="LM134" s="64"/>
      <c r="LN134" s="64"/>
      <c r="LO134" s="64"/>
      <c r="LP134" s="64"/>
      <c r="LQ134" s="64"/>
      <c r="LR134" s="64"/>
      <c r="LS134" s="64"/>
      <c r="LT134" s="64"/>
      <c r="LU134" s="64"/>
      <c r="LV134" s="64"/>
      <c r="LW134" s="64"/>
      <c r="LX134" s="64"/>
      <c r="LY134" s="64"/>
      <c r="LZ134" s="64"/>
      <c r="MA134" s="64"/>
      <c r="MB134" s="64"/>
      <c r="MC134" s="64"/>
      <c r="MD134" s="64"/>
      <c r="ME134" s="64"/>
      <c r="MF134" s="64"/>
      <c r="MG134" s="64"/>
      <c r="MH134" s="64"/>
      <c r="MI134" s="64"/>
      <c r="MJ134" s="64"/>
      <c r="MK134" s="64"/>
      <c r="ML134" s="64"/>
      <c r="MM134" s="64"/>
      <c r="MN134" s="64"/>
      <c r="MO134" s="64"/>
      <c r="MP134" s="64"/>
      <c r="MQ134" s="64"/>
      <c r="MR134" s="64"/>
      <c r="MS134" s="64"/>
      <c r="MT134" s="64"/>
      <c r="MU134" s="64"/>
      <c r="MV134" s="64"/>
      <c r="MW134" s="64"/>
      <c r="MX134" s="64"/>
      <c r="MY134" s="64"/>
      <c r="MZ134" s="64"/>
      <c r="NA134" s="64"/>
      <c r="NB134" s="64"/>
      <c r="NC134" s="64"/>
      <c r="ND134" s="64"/>
      <c r="NE134" s="64"/>
      <c r="NF134" s="64"/>
      <c r="NG134" s="64"/>
      <c r="NH134" s="64"/>
      <c r="NI134" s="64"/>
      <c r="NJ134" s="64"/>
      <c r="NK134" s="64"/>
      <c r="NL134" s="64"/>
      <c r="NM134" s="64"/>
      <c r="NN134" s="64"/>
      <c r="NO134" s="64"/>
      <c r="NP134" s="64"/>
      <c r="NQ134" s="64"/>
      <c r="NR134" s="64"/>
      <c r="NS134" s="64"/>
      <c r="NT134" s="64"/>
      <c r="NU134" s="64"/>
      <c r="NV134" s="64"/>
      <c r="NW134" s="64"/>
      <c r="NX134" s="64"/>
      <c r="NY134" s="64"/>
      <c r="NZ134" s="64"/>
      <c r="OA134" s="64"/>
      <c r="OB134" s="64"/>
      <c r="OC134" s="64"/>
      <c r="OD134" s="64"/>
      <c r="OE134" s="64"/>
      <c r="OF134" s="64"/>
      <c r="OG134" s="64"/>
      <c r="OH134" s="64"/>
      <c r="OI134" s="64"/>
      <c r="OJ134" s="64"/>
      <c r="OK134" s="64"/>
      <c r="OL134" s="64"/>
      <c r="OM134" s="64"/>
      <c r="ON134" s="64"/>
      <c r="OO134" s="64"/>
      <c r="OP134" s="64"/>
      <c r="OQ134" s="64"/>
      <c r="OR134" s="64"/>
      <c r="OS134" s="64"/>
      <c r="OT134" s="64"/>
      <c r="OU134" s="64"/>
      <c r="OV134" s="64"/>
      <c r="OW134" s="64"/>
      <c r="OX134" s="64"/>
      <c r="OY134" s="64"/>
      <c r="OZ134" s="64"/>
      <c r="PA134" s="64"/>
      <c r="PB134" s="64"/>
      <c r="PC134" s="64"/>
      <c r="PD134" s="64"/>
      <c r="PE134" s="64"/>
      <c r="PF134" s="64"/>
      <c r="PG134" s="64"/>
      <c r="PH134" s="64"/>
      <c r="PI134" s="64"/>
      <c r="PJ134" s="64"/>
      <c r="PK134" s="64"/>
      <c r="PL134" s="64"/>
      <c r="PM134" s="64"/>
      <c r="PN134" s="64"/>
      <c r="PO134" s="64"/>
      <c r="PP134" s="64"/>
      <c r="PQ134" s="64"/>
      <c r="PR134" s="64"/>
      <c r="PS134" s="64"/>
      <c r="PT134" s="64"/>
      <c r="PU134" s="64"/>
      <c r="PV134" s="64"/>
      <c r="PW134" s="64"/>
      <c r="PX134" s="64"/>
      <c r="PY134" s="64"/>
      <c r="PZ134" s="64"/>
      <c r="QA134" s="64"/>
      <c r="QB134" s="64"/>
      <c r="QC134" s="64"/>
      <c r="QD134" s="64"/>
      <c r="QE134" s="64"/>
      <c r="QF134" s="64"/>
      <c r="QG134" s="64"/>
      <c r="QH134" s="64"/>
      <c r="QI134" s="64"/>
      <c r="QJ134" s="64"/>
      <c r="QK134" s="64"/>
      <c r="QL134" s="64"/>
      <c r="QM134" s="64"/>
      <c r="QN134" s="64"/>
      <c r="QO134" s="64"/>
      <c r="QP134" s="64"/>
      <c r="QQ134" s="64"/>
      <c r="QR134" s="64"/>
      <c r="QS134" s="64"/>
      <c r="QT134" s="64"/>
      <c r="QU134" s="64"/>
      <c r="QV134" s="64"/>
      <c r="QW134" s="64"/>
      <c r="QX134" s="64"/>
      <c r="QY134" s="64"/>
      <c r="QZ134" s="64"/>
      <c r="RA134" s="64"/>
      <c r="RB134" s="64"/>
      <c r="RC134" s="64"/>
      <c r="RD134" s="64"/>
      <c r="RE134" s="64"/>
      <c r="RF134" s="64"/>
      <c r="RG134" s="64"/>
      <c r="RH134" s="64"/>
      <c r="RI134" s="64"/>
      <c r="RJ134" s="64"/>
      <c r="RK134" s="64"/>
      <c r="RL134" s="64"/>
      <c r="RM134" s="64"/>
      <c r="RN134" s="64"/>
      <c r="RO134" s="64"/>
      <c r="RP134" s="64"/>
      <c r="RQ134" s="64"/>
      <c r="RR134" s="64"/>
      <c r="RS134" s="64"/>
      <c r="RT134" s="64"/>
      <c r="RU134" s="64"/>
      <c r="RV134" s="64"/>
      <c r="RW134" s="64"/>
      <c r="RX134" s="64"/>
      <c r="RY134" s="64"/>
      <c r="RZ134" s="64"/>
      <c r="SA134" s="64"/>
      <c r="SB134" s="64"/>
      <c r="SC134" s="64"/>
      <c r="SD134" s="64"/>
      <c r="SE134" s="64"/>
      <c r="SF134" s="64"/>
      <c r="SG134" s="64"/>
      <c r="SH134" s="64"/>
      <c r="SI134" s="64"/>
      <c r="SJ134" s="64"/>
      <c r="SK134" s="64"/>
      <c r="SL134" s="64"/>
      <c r="SM134" s="64"/>
      <c r="SN134" s="64"/>
      <c r="SO134" s="64"/>
      <c r="SP134" s="64"/>
      <c r="SQ134" s="64"/>
      <c r="SR134" s="64"/>
      <c r="SS134" s="64"/>
      <c r="ST134" s="64"/>
      <c r="SU134" s="64"/>
      <c r="SV134" s="64"/>
      <c r="SW134" s="64"/>
      <c r="SX134" s="64"/>
      <c r="SY134" s="64"/>
      <c r="SZ134" s="64"/>
      <c r="TA134" s="64"/>
      <c r="TB134" s="64"/>
      <c r="TC134" s="64"/>
      <c r="TD134" s="64"/>
      <c r="TE134" s="64"/>
      <c r="TF134" s="64"/>
      <c r="TG134" s="64"/>
      <c r="TH134" s="64"/>
      <c r="TI134" s="64"/>
      <c r="TJ134" s="64"/>
      <c r="TK134" s="64"/>
      <c r="TL134" s="64"/>
      <c r="TM134" s="64"/>
      <c r="TN134" s="64"/>
      <c r="TO134" s="64"/>
      <c r="TP134" s="64"/>
      <c r="TQ134" s="64"/>
      <c r="TR134" s="64"/>
      <c r="TS134" s="64"/>
      <c r="TT134" s="64"/>
      <c r="TU134" s="64"/>
      <c r="TV134" s="64"/>
      <c r="TW134" s="64"/>
      <c r="TX134" s="64"/>
      <c r="TY134" s="64"/>
      <c r="TZ134" s="64"/>
      <c r="UA134" s="64"/>
      <c r="UB134" s="64"/>
      <c r="UC134" s="64"/>
      <c r="UD134" s="64"/>
      <c r="UE134" s="64"/>
      <c r="UF134" s="64"/>
      <c r="UG134" s="64"/>
      <c r="UH134" s="64"/>
      <c r="UI134" s="64"/>
      <c r="UJ134" s="64"/>
      <c r="UK134" s="64"/>
      <c r="UL134" s="64"/>
      <c r="UM134" s="64"/>
      <c r="UN134" s="64"/>
      <c r="UO134" s="64"/>
      <c r="UP134" s="64"/>
      <c r="UQ134" s="64"/>
      <c r="UR134" s="64"/>
      <c r="US134" s="64"/>
      <c r="UT134" s="64"/>
      <c r="UU134" s="64"/>
      <c r="UV134" s="64"/>
      <c r="UW134" s="64"/>
      <c r="UX134" s="64"/>
      <c r="UY134" s="64"/>
      <c r="UZ134" s="64"/>
      <c r="VA134" s="64"/>
      <c r="VB134" s="64"/>
      <c r="VC134" s="64"/>
      <c r="VD134" s="64"/>
      <c r="VE134" s="64"/>
      <c r="VF134" s="64"/>
      <c r="VG134" s="64"/>
      <c r="VH134" s="64"/>
      <c r="VI134" s="64"/>
      <c r="VJ134" s="64"/>
      <c r="VK134" s="64"/>
      <c r="VL134" s="64"/>
      <c r="VM134" s="64"/>
      <c r="VN134" s="64"/>
      <c r="VO134" s="64"/>
      <c r="VP134" s="64"/>
      <c r="VQ134" s="64"/>
      <c r="VR134" s="64"/>
      <c r="VS134" s="64"/>
      <c r="VT134" s="64"/>
      <c r="VU134" s="64"/>
      <c r="VV134" s="64"/>
      <c r="VW134" s="64"/>
      <c r="VX134" s="64"/>
      <c r="VY134" s="64"/>
      <c r="VZ134" s="64"/>
      <c r="WA134" s="64"/>
      <c r="WB134" s="64"/>
      <c r="WC134" s="64"/>
      <c r="WD134" s="64"/>
      <c r="WE134" s="64"/>
      <c r="WF134" s="64"/>
      <c r="WG134" s="64"/>
      <c r="WH134" s="64"/>
      <c r="WI134" s="64"/>
      <c r="WJ134" s="64"/>
      <c r="WK134" s="64"/>
      <c r="WL134" s="64"/>
      <c r="WM134" s="64"/>
      <c r="WN134" s="64"/>
      <c r="WO134" s="64"/>
      <c r="WP134" s="64"/>
      <c r="WQ134" s="64"/>
      <c r="WR134" s="64"/>
      <c r="WS134" s="64"/>
      <c r="WT134" s="64"/>
      <c r="WU134" s="64"/>
      <c r="WV134" s="64"/>
      <c r="WW134" s="64"/>
      <c r="WX134" s="64"/>
      <c r="WY134" s="64"/>
      <c r="WZ134" s="64"/>
      <c r="XA134" s="64"/>
      <c r="XB134" s="64"/>
      <c r="XC134" s="64"/>
      <c r="XD134" s="64"/>
      <c r="XE134" s="64"/>
      <c r="XF134" s="64"/>
      <c r="XG134" s="64"/>
      <c r="XH134" s="64"/>
      <c r="XI134" s="64"/>
      <c r="XJ134" s="64"/>
      <c r="XK134" s="64"/>
      <c r="XL134" s="64"/>
      <c r="XM134" s="64"/>
      <c r="XN134" s="64"/>
      <c r="XO134" s="64"/>
      <c r="XP134" s="64"/>
      <c r="XQ134" s="64"/>
      <c r="XR134" s="64"/>
      <c r="XS134" s="64"/>
      <c r="XT134" s="64"/>
      <c r="XU134" s="64"/>
      <c r="XV134" s="64"/>
      <c r="XW134" s="64"/>
      <c r="XX134" s="64"/>
      <c r="XY134" s="64"/>
      <c r="XZ134" s="64"/>
      <c r="YA134" s="64"/>
      <c r="YB134" s="64"/>
      <c r="YC134" s="64"/>
      <c r="YD134" s="64"/>
      <c r="YE134" s="64"/>
      <c r="YF134" s="64"/>
      <c r="YG134" s="64"/>
      <c r="YH134" s="64"/>
      <c r="YI134" s="64"/>
      <c r="YJ134" s="64"/>
      <c r="YK134" s="64"/>
      <c r="YL134" s="64"/>
      <c r="YM134" s="64"/>
      <c r="YN134" s="64"/>
      <c r="YO134" s="64"/>
      <c r="YP134" s="64"/>
      <c r="YQ134" s="64"/>
      <c r="YR134" s="64"/>
      <c r="YS134" s="64"/>
      <c r="YT134" s="64"/>
      <c r="YU134" s="64"/>
      <c r="YV134" s="64"/>
      <c r="YW134" s="64"/>
      <c r="YX134" s="64"/>
      <c r="YY134" s="64"/>
      <c r="YZ134" s="64"/>
      <c r="ZA134" s="64"/>
      <c r="ZB134" s="64"/>
      <c r="ZC134" s="64"/>
      <c r="ZD134" s="64"/>
      <c r="ZE134" s="64"/>
      <c r="ZF134" s="64"/>
      <c r="ZG134" s="64"/>
      <c r="ZH134" s="64"/>
      <c r="ZI134" s="64"/>
      <c r="ZJ134" s="64"/>
      <c r="ZK134" s="64"/>
      <c r="ZL134" s="64"/>
      <c r="ZM134" s="64"/>
      <c r="ZN134" s="64"/>
      <c r="ZO134" s="64"/>
      <c r="ZP134" s="64"/>
      <c r="ZQ134" s="64"/>
      <c r="ZR134" s="64"/>
      <c r="ZS134" s="64"/>
      <c r="ZT134" s="64"/>
      <c r="ZU134" s="64"/>
      <c r="ZV134" s="64"/>
      <c r="ZW134" s="64"/>
      <c r="ZX134" s="64"/>
      <c r="ZY134" s="64"/>
      <c r="ZZ134" s="64"/>
      <c r="AAA134" s="64"/>
      <c r="AAB134" s="64"/>
      <c r="AAC134" s="64"/>
      <c r="AAD134" s="64"/>
      <c r="AAE134" s="64"/>
      <c r="AAF134" s="64"/>
      <c r="AAG134" s="64"/>
      <c r="AAH134" s="64"/>
      <c r="AAI134" s="64"/>
      <c r="AAJ134" s="64"/>
      <c r="AAK134" s="64"/>
      <c r="AAL134" s="64"/>
      <c r="AAM134" s="64"/>
      <c r="AAN134" s="64"/>
      <c r="AAO134" s="64"/>
      <c r="AAP134" s="64"/>
      <c r="AAQ134" s="64"/>
      <c r="AAR134" s="64"/>
      <c r="AAS134" s="64"/>
      <c r="AAT134" s="64"/>
      <c r="AAU134" s="64"/>
      <c r="AAV134" s="64"/>
      <c r="AAW134" s="64"/>
      <c r="AAX134" s="64"/>
      <c r="AAY134" s="64"/>
      <c r="AAZ134" s="64"/>
      <c r="ABA134" s="64"/>
      <c r="ABB134" s="64"/>
      <c r="ABC134" s="64"/>
      <c r="ABD134" s="64"/>
      <c r="ABE134" s="64"/>
      <c r="ABF134" s="64"/>
      <c r="ABG134" s="64"/>
      <c r="ABH134" s="64"/>
      <c r="ABI134" s="64"/>
      <c r="ABJ134" s="64"/>
      <c r="ABK134" s="64"/>
      <c r="ABL134" s="64"/>
      <c r="ABM134" s="64"/>
      <c r="ABN134" s="64"/>
      <c r="ABO134" s="64"/>
      <c r="ABP134" s="64"/>
      <c r="ABQ134" s="64"/>
      <c r="ABR134" s="64"/>
      <c r="ABS134" s="64"/>
      <c r="ABT134" s="64"/>
      <c r="ABU134" s="64"/>
      <c r="ABV134" s="64"/>
      <c r="ABW134" s="64"/>
      <c r="ABX134" s="64"/>
      <c r="ABY134" s="64"/>
      <c r="ABZ134" s="64"/>
      <c r="ACA134" s="64"/>
      <c r="ACB134" s="64"/>
      <c r="ACC134" s="64"/>
      <c r="ACD134" s="64"/>
      <c r="ACE134" s="64"/>
      <c r="ACF134" s="64"/>
      <c r="ACG134" s="64"/>
      <c r="ACH134" s="64"/>
      <c r="ACI134" s="64"/>
      <c r="ACJ134" s="64"/>
      <c r="ACK134" s="64"/>
      <c r="ACL134" s="64"/>
      <c r="ACM134" s="64"/>
      <c r="ACN134" s="64"/>
      <c r="ACO134" s="64"/>
      <c r="ACP134" s="64"/>
      <c r="ACQ134" s="64"/>
      <c r="ACR134" s="64"/>
      <c r="ACS134" s="64"/>
      <c r="ACT134" s="64"/>
      <c r="ACU134" s="64"/>
      <c r="ACV134" s="64"/>
      <c r="ACW134" s="64"/>
      <c r="ACX134" s="64"/>
      <c r="ACY134" s="64"/>
      <c r="ACZ134" s="64"/>
      <c r="ADA134" s="64"/>
      <c r="ADB134" s="64"/>
      <c r="ADC134" s="64"/>
      <c r="ADD134" s="64"/>
      <c r="ADE134" s="64"/>
      <c r="ADF134" s="64"/>
      <c r="ADG134" s="64"/>
      <c r="ADH134" s="64"/>
      <c r="ADI134" s="64"/>
      <c r="ADJ134" s="64"/>
      <c r="ADK134" s="64"/>
      <c r="ADL134" s="64"/>
      <c r="ADM134" s="64"/>
      <c r="ADN134" s="64"/>
      <c r="ADO134" s="64"/>
      <c r="ADP134" s="64"/>
      <c r="ADQ134" s="64"/>
      <c r="ADR134" s="64"/>
      <c r="ADS134" s="64"/>
      <c r="ADT134" s="64"/>
      <c r="ADU134" s="64"/>
      <c r="ADV134" s="64"/>
      <c r="ADW134" s="64"/>
      <c r="ADX134" s="64"/>
      <c r="ADY134" s="64"/>
      <c r="ADZ134" s="64"/>
      <c r="AEA134" s="64"/>
      <c r="AEB134" s="64"/>
      <c r="AEC134" s="64"/>
      <c r="AED134" s="64"/>
      <c r="AEE134" s="64"/>
      <c r="AEF134" s="64"/>
      <c r="AEG134" s="64"/>
      <c r="AEH134" s="64"/>
      <c r="AEI134" s="64"/>
      <c r="AEJ134" s="64"/>
      <c r="AEK134" s="64"/>
      <c r="AEL134" s="64"/>
      <c r="AEM134" s="64"/>
      <c r="AEN134" s="64"/>
      <c r="AEO134" s="64"/>
      <c r="AEP134" s="64"/>
      <c r="AEQ134" s="64"/>
      <c r="AER134" s="64"/>
      <c r="AES134" s="64"/>
      <c r="AET134" s="64"/>
      <c r="AEU134" s="64"/>
      <c r="AEV134" s="64"/>
      <c r="AEW134" s="64"/>
      <c r="AEX134" s="64"/>
      <c r="AEY134" s="64"/>
      <c r="AEZ134" s="64"/>
      <c r="AFA134" s="64"/>
      <c r="AFB134" s="64"/>
      <c r="AFC134" s="64"/>
      <c r="AFD134" s="64"/>
      <c r="AFE134" s="64"/>
      <c r="AFF134" s="64"/>
      <c r="AFG134" s="64"/>
      <c r="AFH134" s="64"/>
      <c r="AFI134" s="64"/>
      <c r="AFJ134" s="64"/>
      <c r="AFK134" s="64"/>
      <c r="AFL134" s="64"/>
      <c r="AFM134" s="64"/>
      <c r="AFN134" s="64"/>
      <c r="AFO134" s="64"/>
      <c r="AFP134" s="64"/>
      <c r="AFQ134" s="64"/>
      <c r="AFR134" s="64"/>
      <c r="AFS134" s="64"/>
      <c r="AFT134" s="64"/>
      <c r="AFU134" s="64"/>
      <c r="AFV134" s="64"/>
      <c r="AFW134" s="64"/>
      <c r="AFX134" s="64"/>
      <c r="AFY134" s="64"/>
      <c r="AFZ134" s="64"/>
      <c r="AGA134" s="64"/>
      <c r="AGB134" s="64"/>
      <c r="AGC134" s="64"/>
      <c r="AGD134" s="64"/>
      <c r="AGE134" s="64"/>
      <c r="AGF134" s="64"/>
      <c r="AGG134" s="64"/>
      <c r="AGH134" s="64"/>
      <c r="AGI134" s="64"/>
      <c r="AGJ134" s="64"/>
      <c r="AGK134" s="64"/>
      <c r="AGL134" s="64"/>
      <c r="AGM134" s="64"/>
      <c r="AGN134" s="64"/>
      <c r="AGO134" s="64"/>
      <c r="AGP134" s="64"/>
      <c r="AGQ134" s="64"/>
      <c r="AGR134" s="64"/>
      <c r="AGS134" s="64"/>
      <c r="AGT134" s="64"/>
      <c r="AGU134" s="64"/>
      <c r="AGV134" s="64"/>
      <c r="AGW134" s="64"/>
      <c r="AGX134" s="64"/>
      <c r="AGY134" s="64"/>
      <c r="AGZ134" s="64"/>
      <c r="AHA134" s="64"/>
      <c r="AHB134" s="64"/>
      <c r="AHC134" s="64"/>
      <c r="AHD134" s="64"/>
      <c r="AHE134" s="64"/>
      <c r="AHF134" s="64"/>
      <c r="AHG134" s="64"/>
      <c r="AHH134" s="64"/>
      <c r="AHI134" s="64"/>
      <c r="AHJ134" s="64"/>
      <c r="AHK134" s="64"/>
      <c r="AHL134" s="64"/>
      <c r="AHM134" s="64"/>
      <c r="AHN134" s="64"/>
      <c r="AHO134" s="64"/>
      <c r="AHP134" s="64"/>
      <c r="AHQ134" s="64"/>
      <c r="AHR134" s="64"/>
      <c r="AHS134" s="64"/>
      <c r="AHT134" s="64"/>
      <c r="AHU134" s="64"/>
      <c r="AHV134" s="64"/>
      <c r="AHW134" s="64"/>
      <c r="AHX134" s="64"/>
      <c r="AHY134" s="64"/>
      <c r="AHZ134" s="64"/>
      <c r="AIA134" s="64"/>
      <c r="AIB134" s="64"/>
      <c r="AIC134" s="64"/>
      <c r="AID134" s="64"/>
      <c r="AIE134" s="64"/>
      <c r="AIF134" s="64"/>
      <c r="AIG134" s="64"/>
      <c r="AIH134" s="64"/>
      <c r="AII134" s="64"/>
      <c r="AIJ134" s="64"/>
      <c r="AIK134" s="64"/>
      <c r="AIL134" s="64"/>
      <c r="AIM134" s="64"/>
      <c r="AIN134" s="64"/>
      <c r="AIO134" s="64"/>
      <c r="AIP134" s="64"/>
      <c r="AIQ134" s="64"/>
      <c r="AIR134" s="64"/>
      <c r="AIS134" s="64"/>
      <c r="AIT134" s="64"/>
      <c r="AIU134" s="64"/>
      <c r="AIV134" s="64"/>
      <c r="AIW134" s="64"/>
      <c r="AIX134" s="64"/>
      <c r="AIY134" s="64"/>
      <c r="AIZ134" s="64"/>
      <c r="AJA134" s="64"/>
      <c r="AJB134" s="64"/>
      <c r="AJC134" s="64"/>
      <c r="AJD134" s="64"/>
      <c r="AJE134" s="64"/>
      <c r="AJF134" s="64"/>
      <c r="AJG134" s="64"/>
      <c r="AJH134" s="64"/>
      <c r="AJI134" s="64"/>
      <c r="AJJ134" s="64"/>
      <c r="AJK134" s="64"/>
      <c r="AJL134" s="64"/>
      <c r="AJM134" s="64"/>
      <c r="AJN134" s="64"/>
      <c r="AJO134" s="64"/>
      <c r="AJP134" s="64"/>
      <c r="AJQ134" s="64"/>
      <c r="AJR134" s="64"/>
      <c r="AJS134" s="64"/>
      <c r="AJT134" s="64"/>
      <c r="AJU134" s="64"/>
      <c r="AJV134" s="64"/>
      <c r="AJW134" s="64"/>
      <c r="AJX134" s="64"/>
      <c r="AJY134" s="64"/>
      <c r="AJZ134" s="64"/>
      <c r="AKA134" s="64"/>
      <c r="AKB134" s="64"/>
      <c r="AKC134" s="64"/>
      <c r="AKD134" s="64"/>
      <c r="AKE134" s="64"/>
      <c r="AKF134" s="64"/>
      <c r="AKG134" s="64"/>
      <c r="AKH134" s="64"/>
      <c r="AKI134" s="64"/>
      <c r="AKJ134" s="64"/>
      <c r="AKK134" s="64"/>
      <c r="AKL134" s="64"/>
      <c r="AKM134" s="64"/>
      <c r="AKN134" s="64"/>
      <c r="AKO134" s="64"/>
      <c r="AKP134" s="64"/>
      <c r="AKQ134" s="64"/>
      <c r="AKR134" s="64"/>
      <c r="AKS134" s="64"/>
      <c r="AKT134" s="64"/>
      <c r="AKU134" s="64"/>
      <c r="AKV134" s="64"/>
      <c r="AKW134" s="64"/>
      <c r="AKX134" s="64"/>
      <c r="AKY134" s="64"/>
      <c r="AKZ134" s="64"/>
      <c r="ALA134" s="64"/>
      <c r="ALB134" s="64"/>
      <c r="ALC134" s="64"/>
      <c r="ALD134" s="64"/>
      <c r="ALE134" s="64"/>
      <c r="ALF134" s="64"/>
      <c r="ALG134" s="64"/>
      <c r="ALH134" s="64"/>
      <c r="ALI134" s="64"/>
      <c r="ALJ134" s="64"/>
      <c r="ALK134" s="64"/>
      <c r="ALL134" s="64"/>
      <c r="ALM134" s="64"/>
      <c r="ALN134" s="64"/>
      <c r="ALO134" s="64"/>
      <c r="ALP134" s="64"/>
      <c r="ALQ134" s="64"/>
      <c r="ALR134" s="64"/>
      <c r="ALS134" s="64"/>
      <c r="ALT134" s="64"/>
      <c r="ALU134" s="64"/>
      <c r="ALV134" s="64"/>
      <c r="ALW134" s="64"/>
      <c r="ALX134" s="64"/>
      <c r="ALY134" s="64"/>
      <c r="ALZ134" s="64"/>
      <c r="AMA134" s="64"/>
      <c r="AMB134" s="64"/>
      <c r="AMC134" s="64"/>
      <c r="AMD134" s="64"/>
      <c r="AME134" s="64"/>
      <c r="AMF134" s="64"/>
      <c r="AMG134" s="64"/>
      <c r="AMH134" s="64"/>
      <c r="AMI134" s="64"/>
      <c r="AMJ134" s="64"/>
      <c r="AMK134" s="64"/>
      <c r="AML134" s="64"/>
      <c r="AMM134" s="64"/>
      <c r="AMN134" s="64"/>
      <c r="AMO134" s="64"/>
      <c r="AMP134" s="64"/>
      <c r="AMQ134" s="64"/>
      <c r="AMR134" s="64"/>
      <c r="AMS134" s="64"/>
      <c r="AMT134" s="64"/>
      <c r="AMU134" s="64"/>
      <c r="AMV134" s="64"/>
      <c r="AMW134" s="64"/>
      <c r="AMX134" s="64"/>
      <c r="AMY134" s="64"/>
      <c r="AMZ134" s="64"/>
      <c r="ANA134" s="64"/>
      <c r="ANB134" s="64"/>
      <c r="ANC134" s="64"/>
      <c r="AND134" s="64"/>
      <c r="ANE134" s="64"/>
      <c r="ANF134" s="64"/>
      <c r="ANG134" s="64"/>
      <c r="ANH134" s="64"/>
      <c r="ANI134" s="64"/>
      <c r="ANJ134" s="64"/>
      <c r="ANK134" s="64"/>
      <c r="ANL134" s="64"/>
      <c r="ANM134" s="64"/>
      <c r="ANN134" s="64"/>
      <c r="ANO134" s="64"/>
      <c r="ANP134" s="64"/>
      <c r="ANQ134" s="64"/>
      <c r="ANR134" s="64"/>
      <c r="ANS134" s="64"/>
      <c r="ANT134" s="64"/>
      <c r="ANU134" s="64"/>
      <c r="ANV134" s="64"/>
      <c r="ANW134" s="64"/>
      <c r="ANX134" s="64"/>
      <c r="ANY134" s="64"/>
      <c r="ANZ134" s="64"/>
      <c r="AOA134" s="64"/>
      <c r="AOB134" s="64"/>
      <c r="AOC134" s="64"/>
      <c r="AOD134" s="64"/>
      <c r="AOE134" s="64"/>
      <c r="AOF134" s="64"/>
      <c r="AOG134" s="64"/>
      <c r="AOH134" s="64"/>
      <c r="AOI134" s="64"/>
      <c r="AOJ134" s="64"/>
      <c r="AOK134" s="64"/>
      <c r="AOL134" s="64"/>
      <c r="AOM134" s="64"/>
      <c r="AON134" s="64"/>
      <c r="AOO134" s="64"/>
      <c r="AOP134" s="64"/>
      <c r="AOQ134" s="64"/>
      <c r="AOR134" s="64"/>
      <c r="AOS134" s="64"/>
      <c r="AOT134" s="64"/>
      <c r="AOU134" s="64"/>
      <c r="AOV134" s="64"/>
      <c r="AOW134" s="64"/>
      <c r="AOX134" s="64"/>
      <c r="AOY134" s="64"/>
      <c r="AOZ134" s="64"/>
      <c r="APA134" s="64"/>
      <c r="APB134" s="64"/>
      <c r="APC134" s="64"/>
      <c r="APD134" s="64"/>
      <c r="APE134" s="64"/>
      <c r="APF134" s="64"/>
      <c r="APG134" s="64"/>
      <c r="APH134" s="64"/>
      <c r="API134" s="64"/>
      <c r="APJ134" s="64"/>
      <c r="APK134" s="64"/>
      <c r="APL134" s="64"/>
      <c r="APM134" s="64"/>
      <c r="APN134" s="64"/>
      <c r="APO134" s="64"/>
      <c r="APP134" s="64"/>
      <c r="APQ134" s="64"/>
      <c r="APR134" s="64"/>
      <c r="APS134" s="64"/>
      <c r="APT134" s="64"/>
      <c r="APU134" s="64"/>
      <c r="APV134" s="64"/>
      <c r="APW134" s="64"/>
      <c r="APX134" s="64"/>
      <c r="APY134" s="64"/>
      <c r="APZ134" s="64"/>
      <c r="AQA134" s="64"/>
      <c r="AQB134" s="64"/>
      <c r="AQC134" s="64"/>
      <c r="AQD134" s="64"/>
      <c r="AQE134" s="64"/>
      <c r="AQF134" s="64"/>
      <c r="AQG134" s="64"/>
      <c r="AQH134" s="64"/>
      <c r="AQI134" s="64"/>
      <c r="AQJ134" s="64"/>
      <c r="AQK134" s="64"/>
      <c r="AQL134" s="64"/>
      <c r="AQM134" s="64"/>
      <c r="AQN134" s="64"/>
      <c r="AQO134" s="64"/>
      <c r="AQP134" s="64"/>
      <c r="AQQ134" s="64"/>
      <c r="AQR134" s="64"/>
      <c r="AQS134" s="64"/>
      <c r="AQT134" s="64"/>
      <c r="AQU134" s="64"/>
      <c r="AQV134" s="64"/>
      <c r="AQW134" s="64"/>
      <c r="AQX134" s="64"/>
      <c r="AQY134" s="64"/>
      <c r="AQZ134" s="64"/>
      <c r="ARA134" s="64"/>
      <c r="ARB134" s="64"/>
      <c r="ARC134" s="64"/>
      <c r="ARD134" s="64"/>
      <c r="ARE134" s="64"/>
      <c r="ARF134" s="64"/>
      <c r="ARG134" s="64"/>
      <c r="ARH134" s="64"/>
      <c r="ARI134" s="64"/>
      <c r="ARJ134" s="64"/>
      <c r="ARK134" s="64"/>
      <c r="ARL134" s="64"/>
      <c r="ARM134" s="64"/>
      <c r="ARN134" s="64"/>
      <c r="ARO134" s="64"/>
      <c r="ARP134" s="64"/>
      <c r="ARQ134" s="64"/>
      <c r="ARR134" s="64"/>
      <c r="ARS134" s="64"/>
      <c r="ART134" s="64"/>
      <c r="ARU134" s="64"/>
      <c r="ARV134" s="64"/>
      <c r="ARW134" s="64"/>
      <c r="ARX134" s="64"/>
      <c r="ARY134" s="64"/>
      <c r="ARZ134" s="64"/>
      <c r="ASA134" s="64"/>
      <c r="ASB134" s="64"/>
      <c r="ASC134" s="64"/>
      <c r="ASD134" s="64"/>
      <c r="ASE134" s="64"/>
      <c r="ASF134" s="64"/>
      <c r="ASG134" s="64"/>
      <c r="ASH134" s="64"/>
      <c r="ASI134" s="64"/>
      <c r="ASJ134" s="64"/>
      <c r="ASK134" s="64"/>
      <c r="ASL134" s="64"/>
      <c r="ASM134" s="64"/>
      <c r="ASN134" s="64"/>
      <c r="ASO134" s="64"/>
      <c r="ASP134" s="64"/>
      <c r="ASQ134" s="64"/>
      <c r="ASR134" s="64"/>
      <c r="ASS134" s="64"/>
      <c r="AST134" s="64"/>
      <c r="ASU134" s="64"/>
      <c r="ASV134" s="64"/>
      <c r="ASW134" s="64"/>
      <c r="ASX134" s="64"/>
      <c r="ASY134" s="64"/>
      <c r="ASZ134" s="64"/>
      <c r="ATA134" s="64"/>
      <c r="ATB134" s="64"/>
      <c r="ATC134" s="64"/>
      <c r="ATD134" s="64"/>
      <c r="ATE134" s="64"/>
      <c r="ATF134" s="64"/>
      <c r="ATG134" s="64"/>
      <c r="ATH134" s="64"/>
      <c r="ATI134" s="64"/>
      <c r="ATJ134" s="64"/>
      <c r="ATK134" s="64"/>
      <c r="ATL134" s="64"/>
      <c r="ATM134" s="64"/>
      <c r="ATN134" s="64"/>
      <c r="ATO134" s="64"/>
      <c r="ATP134" s="64"/>
      <c r="ATQ134" s="64"/>
      <c r="ATR134" s="64"/>
      <c r="ATS134" s="64"/>
      <c r="ATT134" s="64"/>
      <c r="ATU134" s="64"/>
      <c r="ATV134" s="64"/>
      <c r="ATW134" s="64"/>
      <c r="ATX134" s="64"/>
      <c r="ATY134" s="64"/>
      <c r="ATZ134" s="64"/>
      <c r="AUA134" s="64"/>
      <c r="AUB134" s="64"/>
      <c r="AUC134" s="64"/>
      <c r="AUD134" s="64"/>
      <c r="AUE134" s="64"/>
      <c r="AUF134" s="64"/>
      <c r="AUG134" s="64"/>
      <c r="AUH134" s="64"/>
      <c r="AUI134" s="64"/>
      <c r="AUJ134" s="64"/>
      <c r="AUK134" s="64"/>
      <c r="AUL134" s="64"/>
      <c r="AUM134" s="64"/>
      <c r="AUN134" s="64"/>
      <c r="AUO134" s="64"/>
      <c r="AUP134" s="64"/>
      <c r="AUQ134" s="64"/>
      <c r="AUR134" s="64"/>
      <c r="AUS134" s="64"/>
      <c r="AUT134" s="64"/>
      <c r="AUU134" s="64"/>
      <c r="AUV134" s="64"/>
      <c r="AUW134" s="64"/>
      <c r="AUX134" s="64"/>
      <c r="AUY134" s="64"/>
      <c r="AUZ134" s="64"/>
      <c r="AVA134" s="64"/>
      <c r="AVB134" s="64"/>
      <c r="AVC134" s="64"/>
      <c r="AVD134" s="64"/>
      <c r="AVE134" s="64"/>
      <c r="AVF134" s="64"/>
      <c r="AVG134" s="64"/>
      <c r="AVH134" s="64"/>
      <c r="AVI134" s="64"/>
      <c r="AVJ134" s="64"/>
      <c r="AVK134" s="64"/>
      <c r="AVL134" s="64"/>
      <c r="AVM134" s="64"/>
      <c r="AVN134" s="64"/>
      <c r="AVO134" s="64"/>
      <c r="AVP134" s="64"/>
      <c r="AVQ134" s="64"/>
      <c r="AVR134" s="64"/>
      <c r="AVS134" s="64"/>
      <c r="AVT134" s="64"/>
      <c r="AVU134" s="64"/>
      <c r="AVV134" s="64"/>
      <c r="AVW134" s="64"/>
      <c r="AVX134" s="64"/>
      <c r="AVY134" s="64"/>
      <c r="AVZ134" s="64"/>
      <c r="AWA134" s="64"/>
      <c r="AWB134" s="64"/>
      <c r="AWC134" s="64"/>
      <c r="AWD134" s="64"/>
      <c r="AWE134" s="64"/>
      <c r="AWF134" s="64"/>
      <c r="AWG134" s="64"/>
      <c r="AWH134" s="64"/>
      <c r="AWI134" s="64"/>
      <c r="AWJ134" s="64"/>
      <c r="AWK134" s="64"/>
      <c r="AWL134" s="64"/>
      <c r="AWM134" s="64"/>
      <c r="AWN134" s="64"/>
      <c r="AWO134" s="64"/>
      <c r="AWP134" s="64"/>
      <c r="AWQ134" s="64"/>
      <c r="AWR134" s="64"/>
      <c r="AWS134" s="64"/>
      <c r="AWT134" s="64"/>
      <c r="AWU134" s="64"/>
      <c r="AWV134" s="64"/>
      <c r="AWW134" s="64"/>
      <c r="AWX134" s="64"/>
      <c r="AWY134" s="64"/>
      <c r="AWZ134" s="64"/>
      <c r="AXA134" s="64"/>
      <c r="AXB134" s="64"/>
      <c r="AXC134" s="64"/>
      <c r="AXD134" s="64"/>
      <c r="AXE134" s="64"/>
      <c r="AXF134" s="64"/>
      <c r="AXG134" s="64"/>
      <c r="AXH134" s="64"/>
      <c r="AXI134" s="64"/>
      <c r="AXJ134" s="64"/>
      <c r="AXK134" s="64"/>
      <c r="AXL134" s="64"/>
      <c r="AXM134" s="64"/>
      <c r="AXN134" s="64"/>
      <c r="AXO134" s="64"/>
      <c r="AXP134" s="64"/>
      <c r="AXQ134" s="64"/>
      <c r="AXR134" s="64"/>
      <c r="AXS134" s="64"/>
      <c r="AXT134" s="64"/>
      <c r="AXU134" s="64"/>
      <c r="AXV134" s="64"/>
      <c r="AXW134" s="64"/>
      <c r="AXX134" s="64"/>
      <c r="AXY134" s="64"/>
      <c r="AXZ134" s="64"/>
      <c r="AYA134" s="64"/>
      <c r="AYB134" s="64"/>
      <c r="AYC134" s="64"/>
      <c r="AYD134" s="64"/>
      <c r="AYE134" s="64"/>
      <c r="AYF134" s="64"/>
      <c r="AYG134" s="64"/>
      <c r="AYH134" s="64"/>
      <c r="AYI134" s="64"/>
      <c r="AYJ134" s="64"/>
      <c r="AYK134" s="64"/>
      <c r="AYL134" s="64"/>
      <c r="AYM134" s="64"/>
      <c r="AYN134" s="64"/>
      <c r="AYO134" s="64"/>
      <c r="AYP134" s="64"/>
      <c r="AYQ134" s="64"/>
      <c r="AYR134" s="64"/>
      <c r="AYS134" s="64"/>
      <c r="AYT134" s="64"/>
      <c r="AYU134" s="64"/>
      <c r="AYV134" s="64"/>
      <c r="AYW134" s="64"/>
      <c r="AYX134" s="64"/>
      <c r="AYY134" s="64"/>
      <c r="AYZ134" s="64"/>
      <c r="AZA134" s="64"/>
      <c r="AZB134" s="64"/>
      <c r="AZC134" s="64"/>
      <c r="AZD134" s="64"/>
      <c r="AZE134" s="64"/>
      <c r="AZF134" s="64"/>
      <c r="AZG134" s="64"/>
      <c r="AZH134" s="64"/>
      <c r="AZI134" s="64"/>
      <c r="AZJ134" s="64"/>
      <c r="AZK134" s="64"/>
      <c r="AZL134" s="64"/>
      <c r="AZM134" s="64"/>
      <c r="AZN134" s="64"/>
      <c r="AZO134" s="64"/>
      <c r="AZP134" s="64"/>
      <c r="AZQ134" s="64"/>
      <c r="AZR134" s="64"/>
      <c r="AZS134" s="64"/>
      <c r="AZT134" s="64"/>
      <c r="AZU134" s="64"/>
      <c r="AZV134" s="64"/>
      <c r="AZW134" s="64"/>
      <c r="AZX134" s="64"/>
      <c r="AZY134" s="64"/>
      <c r="AZZ134" s="64"/>
      <c r="BAA134" s="64"/>
      <c r="BAB134" s="64"/>
      <c r="BAC134" s="64"/>
      <c r="BAD134" s="64"/>
      <c r="BAE134" s="64"/>
      <c r="BAF134" s="64"/>
      <c r="BAG134" s="64"/>
      <c r="BAH134" s="64"/>
      <c r="BAI134" s="64"/>
      <c r="BAJ134" s="64"/>
      <c r="BAK134" s="64"/>
      <c r="BAL134" s="64"/>
      <c r="BAM134" s="64"/>
      <c r="BAN134" s="64"/>
      <c r="BAO134" s="64"/>
      <c r="BAP134" s="64"/>
      <c r="BAQ134" s="64"/>
      <c r="BAR134" s="64"/>
      <c r="BAS134" s="64"/>
      <c r="BAT134" s="64"/>
      <c r="BAU134" s="64"/>
      <c r="BAV134" s="64"/>
      <c r="BAW134" s="64"/>
      <c r="BAX134" s="64"/>
      <c r="BAY134" s="64"/>
      <c r="BAZ134" s="64"/>
      <c r="BBA134" s="64"/>
      <c r="BBB134" s="64"/>
      <c r="BBC134" s="64"/>
      <c r="BBD134" s="64"/>
      <c r="BBE134" s="64"/>
      <c r="BBF134" s="64"/>
      <c r="BBG134" s="64"/>
      <c r="BBH134" s="64"/>
      <c r="BBI134" s="64"/>
      <c r="BBJ134" s="64"/>
      <c r="BBK134" s="64"/>
      <c r="BBL134" s="64"/>
      <c r="BBM134" s="64"/>
      <c r="BBN134" s="64"/>
      <c r="BBO134" s="64"/>
      <c r="BBP134" s="64"/>
      <c r="BBQ134" s="64"/>
      <c r="BBR134" s="64"/>
      <c r="BBS134" s="64"/>
      <c r="BBT134" s="64"/>
      <c r="BBU134" s="64"/>
      <c r="BBV134" s="64"/>
      <c r="BBW134" s="64"/>
      <c r="BBX134" s="64"/>
      <c r="BBY134" s="64"/>
      <c r="BBZ134" s="64"/>
      <c r="BCA134" s="64"/>
      <c r="BCB134" s="64"/>
      <c r="BCC134" s="64"/>
      <c r="BCD134" s="64"/>
      <c r="BCE134" s="64"/>
      <c r="BCF134" s="64"/>
      <c r="BCG134" s="64"/>
      <c r="BCH134" s="64"/>
      <c r="BCI134" s="64"/>
      <c r="BCJ134" s="64"/>
      <c r="BCK134" s="64"/>
      <c r="BCL134" s="64"/>
      <c r="BCM134" s="64"/>
      <c r="BCN134" s="64"/>
      <c r="BCO134" s="64"/>
      <c r="BCP134" s="64"/>
      <c r="BCQ134" s="64"/>
      <c r="BCR134" s="64"/>
      <c r="BCS134" s="64"/>
      <c r="BCT134" s="64"/>
      <c r="BCU134" s="64"/>
      <c r="BCV134" s="64"/>
      <c r="BCW134" s="64"/>
      <c r="BCX134" s="64"/>
      <c r="BCY134" s="64"/>
      <c r="BCZ134" s="64"/>
      <c r="BDA134" s="64"/>
      <c r="BDB134" s="64"/>
      <c r="BDC134" s="64"/>
      <c r="BDD134" s="64"/>
      <c r="BDE134" s="64"/>
      <c r="BDF134" s="64"/>
      <c r="BDG134" s="64"/>
      <c r="BDH134" s="64"/>
      <c r="BDI134" s="64"/>
      <c r="BDJ134" s="64"/>
      <c r="BDK134" s="64"/>
      <c r="BDL134" s="64"/>
      <c r="BDM134" s="64"/>
      <c r="BDN134" s="64"/>
      <c r="BDO134" s="64"/>
      <c r="BDP134" s="64"/>
      <c r="BDQ134" s="64"/>
      <c r="BDR134" s="64"/>
      <c r="BDS134" s="64"/>
      <c r="BDT134" s="64"/>
      <c r="BDU134" s="64"/>
      <c r="BDV134" s="64"/>
      <c r="BDW134" s="64"/>
      <c r="BDX134" s="64"/>
      <c r="BDY134" s="64"/>
      <c r="BDZ134" s="64"/>
      <c r="BEA134" s="64"/>
      <c r="BEB134" s="64"/>
      <c r="BEC134" s="64"/>
      <c r="BED134" s="64"/>
      <c r="BEE134" s="64"/>
      <c r="BEF134" s="64"/>
      <c r="BEG134" s="64"/>
      <c r="BEH134" s="64"/>
      <c r="BEI134" s="64"/>
      <c r="BEJ134" s="64"/>
      <c r="BEK134" s="64"/>
      <c r="BEL134" s="64"/>
      <c r="BEM134" s="64"/>
      <c r="BEN134" s="64"/>
      <c r="BEO134" s="64"/>
      <c r="BEP134" s="64"/>
      <c r="BEQ134" s="64"/>
      <c r="BER134" s="64"/>
      <c r="BES134" s="64"/>
      <c r="BET134" s="64"/>
      <c r="BEU134" s="64"/>
      <c r="BEV134" s="64"/>
      <c r="BEW134" s="64"/>
      <c r="BEX134" s="64"/>
      <c r="BEY134" s="64"/>
      <c r="BEZ134" s="64"/>
      <c r="BFA134" s="64"/>
      <c r="BFB134" s="64"/>
      <c r="BFC134" s="64"/>
      <c r="BFD134" s="64"/>
      <c r="BFE134" s="64"/>
      <c r="BFF134" s="64"/>
      <c r="BFG134" s="64"/>
      <c r="BFH134" s="64"/>
      <c r="BFI134" s="64"/>
      <c r="BFJ134" s="64"/>
      <c r="BFK134" s="64"/>
      <c r="BFL134" s="64"/>
      <c r="BFM134" s="64"/>
      <c r="BFN134" s="64"/>
      <c r="BFO134" s="64"/>
      <c r="BFP134" s="64"/>
      <c r="BFQ134" s="64"/>
      <c r="BFR134" s="64"/>
      <c r="BFS134" s="64"/>
      <c r="BFT134" s="64"/>
      <c r="BFU134" s="64"/>
      <c r="BFV134" s="64"/>
      <c r="BFW134" s="64"/>
      <c r="BFX134" s="64"/>
      <c r="BFY134" s="64"/>
      <c r="BFZ134" s="64"/>
      <c r="BGA134" s="64"/>
      <c r="BGB134" s="64"/>
      <c r="BGC134" s="64"/>
      <c r="BGD134" s="64"/>
      <c r="BGE134" s="64"/>
      <c r="BGF134" s="64"/>
      <c r="BGG134" s="64"/>
      <c r="BGH134" s="64"/>
      <c r="BGI134" s="64"/>
      <c r="BGJ134" s="64"/>
      <c r="BGK134" s="64"/>
      <c r="BGL134" s="64"/>
      <c r="BGM134" s="64"/>
      <c r="BGN134" s="64"/>
      <c r="BGO134" s="64"/>
      <c r="BGP134" s="64"/>
      <c r="BGQ134" s="64"/>
      <c r="BGR134" s="64"/>
      <c r="BGS134" s="64"/>
      <c r="BGT134" s="64"/>
      <c r="BGU134" s="64"/>
      <c r="BGV134" s="64"/>
      <c r="BGW134" s="64"/>
      <c r="BGX134" s="64"/>
      <c r="BGY134" s="64"/>
      <c r="BGZ134" s="64"/>
      <c r="BHA134" s="64"/>
      <c r="BHB134" s="64"/>
      <c r="BHC134" s="64"/>
      <c r="BHD134" s="64"/>
      <c r="BHE134" s="64"/>
      <c r="BHF134" s="64"/>
      <c r="BHG134" s="64"/>
      <c r="BHH134" s="64"/>
      <c r="BHI134" s="64"/>
      <c r="BHJ134" s="64"/>
      <c r="BHK134" s="64"/>
      <c r="BHL134" s="64"/>
      <c r="BHM134" s="64"/>
      <c r="BHN134" s="64"/>
      <c r="BHO134" s="64"/>
      <c r="BHP134" s="64"/>
      <c r="BHQ134" s="64"/>
      <c r="BHR134" s="64"/>
      <c r="BHS134" s="64"/>
      <c r="BHT134" s="64"/>
      <c r="BHU134" s="64"/>
      <c r="BHV134" s="64"/>
      <c r="BHW134" s="64"/>
      <c r="BHX134" s="64"/>
      <c r="BHY134" s="64"/>
      <c r="BHZ134" s="64"/>
      <c r="BIA134" s="64"/>
      <c r="BIB134" s="64"/>
      <c r="BIC134" s="64"/>
      <c r="BID134" s="64"/>
      <c r="BIE134" s="64"/>
      <c r="BIF134" s="64"/>
      <c r="BIG134" s="64"/>
      <c r="BIH134" s="64"/>
      <c r="BII134" s="64"/>
      <c r="BIJ134" s="64"/>
      <c r="BIK134" s="64"/>
      <c r="BIL134" s="64"/>
      <c r="BIM134" s="64"/>
      <c r="BIN134" s="64"/>
      <c r="BIO134" s="64"/>
      <c r="BIP134" s="64"/>
      <c r="BIQ134" s="64"/>
      <c r="BIR134" s="64"/>
      <c r="BIS134" s="64"/>
      <c r="BIT134" s="64"/>
      <c r="BIU134" s="64"/>
      <c r="BIV134" s="64"/>
      <c r="BIW134" s="64"/>
      <c r="BIX134" s="64"/>
      <c r="BIY134" s="64"/>
      <c r="BIZ134" s="64"/>
      <c r="BJA134" s="64"/>
      <c r="BJB134" s="64"/>
      <c r="BJC134" s="64"/>
      <c r="BJD134" s="64"/>
      <c r="BJE134" s="64"/>
      <c r="BJF134" s="64"/>
      <c r="BJG134" s="64"/>
      <c r="BJH134" s="64"/>
      <c r="BJI134" s="64"/>
      <c r="BJJ134" s="64"/>
      <c r="BJK134" s="64"/>
      <c r="BJL134" s="64"/>
      <c r="BJM134" s="64"/>
      <c r="BJN134" s="64"/>
      <c r="BJO134" s="64"/>
      <c r="BJP134" s="64"/>
      <c r="BJQ134" s="64"/>
      <c r="BJR134" s="64"/>
      <c r="BJS134" s="64"/>
      <c r="BJT134" s="64"/>
      <c r="BJU134" s="64"/>
      <c r="BJV134" s="64"/>
      <c r="BJW134" s="64"/>
      <c r="BJX134" s="64"/>
      <c r="BJY134" s="64"/>
      <c r="BJZ134" s="64"/>
      <c r="BKA134" s="64"/>
      <c r="BKB134" s="64"/>
      <c r="BKC134" s="64"/>
      <c r="BKD134" s="64"/>
      <c r="BKE134" s="64"/>
      <c r="BKF134" s="64"/>
      <c r="BKG134" s="64"/>
      <c r="BKH134" s="64"/>
      <c r="BKI134" s="64"/>
      <c r="BKJ134" s="64"/>
      <c r="BKK134" s="64"/>
      <c r="BKL134" s="64"/>
      <c r="BKM134" s="64"/>
      <c r="BKN134" s="64"/>
      <c r="BKO134" s="64"/>
      <c r="BKP134" s="64"/>
      <c r="BKQ134" s="64"/>
      <c r="BKR134" s="64"/>
      <c r="BKS134" s="64"/>
      <c r="BKT134" s="64"/>
      <c r="BKU134" s="64"/>
      <c r="BKV134" s="64"/>
      <c r="BKW134" s="64"/>
      <c r="BKX134" s="64"/>
      <c r="BKY134" s="64"/>
      <c r="BKZ134" s="64"/>
      <c r="BLA134" s="64"/>
      <c r="BLB134" s="64"/>
      <c r="BLC134" s="64"/>
      <c r="BLD134" s="64"/>
      <c r="BLE134" s="64"/>
      <c r="BLF134" s="64"/>
      <c r="BLG134" s="64"/>
      <c r="BLH134" s="64"/>
      <c r="BLI134" s="64"/>
      <c r="BLJ134" s="64"/>
      <c r="BLK134" s="64"/>
      <c r="BLL134" s="64"/>
      <c r="BLM134" s="64"/>
      <c r="BLN134" s="64"/>
      <c r="BLO134" s="64"/>
      <c r="BLP134" s="64"/>
      <c r="BLQ134" s="64"/>
      <c r="BLR134" s="64"/>
      <c r="BLS134" s="64"/>
      <c r="BLT134" s="64"/>
      <c r="BLU134" s="64"/>
      <c r="BLV134" s="64"/>
      <c r="BLW134" s="64"/>
      <c r="BLX134" s="64"/>
      <c r="BLY134" s="64"/>
      <c r="BLZ134" s="64"/>
      <c r="BMA134" s="64"/>
      <c r="BMB134" s="64"/>
      <c r="BMC134" s="64"/>
      <c r="BMD134" s="64"/>
      <c r="BME134" s="64"/>
      <c r="BMF134" s="64"/>
      <c r="BMG134" s="64"/>
      <c r="BMH134" s="64"/>
      <c r="BMI134" s="64"/>
      <c r="BMJ134" s="64"/>
      <c r="BMK134" s="64"/>
      <c r="BML134" s="64"/>
      <c r="BMM134" s="64"/>
      <c r="BMN134" s="64"/>
      <c r="BMO134" s="64"/>
      <c r="BMP134" s="64"/>
      <c r="BMQ134" s="64"/>
      <c r="BMR134" s="64"/>
      <c r="BMS134" s="64"/>
      <c r="BMT134" s="64"/>
      <c r="BMU134" s="64"/>
      <c r="BMV134" s="64"/>
      <c r="BMW134" s="64"/>
      <c r="BMX134" s="64"/>
      <c r="BMY134" s="64"/>
      <c r="BMZ134" s="64"/>
      <c r="BNA134" s="64"/>
      <c r="BNB134" s="64"/>
      <c r="BNC134" s="64"/>
      <c r="BND134" s="64"/>
      <c r="BNE134" s="64"/>
      <c r="BNF134" s="64"/>
      <c r="BNG134" s="64"/>
      <c r="BNH134" s="64"/>
      <c r="BNI134" s="64"/>
      <c r="BNJ134" s="64"/>
      <c r="BNK134" s="64"/>
      <c r="BNL134" s="64"/>
      <c r="BNM134" s="64"/>
      <c r="BNN134" s="64"/>
      <c r="BNO134" s="64"/>
      <c r="BNP134" s="64"/>
      <c r="BNQ134" s="64"/>
      <c r="BNR134" s="64"/>
      <c r="BNS134" s="64"/>
      <c r="BNT134" s="64"/>
      <c r="BNU134" s="64"/>
      <c r="BNV134" s="64"/>
      <c r="BNW134" s="64"/>
      <c r="BNX134" s="64"/>
      <c r="BNY134" s="64"/>
      <c r="BNZ134" s="64"/>
      <c r="BOA134" s="64"/>
      <c r="BOB134" s="64"/>
      <c r="BOC134" s="64"/>
      <c r="BOD134" s="64"/>
      <c r="BOE134" s="64"/>
      <c r="BOF134" s="64"/>
      <c r="BOG134" s="64"/>
      <c r="BOH134" s="64"/>
      <c r="BOI134" s="64"/>
      <c r="BOJ134" s="64"/>
      <c r="BOK134" s="64"/>
      <c r="BOL134" s="64"/>
      <c r="BOM134" s="64"/>
      <c r="BON134" s="64"/>
      <c r="BOO134" s="64"/>
      <c r="BOP134" s="64"/>
      <c r="BOQ134" s="64"/>
      <c r="BOR134" s="64"/>
      <c r="BOS134" s="64"/>
      <c r="BOT134" s="64"/>
      <c r="BOU134" s="64"/>
      <c r="BOV134" s="64"/>
      <c r="BOW134" s="64"/>
      <c r="BOX134" s="64"/>
      <c r="BOY134" s="64"/>
      <c r="BOZ134" s="64"/>
      <c r="BPA134" s="64"/>
      <c r="BPB134" s="64"/>
      <c r="BPC134" s="64"/>
      <c r="BPD134" s="64"/>
      <c r="BPE134" s="64"/>
      <c r="BPF134" s="64"/>
      <c r="BPG134" s="64"/>
      <c r="BPH134" s="64"/>
      <c r="BPI134" s="64"/>
      <c r="BPJ134" s="64"/>
      <c r="BPK134" s="64"/>
      <c r="BPL134" s="64"/>
      <c r="BPM134" s="64"/>
      <c r="BPN134" s="64"/>
      <c r="BPO134" s="64"/>
      <c r="BPP134" s="64"/>
      <c r="BPQ134" s="64"/>
      <c r="BPR134" s="64"/>
      <c r="BPS134" s="64"/>
      <c r="BPT134" s="64"/>
      <c r="BPU134" s="64"/>
      <c r="BPV134" s="64"/>
      <c r="BPW134" s="64"/>
      <c r="BPX134" s="64"/>
      <c r="BPY134" s="64"/>
      <c r="BPZ134" s="64"/>
      <c r="BQA134" s="64"/>
      <c r="BQB134" s="64"/>
      <c r="BQC134" s="64"/>
      <c r="BQD134" s="64"/>
      <c r="BQE134" s="64"/>
      <c r="BQF134" s="64"/>
      <c r="BQG134" s="64"/>
      <c r="BQH134" s="64"/>
      <c r="BQI134" s="64"/>
      <c r="BQJ134" s="64"/>
      <c r="BQK134" s="64"/>
      <c r="BQL134" s="64"/>
      <c r="BQM134" s="64"/>
      <c r="BQN134" s="64"/>
      <c r="BQO134" s="64"/>
      <c r="BQP134" s="64"/>
      <c r="BQQ134" s="64"/>
      <c r="BQR134" s="64"/>
      <c r="BQS134" s="64"/>
      <c r="BQT134" s="64"/>
      <c r="BQU134" s="64"/>
      <c r="BQV134" s="64"/>
      <c r="BQW134" s="64"/>
      <c r="BQX134" s="64"/>
      <c r="BQY134" s="64"/>
      <c r="BQZ134" s="64"/>
      <c r="BRA134" s="64"/>
      <c r="BRB134" s="64"/>
      <c r="BRC134" s="64"/>
      <c r="BRD134" s="64"/>
      <c r="BRE134" s="64"/>
      <c r="BRF134" s="64"/>
      <c r="BRG134" s="64"/>
      <c r="BRH134" s="64"/>
      <c r="BRI134" s="64"/>
      <c r="BRJ134" s="64"/>
      <c r="BRK134" s="64"/>
      <c r="BRL134" s="64"/>
      <c r="BRM134" s="64"/>
      <c r="BRN134" s="64"/>
      <c r="BRO134" s="64"/>
      <c r="BRP134" s="64"/>
      <c r="BRQ134" s="64"/>
      <c r="BRR134" s="64"/>
      <c r="BRS134" s="64"/>
      <c r="BRT134" s="64"/>
      <c r="BRU134" s="64"/>
      <c r="BRV134" s="64"/>
      <c r="BRW134" s="64"/>
      <c r="BRX134" s="64"/>
      <c r="BRY134" s="64"/>
      <c r="BRZ134" s="64"/>
      <c r="BSA134" s="64"/>
      <c r="BSB134" s="64"/>
      <c r="BSC134" s="64"/>
      <c r="BSD134" s="64"/>
      <c r="BSE134" s="64"/>
      <c r="BSF134" s="64"/>
      <c r="BSG134" s="64"/>
      <c r="BSH134" s="64"/>
      <c r="BSI134" s="64"/>
      <c r="BSJ134" s="64"/>
      <c r="BSK134" s="64"/>
      <c r="BSL134" s="64"/>
      <c r="BSM134" s="64"/>
      <c r="BSN134" s="64"/>
      <c r="BSO134" s="64"/>
      <c r="BSP134" s="64"/>
      <c r="BSQ134" s="64"/>
      <c r="BSR134" s="64"/>
      <c r="BSS134" s="64"/>
      <c r="BST134" s="64"/>
      <c r="BSU134" s="64"/>
      <c r="BSV134" s="64"/>
      <c r="BSW134" s="64"/>
      <c r="BSX134" s="64"/>
      <c r="BSY134" s="64"/>
      <c r="BSZ134" s="64"/>
      <c r="BTA134" s="64"/>
      <c r="BTB134" s="64"/>
      <c r="BTC134" s="64"/>
      <c r="BTD134" s="64"/>
      <c r="BTE134" s="64"/>
      <c r="BTF134" s="64"/>
      <c r="BTG134" s="64"/>
      <c r="BTH134" s="64"/>
      <c r="BTI134" s="64"/>
      <c r="BTJ134" s="64"/>
      <c r="BTK134" s="64"/>
      <c r="BTL134" s="64"/>
      <c r="BTM134" s="64"/>
      <c r="BTN134" s="64"/>
      <c r="BTO134" s="64"/>
      <c r="BTP134" s="64"/>
      <c r="BTQ134" s="64"/>
      <c r="BTR134" s="64"/>
      <c r="BTS134" s="64"/>
      <c r="BTT134" s="64"/>
      <c r="BTU134" s="64"/>
      <c r="BTV134" s="64"/>
      <c r="BTW134" s="64"/>
      <c r="BTX134" s="64"/>
      <c r="BTY134" s="64"/>
      <c r="BTZ134" s="64"/>
      <c r="BUA134" s="64"/>
      <c r="BUB134" s="64"/>
      <c r="BUC134" s="64"/>
      <c r="BUD134" s="64"/>
      <c r="BUE134" s="64"/>
      <c r="BUF134" s="64"/>
      <c r="BUG134" s="64"/>
      <c r="BUH134" s="64"/>
      <c r="BUI134" s="64"/>
      <c r="BUJ134" s="64"/>
      <c r="BUK134" s="64"/>
      <c r="BUL134" s="64"/>
      <c r="BUM134" s="64"/>
      <c r="BUN134" s="64"/>
      <c r="BUO134" s="64"/>
      <c r="BUP134" s="64"/>
      <c r="BUQ134" s="64"/>
      <c r="BUR134" s="64"/>
      <c r="BUS134" s="64"/>
      <c r="BUT134" s="64"/>
      <c r="BUU134" s="64"/>
      <c r="BUV134" s="64"/>
      <c r="BUW134" s="64"/>
      <c r="BUX134" s="64"/>
      <c r="BUY134" s="64"/>
      <c r="BUZ134" s="64"/>
      <c r="BVA134" s="64"/>
      <c r="BVB134" s="64"/>
      <c r="BVC134" s="64"/>
      <c r="BVD134" s="64"/>
      <c r="BVE134" s="64"/>
      <c r="BVF134" s="64"/>
      <c r="BVG134" s="64"/>
      <c r="BVH134" s="64"/>
      <c r="BVI134" s="64"/>
      <c r="BVJ134" s="64"/>
      <c r="BVK134" s="64"/>
      <c r="BVL134" s="64"/>
      <c r="BVM134" s="64"/>
      <c r="BVN134" s="64"/>
      <c r="BVO134" s="64"/>
      <c r="BVP134" s="64"/>
      <c r="BVQ134" s="64"/>
      <c r="BVR134" s="64"/>
      <c r="BVS134" s="64"/>
      <c r="BVT134" s="64"/>
      <c r="BVU134" s="64"/>
      <c r="BVV134" s="64"/>
      <c r="BVW134" s="64"/>
      <c r="BVX134" s="64"/>
      <c r="BVY134" s="64"/>
      <c r="BVZ134" s="64"/>
      <c r="BWA134" s="64"/>
      <c r="BWB134" s="64"/>
      <c r="BWC134" s="64"/>
      <c r="BWD134" s="64"/>
      <c r="BWE134" s="64"/>
      <c r="BWF134" s="64"/>
      <c r="BWG134" s="64"/>
      <c r="BWH134" s="64"/>
      <c r="BWI134" s="64"/>
      <c r="BWJ134" s="64"/>
      <c r="BWK134" s="64"/>
      <c r="BWL134" s="64"/>
      <c r="BWM134" s="64"/>
      <c r="BWN134" s="64"/>
      <c r="BWO134" s="64"/>
      <c r="BWP134" s="64"/>
      <c r="BWQ134" s="64"/>
      <c r="BWR134" s="64"/>
      <c r="BWS134" s="64"/>
      <c r="BWT134" s="64"/>
      <c r="BWU134" s="64"/>
      <c r="BWV134" s="64"/>
      <c r="BWW134" s="64"/>
      <c r="BWX134" s="64"/>
      <c r="BWY134" s="64"/>
      <c r="BWZ134" s="64"/>
      <c r="BXA134" s="64"/>
      <c r="BXB134" s="64"/>
      <c r="BXC134" s="64"/>
      <c r="BXD134" s="64"/>
      <c r="BXE134" s="64"/>
      <c r="BXF134" s="64"/>
      <c r="BXG134" s="64"/>
      <c r="BXH134" s="64"/>
      <c r="BXI134" s="64"/>
      <c r="BXJ134" s="64"/>
      <c r="BXK134" s="64"/>
      <c r="BXL134" s="64"/>
      <c r="BXM134" s="64"/>
      <c r="BXN134" s="64"/>
      <c r="BXO134" s="64"/>
      <c r="BXP134" s="64"/>
      <c r="BXQ134" s="64"/>
      <c r="BXR134" s="64"/>
      <c r="BXS134" s="64"/>
      <c r="BXT134" s="64"/>
      <c r="BXU134" s="64"/>
      <c r="BXV134" s="64"/>
      <c r="BXW134" s="64"/>
      <c r="BXX134" s="64"/>
      <c r="BXY134" s="64"/>
      <c r="BXZ134" s="64"/>
      <c r="BYA134" s="64"/>
      <c r="BYB134" s="64"/>
      <c r="BYC134" s="64"/>
      <c r="BYD134" s="64"/>
      <c r="BYE134" s="64"/>
      <c r="BYF134" s="64"/>
      <c r="BYG134" s="64"/>
      <c r="BYH134" s="64"/>
      <c r="BYI134" s="64"/>
      <c r="BYJ134" s="64"/>
      <c r="BYK134" s="64"/>
      <c r="BYL134" s="64"/>
      <c r="BYM134" s="64"/>
      <c r="BYN134" s="64"/>
      <c r="BYO134" s="64"/>
      <c r="BYP134" s="64"/>
      <c r="BYQ134" s="64"/>
      <c r="BYR134" s="64"/>
      <c r="BYS134" s="64"/>
      <c r="BYT134" s="64"/>
      <c r="BYU134" s="64"/>
      <c r="BYV134" s="64"/>
      <c r="BYW134" s="64"/>
      <c r="BYX134" s="64"/>
      <c r="BYY134" s="64"/>
      <c r="BYZ134" s="64"/>
      <c r="BZA134" s="64"/>
      <c r="BZB134" s="64"/>
      <c r="BZC134" s="64"/>
      <c r="BZD134" s="64"/>
      <c r="BZE134" s="64"/>
      <c r="BZF134" s="64"/>
      <c r="BZG134" s="64"/>
      <c r="BZH134" s="64"/>
      <c r="BZI134" s="64"/>
      <c r="BZJ134" s="64"/>
      <c r="BZK134" s="64"/>
      <c r="BZL134" s="64"/>
      <c r="BZM134" s="64"/>
      <c r="BZN134" s="64"/>
      <c r="BZO134" s="64"/>
      <c r="BZP134" s="64"/>
      <c r="BZQ134" s="64"/>
      <c r="BZR134" s="64"/>
      <c r="BZS134" s="64"/>
      <c r="BZT134" s="64"/>
      <c r="BZU134" s="64"/>
      <c r="BZV134" s="64"/>
      <c r="BZW134" s="64"/>
      <c r="BZX134" s="64"/>
      <c r="BZY134" s="64"/>
      <c r="BZZ134" s="64"/>
      <c r="CAA134" s="64"/>
      <c r="CAB134" s="64"/>
      <c r="CAC134" s="64"/>
      <c r="CAD134" s="64"/>
      <c r="CAE134" s="64"/>
      <c r="CAF134" s="64"/>
      <c r="CAG134" s="64"/>
      <c r="CAH134" s="64"/>
      <c r="CAI134" s="64"/>
      <c r="CAJ134" s="64"/>
      <c r="CAK134" s="64"/>
      <c r="CAL134" s="64"/>
      <c r="CAM134" s="64"/>
      <c r="CAN134" s="64"/>
      <c r="CAO134" s="64"/>
      <c r="CAP134" s="64"/>
      <c r="CAQ134" s="64"/>
      <c r="CAR134" s="64"/>
      <c r="CAS134" s="64"/>
      <c r="CAT134" s="64"/>
      <c r="CAU134" s="64"/>
      <c r="CAV134" s="64"/>
      <c r="CAW134" s="64"/>
      <c r="CAX134" s="64"/>
      <c r="CAY134" s="64"/>
      <c r="CAZ134" s="64"/>
      <c r="CBA134" s="64"/>
      <c r="CBB134" s="64"/>
      <c r="CBC134" s="64"/>
      <c r="CBD134" s="64"/>
      <c r="CBE134" s="64"/>
      <c r="CBF134" s="64"/>
      <c r="CBG134" s="64"/>
      <c r="CBH134" s="64"/>
      <c r="CBI134" s="64"/>
      <c r="CBJ134" s="64"/>
      <c r="CBK134" s="64"/>
      <c r="CBL134" s="64"/>
      <c r="CBM134" s="64"/>
      <c r="CBN134" s="64"/>
      <c r="CBO134" s="64"/>
      <c r="CBP134" s="64"/>
      <c r="CBQ134" s="64"/>
      <c r="CBR134" s="64"/>
      <c r="CBS134" s="64"/>
      <c r="CBT134" s="64"/>
      <c r="CBU134" s="64"/>
      <c r="CBV134" s="64"/>
      <c r="CBW134" s="64"/>
      <c r="CBX134" s="64"/>
      <c r="CBY134" s="64"/>
      <c r="CBZ134" s="64"/>
      <c r="CCA134" s="64"/>
      <c r="CCB134" s="64"/>
      <c r="CCC134" s="64"/>
      <c r="CCD134" s="64"/>
      <c r="CCE134" s="64"/>
      <c r="CCF134" s="64"/>
      <c r="CCG134" s="64"/>
      <c r="CCH134" s="64"/>
      <c r="CCI134" s="64"/>
      <c r="CCJ134" s="64"/>
      <c r="CCK134" s="64"/>
      <c r="CCL134" s="64"/>
      <c r="CCM134" s="64"/>
      <c r="CCN134" s="64"/>
      <c r="CCO134" s="64"/>
      <c r="CCP134" s="64"/>
      <c r="CCQ134" s="64"/>
      <c r="CCR134" s="64"/>
      <c r="CCS134" s="64"/>
      <c r="CCT134" s="64"/>
      <c r="CCU134" s="64"/>
      <c r="CCV134" s="64"/>
      <c r="CCW134" s="64"/>
      <c r="CCX134" s="64"/>
      <c r="CCY134" s="64"/>
      <c r="CCZ134" s="64"/>
      <c r="CDA134" s="64"/>
      <c r="CDB134" s="64"/>
      <c r="CDC134" s="64"/>
      <c r="CDD134" s="64"/>
      <c r="CDE134" s="64"/>
      <c r="CDF134" s="64"/>
      <c r="CDG134" s="64"/>
      <c r="CDH134" s="64"/>
      <c r="CDI134" s="64"/>
      <c r="CDJ134" s="64"/>
      <c r="CDK134" s="64"/>
      <c r="CDL134" s="64"/>
      <c r="CDM134" s="64"/>
      <c r="CDN134" s="64"/>
      <c r="CDO134" s="64"/>
      <c r="CDP134" s="64"/>
      <c r="CDQ134" s="64"/>
      <c r="CDR134" s="64"/>
      <c r="CDS134" s="64"/>
      <c r="CDT134" s="64"/>
      <c r="CDU134" s="64"/>
      <c r="CDV134" s="64"/>
      <c r="CDW134" s="64"/>
      <c r="CDX134" s="64"/>
      <c r="CDY134" s="64"/>
      <c r="CDZ134" s="64"/>
      <c r="CEA134" s="64"/>
      <c r="CEB134" s="64"/>
      <c r="CEC134" s="64"/>
      <c r="CED134" s="64"/>
      <c r="CEE134" s="64"/>
      <c r="CEF134" s="64"/>
      <c r="CEG134" s="64"/>
      <c r="CEH134" s="64"/>
      <c r="CEI134" s="64"/>
      <c r="CEJ134" s="64"/>
      <c r="CEK134" s="64"/>
      <c r="CEL134" s="64"/>
      <c r="CEM134" s="64"/>
      <c r="CEN134" s="64"/>
      <c r="CEO134" s="64"/>
      <c r="CEP134" s="64"/>
      <c r="CEQ134" s="64"/>
      <c r="CER134" s="64"/>
      <c r="CES134" s="64"/>
      <c r="CET134" s="64"/>
      <c r="CEU134" s="64"/>
      <c r="CEV134" s="64"/>
      <c r="CEW134" s="64"/>
      <c r="CEX134" s="64"/>
      <c r="CEY134" s="64"/>
      <c r="CEZ134" s="64"/>
      <c r="CFA134" s="64"/>
      <c r="CFB134" s="64"/>
      <c r="CFC134" s="64"/>
      <c r="CFD134" s="64"/>
      <c r="CFE134" s="64"/>
      <c r="CFF134" s="64"/>
      <c r="CFG134" s="64"/>
      <c r="CFH134" s="64"/>
      <c r="CFI134" s="64"/>
      <c r="CFJ134" s="64"/>
      <c r="CFK134" s="64"/>
      <c r="CFL134" s="64"/>
      <c r="CFM134" s="64"/>
      <c r="CFN134" s="64"/>
      <c r="CFO134" s="64"/>
      <c r="CFP134" s="64"/>
      <c r="CFQ134" s="64"/>
      <c r="CFR134" s="64"/>
      <c r="CFS134" s="64"/>
      <c r="CFT134" s="64"/>
      <c r="CFU134" s="64"/>
      <c r="CFV134" s="64"/>
      <c r="CFW134" s="64"/>
      <c r="CFX134" s="64"/>
      <c r="CFY134" s="64"/>
      <c r="CFZ134" s="64"/>
      <c r="CGA134" s="64"/>
      <c r="CGB134" s="64"/>
      <c r="CGC134" s="64"/>
      <c r="CGD134" s="64"/>
      <c r="CGE134" s="64"/>
      <c r="CGF134" s="64"/>
      <c r="CGG134" s="64"/>
      <c r="CGH134" s="64"/>
      <c r="CGI134" s="64"/>
      <c r="CGJ134" s="64"/>
      <c r="CGK134" s="64"/>
      <c r="CGL134" s="64"/>
      <c r="CGM134" s="64"/>
      <c r="CGN134" s="64"/>
      <c r="CGO134" s="64"/>
      <c r="CGP134" s="64"/>
      <c r="CGQ134" s="64"/>
      <c r="CGR134" s="64"/>
      <c r="CGS134" s="64"/>
      <c r="CGT134" s="64"/>
      <c r="CGU134" s="64"/>
      <c r="CGV134" s="64"/>
      <c r="CGW134" s="64"/>
      <c r="CGX134" s="64"/>
      <c r="CGY134" s="64"/>
      <c r="CGZ134" s="64"/>
      <c r="CHA134" s="64"/>
      <c r="CHB134" s="64"/>
      <c r="CHC134" s="64"/>
      <c r="CHD134" s="64"/>
      <c r="CHE134" s="64"/>
      <c r="CHF134" s="64"/>
      <c r="CHG134" s="64"/>
      <c r="CHH134" s="64"/>
      <c r="CHI134" s="64"/>
      <c r="CHJ134" s="64"/>
      <c r="CHK134" s="64"/>
      <c r="CHL134" s="64"/>
      <c r="CHM134" s="64"/>
      <c r="CHN134" s="64"/>
      <c r="CHO134" s="64"/>
      <c r="CHP134" s="64"/>
      <c r="CHQ134" s="64"/>
      <c r="CHR134" s="64"/>
      <c r="CHS134" s="64"/>
      <c r="CHT134" s="64"/>
      <c r="CHU134" s="64"/>
      <c r="CHV134" s="64"/>
      <c r="CHW134" s="64"/>
      <c r="CHX134" s="64"/>
      <c r="CHY134" s="64"/>
      <c r="CHZ134" s="64"/>
      <c r="CIA134" s="64"/>
      <c r="CIB134" s="64"/>
      <c r="CIC134" s="64"/>
      <c r="CID134" s="64"/>
      <c r="CIE134" s="64"/>
      <c r="CIF134" s="64"/>
      <c r="CIG134" s="64"/>
      <c r="CIH134" s="64"/>
      <c r="CII134" s="64"/>
      <c r="CIJ134" s="64"/>
      <c r="CIK134" s="64"/>
      <c r="CIL134" s="64"/>
      <c r="CIM134" s="64"/>
      <c r="CIN134" s="64"/>
      <c r="CIO134" s="64"/>
      <c r="CIP134" s="64"/>
      <c r="CIQ134" s="64"/>
      <c r="CIR134" s="64"/>
      <c r="CIS134" s="64"/>
      <c r="CIT134" s="64"/>
      <c r="CIU134" s="64"/>
      <c r="CIV134" s="64"/>
      <c r="CIW134" s="64"/>
      <c r="CIX134" s="64"/>
      <c r="CIY134" s="64"/>
      <c r="CIZ134" s="64"/>
      <c r="CJA134" s="64"/>
      <c r="CJB134" s="64"/>
      <c r="CJC134" s="64"/>
      <c r="CJD134" s="64"/>
      <c r="CJE134" s="64"/>
      <c r="CJF134" s="64"/>
      <c r="CJG134" s="64"/>
      <c r="CJH134" s="64"/>
      <c r="CJI134" s="64"/>
      <c r="CJJ134" s="64"/>
      <c r="CJK134" s="64"/>
      <c r="CJL134" s="64"/>
      <c r="CJM134" s="64"/>
      <c r="CJN134" s="64"/>
      <c r="CJO134" s="64"/>
      <c r="CJP134" s="64"/>
      <c r="CJQ134" s="64"/>
      <c r="CJR134" s="64"/>
      <c r="CJS134" s="64"/>
      <c r="CJT134" s="64"/>
      <c r="CJU134" s="64"/>
      <c r="CJV134" s="64"/>
      <c r="CJW134" s="64"/>
      <c r="CJX134" s="64"/>
      <c r="CJY134" s="64"/>
      <c r="CJZ134" s="64"/>
      <c r="CKA134" s="64"/>
      <c r="CKB134" s="64"/>
      <c r="CKC134" s="64"/>
      <c r="CKD134" s="64"/>
      <c r="CKE134" s="64"/>
      <c r="CKF134" s="64"/>
      <c r="CKG134" s="64"/>
      <c r="CKH134" s="64"/>
      <c r="CKI134" s="64"/>
      <c r="CKJ134" s="64"/>
      <c r="CKK134" s="64"/>
      <c r="CKL134" s="64"/>
      <c r="CKM134" s="64"/>
      <c r="CKN134" s="64"/>
      <c r="CKO134" s="64"/>
      <c r="CKP134" s="64"/>
      <c r="CKQ134" s="64"/>
      <c r="CKR134" s="64"/>
      <c r="CKS134" s="64"/>
      <c r="CKT134" s="64"/>
      <c r="CKU134" s="64"/>
      <c r="CKV134" s="64"/>
      <c r="CKW134" s="64"/>
      <c r="CKX134" s="64"/>
      <c r="CKY134" s="64"/>
      <c r="CKZ134" s="64"/>
      <c r="CLA134" s="64"/>
      <c r="CLB134" s="64"/>
      <c r="CLC134" s="64"/>
      <c r="CLD134" s="64"/>
      <c r="CLE134" s="64"/>
      <c r="CLF134" s="64"/>
      <c r="CLG134" s="64"/>
      <c r="CLH134" s="64"/>
      <c r="CLI134" s="64"/>
      <c r="CLJ134" s="64"/>
      <c r="CLK134" s="64"/>
      <c r="CLL134" s="64"/>
      <c r="CLM134" s="64"/>
      <c r="CLN134" s="64"/>
      <c r="CLO134" s="64"/>
      <c r="CLP134" s="64"/>
      <c r="CLQ134" s="64"/>
      <c r="CLR134" s="64"/>
      <c r="CLS134" s="64"/>
      <c r="CLT134" s="64"/>
      <c r="CLU134" s="64"/>
      <c r="CLV134" s="64"/>
      <c r="CLW134" s="64"/>
      <c r="CLX134" s="64"/>
      <c r="CLY134" s="64"/>
      <c r="CLZ134" s="64"/>
      <c r="CMA134" s="64"/>
      <c r="CMB134" s="64"/>
      <c r="CMC134" s="64"/>
      <c r="CMD134" s="64"/>
      <c r="CME134" s="64"/>
      <c r="CMF134" s="64"/>
      <c r="CMG134" s="64"/>
      <c r="CMH134" s="64"/>
      <c r="CMI134" s="64"/>
      <c r="CMJ134" s="64"/>
      <c r="CMK134" s="64"/>
      <c r="CML134" s="64"/>
      <c r="CMM134" s="64"/>
      <c r="CMN134" s="64"/>
      <c r="CMO134" s="64"/>
      <c r="CMP134" s="64"/>
      <c r="CMQ134" s="64"/>
      <c r="CMR134" s="64"/>
      <c r="CMS134" s="64"/>
      <c r="CMT134" s="64"/>
      <c r="CMU134" s="64"/>
      <c r="CMV134" s="64"/>
      <c r="CMW134" s="64"/>
      <c r="CMX134" s="64"/>
      <c r="CMY134" s="64"/>
      <c r="CMZ134" s="64"/>
      <c r="CNA134" s="64"/>
      <c r="CNB134" s="64"/>
      <c r="CNC134" s="64"/>
      <c r="CND134" s="64"/>
      <c r="CNE134" s="64"/>
      <c r="CNF134" s="64"/>
      <c r="CNG134" s="64"/>
      <c r="CNH134" s="64"/>
      <c r="CNI134" s="64"/>
      <c r="CNJ134" s="64"/>
      <c r="CNK134" s="64"/>
      <c r="CNL134" s="64"/>
      <c r="CNM134" s="64"/>
      <c r="CNN134" s="64"/>
      <c r="CNO134" s="64"/>
      <c r="CNP134" s="64"/>
      <c r="CNQ134" s="64"/>
      <c r="CNR134" s="64"/>
      <c r="CNS134" s="64"/>
      <c r="CNT134" s="64"/>
      <c r="CNU134" s="64"/>
      <c r="CNV134" s="64"/>
      <c r="CNW134" s="64"/>
      <c r="CNX134" s="64"/>
      <c r="CNY134" s="64"/>
      <c r="CNZ134" s="64"/>
      <c r="COA134" s="64"/>
      <c r="COB134" s="64"/>
      <c r="COC134" s="64"/>
      <c r="COD134" s="64"/>
      <c r="COE134" s="64"/>
      <c r="COF134" s="64"/>
      <c r="COG134" s="64"/>
      <c r="COH134" s="64"/>
      <c r="COI134" s="64"/>
      <c r="COJ134" s="64"/>
      <c r="COK134" s="64"/>
      <c r="COL134" s="64"/>
      <c r="COM134" s="64"/>
      <c r="CON134" s="64"/>
      <c r="COO134" s="64"/>
      <c r="COP134" s="64"/>
      <c r="COQ134" s="64"/>
      <c r="COR134" s="64"/>
      <c r="COS134" s="64"/>
      <c r="COT134" s="64"/>
      <c r="COU134" s="64"/>
      <c r="COV134" s="64"/>
      <c r="COW134" s="64"/>
      <c r="COX134" s="64"/>
      <c r="COY134" s="64"/>
      <c r="COZ134" s="64"/>
      <c r="CPA134" s="64"/>
      <c r="CPB134" s="64"/>
      <c r="CPC134" s="64"/>
      <c r="CPD134" s="64"/>
      <c r="CPE134" s="64"/>
      <c r="CPF134" s="64"/>
      <c r="CPG134" s="64"/>
      <c r="CPH134" s="64"/>
      <c r="CPI134" s="64"/>
      <c r="CPJ134" s="64"/>
      <c r="CPK134" s="64"/>
      <c r="CPL134" s="64"/>
      <c r="CPM134" s="64"/>
      <c r="CPN134" s="64"/>
      <c r="CPO134" s="64"/>
      <c r="CPP134" s="64"/>
      <c r="CPQ134" s="64"/>
      <c r="CPR134" s="64"/>
      <c r="CPS134" s="64"/>
      <c r="CPT134" s="64"/>
      <c r="CPU134" s="64"/>
      <c r="CPV134" s="64"/>
      <c r="CPW134" s="64"/>
      <c r="CPX134" s="64"/>
      <c r="CPY134" s="64"/>
      <c r="CPZ134" s="64"/>
      <c r="CQA134" s="64"/>
      <c r="CQB134" s="64"/>
      <c r="CQC134" s="64"/>
      <c r="CQD134" s="64"/>
      <c r="CQE134" s="64"/>
      <c r="CQF134" s="64"/>
      <c r="CQG134" s="64"/>
      <c r="CQH134" s="64"/>
      <c r="CQI134" s="64"/>
      <c r="CQJ134" s="64"/>
      <c r="CQK134" s="64"/>
      <c r="CQL134" s="64"/>
      <c r="CQM134" s="64"/>
      <c r="CQN134" s="64"/>
      <c r="CQO134" s="64"/>
      <c r="CQP134" s="64"/>
      <c r="CQQ134" s="64"/>
      <c r="CQR134" s="64"/>
      <c r="CQS134" s="64"/>
      <c r="CQT134" s="64"/>
      <c r="CQU134" s="64"/>
      <c r="CQV134" s="64"/>
      <c r="CQW134" s="64"/>
      <c r="CQX134" s="64"/>
      <c r="CQY134" s="64"/>
      <c r="CQZ134" s="64"/>
      <c r="CRA134" s="64"/>
      <c r="CRB134" s="64"/>
      <c r="CRC134" s="64"/>
      <c r="CRD134" s="64"/>
      <c r="CRE134" s="64"/>
      <c r="CRF134" s="64"/>
      <c r="CRG134" s="64"/>
      <c r="CRH134" s="64"/>
      <c r="CRI134" s="64"/>
      <c r="CRJ134" s="64"/>
      <c r="CRK134" s="64"/>
      <c r="CRL134" s="64"/>
      <c r="CRM134" s="64"/>
      <c r="CRN134" s="64"/>
      <c r="CRO134" s="64"/>
      <c r="CRP134" s="64"/>
      <c r="CRQ134" s="64"/>
      <c r="CRR134" s="64"/>
      <c r="CRS134" s="64"/>
      <c r="CRT134" s="64"/>
      <c r="CRU134" s="64"/>
      <c r="CRV134" s="64"/>
      <c r="CRW134" s="64"/>
      <c r="CRX134" s="64"/>
      <c r="CRY134" s="64"/>
      <c r="CRZ134" s="64"/>
      <c r="CSA134" s="64"/>
      <c r="CSB134" s="64"/>
      <c r="CSC134" s="64"/>
      <c r="CSD134" s="64"/>
      <c r="CSE134" s="64"/>
      <c r="CSF134" s="64"/>
      <c r="CSG134" s="64"/>
      <c r="CSH134" s="64"/>
      <c r="CSI134" s="64"/>
      <c r="CSJ134" s="64"/>
      <c r="CSK134" s="64"/>
      <c r="CSL134" s="64"/>
      <c r="CSM134" s="64"/>
      <c r="CSN134" s="64"/>
      <c r="CSO134" s="64"/>
      <c r="CSP134" s="64"/>
      <c r="CSQ134" s="64"/>
      <c r="CSR134" s="64"/>
      <c r="CSS134" s="64"/>
      <c r="CST134" s="64"/>
      <c r="CSU134" s="64"/>
      <c r="CSV134" s="64"/>
      <c r="CSW134" s="64"/>
      <c r="CSX134" s="64"/>
      <c r="CSY134" s="64"/>
      <c r="CSZ134" s="64"/>
      <c r="CTA134" s="64"/>
      <c r="CTB134" s="64"/>
      <c r="CTC134" s="64"/>
      <c r="CTD134" s="64"/>
      <c r="CTE134" s="64"/>
      <c r="CTF134" s="64"/>
      <c r="CTG134" s="64"/>
      <c r="CTH134" s="64"/>
      <c r="CTI134" s="64"/>
      <c r="CTJ134" s="64"/>
      <c r="CTK134" s="64"/>
      <c r="CTL134" s="64"/>
      <c r="CTM134" s="64"/>
      <c r="CTN134" s="64"/>
      <c r="CTO134" s="64"/>
      <c r="CTP134" s="64"/>
      <c r="CTQ134" s="64"/>
      <c r="CTR134" s="64"/>
      <c r="CTS134" s="64"/>
      <c r="CTT134" s="64"/>
      <c r="CTU134" s="64"/>
      <c r="CTV134" s="64"/>
      <c r="CTW134" s="64"/>
      <c r="CTX134" s="64"/>
      <c r="CTY134" s="64"/>
      <c r="CTZ134" s="64"/>
      <c r="CUA134" s="64"/>
      <c r="CUB134" s="64"/>
      <c r="CUC134" s="64"/>
      <c r="CUD134" s="64"/>
      <c r="CUE134" s="64"/>
      <c r="CUF134" s="64"/>
      <c r="CUG134" s="64"/>
      <c r="CUH134" s="64"/>
      <c r="CUI134" s="64"/>
      <c r="CUJ134" s="64"/>
      <c r="CUK134" s="64"/>
      <c r="CUL134" s="64"/>
      <c r="CUM134" s="64"/>
      <c r="CUN134" s="64"/>
      <c r="CUO134" s="64"/>
      <c r="CUP134" s="64"/>
      <c r="CUQ134" s="64"/>
      <c r="CUR134" s="64"/>
      <c r="CUS134" s="64"/>
      <c r="CUT134" s="64"/>
      <c r="CUU134" s="64"/>
      <c r="CUV134" s="64"/>
      <c r="CUW134" s="64"/>
      <c r="CUX134" s="64"/>
      <c r="CUY134" s="64"/>
      <c r="CUZ134" s="64"/>
      <c r="CVA134" s="64"/>
      <c r="CVB134" s="64"/>
      <c r="CVC134" s="64"/>
      <c r="CVD134" s="64"/>
      <c r="CVE134" s="64"/>
      <c r="CVF134" s="64"/>
      <c r="CVG134" s="64"/>
      <c r="CVH134" s="64"/>
      <c r="CVI134" s="64"/>
      <c r="CVJ134" s="64"/>
      <c r="CVK134" s="64"/>
      <c r="CVL134" s="64"/>
      <c r="CVM134" s="64"/>
      <c r="CVN134" s="64"/>
      <c r="CVO134" s="64"/>
      <c r="CVP134" s="64"/>
      <c r="CVQ134" s="64"/>
      <c r="CVR134" s="64"/>
      <c r="CVS134" s="64"/>
      <c r="CVT134" s="64"/>
      <c r="CVU134" s="64"/>
      <c r="CVV134" s="64"/>
      <c r="CVW134" s="64"/>
      <c r="CVX134" s="64"/>
      <c r="CVY134" s="64"/>
      <c r="CVZ134" s="64"/>
      <c r="CWA134" s="64"/>
      <c r="CWB134" s="64"/>
      <c r="CWC134" s="64"/>
      <c r="CWD134" s="64"/>
      <c r="CWE134" s="64"/>
      <c r="CWF134" s="64"/>
      <c r="CWG134" s="64"/>
      <c r="CWH134" s="64"/>
      <c r="CWI134" s="64"/>
      <c r="CWJ134" s="64"/>
      <c r="CWK134" s="64"/>
      <c r="CWL134" s="64"/>
      <c r="CWM134" s="64"/>
      <c r="CWN134" s="64"/>
      <c r="CWO134" s="64"/>
      <c r="CWP134" s="64"/>
      <c r="CWQ134" s="64"/>
      <c r="CWR134" s="64"/>
      <c r="CWS134" s="64"/>
      <c r="CWT134" s="64"/>
      <c r="CWU134" s="64"/>
      <c r="CWV134" s="64"/>
      <c r="CWW134" s="64"/>
      <c r="CWX134" s="64"/>
      <c r="CWY134" s="64"/>
      <c r="CWZ134" s="64"/>
      <c r="CXA134" s="64"/>
      <c r="CXB134" s="64"/>
      <c r="CXC134" s="64"/>
      <c r="CXD134" s="64"/>
      <c r="CXE134" s="64"/>
      <c r="CXF134" s="64"/>
      <c r="CXG134" s="64"/>
      <c r="CXH134" s="64"/>
      <c r="CXI134" s="64"/>
      <c r="CXJ134" s="64"/>
      <c r="CXK134" s="64"/>
      <c r="CXL134" s="64"/>
      <c r="CXM134" s="64"/>
      <c r="CXN134" s="64"/>
      <c r="CXO134" s="64"/>
      <c r="CXP134" s="64"/>
      <c r="CXQ134" s="64"/>
      <c r="CXR134" s="64"/>
      <c r="CXS134" s="64"/>
      <c r="CXT134" s="64"/>
      <c r="CXU134" s="64"/>
      <c r="CXV134" s="64"/>
      <c r="CXW134" s="64"/>
      <c r="CXX134" s="64"/>
      <c r="CXY134" s="64"/>
      <c r="CXZ134" s="64"/>
      <c r="CYA134" s="64"/>
      <c r="CYB134" s="64"/>
      <c r="CYC134" s="64"/>
      <c r="CYD134" s="64"/>
      <c r="CYE134" s="64"/>
      <c r="CYF134" s="64"/>
      <c r="CYG134" s="64"/>
      <c r="CYH134" s="64"/>
      <c r="CYI134" s="64"/>
      <c r="CYJ134" s="64"/>
      <c r="CYK134" s="64"/>
      <c r="CYL134" s="64"/>
      <c r="CYM134" s="64"/>
      <c r="CYN134" s="64"/>
      <c r="CYO134" s="64"/>
      <c r="CYP134" s="64"/>
      <c r="CYQ134" s="64"/>
      <c r="CYR134" s="64"/>
      <c r="CYS134" s="64"/>
      <c r="CYT134" s="64"/>
      <c r="CYU134" s="64"/>
      <c r="CYV134" s="64"/>
      <c r="CYW134" s="64"/>
      <c r="CYX134" s="64"/>
      <c r="CYY134" s="64"/>
      <c r="CYZ134" s="64"/>
      <c r="CZA134" s="64"/>
      <c r="CZB134" s="64"/>
      <c r="CZC134" s="64"/>
      <c r="CZD134" s="64"/>
      <c r="CZE134" s="64"/>
      <c r="CZF134" s="64"/>
      <c r="CZG134" s="64"/>
      <c r="CZH134" s="64"/>
      <c r="CZI134" s="64"/>
      <c r="CZJ134" s="64"/>
      <c r="CZK134" s="64"/>
      <c r="CZL134" s="64"/>
      <c r="CZM134" s="64"/>
      <c r="CZN134" s="64"/>
      <c r="CZO134" s="64"/>
      <c r="CZP134" s="64"/>
      <c r="CZQ134" s="64"/>
      <c r="CZR134" s="64"/>
      <c r="CZS134" s="64"/>
      <c r="CZT134" s="64"/>
      <c r="CZU134" s="64"/>
      <c r="CZV134" s="64"/>
      <c r="CZW134" s="64"/>
      <c r="CZX134" s="64"/>
      <c r="CZY134" s="64"/>
      <c r="CZZ134" s="64"/>
      <c r="DAA134" s="64"/>
      <c r="DAB134" s="64"/>
      <c r="DAC134" s="64"/>
      <c r="DAD134" s="64"/>
      <c r="DAE134" s="64"/>
      <c r="DAF134" s="64"/>
      <c r="DAG134" s="64"/>
      <c r="DAH134" s="64"/>
      <c r="DAI134" s="64"/>
      <c r="DAJ134" s="64"/>
      <c r="DAK134" s="64"/>
      <c r="DAL134" s="64"/>
      <c r="DAM134" s="64"/>
      <c r="DAN134" s="64"/>
      <c r="DAO134" s="64"/>
      <c r="DAP134" s="64"/>
      <c r="DAQ134" s="64"/>
      <c r="DAR134" s="64"/>
      <c r="DAS134" s="64"/>
      <c r="DAT134" s="64"/>
      <c r="DAU134" s="64"/>
      <c r="DAV134" s="64"/>
      <c r="DAW134" s="64"/>
      <c r="DAX134" s="64"/>
      <c r="DAY134" s="64"/>
      <c r="DAZ134" s="64"/>
      <c r="DBA134" s="64"/>
      <c r="DBB134" s="64"/>
      <c r="DBC134" s="64"/>
      <c r="DBD134" s="64"/>
      <c r="DBE134" s="64"/>
      <c r="DBF134" s="64"/>
      <c r="DBG134" s="64"/>
      <c r="DBH134" s="64"/>
      <c r="DBI134" s="64"/>
      <c r="DBJ134" s="64"/>
      <c r="DBK134" s="64"/>
      <c r="DBL134" s="64"/>
      <c r="DBM134" s="64"/>
      <c r="DBN134" s="64"/>
      <c r="DBO134" s="64"/>
      <c r="DBP134" s="64"/>
      <c r="DBQ134" s="64"/>
      <c r="DBR134" s="64"/>
      <c r="DBS134" s="64"/>
      <c r="DBT134" s="64"/>
      <c r="DBU134" s="64"/>
      <c r="DBV134" s="64"/>
      <c r="DBW134" s="64"/>
      <c r="DBX134" s="64"/>
      <c r="DBY134" s="64"/>
      <c r="DBZ134" s="64"/>
      <c r="DCA134" s="64"/>
      <c r="DCB134" s="64"/>
      <c r="DCC134" s="64"/>
      <c r="DCD134" s="64"/>
      <c r="DCE134" s="64"/>
      <c r="DCF134" s="64"/>
      <c r="DCG134" s="64"/>
      <c r="DCH134" s="64"/>
      <c r="DCI134" s="64"/>
      <c r="DCJ134" s="64"/>
      <c r="DCK134" s="64"/>
      <c r="DCL134" s="64"/>
      <c r="DCM134" s="64"/>
      <c r="DCN134" s="64"/>
      <c r="DCO134" s="64"/>
      <c r="DCP134" s="64"/>
      <c r="DCQ134" s="64"/>
      <c r="DCR134" s="64"/>
      <c r="DCS134" s="64"/>
      <c r="DCT134" s="64"/>
      <c r="DCU134" s="64"/>
      <c r="DCV134" s="64"/>
      <c r="DCW134" s="64"/>
      <c r="DCX134" s="64"/>
      <c r="DCY134" s="64"/>
      <c r="DCZ134" s="64"/>
      <c r="DDA134" s="64"/>
      <c r="DDB134" s="64"/>
      <c r="DDC134" s="64"/>
      <c r="DDD134" s="64"/>
      <c r="DDE134" s="64"/>
      <c r="DDF134" s="64"/>
      <c r="DDG134" s="64"/>
      <c r="DDH134" s="64"/>
      <c r="DDI134" s="64"/>
      <c r="DDJ134" s="64"/>
      <c r="DDK134" s="64"/>
      <c r="DDL134" s="64"/>
      <c r="DDM134" s="64"/>
      <c r="DDN134" s="64"/>
      <c r="DDO134" s="64"/>
      <c r="DDP134" s="64"/>
      <c r="DDQ134" s="64"/>
      <c r="DDR134" s="64"/>
      <c r="DDS134" s="64"/>
      <c r="DDT134" s="64"/>
      <c r="DDU134" s="64"/>
      <c r="DDV134" s="64"/>
      <c r="DDW134" s="64"/>
      <c r="DDX134" s="64"/>
      <c r="DDY134" s="64"/>
      <c r="DDZ134" s="64"/>
      <c r="DEA134" s="64"/>
      <c r="DEB134" s="64"/>
      <c r="DEC134" s="64"/>
      <c r="DED134" s="64"/>
      <c r="DEE134" s="64"/>
      <c r="DEF134" s="64"/>
      <c r="DEG134" s="64"/>
      <c r="DEH134" s="64"/>
      <c r="DEI134" s="64"/>
      <c r="DEJ134" s="64"/>
      <c r="DEK134" s="64"/>
      <c r="DEL134" s="64"/>
      <c r="DEM134" s="64"/>
      <c r="DEN134" s="64"/>
      <c r="DEO134" s="64"/>
      <c r="DEP134" s="64"/>
      <c r="DEQ134" s="64"/>
      <c r="DER134" s="64"/>
      <c r="DES134" s="64"/>
      <c r="DET134" s="64"/>
      <c r="DEU134" s="64"/>
      <c r="DEV134" s="64"/>
      <c r="DEW134" s="64"/>
      <c r="DEX134" s="64"/>
      <c r="DEY134" s="64"/>
      <c r="DEZ134" s="64"/>
      <c r="DFA134" s="64"/>
      <c r="DFB134" s="64"/>
      <c r="DFC134" s="64"/>
      <c r="DFD134" s="64"/>
      <c r="DFE134" s="64"/>
      <c r="DFF134" s="64"/>
      <c r="DFG134" s="64"/>
      <c r="DFH134" s="64"/>
      <c r="DFI134" s="64"/>
      <c r="DFJ134" s="64"/>
      <c r="DFK134" s="64"/>
      <c r="DFL134" s="64"/>
      <c r="DFM134" s="64"/>
      <c r="DFN134" s="64"/>
      <c r="DFO134" s="64"/>
      <c r="DFP134" s="64"/>
      <c r="DFQ134" s="64"/>
      <c r="DFR134" s="64"/>
      <c r="DFS134" s="64"/>
      <c r="DFT134" s="64"/>
      <c r="DFU134" s="64"/>
      <c r="DFV134" s="64"/>
      <c r="DFW134" s="64"/>
      <c r="DFX134" s="64"/>
      <c r="DFY134" s="64"/>
      <c r="DFZ134" s="64"/>
      <c r="DGA134" s="64"/>
      <c r="DGB134" s="64"/>
      <c r="DGC134" s="64"/>
      <c r="DGD134" s="64"/>
      <c r="DGE134" s="64"/>
      <c r="DGF134" s="64"/>
      <c r="DGG134" s="64"/>
      <c r="DGH134" s="64"/>
      <c r="DGI134" s="64"/>
      <c r="DGJ134" s="64"/>
      <c r="DGK134" s="64"/>
      <c r="DGL134" s="64"/>
      <c r="DGM134" s="64"/>
      <c r="DGN134" s="64"/>
      <c r="DGO134" s="64"/>
      <c r="DGP134" s="64"/>
      <c r="DGQ134" s="64"/>
      <c r="DGR134" s="64"/>
      <c r="DGS134" s="64"/>
      <c r="DGT134" s="64"/>
      <c r="DGU134" s="64"/>
      <c r="DGV134" s="64"/>
      <c r="DGW134" s="64"/>
      <c r="DGX134" s="64"/>
      <c r="DGY134" s="64"/>
      <c r="DGZ134" s="64"/>
      <c r="DHA134" s="64"/>
      <c r="DHB134" s="64"/>
      <c r="DHC134" s="64"/>
      <c r="DHD134" s="64"/>
      <c r="DHE134" s="64"/>
      <c r="DHF134" s="64"/>
      <c r="DHG134" s="64"/>
      <c r="DHH134" s="64"/>
      <c r="DHI134" s="64"/>
      <c r="DHJ134" s="64"/>
      <c r="DHK134" s="64"/>
      <c r="DHL134" s="64"/>
      <c r="DHM134" s="64"/>
      <c r="DHN134" s="64"/>
      <c r="DHO134" s="64"/>
      <c r="DHP134" s="64"/>
      <c r="DHQ134" s="64"/>
      <c r="DHR134" s="64"/>
      <c r="DHS134" s="64"/>
      <c r="DHT134" s="64"/>
      <c r="DHU134" s="64"/>
      <c r="DHV134" s="64"/>
      <c r="DHW134" s="64"/>
      <c r="DHX134" s="64"/>
      <c r="DHY134" s="64"/>
      <c r="DHZ134" s="64"/>
      <c r="DIA134" s="64"/>
      <c r="DIB134" s="64"/>
      <c r="DIC134" s="64"/>
      <c r="DID134" s="64"/>
      <c r="DIE134" s="64"/>
      <c r="DIF134" s="64"/>
      <c r="DIG134" s="64"/>
      <c r="DIH134" s="64"/>
      <c r="DII134" s="64"/>
      <c r="DIJ134" s="64"/>
      <c r="DIK134" s="64"/>
      <c r="DIL134" s="64"/>
      <c r="DIM134" s="64"/>
      <c r="DIN134" s="64"/>
      <c r="DIO134" s="64"/>
      <c r="DIP134" s="64"/>
      <c r="DIQ134" s="64"/>
      <c r="DIR134" s="64"/>
      <c r="DIS134" s="64"/>
      <c r="DIT134" s="64"/>
      <c r="DIU134" s="64"/>
      <c r="DIV134" s="64"/>
      <c r="DIW134" s="64"/>
      <c r="DIX134" s="64"/>
      <c r="DIY134" s="64"/>
      <c r="DIZ134" s="64"/>
      <c r="DJA134" s="64"/>
      <c r="DJB134" s="64"/>
      <c r="DJC134" s="64"/>
      <c r="DJD134" s="64"/>
      <c r="DJE134" s="64"/>
      <c r="DJF134" s="64"/>
      <c r="DJG134" s="64"/>
      <c r="DJH134" s="64"/>
      <c r="DJI134" s="64"/>
      <c r="DJJ134" s="64"/>
      <c r="DJK134" s="64"/>
      <c r="DJL134" s="64"/>
      <c r="DJM134" s="64"/>
      <c r="DJN134" s="64"/>
      <c r="DJO134" s="64"/>
      <c r="DJP134" s="64"/>
      <c r="DJQ134" s="64"/>
      <c r="DJR134" s="64"/>
      <c r="DJS134" s="64"/>
      <c r="DJT134" s="64"/>
      <c r="DJU134" s="64"/>
      <c r="DJV134" s="64"/>
      <c r="DJW134" s="64"/>
      <c r="DJX134" s="64"/>
      <c r="DJY134" s="64"/>
      <c r="DJZ134" s="64"/>
      <c r="DKA134" s="64"/>
      <c r="DKB134" s="64"/>
      <c r="DKC134" s="64"/>
      <c r="DKD134" s="64"/>
      <c r="DKE134" s="64"/>
      <c r="DKF134" s="64"/>
      <c r="DKG134" s="64"/>
      <c r="DKH134" s="64"/>
      <c r="DKI134" s="64"/>
      <c r="DKJ134" s="64"/>
      <c r="DKK134" s="64"/>
      <c r="DKL134" s="64"/>
      <c r="DKM134" s="64"/>
      <c r="DKN134" s="64"/>
      <c r="DKO134" s="64"/>
      <c r="DKP134" s="64"/>
      <c r="DKQ134" s="64"/>
      <c r="DKR134" s="64"/>
      <c r="DKS134" s="64"/>
      <c r="DKT134" s="64"/>
      <c r="DKU134" s="64"/>
      <c r="DKV134" s="64"/>
      <c r="DKW134" s="64"/>
      <c r="DKX134" s="64"/>
      <c r="DKY134" s="64"/>
      <c r="DKZ134" s="64"/>
      <c r="DLA134" s="64"/>
      <c r="DLB134" s="64"/>
      <c r="DLC134" s="64"/>
      <c r="DLD134" s="64"/>
      <c r="DLE134" s="64"/>
      <c r="DLF134" s="64"/>
      <c r="DLG134" s="64"/>
      <c r="DLH134" s="64"/>
      <c r="DLI134" s="64"/>
      <c r="DLJ134" s="64"/>
      <c r="DLK134" s="64"/>
      <c r="DLL134" s="64"/>
      <c r="DLM134" s="64"/>
      <c r="DLN134" s="64"/>
      <c r="DLO134" s="64"/>
      <c r="DLP134" s="64"/>
      <c r="DLQ134" s="64"/>
      <c r="DLR134" s="64"/>
      <c r="DLS134" s="64"/>
      <c r="DLT134" s="64"/>
      <c r="DLU134" s="64"/>
      <c r="DLV134" s="64"/>
      <c r="DLW134" s="64"/>
      <c r="DLX134" s="64"/>
      <c r="DLY134" s="64"/>
      <c r="DLZ134" s="64"/>
      <c r="DMA134" s="64"/>
      <c r="DMB134" s="64"/>
      <c r="DMC134" s="64"/>
      <c r="DMD134" s="64"/>
      <c r="DME134" s="64"/>
      <c r="DMF134" s="64"/>
      <c r="DMG134" s="64"/>
      <c r="DMH134" s="64"/>
      <c r="DMI134" s="64"/>
      <c r="DMJ134" s="64"/>
      <c r="DMK134" s="64"/>
      <c r="DML134" s="64"/>
      <c r="DMM134" s="64"/>
      <c r="DMN134" s="64"/>
      <c r="DMO134" s="64"/>
      <c r="DMP134" s="64"/>
      <c r="DMQ134" s="64"/>
      <c r="DMR134" s="64"/>
      <c r="DMS134" s="64"/>
      <c r="DMT134" s="64"/>
      <c r="DMU134" s="64"/>
      <c r="DMV134" s="64"/>
      <c r="DMW134" s="64"/>
      <c r="DMX134" s="64"/>
      <c r="DMY134" s="64"/>
      <c r="DMZ134" s="64"/>
      <c r="DNA134" s="64"/>
      <c r="DNB134" s="64"/>
      <c r="DNC134" s="64"/>
      <c r="DND134" s="64"/>
      <c r="DNE134" s="64"/>
      <c r="DNF134" s="64"/>
      <c r="DNG134" s="64"/>
      <c r="DNH134" s="64"/>
      <c r="DNI134" s="64"/>
      <c r="DNJ134" s="64"/>
      <c r="DNK134" s="64"/>
      <c r="DNL134" s="64"/>
      <c r="DNM134" s="64"/>
      <c r="DNN134" s="64"/>
      <c r="DNO134" s="64"/>
      <c r="DNP134" s="64"/>
      <c r="DNQ134" s="64"/>
      <c r="DNR134" s="64"/>
      <c r="DNS134" s="64"/>
      <c r="DNT134" s="64"/>
      <c r="DNU134" s="64"/>
      <c r="DNV134" s="64"/>
      <c r="DNW134" s="64"/>
      <c r="DNX134" s="64"/>
      <c r="DNY134" s="64"/>
      <c r="DNZ134" s="64"/>
      <c r="DOA134" s="64"/>
      <c r="DOB134" s="64"/>
      <c r="DOC134" s="64"/>
      <c r="DOD134" s="64"/>
      <c r="DOE134" s="64"/>
      <c r="DOF134" s="64"/>
      <c r="DOG134" s="64"/>
      <c r="DOH134" s="64"/>
      <c r="DOI134" s="64"/>
      <c r="DOJ134" s="64"/>
      <c r="DOK134" s="64"/>
      <c r="DOL134" s="64"/>
      <c r="DOM134" s="64"/>
      <c r="DON134" s="64"/>
      <c r="DOO134" s="64"/>
      <c r="DOP134" s="64"/>
      <c r="DOQ134" s="64"/>
      <c r="DOR134" s="64"/>
      <c r="DOS134" s="64"/>
      <c r="DOT134" s="64"/>
      <c r="DOU134" s="64"/>
      <c r="DOV134" s="64"/>
      <c r="DOW134" s="64"/>
      <c r="DOX134" s="64"/>
      <c r="DOY134" s="64"/>
      <c r="DOZ134" s="64"/>
      <c r="DPA134" s="64"/>
      <c r="DPB134" s="64"/>
      <c r="DPC134" s="64"/>
      <c r="DPD134" s="64"/>
      <c r="DPE134" s="64"/>
      <c r="DPF134" s="64"/>
      <c r="DPG134" s="64"/>
      <c r="DPH134" s="64"/>
      <c r="DPI134" s="64"/>
      <c r="DPJ134" s="64"/>
      <c r="DPK134" s="64"/>
      <c r="DPL134" s="64"/>
      <c r="DPM134" s="64"/>
      <c r="DPN134" s="64"/>
      <c r="DPO134" s="64"/>
      <c r="DPP134" s="64"/>
      <c r="DPQ134" s="64"/>
      <c r="DPR134" s="64"/>
      <c r="DPS134" s="64"/>
      <c r="DPT134" s="64"/>
      <c r="DPU134" s="64"/>
      <c r="DPV134" s="64"/>
      <c r="DPW134" s="64"/>
      <c r="DPX134" s="64"/>
      <c r="DPY134" s="64"/>
      <c r="DPZ134" s="64"/>
      <c r="DQA134" s="64"/>
      <c r="DQB134" s="64"/>
      <c r="DQC134" s="64"/>
      <c r="DQD134" s="64"/>
      <c r="DQE134" s="64"/>
      <c r="DQF134" s="64"/>
      <c r="DQG134" s="64"/>
      <c r="DQH134" s="64"/>
      <c r="DQI134" s="64"/>
      <c r="DQJ134" s="64"/>
      <c r="DQK134" s="64"/>
      <c r="DQL134" s="64"/>
      <c r="DQM134" s="64"/>
      <c r="DQN134" s="64"/>
      <c r="DQO134" s="64"/>
      <c r="DQP134" s="64"/>
      <c r="DQQ134" s="64"/>
      <c r="DQR134" s="64"/>
      <c r="DQS134" s="64"/>
      <c r="DQT134" s="64"/>
      <c r="DQU134" s="64"/>
      <c r="DQV134" s="64"/>
      <c r="DQW134" s="64"/>
      <c r="DQX134" s="64"/>
      <c r="DQY134" s="64"/>
      <c r="DQZ134" s="64"/>
      <c r="DRA134" s="64"/>
      <c r="DRB134" s="64"/>
      <c r="DRC134" s="64"/>
      <c r="DRD134" s="64"/>
      <c r="DRE134" s="64"/>
      <c r="DRF134" s="64"/>
      <c r="DRG134" s="64"/>
      <c r="DRH134" s="64"/>
      <c r="DRI134" s="64"/>
      <c r="DRJ134" s="64"/>
      <c r="DRK134" s="64"/>
      <c r="DRL134" s="64"/>
      <c r="DRM134" s="64"/>
      <c r="DRN134" s="64"/>
      <c r="DRO134" s="64"/>
      <c r="DRP134" s="64"/>
      <c r="DRQ134" s="64"/>
      <c r="DRR134" s="64"/>
      <c r="DRS134" s="64"/>
      <c r="DRT134" s="64"/>
      <c r="DRU134" s="64"/>
      <c r="DRV134" s="64"/>
      <c r="DRW134" s="64"/>
      <c r="DRX134" s="64"/>
      <c r="DRY134" s="64"/>
      <c r="DRZ134" s="64"/>
      <c r="DSA134" s="64"/>
      <c r="DSB134" s="64"/>
      <c r="DSC134" s="64"/>
      <c r="DSD134" s="64"/>
      <c r="DSE134" s="64"/>
      <c r="DSF134" s="64"/>
      <c r="DSG134" s="64"/>
      <c r="DSH134" s="64"/>
      <c r="DSI134" s="64"/>
      <c r="DSJ134" s="64"/>
      <c r="DSK134" s="64"/>
      <c r="DSL134" s="64"/>
      <c r="DSM134" s="64"/>
      <c r="DSN134" s="64"/>
      <c r="DSO134" s="64"/>
      <c r="DSP134" s="64"/>
      <c r="DSQ134" s="64"/>
      <c r="DSR134" s="64"/>
      <c r="DSS134" s="64"/>
      <c r="DST134" s="64"/>
      <c r="DSU134" s="64"/>
      <c r="DSV134" s="64"/>
      <c r="DSW134" s="64"/>
      <c r="DSX134" s="64"/>
      <c r="DSY134" s="64"/>
      <c r="DSZ134" s="64"/>
      <c r="DTA134" s="64"/>
      <c r="DTB134" s="64"/>
      <c r="DTC134" s="64"/>
      <c r="DTD134" s="64"/>
      <c r="DTE134" s="64"/>
      <c r="DTF134" s="64"/>
      <c r="DTG134" s="64"/>
      <c r="DTH134" s="64"/>
      <c r="DTI134" s="64"/>
      <c r="DTJ134" s="64"/>
      <c r="DTK134" s="64"/>
      <c r="DTL134" s="64"/>
      <c r="DTM134" s="64"/>
      <c r="DTN134" s="64"/>
      <c r="DTO134" s="64"/>
      <c r="DTP134" s="64"/>
      <c r="DTQ134" s="64"/>
      <c r="DTR134" s="64"/>
      <c r="DTS134" s="64"/>
      <c r="DTT134" s="64"/>
      <c r="DTU134" s="64"/>
      <c r="DTV134" s="64"/>
      <c r="DTW134" s="64"/>
      <c r="DTX134" s="64"/>
      <c r="DTY134" s="64"/>
      <c r="DTZ134" s="64"/>
      <c r="DUA134" s="64"/>
      <c r="DUB134" s="64"/>
      <c r="DUC134" s="64"/>
      <c r="DUD134" s="64"/>
      <c r="DUE134" s="64"/>
      <c r="DUF134" s="64"/>
      <c r="DUG134" s="64"/>
      <c r="DUH134" s="64"/>
      <c r="DUI134" s="64"/>
      <c r="DUJ134" s="64"/>
      <c r="DUK134" s="64"/>
      <c r="DUL134" s="64"/>
      <c r="DUM134" s="64"/>
      <c r="DUN134" s="64"/>
      <c r="DUO134" s="64"/>
      <c r="DUP134" s="64"/>
      <c r="DUQ134" s="64"/>
      <c r="DUR134" s="64"/>
      <c r="DUS134" s="64"/>
      <c r="DUT134" s="64"/>
      <c r="DUU134" s="64"/>
      <c r="DUV134" s="64"/>
      <c r="DUW134" s="64"/>
      <c r="DUX134" s="64"/>
      <c r="DUY134" s="64"/>
      <c r="DUZ134" s="64"/>
      <c r="DVA134" s="64"/>
      <c r="DVB134" s="64"/>
      <c r="DVC134" s="64"/>
      <c r="DVD134" s="64"/>
      <c r="DVE134" s="64"/>
      <c r="DVF134" s="64"/>
      <c r="DVG134" s="64"/>
      <c r="DVH134" s="64"/>
      <c r="DVI134" s="64"/>
      <c r="DVJ134" s="64"/>
      <c r="DVK134" s="64"/>
      <c r="DVL134" s="64"/>
      <c r="DVM134" s="64"/>
      <c r="DVN134" s="64"/>
      <c r="DVO134" s="64"/>
      <c r="DVP134" s="64"/>
      <c r="DVQ134" s="64"/>
      <c r="DVR134" s="64"/>
      <c r="DVS134" s="64"/>
      <c r="DVT134" s="64"/>
      <c r="DVU134" s="64"/>
      <c r="DVV134" s="64"/>
      <c r="DVW134" s="64"/>
      <c r="DVX134" s="64"/>
      <c r="DVY134" s="64"/>
      <c r="DVZ134" s="64"/>
      <c r="DWA134" s="64"/>
      <c r="DWB134" s="64"/>
      <c r="DWC134" s="64"/>
      <c r="DWD134" s="64"/>
      <c r="DWE134" s="64"/>
      <c r="DWF134" s="64"/>
      <c r="DWG134" s="64"/>
      <c r="DWH134" s="64"/>
      <c r="DWI134" s="64"/>
      <c r="DWJ134" s="64"/>
      <c r="DWK134" s="64"/>
      <c r="DWL134" s="64"/>
      <c r="DWM134" s="64"/>
      <c r="DWN134" s="64"/>
      <c r="DWO134" s="64"/>
      <c r="DWP134" s="64"/>
      <c r="DWQ134" s="64"/>
      <c r="DWR134" s="64"/>
      <c r="DWS134" s="64"/>
      <c r="DWT134" s="64"/>
      <c r="DWU134" s="64"/>
      <c r="DWV134" s="64"/>
      <c r="DWW134" s="64"/>
      <c r="DWX134" s="64"/>
      <c r="DWY134" s="64"/>
      <c r="DWZ134" s="64"/>
      <c r="DXA134" s="64"/>
      <c r="DXB134" s="64"/>
      <c r="DXC134" s="64"/>
      <c r="DXD134" s="64"/>
      <c r="DXE134" s="64"/>
      <c r="DXF134" s="64"/>
      <c r="DXG134" s="64"/>
      <c r="DXH134" s="64"/>
      <c r="DXI134" s="64"/>
      <c r="DXJ134" s="64"/>
      <c r="DXK134" s="64"/>
      <c r="DXL134" s="64"/>
      <c r="DXM134" s="64"/>
      <c r="DXN134" s="64"/>
      <c r="DXO134" s="64"/>
      <c r="DXP134" s="64"/>
      <c r="DXQ134" s="64"/>
      <c r="DXR134" s="64"/>
      <c r="DXS134" s="64"/>
      <c r="DXT134" s="64"/>
      <c r="DXU134" s="64"/>
      <c r="DXV134" s="64"/>
      <c r="DXW134" s="64"/>
      <c r="DXX134" s="64"/>
      <c r="DXY134" s="64"/>
      <c r="DXZ134" s="64"/>
      <c r="DYA134" s="64"/>
      <c r="DYB134" s="64"/>
      <c r="DYC134" s="64"/>
      <c r="DYD134" s="64"/>
      <c r="DYE134" s="64"/>
      <c r="DYF134" s="64"/>
      <c r="DYG134" s="64"/>
      <c r="DYH134" s="64"/>
      <c r="DYI134" s="64"/>
      <c r="DYJ134" s="64"/>
      <c r="DYK134" s="64"/>
      <c r="DYL134" s="64"/>
      <c r="DYM134" s="64"/>
      <c r="DYN134" s="64"/>
      <c r="DYO134" s="64"/>
      <c r="DYP134" s="64"/>
      <c r="DYQ134" s="64"/>
      <c r="DYR134" s="64"/>
      <c r="DYS134" s="64"/>
      <c r="DYT134" s="64"/>
      <c r="DYU134" s="64"/>
      <c r="DYV134" s="64"/>
      <c r="DYW134" s="64"/>
      <c r="DYX134" s="64"/>
      <c r="DYY134" s="64"/>
      <c r="DYZ134" s="64"/>
      <c r="DZA134" s="64"/>
      <c r="DZB134" s="64"/>
      <c r="DZC134" s="64"/>
      <c r="DZD134" s="64"/>
      <c r="DZE134" s="64"/>
      <c r="DZF134" s="64"/>
      <c r="DZG134" s="64"/>
      <c r="DZH134" s="64"/>
      <c r="DZI134" s="64"/>
      <c r="DZJ134" s="64"/>
      <c r="DZK134" s="64"/>
      <c r="DZL134" s="64"/>
      <c r="DZM134" s="64"/>
      <c r="DZN134" s="64"/>
      <c r="DZO134" s="64"/>
      <c r="DZP134" s="64"/>
      <c r="DZQ134" s="64"/>
      <c r="DZR134" s="64"/>
      <c r="DZS134" s="64"/>
      <c r="DZT134" s="64"/>
      <c r="DZU134" s="64"/>
      <c r="DZV134" s="64"/>
      <c r="DZW134" s="64"/>
      <c r="DZX134" s="64"/>
      <c r="DZY134" s="64"/>
      <c r="DZZ134" s="64"/>
      <c r="EAA134" s="64"/>
      <c r="EAB134" s="64"/>
      <c r="EAC134" s="64"/>
      <c r="EAD134" s="64"/>
      <c r="EAE134" s="64"/>
      <c r="EAF134" s="64"/>
      <c r="EAG134" s="64"/>
      <c r="EAH134" s="64"/>
      <c r="EAI134" s="64"/>
      <c r="EAJ134" s="64"/>
      <c r="EAK134" s="64"/>
      <c r="EAL134" s="64"/>
      <c r="EAM134" s="64"/>
      <c r="EAN134" s="64"/>
      <c r="EAO134" s="64"/>
      <c r="EAP134" s="64"/>
      <c r="EAQ134" s="64"/>
      <c r="EAR134" s="64"/>
      <c r="EAS134" s="64"/>
      <c r="EAT134" s="64"/>
      <c r="EAU134" s="64"/>
      <c r="EAV134" s="64"/>
      <c r="EAW134" s="64"/>
      <c r="EAX134" s="64"/>
      <c r="EAY134" s="64"/>
      <c r="EAZ134" s="64"/>
      <c r="EBA134" s="64"/>
      <c r="EBB134" s="64"/>
      <c r="EBC134" s="64"/>
      <c r="EBD134" s="64"/>
      <c r="EBE134" s="64"/>
      <c r="EBF134" s="64"/>
      <c r="EBG134" s="64"/>
      <c r="EBH134" s="64"/>
      <c r="EBI134" s="64"/>
      <c r="EBJ134" s="64"/>
      <c r="EBK134" s="64"/>
      <c r="EBL134" s="64"/>
      <c r="EBM134" s="64"/>
      <c r="EBN134" s="64"/>
      <c r="EBO134" s="64"/>
      <c r="EBP134" s="64"/>
      <c r="EBQ134" s="64"/>
      <c r="EBR134" s="64"/>
      <c r="EBS134" s="64"/>
      <c r="EBT134" s="64"/>
      <c r="EBU134" s="64"/>
      <c r="EBV134" s="64"/>
      <c r="EBW134" s="64"/>
      <c r="EBX134" s="64"/>
      <c r="EBY134" s="64"/>
      <c r="EBZ134" s="64"/>
      <c r="ECA134" s="64"/>
      <c r="ECB134" s="64"/>
      <c r="ECC134" s="64"/>
      <c r="ECD134" s="64"/>
      <c r="ECE134" s="64"/>
      <c r="ECF134" s="64"/>
      <c r="ECG134" s="64"/>
      <c r="ECH134" s="64"/>
      <c r="ECI134" s="64"/>
      <c r="ECJ134" s="64"/>
      <c r="ECK134" s="64"/>
      <c r="ECL134" s="64"/>
      <c r="ECM134" s="64"/>
      <c r="ECN134" s="64"/>
      <c r="ECO134" s="64"/>
      <c r="ECP134" s="64"/>
      <c r="ECQ134" s="64"/>
      <c r="ECR134" s="64"/>
      <c r="ECS134" s="64"/>
      <c r="ECT134" s="64"/>
      <c r="ECU134" s="64"/>
      <c r="ECV134" s="64"/>
      <c r="ECW134" s="64"/>
      <c r="ECX134" s="64"/>
      <c r="ECY134" s="64"/>
      <c r="ECZ134" s="64"/>
      <c r="EDA134" s="64"/>
      <c r="EDB134" s="64"/>
      <c r="EDC134" s="64"/>
      <c r="EDD134" s="64"/>
      <c r="EDE134" s="64"/>
      <c r="EDF134" s="64"/>
      <c r="EDG134" s="64"/>
      <c r="EDH134" s="64"/>
      <c r="EDI134" s="64"/>
      <c r="EDJ134" s="64"/>
      <c r="EDK134" s="64"/>
      <c r="EDL134" s="64"/>
      <c r="EDM134" s="64"/>
      <c r="EDN134" s="64"/>
      <c r="EDO134" s="64"/>
      <c r="EDP134" s="64"/>
      <c r="EDQ134" s="64"/>
      <c r="EDR134" s="64"/>
      <c r="EDS134" s="64"/>
      <c r="EDT134" s="64"/>
      <c r="EDU134" s="64"/>
      <c r="EDV134" s="64"/>
      <c r="EDW134" s="64"/>
      <c r="EDX134" s="64"/>
      <c r="EDY134" s="64"/>
      <c r="EDZ134" s="64"/>
      <c r="EEA134" s="64"/>
      <c r="EEB134" s="64"/>
      <c r="EEC134" s="64"/>
      <c r="EED134" s="64"/>
      <c r="EEE134" s="64"/>
      <c r="EEF134" s="64"/>
      <c r="EEG134" s="64"/>
      <c r="EEH134" s="64"/>
      <c r="EEI134" s="64"/>
      <c r="EEJ134" s="64"/>
      <c r="EEK134" s="64"/>
      <c r="EEL134" s="64"/>
      <c r="EEM134" s="64"/>
      <c r="EEN134" s="64"/>
      <c r="EEO134" s="64"/>
      <c r="EEP134" s="64"/>
      <c r="EEQ134" s="64"/>
      <c r="EER134" s="64"/>
      <c r="EES134" s="64"/>
      <c r="EET134" s="64"/>
      <c r="EEU134" s="64"/>
      <c r="EEV134" s="64"/>
      <c r="EEW134" s="64"/>
      <c r="EEX134" s="64"/>
      <c r="EEY134" s="64"/>
      <c r="EEZ134" s="64"/>
      <c r="EFA134" s="64"/>
      <c r="EFB134" s="64"/>
      <c r="EFC134" s="64"/>
      <c r="EFD134" s="64"/>
      <c r="EFE134" s="64"/>
      <c r="EFF134" s="64"/>
      <c r="EFG134" s="64"/>
      <c r="EFH134" s="64"/>
      <c r="EFI134" s="64"/>
      <c r="EFJ134" s="64"/>
      <c r="EFK134" s="64"/>
      <c r="EFL134" s="64"/>
      <c r="EFM134" s="64"/>
      <c r="EFN134" s="64"/>
      <c r="EFO134" s="64"/>
      <c r="EFP134" s="64"/>
      <c r="EFQ134" s="64"/>
      <c r="EFR134" s="64"/>
      <c r="EFS134" s="64"/>
      <c r="EFT134" s="64"/>
      <c r="EFU134" s="64"/>
      <c r="EFV134" s="64"/>
      <c r="EFW134" s="64"/>
      <c r="EFX134" s="64"/>
      <c r="EFY134" s="64"/>
      <c r="EFZ134" s="64"/>
      <c r="EGA134" s="64"/>
      <c r="EGB134" s="64"/>
      <c r="EGC134" s="64"/>
      <c r="EGD134" s="64"/>
      <c r="EGE134" s="64"/>
      <c r="EGF134" s="64"/>
      <c r="EGG134" s="64"/>
      <c r="EGH134" s="64"/>
      <c r="EGI134" s="64"/>
      <c r="EGJ134" s="64"/>
      <c r="EGK134" s="64"/>
      <c r="EGL134" s="64"/>
      <c r="EGM134" s="64"/>
      <c r="EGN134" s="64"/>
      <c r="EGO134" s="64"/>
      <c r="EGP134" s="64"/>
      <c r="EGQ134" s="64"/>
      <c r="EGR134" s="64"/>
      <c r="EGS134" s="64"/>
      <c r="EGT134" s="64"/>
      <c r="EGU134" s="64"/>
      <c r="EGV134" s="64"/>
      <c r="EGW134" s="64"/>
      <c r="EGX134" s="64"/>
      <c r="EGY134" s="64"/>
      <c r="EGZ134" s="64"/>
      <c r="EHA134" s="64"/>
      <c r="EHB134" s="64"/>
      <c r="EHC134" s="64"/>
      <c r="EHD134" s="64"/>
      <c r="EHE134" s="64"/>
      <c r="EHF134" s="64"/>
      <c r="EHG134" s="64"/>
      <c r="EHH134" s="64"/>
      <c r="EHI134" s="64"/>
      <c r="EHJ134" s="64"/>
      <c r="EHK134" s="64"/>
      <c r="EHL134" s="64"/>
      <c r="EHM134" s="64"/>
      <c r="EHN134" s="64"/>
      <c r="EHO134" s="64"/>
      <c r="EHP134" s="64"/>
      <c r="EHQ134" s="64"/>
      <c r="EHR134" s="64"/>
      <c r="EHS134" s="64"/>
      <c r="EHT134" s="64"/>
      <c r="EHU134" s="64"/>
      <c r="EHV134" s="64"/>
      <c r="EHW134" s="64"/>
      <c r="EHX134" s="64"/>
      <c r="EHY134" s="64"/>
      <c r="EHZ134" s="64"/>
      <c r="EIA134" s="64"/>
      <c r="EIB134" s="64"/>
      <c r="EIC134" s="64"/>
      <c r="EID134" s="64"/>
      <c r="EIE134" s="64"/>
      <c r="EIF134" s="64"/>
      <c r="EIG134" s="64"/>
      <c r="EIH134" s="64"/>
      <c r="EII134" s="64"/>
      <c r="EIJ134" s="64"/>
      <c r="EIK134" s="64"/>
      <c r="EIL134" s="64"/>
      <c r="EIM134" s="64"/>
      <c r="EIN134" s="64"/>
      <c r="EIO134" s="64"/>
      <c r="EIP134" s="64"/>
      <c r="EIQ134" s="64"/>
      <c r="EIR134" s="64"/>
      <c r="EIS134" s="64"/>
      <c r="EIT134" s="64"/>
      <c r="EIU134" s="64"/>
      <c r="EIV134" s="64"/>
      <c r="EIW134" s="64"/>
      <c r="EIX134" s="64"/>
      <c r="EIY134" s="64"/>
      <c r="EIZ134" s="64"/>
      <c r="EJA134" s="64"/>
      <c r="EJB134" s="64"/>
      <c r="EJC134" s="64"/>
      <c r="EJD134" s="64"/>
      <c r="EJE134" s="64"/>
      <c r="EJF134" s="64"/>
      <c r="EJG134" s="64"/>
      <c r="EJH134" s="64"/>
      <c r="EJI134" s="64"/>
      <c r="EJJ134" s="64"/>
      <c r="EJK134" s="64"/>
      <c r="EJL134" s="64"/>
      <c r="EJM134" s="64"/>
      <c r="EJN134" s="64"/>
      <c r="EJO134" s="64"/>
      <c r="EJP134" s="64"/>
      <c r="EJQ134" s="64"/>
      <c r="EJR134" s="64"/>
      <c r="EJS134" s="64"/>
      <c r="EJT134" s="64"/>
      <c r="EJU134" s="64"/>
      <c r="EJV134" s="64"/>
      <c r="EJW134" s="64"/>
      <c r="EJX134" s="64"/>
      <c r="EJY134" s="64"/>
      <c r="EJZ134" s="64"/>
      <c r="EKA134" s="64"/>
      <c r="EKB134" s="64"/>
      <c r="EKC134" s="64"/>
      <c r="EKD134" s="64"/>
      <c r="EKE134" s="64"/>
      <c r="EKF134" s="64"/>
      <c r="EKG134" s="64"/>
      <c r="EKH134" s="64"/>
      <c r="EKI134" s="64"/>
      <c r="EKJ134" s="64"/>
      <c r="EKK134" s="64"/>
      <c r="EKL134" s="64"/>
      <c r="EKM134" s="64"/>
      <c r="EKN134" s="64"/>
      <c r="EKO134" s="64"/>
      <c r="EKP134" s="64"/>
      <c r="EKQ134" s="64"/>
      <c r="EKR134" s="64"/>
      <c r="EKS134" s="64"/>
      <c r="EKT134" s="64"/>
      <c r="EKU134" s="64"/>
      <c r="EKV134" s="64"/>
      <c r="EKW134" s="64"/>
      <c r="EKX134" s="64"/>
      <c r="EKY134" s="64"/>
      <c r="EKZ134" s="64"/>
      <c r="ELA134" s="64"/>
      <c r="ELB134" s="64"/>
      <c r="ELC134" s="64"/>
      <c r="ELD134" s="64"/>
      <c r="ELE134" s="64"/>
      <c r="ELF134" s="64"/>
      <c r="ELG134" s="64"/>
      <c r="ELH134" s="64"/>
      <c r="ELI134" s="64"/>
      <c r="ELJ134" s="64"/>
      <c r="ELK134" s="64"/>
      <c r="ELL134" s="64"/>
      <c r="ELM134" s="64"/>
      <c r="ELN134" s="64"/>
      <c r="ELO134" s="64"/>
      <c r="ELP134" s="64"/>
      <c r="ELQ134" s="64"/>
      <c r="ELR134" s="64"/>
      <c r="ELS134" s="64"/>
      <c r="ELT134" s="64"/>
      <c r="ELU134" s="64"/>
      <c r="ELV134" s="64"/>
      <c r="ELW134" s="64"/>
      <c r="ELX134" s="64"/>
      <c r="ELY134" s="64"/>
      <c r="ELZ134" s="64"/>
      <c r="EMA134" s="64"/>
      <c r="EMB134" s="64"/>
      <c r="EMC134" s="64"/>
      <c r="EMD134" s="64"/>
      <c r="EME134" s="64"/>
      <c r="EMF134" s="64"/>
      <c r="EMG134" s="64"/>
      <c r="EMH134" s="64"/>
      <c r="EMI134" s="64"/>
      <c r="EMJ134" s="64"/>
      <c r="EMK134" s="64"/>
      <c r="EML134" s="64"/>
      <c r="EMM134" s="64"/>
      <c r="EMN134" s="64"/>
      <c r="EMO134" s="64"/>
      <c r="EMP134" s="64"/>
      <c r="EMQ134" s="64"/>
      <c r="EMR134" s="64"/>
      <c r="EMS134" s="64"/>
      <c r="EMT134" s="64"/>
      <c r="EMU134" s="64"/>
      <c r="EMV134" s="64"/>
      <c r="EMW134" s="64"/>
      <c r="EMX134" s="64"/>
      <c r="EMY134" s="64"/>
      <c r="EMZ134" s="64"/>
      <c r="ENA134" s="64"/>
      <c r="ENB134" s="64"/>
      <c r="ENC134" s="64"/>
      <c r="END134" s="64"/>
      <c r="ENE134" s="64"/>
      <c r="ENF134" s="64"/>
      <c r="ENG134" s="64"/>
      <c r="ENH134" s="64"/>
      <c r="ENI134" s="64"/>
      <c r="ENJ134" s="64"/>
      <c r="ENK134" s="64"/>
      <c r="ENL134" s="64"/>
      <c r="ENM134" s="64"/>
      <c r="ENN134" s="64"/>
      <c r="ENO134" s="64"/>
      <c r="ENP134" s="64"/>
      <c r="ENQ134" s="64"/>
      <c r="ENR134" s="64"/>
      <c r="ENS134" s="64"/>
      <c r="ENT134" s="64"/>
      <c r="ENU134" s="64"/>
      <c r="ENV134" s="64"/>
      <c r="ENW134" s="64"/>
      <c r="ENX134" s="64"/>
      <c r="ENY134" s="64"/>
      <c r="ENZ134" s="64"/>
      <c r="EOA134" s="64"/>
      <c r="EOB134" s="64"/>
      <c r="EOC134" s="64"/>
      <c r="EOD134" s="64"/>
      <c r="EOE134" s="64"/>
      <c r="EOF134" s="64"/>
      <c r="EOG134" s="64"/>
      <c r="EOH134" s="64"/>
      <c r="EOI134" s="64"/>
      <c r="EOJ134" s="64"/>
      <c r="EOK134" s="64"/>
      <c r="EOL134" s="64"/>
      <c r="EOM134" s="64"/>
      <c r="EON134" s="64"/>
      <c r="EOO134" s="64"/>
      <c r="EOP134" s="64"/>
      <c r="EOQ134" s="64"/>
      <c r="EOR134" s="64"/>
      <c r="EOS134" s="64"/>
      <c r="EOT134" s="64"/>
      <c r="EOU134" s="64"/>
      <c r="EOV134" s="64"/>
      <c r="EOW134" s="64"/>
      <c r="EOX134" s="64"/>
      <c r="EOY134" s="64"/>
      <c r="EOZ134" s="64"/>
      <c r="EPA134" s="64"/>
      <c r="EPB134" s="64"/>
      <c r="EPC134" s="64"/>
      <c r="EPD134" s="64"/>
      <c r="EPE134" s="64"/>
      <c r="EPF134" s="64"/>
      <c r="EPG134" s="64"/>
      <c r="EPH134" s="64"/>
      <c r="EPI134" s="64"/>
      <c r="EPJ134" s="64"/>
      <c r="EPK134" s="64"/>
      <c r="EPL134" s="64"/>
      <c r="EPM134" s="64"/>
      <c r="EPN134" s="64"/>
      <c r="EPO134" s="64"/>
      <c r="EPP134" s="64"/>
      <c r="EPQ134" s="64"/>
      <c r="EPR134" s="64"/>
      <c r="EPS134" s="64"/>
      <c r="EPT134" s="64"/>
      <c r="EPU134" s="64"/>
      <c r="EPV134" s="64"/>
      <c r="EPW134" s="64"/>
      <c r="EPX134" s="64"/>
      <c r="EPY134" s="64"/>
      <c r="EPZ134" s="64"/>
      <c r="EQA134" s="64"/>
      <c r="EQB134" s="64"/>
      <c r="EQC134" s="64"/>
      <c r="EQD134" s="64"/>
      <c r="EQE134" s="64"/>
      <c r="EQF134" s="64"/>
      <c r="EQG134" s="64"/>
      <c r="EQH134" s="64"/>
      <c r="EQI134" s="64"/>
      <c r="EQJ134" s="64"/>
      <c r="EQK134" s="64"/>
      <c r="EQL134" s="64"/>
      <c r="EQM134" s="64"/>
      <c r="EQN134" s="64"/>
      <c r="EQO134" s="64"/>
      <c r="EQP134" s="64"/>
      <c r="EQQ134" s="64"/>
      <c r="EQR134" s="64"/>
      <c r="EQS134" s="64"/>
      <c r="EQT134" s="64"/>
      <c r="EQU134" s="64"/>
      <c r="EQV134" s="64"/>
      <c r="EQW134" s="64"/>
      <c r="EQX134" s="64"/>
      <c r="EQY134" s="64"/>
      <c r="EQZ134" s="64"/>
      <c r="ERA134" s="64"/>
      <c r="ERB134" s="64"/>
      <c r="ERC134" s="64"/>
      <c r="ERD134" s="64"/>
      <c r="ERE134" s="64"/>
      <c r="ERF134" s="64"/>
      <c r="ERG134" s="64"/>
      <c r="ERH134" s="64"/>
      <c r="ERI134" s="64"/>
      <c r="ERJ134" s="64"/>
      <c r="ERK134" s="64"/>
      <c r="ERL134" s="64"/>
      <c r="ERM134" s="64"/>
      <c r="ERN134" s="64"/>
      <c r="ERO134" s="64"/>
      <c r="ERP134" s="64"/>
      <c r="ERQ134" s="64"/>
      <c r="ERR134" s="64"/>
      <c r="ERS134" s="64"/>
      <c r="ERT134" s="64"/>
      <c r="ERU134" s="64"/>
      <c r="ERV134" s="64"/>
      <c r="ERW134" s="64"/>
      <c r="ERX134" s="64"/>
      <c r="ERY134" s="64"/>
      <c r="ERZ134" s="64"/>
      <c r="ESA134" s="64"/>
      <c r="ESB134" s="64"/>
      <c r="ESC134" s="64"/>
      <c r="ESD134" s="64"/>
      <c r="ESE134" s="64"/>
      <c r="ESF134" s="64"/>
      <c r="ESG134" s="64"/>
      <c r="ESH134" s="64"/>
      <c r="ESI134" s="64"/>
      <c r="ESJ134" s="64"/>
      <c r="ESK134" s="64"/>
      <c r="ESL134" s="64"/>
      <c r="ESM134" s="64"/>
      <c r="ESN134" s="64"/>
      <c r="ESO134" s="64"/>
      <c r="ESP134" s="64"/>
      <c r="ESQ134" s="64"/>
      <c r="ESR134" s="64"/>
      <c r="ESS134" s="64"/>
      <c r="EST134" s="64"/>
      <c r="ESU134" s="64"/>
      <c r="ESV134" s="64"/>
      <c r="ESW134" s="64"/>
      <c r="ESX134" s="64"/>
      <c r="ESY134" s="64"/>
      <c r="ESZ134" s="64"/>
      <c r="ETA134" s="64"/>
      <c r="ETB134" s="64"/>
      <c r="ETC134" s="64"/>
      <c r="ETD134" s="64"/>
      <c r="ETE134" s="64"/>
      <c r="ETF134" s="64"/>
      <c r="ETG134" s="64"/>
      <c r="ETH134" s="64"/>
      <c r="ETI134" s="64"/>
      <c r="ETJ134" s="64"/>
      <c r="ETK134" s="64"/>
      <c r="ETL134" s="64"/>
      <c r="ETM134" s="64"/>
      <c r="ETN134" s="64"/>
      <c r="ETO134" s="64"/>
      <c r="ETP134" s="64"/>
      <c r="ETQ134" s="64"/>
      <c r="ETR134" s="64"/>
      <c r="ETS134" s="64"/>
      <c r="ETT134" s="64"/>
      <c r="ETU134" s="64"/>
      <c r="ETV134" s="64"/>
      <c r="ETW134" s="64"/>
      <c r="ETX134" s="64"/>
      <c r="ETY134" s="64"/>
      <c r="ETZ134" s="64"/>
      <c r="EUA134" s="64"/>
      <c r="EUB134" s="64"/>
      <c r="EUC134" s="64"/>
      <c r="EUD134" s="64"/>
      <c r="EUE134" s="64"/>
      <c r="EUF134" s="64"/>
      <c r="EUG134" s="64"/>
      <c r="EUH134" s="64"/>
      <c r="EUI134" s="64"/>
      <c r="EUJ134" s="64"/>
      <c r="EUK134" s="64"/>
      <c r="EUL134" s="64"/>
      <c r="EUM134" s="64"/>
      <c r="EUN134" s="64"/>
      <c r="EUO134" s="64"/>
      <c r="EUP134" s="64"/>
      <c r="EUQ134" s="64"/>
      <c r="EUR134" s="64"/>
      <c r="EUS134" s="64"/>
      <c r="EUT134" s="64"/>
      <c r="EUU134" s="64"/>
      <c r="EUV134" s="64"/>
      <c r="EUW134" s="64"/>
      <c r="EUX134" s="64"/>
      <c r="EUY134" s="64"/>
      <c r="EUZ134" s="64"/>
      <c r="EVA134" s="64"/>
      <c r="EVB134" s="64"/>
      <c r="EVC134" s="64"/>
      <c r="EVD134" s="64"/>
      <c r="EVE134" s="64"/>
      <c r="EVF134" s="64"/>
      <c r="EVG134" s="64"/>
      <c r="EVH134" s="64"/>
      <c r="EVI134" s="64"/>
      <c r="EVJ134" s="64"/>
      <c r="EVK134" s="64"/>
      <c r="EVL134" s="64"/>
      <c r="EVM134" s="64"/>
      <c r="EVN134" s="64"/>
      <c r="EVO134" s="64"/>
      <c r="EVP134" s="64"/>
      <c r="EVQ134" s="64"/>
      <c r="EVR134" s="64"/>
      <c r="EVS134" s="64"/>
      <c r="EVT134" s="64"/>
      <c r="EVU134" s="64"/>
      <c r="EVV134" s="64"/>
      <c r="EVW134" s="64"/>
      <c r="EVX134" s="64"/>
      <c r="EVY134" s="64"/>
      <c r="EVZ134" s="64"/>
      <c r="EWA134" s="64"/>
      <c r="EWB134" s="64"/>
      <c r="EWC134" s="64"/>
      <c r="EWD134" s="64"/>
      <c r="EWE134" s="64"/>
      <c r="EWF134" s="64"/>
      <c r="EWG134" s="64"/>
      <c r="EWH134" s="64"/>
      <c r="EWI134" s="64"/>
      <c r="EWJ134" s="64"/>
      <c r="EWK134" s="64"/>
      <c r="EWL134" s="64"/>
      <c r="EWM134" s="64"/>
      <c r="EWN134" s="64"/>
      <c r="EWO134" s="64"/>
      <c r="EWP134" s="64"/>
      <c r="EWQ134" s="64"/>
      <c r="EWR134" s="64"/>
      <c r="EWS134" s="64"/>
      <c r="EWT134" s="64"/>
      <c r="EWU134" s="64"/>
      <c r="EWV134" s="64"/>
      <c r="EWW134" s="64"/>
      <c r="EWX134" s="64"/>
      <c r="EWY134" s="64"/>
      <c r="EWZ134" s="64"/>
      <c r="EXA134" s="64"/>
      <c r="EXB134" s="64"/>
      <c r="EXC134" s="64"/>
      <c r="EXD134" s="64"/>
      <c r="EXE134" s="64"/>
      <c r="EXF134" s="64"/>
      <c r="EXG134" s="64"/>
      <c r="EXH134" s="64"/>
      <c r="EXI134" s="64"/>
      <c r="EXJ134" s="64"/>
      <c r="EXK134" s="64"/>
      <c r="EXL134" s="64"/>
      <c r="EXM134" s="64"/>
      <c r="EXN134" s="64"/>
      <c r="EXO134" s="64"/>
      <c r="EXP134" s="64"/>
      <c r="EXQ134" s="64"/>
      <c r="EXR134" s="64"/>
      <c r="EXS134" s="64"/>
      <c r="EXT134" s="64"/>
      <c r="EXU134" s="64"/>
      <c r="EXV134" s="64"/>
      <c r="EXW134" s="64"/>
      <c r="EXX134" s="64"/>
      <c r="EXY134" s="64"/>
      <c r="EXZ134" s="64"/>
      <c r="EYA134" s="64"/>
      <c r="EYB134" s="64"/>
      <c r="EYC134" s="64"/>
      <c r="EYD134" s="64"/>
      <c r="EYE134" s="64"/>
      <c r="EYF134" s="64"/>
      <c r="EYG134" s="64"/>
      <c r="EYH134" s="64"/>
      <c r="EYI134" s="64"/>
      <c r="EYJ134" s="64"/>
      <c r="EYK134" s="64"/>
      <c r="EYL134" s="64"/>
      <c r="EYM134" s="64"/>
      <c r="EYN134" s="64"/>
      <c r="EYO134" s="64"/>
      <c r="EYP134" s="64"/>
      <c r="EYQ134" s="64"/>
      <c r="EYR134" s="64"/>
      <c r="EYS134" s="64"/>
      <c r="EYT134" s="64"/>
      <c r="EYU134" s="64"/>
      <c r="EYV134" s="64"/>
      <c r="EYW134" s="64"/>
      <c r="EYX134" s="64"/>
      <c r="EYY134" s="64"/>
      <c r="EYZ134" s="64"/>
      <c r="EZA134" s="64"/>
      <c r="EZB134" s="64"/>
      <c r="EZC134" s="64"/>
      <c r="EZD134" s="64"/>
      <c r="EZE134" s="64"/>
      <c r="EZF134" s="64"/>
      <c r="EZG134" s="64"/>
      <c r="EZH134" s="64"/>
      <c r="EZI134" s="64"/>
      <c r="EZJ134" s="64"/>
      <c r="EZK134" s="64"/>
      <c r="EZL134" s="64"/>
      <c r="EZM134" s="64"/>
      <c r="EZN134" s="64"/>
      <c r="EZO134" s="64"/>
      <c r="EZP134" s="64"/>
      <c r="EZQ134" s="64"/>
      <c r="EZR134" s="64"/>
      <c r="EZS134" s="64"/>
      <c r="EZT134" s="64"/>
      <c r="EZU134" s="64"/>
      <c r="EZV134" s="64"/>
      <c r="EZW134" s="64"/>
      <c r="EZX134" s="64"/>
      <c r="EZY134" s="64"/>
      <c r="EZZ134" s="64"/>
      <c r="FAA134" s="64"/>
      <c r="FAB134" s="64"/>
      <c r="FAC134" s="64"/>
      <c r="FAD134" s="64"/>
      <c r="FAE134" s="64"/>
      <c r="FAF134" s="64"/>
      <c r="FAG134" s="64"/>
      <c r="FAH134" s="64"/>
      <c r="FAI134" s="64"/>
      <c r="FAJ134" s="64"/>
      <c r="FAK134" s="64"/>
      <c r="FAL134" s="64"/>
      <c r="FAM134" s="64"/>
      <c r="FAN134" s="64"/>
      <c r="FAO134" s="64"/>
      <c r="FAP134" s="64"/>
      <c r="FAQ134" s="64"/>
      <c r="FAR134" s="64"/>
      <c r="FAS134" s="64"/>
      <c r="FAT134" s="64"/>
      <c r="FAU134" s="64"/>
      <c r="FAV134" s="64"/>
      <c r="FAW134" s="64"/>
      <c r="FAX134" s="64"/>
      <c r="FAY134" s="64"/>
      <c r="FAZ134" s="64"/>
      <c r="FBA134" s="64"/>
      <c r="FBB134" s="64"/>
      <c r="FBC134" s="64"/>
      <c r="FBD134" s="64"/>
      <c r="FBE134" s="64"/>
      <c r="FBF134" s="64"/>
      <c r="FBG134" s="64"/>
      <c r="FBH134" s="64"/>
      <c r="FBI134" s="64"/>
      <c r="FBJ134" s="64"/>
      <c r="FBK134" s="64"/>
      <c r="FBL134" s="64"/>
      <c r="FBM134" s="64"/>
      <c r="FBN134" s="64"/>
      <c r="FBO134" s="64"/>
      <c r="FBP134" s="64"/>
      <c r="FBQ134" s="64"/>
      <c r="FBR134" s="64"/>
      <c r="FBS134" s="64"/>
      <c r="FBT134" s="64"/>
      <c r="FBU134" s="64"/>
      <c r="FBV134" s="64"/>
      <c r="FBW134" s="64"/>
      <c r="FBX134" s="64"/>
      <c r="FBY134" s="64"/>
      <c r="FBZ134" s="64"/>
      <c r="FCA134" s="64"/>
      <c r="FCB134" s="64"/>
      <c r="FCC134" s="64"/>
      <c r="FCD134" s="64"/>
      <c r="FCE134" s="64"/>
      <c r="FCF134" s="64"/>
      <c r="FCG134" s="64"/>
      <c r="FCH134" s="64"/>
      <c r="FCI134" s="64"/>
      <c r="FCJ134" s="64"/>
      <c r="FCK134" s="64"/>
      <c r="FCL134" s="64"/>
      <c r="FCM134" s="64"/>
      <c r="FCN134" s="64"/>
      <c r="FCO134" s="64"/>
      <c r="FCP134" s="64"/>
      <c r="FCQ134" s="64"/>
      <c r="FCR134" s="64"/>
      <c r="FCS134" s="64"/>
      <c r="FCT134" s="64"/>
      <c r="FCU134" s="64"/>
      <c r="FCV134" s="64"/>
      <c r="FCW134" s="64"/>
      <c r="FCX134" s="64"/>
      <c r="FCY134" s="64"/>
      <c r="FCZ134" s="64"/>
      <c r="FDA134" s="64"/>
      <c r="FDB134" s="64"/>
      <c r="FDC134" s="64"/>
      <c r="FDD134" s="64"/>
      <c r="FDE134" s="64"/>
      <c r="FDF134" s="64"/>
      <c r="FDG134" s="64"/>
      <c r="FDH134" s="64"/>
      <c r="FDI134" s="64"/>
      <c r="FDJ134" s="64"/>
      <c r="FDK134" s="64"/>
      <c r="FDL134" s="64"/>
      <c r="FDM134" s="64"/>
      <c r="FDN134" s="64"/>
      <c r="FDO134" s="64"/>
      <c r="FDP134" s="64"/>
      <c r="FDQ134" s="64"/>
      <c r="FDR134" s="64"/>
      <c r="FDS134" s="64"/>
      <c r="FDT134" s="64"/>
      <c r="FDU134" s="64"/>
      <c r="FDV134" s="64"/>
      <c r="FDW134" s="64"/>
      <c r="FDX134" s="64"/>
      <c r="FDY134" s="64"/>
      <c r="FDZ134" s="64"/>
      <c r="FEA134" s="64"/>
      <c r="FEB134" s="64"/>
      <c r="FEC134" s="64"/>
      <c r="FED134" s="64"/>
      <c r="FEE134" s="64"/>
      <c r="FEF134" s="64"/>
      <c r="FEG134" s="64"/>
      <c r="FEH134" s="64"/>
      <c r="FEI134" s="64"/>
      <c r="FEJ134" s="64"/>
      <c r="FEK134" s="64"/>
      <c r="FEL134" s="64"/>
      <c r="FEM134" s="64"/>
      <c r="FEN134" s="64"/>
      <c r="FEO134" s="64"/>
      <c r="FEP134" s="64"/>
      <c r="FEQ134" s="64"/>
      <c r="FER134" s="64"/>
      <c r="FES134" s="64"/>
      <c r="FET134" s="64"/>
      <c r="FEU134" s="64"/>
      <c r="FEV134" s="64"/>
      <c r="FEW134" s="64"/>
      <c r="FEX134" s="64"/>
      <c r="FEY134" s="64"/>
      <c r="FEZ134" s="64"/>
      <c r="FFA134" s="64"/>
      <c r="FFB134" s="64"/>
      <c r="FFC134" s="64"/>
      <c r="FFD134" s="64"/>
      <c r="FFE134" s="64"/>
      <c r="FFF134" s="64"/>
      <c r="FFG134" s="64"/>
      <c r="FFH134" s="64"/>
      <c r="FFI134" s="64"/>
      <c r="FFJ134" s="64"/>
      <c r="FFK134" s="64"/>
      <c r="FFL134" s="64"/>
      <c r="FFM134" s="64"/>
      <c r="FFN134" s="64"/>
      <c r="FFO134" s="64"/>
      <c r="FFP134" s="64"/>
      <c r="FFQ134" s="64"/>
      <c r="FFR134" s="64"/>
      <c r="FFS134" s="64"/>
      <c r="FFT134" s="64"/>
      <c r="FFU134" s="64"/>
      <c r="FFV134" s="64"/>
      <c r="FFW134" s="64"/>
      <c r="FFX134" s="64"/>
      <c r="FFY134" s="64"/>
      <c r="FFZ134" s="64"/>
      <c r="FGA134" s="64"/>
      <c r="FGB134" s="64"/>
      <c r="FGC134" s="64"/>
      <c r="FGD134" s="64"/>
      <c r="FGE134" s="64"/>
      <c r="FGF134" s="64"/>
      <c r="FGG134" s="64"/>
      <c r="FGH134" s="64"/>
      <c r="FGI134" s="64"/>
      <c r="FGJ134" s="64"/>
      <c r="FGK134" s="64"/>
      <c r="FGL134" s="64"/>
      <c r="FGM134" s="64"/>
      <c r="FGN134" s="64"/>
      <c r="FGO134" s="64"/>
      <c r="FGP134" s="64"/>
      <c r="FGQ134" s="64"/>
      <c r="FGR134" s="64"/>
      <c r="FGS134" s="64"/>
      <c r="FGT134" s="64"/>
      <c r="FGU134" s="64"/>
      <c r="FGV134" s="64"/>
      <c r="FGW134" s="64"/>
      <c r="FGX134" s="64"/>
      <c r="FGY134" s="64"/>
      <c r="FGZ134" s="64"/>
      <c r="FHA134" s="64"/>
      <c r="FHB134" s="64"/>
      <c r="FHC134" s="64"/>
      <c r="FHD134" s="64"/>
      <c r="FHE134" s="64"/>
      <c r="FHF134" s="64"/>
      <c r="FHG134" s="64"/>
      <c r="FHH134" s="64"/>
      <c r="FHI134" s="64"/>
      <c r="FHJ134" s="64"/>
      <c r="FHK134" s="64"/>
      <c r="FHL134" s="64"/>
      <c r="FHM134" s="64"/>
      <c r="FHN134" s="64"/>
      <c r="FHO134" s="64"/>
      <c r="FHP134" s="64"/>
      <c r="FHQ134" s="64"/>
      <c r="FHR134" s="64"/>
      <c r="FHS134" s="64"/>
      <c r="FHT134" s="64"/>
      <c r="FHU134" s="64"/>
      <c r="FHV134" s="64"/>
      <c r="FHW134" s="64"/>
      <c r="FHX134" s="64"/>
      <c r="FHY134" s="64"/>
      <c r="FHZ134" s="64"/>
      <c r="FIA134" s="64"/>
      <c r="FIB134" s="64"/>
      <c r="FIC134" s="64"/>
      <c r="FID134" s="64"/>
      <c r="FIE134" s="64"/>
      <c r="FIF134" s="64"/>
      <c r="FIG134" s="64"/>
      <c r="FIH134" s="64"/>
      <c r="FII134" s="64"/>
      <c r="FIJ134" s="64"/>
      <c r="FIK134" s="64"/>
      <c r="FIL134" s="64"/>
      <c r="FIM134" s="64"/>
      <c r="FIN134" s="64"/>
      <c r="FIO134" s="64"/>
      <c r="FIP134" s="64"/>
      <c r="FIQ134" s="64"/>
      <c r="FIR134" s="64"/>
      <c r="FIS134" s="64"/>
      <c r="FIT134" s="64"/>
      <c r="FIU134" s="64"/>
      <c r="FIV134" s="64"/>
      <c r="FIW134" s="64"/>
      <c r="FIX134" s="64"/>
      <c r="FIY134" s="64"/>
      <c r="FIZ134" s="64"/>
      <c r="FJA134" s="64"/>
      <c r="FJB134" s="64"/>
      <c r="FJC134" s="64"/>
      <c r="FJD134" s="64"/>
      <c r="FJE134" s="64"/>
      <c r="FJF134" s="64"/>
      <c r="FJG134" s="64"/>
      <c r="FJH134" s="64"/>
      <c r="FJI134" s="64"/>
      <c r="FJJ134" s="64"/>
      <c r="FJK134" s="64"/>
      <c r="FJL134" s="64"/>
      <c r="FJM134" s="64"/>
      <c r="FJN134" s="64"/>
      <c r="FJO134" s="64"/>
      <c r="FJP134" s="64"/>
      <c r="FJQ134" s="64"/>
      <c r="FJR134" s="64"/>
      <c r="FJS134" s="64"/>
      <c r="FJT134" s="64"/>
      <c r="FJU134" s="64"/>
      <c r="FJV134" s="64"/>
      <c r="FJW134" s="64"/>
      <c r="FJX134" s="64"/>
      <c r="FJY134" s="64"/>
      <c r="FJZ134" s="64"/>
      <c r="FKA134" s="64"/>
      <c r="FKB134" s="64"/>
      <c r="FKC134" s="64"/>
      <c r="FKD134" s="64"/>
      <c r="FKE134" s="64"/>
      <c r="FKF134" s="64"/>
      <c r="FKG134" s="64"/>
      <c r="FKH134" s="64"/>
      <c r="FKI134" s="64"/>
      <c r="FKJ134" s="64"/>
      <c r="FKK134" s="64"/>
      <c r="FKL134" s="64"/>
      <c r="FKM134" s="64"/>
      <c r="FKN134" s="64"/>
      <c r="FKO134" s="64"/>
      <c r="FKP134" s="64"/>
      <c r="FKQ134" s="64"/>
      <c r="FKR134" s="64"/>
      <c r="FKS134" s="64"/>
      <c r="FKT134" s="64"/>
      <c r="FKU134" s="64"/>
      <c r="FKV134" s="64"/>
      <c r="FKW134" s="64"/>
      <c r="FKX134" s="64"/>
      <c r="FKY134" s="64"/>
      <c r="FKZ134" s="64"/>
      <c r="FLA134" s="64"/>
      <c r="FLB134" s="64"/>
      <c r="FLC134" s="64"/>
      <c r="FLD134" s="64"/>
      <c r="FLE134" s="64"/>
      <c r="FLF134" s="64"/>
      <c r="FLG134" s="64"/>
      <c r="FLH134" s="64"/>
      <c r="FLI134" s="64"/>
      <c r="FLJ134" s="64"/>
      <c r="FLK134" s="64"/>
      <c r="FLL134" s="64"/>
      <c r="FLM134" s="64"/>
      <c r="FLN134" s="64"/>
      <c r="FLO134" s="64"/>
      <c r="FLP134" s="64"/>
      <c r="FLQ134" s="64"/>
      <c r="FLR134" s="64"/>
      <c r="FLS134" s="64"/>
      <c r="FLT134" s="64"/>
      <c r="FLU134" s="64"/>
      <c r="FLV134" s="64"/>
      <c r="FLW134" s="64"/>
      <c r="FLX134" s="64"/>
      <c r="FLY134" s="64"/>
      <c r="FLZ134" s="64"/>
      <c r="FMA134" s="64"/>
      <c r="FMB134" s="64"/>
      <c r="FMC134" s="64"/>
      <c r="FMD134" s="64"/>
      <c r="FME134" s="64"/>
      <c r="FMF134" s="64"/>
      <c r="FMG134" s="64"/>
      <c r="FMH134" s="64"/>
      <c r="FMI134" s="64"/>
      <c r="FMJ134" s="64"/>
      <c r="FMK134" s="64"/>
      <c r="FML134" s="64"/>
      <c r="FMM134" s="64"/>
      <c r="FMN134" s="64"/>
      <c r="FMO134" s="64"/>
      <c r="FMP134" s="64"/>
      <c r="FMQ134" s="64"/>
      <c r="FMR134" s="64"/>
      <c r="FMS134" s="64"/>
      <c r="FMT134" s="64"/>
      <c r="FMU134" s="64"/>
      <c r="FMV134" s="64"/>
      <c r="FMW134" s="64"/>
      <c r="FMX134" s="64"/>
      <c r="FMY134" s="64"/>
      <c r="FMZ134" s="64"/>
      <c r="FNA134" s="64"/>
      <c r="FNB134" s="64"/>
      <c r="FNC134" s="64"/>
      <c r="FND134" s="64"/>
      <c r="FNE134" s="64"/>
      <c r="FNF134" s="64"/>
      <c r="FNG134" s="64"/>
      <c r="FNH134" s="64"/>
      <c r="FNI134" s="64"/>
      <c r="FNJ134" s="64"/>
      <c r="FNK134" s="64"/>
      <c r="FNL134" s="64"/>
      <c r="FNM134" s="64"/>
      <c r="FNN134" s="64"/>
      <c r="FNO134" s="64"/>
      <c r="FNP134" s="64"/>
      <c r="FNQ134" s="64"/>
      <c r="FNR134" s="64"/>
      <c r="FNS134" s="64"/>
      <c r="FNT134" s="64"/>
      <c r="FNU134" s="64"/>
      <c r="FNV134" s="64"/>
      <c r="FNW134" s="64"/>
      <c r="FNX134" s="64"/>
      <c r="FNY134" s="64"/>
      <c r="FNZ134" s="64"/>
      <c r="FOA134" s="64"/>
      <c r="FOB134" s="64"/>
      <c r="FOC134" s="64"/>
      <c r="FOD134" s="64"/>
      <c r="FOE134" s="64"/>
      <c r="FOF134" s="64"/>
      <c r="FOG134" s="64"/>
      <c r="FOH134" s="64"/>
      <c r="FOI134" s="64"/>
      <c r="FOJ134" s="64"/>
      <c r="FOK134" s="64"/>
      <c r="FOL134" s="64"/>
      <c r="FOM134" s="64"/>
      <c r="FON134" s="64"/>
      <c r="FOO134" s="64"/>
      <c r="FOP134" s="64"/>
      <c r="FOQ134" s="64"/>
      <c r="FOR134" s="64"/>
      <c r="FOS134" s="64"/>
      <c r="FOT134" s="64"/>
      <c r="FOU134" s="64"/>
      <c r="FOV134" s="64"/>
      <c r="FOW134" s="64"/>
      <c r="FOX134" s="64"/>
      <c r="FOY134" s="64"/>
      <c r="FOZ134" s="64"/>
      <c r="FPA134" s="64"/>
      <c r="FPB134" s="64"/>
      <c r="FPC134" s="64"/>
      <c r="FPD134" s="64"/>
      <c r="FPE134" s="64"/>
      <c r="FPF134" s="64"/>
      <c r="FPG134" s="64"/>
      <c r="FPH134" s="64"/>
      <c r="FPI134" s="64"/>
      <c r="FPJ134" s="64"/>
      <c r="FPK134" s="64"/>
      <c r="FPL134" s="64"/>
      <c r="FPM134" s="64"/>
      <c r="FPN134" s="64"/>
      <c r="FPO134" s="64"/>
      <c r="FPP134" s="64"/>
      <c r="FPQ134" s="64"/>
      <c r="FPR134" s="64"/>
      <c r="FPS134" s="64"/>
      <c r="FPT134" s="64"/>
      <c r="FPU134" s="64"/>
      <c r="FPV134" s="64"/>
      <c r="FPW134" s="64"/>
      <c r="FPX134" s="64"/>
      <c r="FPY134" s="64"/>
      <c r="FPZ134" s="64"/>
      <c r="FQA134" s="64"/>
      <c r="FQB134" s="64"/>
      <c r="FQC134" s="64"/>
      <c r="FQD134" s="64"/>
      <c r="FQE134" s="64"/>
      <c r="FQF134" s="64"/>
      <c r="FQG134" s="64"/>
      <c r="FQH134" s="64"/>
      <c r="FQI134" s="64"/>
      <c r="FQJ134" s="64"/>
      <c r="FQK134" s="64"/>
      <c r="FQL134" s="64"/>
      <c r="FQM134" s="64"/>
      <c r="FQN134" s="64"/>
      <c r="FQO134" s="64"/>
      <c r="FQP134" s="64"/>
      <c r="FQQ134" s="64"/>
      <c r="FQR134" s="64"/>
      <c r="FQS134" s="64"/>
      <c r="FQT134" s="64"/>
      <c r="FQU134" s="64"/>
      <c r="FQV134" s="64"/>
      <c r="FQW134" s="64"/>
      <c r="FQX134" s="64"/>
      <c r="FQY134" s="64"/>
      <c r="FQZ134" s="64"/>
      <c r="FRA134" s="64"/>
      <c r="FRB134" s="64"/>
      <c r="FRC134" s="64"/>
      <c r="FRD134" s="64"/>
      <c r="FRE134" s="64"/>
      <c r="FRF134" s="64"/>
      <c r="FRG134" s="64"/>
      <c r="FRH134" s="64"/>
      <c r="FRI134" s="64"/>
      <c r="FRJ134" s="64"/>
      <c r="FRK134" s="64"/>
      <c r="FRL134" s="64"/>
      <c r="FRM134" s="64"/>
      <c r="FRN134" s="64"/>
      <c r="FRO134" s="64"/>
      <c r="FRP134" s="64"/>
      <c r="FRQ134" s="64"/>
      <c r="FRR134" s="64"/>
      <c r="FRS134" s="64"/>
      <c r="FRT134" s="64"/>
      <c r="FRU134" s="64"/>
      <c r="FRV134" s="64"/>
      <c r="FRW134" s="64"/>
      <c r="FRX134" s="64"/>
      <c r="FRY134" s="64"/>
      <c r="FRZ134" s="64"/>
      <c r="FSA134" s="64"/>
      <c r="FSB134" s="64"/>
      <c r="FSC134" s="64"/>
      <c r="FSD134" s="64"/>
      <c r="FSE134" s="64"/>
      <c r="FSF134" s="64"/>
      <c r="FSG134" s="64"/>
      <c r="FSH134" s="64"/>
      <c r="FSI134" s="64"/>
      <c r="FSJ134" s="64"/>
      <c r="FSK134" s="64"/>
      <c r="FSL134" s="64"/>
      <c r="FSM134" s="64"/>
      <c r="FSN134" s="64"/>
      <c r="FSO134" s="64"/>
      <c r="FSP134" s="64"/>
      <c r="FSQ134" s="64"/>
      <c r="FSR134" s="64"/>
      <c r="FSS134" s="64"/>
      <c r="FST134" s="64"/>
      <c r="FSU134" s="64"/>
      <c r="FSV134" s="64"/>
      <c r="FSW134" s="64"/>
      <c r="FSX134" s="64"/>
      <c r="FSY134" s="64"/>
      <c r="FSZ134" s="64"/>
      <c r="FTA134" s="64"/>
      <c r="FTB134" s="64"/>
      <c r="FTC134" s="64"/>
      <c r="FTD134" s="64"/>
      <c r="FTE134" s="64"/>
      <c r="FTF134" s="64"/>
      <c r="FTG134" s="64"/>
      <c r="FTH134" s="64"/>
      <c r="FTI134" s="64"/>
      <c r="FTJ134" s="64"/>
      <c r="FTK134" s="64"/>
      <c r="FTL134" s="64"/>
      <c r="FTM134" s="64"/>
      <c r="FTN134" s="64"/>
      <c r="FTO134" s="64"/>
      <c r="FTP134" s="64"/>
      <c r="FTQ134" s="64"/>
      <c r="FTR134" s="64"/>
      <c r="FTS134" s="64"/>
      <c r="FTT134" s="64"/>
      <c r="FTU134" s="64"/>
      <c r="FTV134" s="64"/>
      <c r="FTW134" s="64"/>
      <c r="FTX134" s="64"/>
      <c r="FTY134" s="64"/>
      <c r="FTZ134" s="64"/>
      <c r="FUA134" s="64"/>
      <c r="FUB134" s="64"/>
      <c r="FUC134" s="64"/>
      <c r="FUD134" s="64"/>
      <c r="FUE134" s="64"/>
      <c r="FUF134" s="64"/>
      <c r="FUG134" s="64"/>
      <c r="FUH134" s="64"/>
      <c r="FUI134" s="64"/>
      <c r="FUJ134" s="64"/>
      <c r="FUK134" s="64"/>
      <c r="FUL134" s="64"/>
      <c r="FUM134" s="64"/>
      <c r="FUN134" s="64"/>
      <c r="FUO134" s="64"/>
      <c r="FUP134" s="64"/>
      <c r="FUQ134" s="64"/>
      <c r="FUR134" s="64"/>
      <c r="FUS134" s="64"/>
      <c r="FUT134" s="64"/>
      <c r="FUU134" s="64"/>
      <c r="FUV134" s="64"/>
      <c r="FUW134" s="64"/>
      <c r="FUX134" s="64"/>
      <c r="FUY134" s="64"/>
      <c r="FUZ134" s="64"/>
      <c r="FVA134" s="64"/>
      <c r="FVB134" s="64"/>
      <c r="FVC134" s="64"/>
      <c r="FVD134" s="64"/>
      <c r="FVE134" s="64"/>
      <c r="FVF134" s="64"/>
      <c r="FVG134" s="64"/>
      <c r="FVH134" s="64"/>
      <c r="FVI134" s="64"/>
      <c r="FVJ134" s="64"/>
      <c r="FVK134" s="64"/>
      <c r="FVL134" s="64"/>
      <c r="FVM134" s="64"/>
      <c r="FVN134" s="64"/>
      <c r="FVO134" s="64"/>
      <c r="FVP134" s="64"/>
      <c r="FVQ134" s="64"/>
      <c r="FVR134" s="64"/>
      <c r="FVS134" s="64"/>
      <c r="FVT134" s="64"/>
      <c r="FVU134" s="64"/>
      <c r="FVV134" s="64"/>
      <c r="FVW134" s="64"/>
      <c r="FVX134" s="64"/>
      <c r="FVY134" s="64"/>
      <c r="FVZ134" s="64"/>
      <c r="FWA134" s="64"/>
      <c r="FWB134" s="64"/>
      <c r="FWC134" s="64"/>
      <c r="FWD134" s="64"/>
      <c r="FWE134" s="64"/>
      <c r="FWF134" s="64"/>
      <c r="FWG134" s="64"/>
      <c r="FWH134" s="64"/>
      <c r="FWI134" s="64"/>
      <c r="FWJ134" s="64"/>
      <c r="FWK134" s="64"/>
      <c r="FWL134" s="64"/>
      <c r="FWM134" s="64"/>
      <c r="FWN134" s="64"/>
      <c r="FWO134" s="64"/>
      <c r="FWP134" s="64"/>
      <c r="FWQ134" s="64"/>
      <c r="FWR134" s="64"/>
      <c r="FWS134" s="64"/>
      <c r="FWT134" s="64"/>
      <c r="FWU134" s="64"/>
      <c r="FWV134" s="64"/>
      <c r="FWW134" s="64"/>
      <c r="FWX134" s="64"/>
      <c r="FWY134" s="64"/>
      <c r="FWZ134" s="64"/>
      <c r="FXA134" s="64"/>
      <c r="FXB134" s="64"/>
      <c r="FXC134" s="64"/>
      <c r="FXD134" s="64"/>
      <c r="FXE134" s="64"/>
      <c r="FXF134" s="64"/>
      <c r="FXG134" s="64"/>
      <c r="FXH134" s="64"/>
      <c r="FXI134" s="64"/>
      <c r="FXJ134" s="64"/>
      <c r="FXK134" s="64"/>
      <c r="FXL134" s="64"/>
      <c r="FXM134" s="64"/>
      <c r="FXN134" s="64"/>
      <c r="FXO134" s="64"/>
      <c r="FXP134" s="64"/>
      <c r="FXQ134" s="64"/>
      <c r="FXR134" s="64"/>
      <c r="FXS134" s="64"/>
      <c r="FXT134" s="64"/>
      <c r="FXU134" s="64"/>
      <c r="FXV134" s="64"/>
      <c r="FXW134" s="64"/>
      <c r="FXX134" s="64"/>
      <c r="FXY134" s="64"/>
      <c r="FXZ134" s="64"/>
      <c r="FYA134" s="64"/>
      <c r="FYB134" s="64"/>
      <c r="FYC134" s="64"/>
      <c r="FYD134" s="64"/>
      <c r="FYE134" s="64"/>
      <c r="FYF134" s="64"/>
      <c r="FYG134" s="64"/>
      <c r="FYH134" s="64"/>
      <c r="FYI134" s="64"/>
      <c r="FYJ134" s="64"/>
      <c r="FYK134" s="64"/>
      <c r="FYL134" s="64"/>
      <c r="FYM134" s="64"/>
      <c r="FYN134" s="64"/>
      <c r="FYO134" s="64"/>
      <c r="FYP134" s="64"/>
      <c r="FYQ134" s="64"/>
      <c r="FYR134" s="64"/>
      <c r="FYS134" s="64"/>
      <c r="FYT134" s="64"/>
      <c r="FYU134" s="64"/>
      <c r="FYV134" s="64"/>
      <c r="FYW134" s="64"/>
      <c r="FYX134" s="64"/>
      <c r="FYY134" s="64"/>
      <c r="FYZ134" s="64"/>
      <c r="FZA134" s="64"/>
      <c r="FZB134" s="64"/>
      <c r="FZC134" s="64"/>
      <c r="FZD134" s="64"/>
      <c r="FZE134" s="64"/>
      <c r="FZF134" s="64"/>
      <c r="FZG134" s="64"/>
      <c r="FZH134" s="64"/>
      <c r="FZI134" s="64"/>
      <c r="FZJ134" s="64"/>
      <c r="FZK134" s="64"/>
      <c r="FZL134" s="64"/>
      <c r="FZM134" s="64"/>
      <c r="FZN134" s="64"/>
      <c r="FZO134" s="64"/>
      <c r="FZP134" s="64"/>
      <c r="FZQ134" s="64"/>
      <c r="FZR134" s="64"/>
      <c r="FZS134" s="64"/>
      <c r="FZT134" s="64"/>
      <c r="FZU134" s="64"/>
      <c r="FZV134" s="64"/>
      <c r="FZW134" s="64"/>
      <c r="FZX134" s="64"/>
      <c r="FZY134" s="64"/>
      <c r="FZZ134" s="64"/>
      <c r="GAA134" s="64"/>
      <c r="GAB134" s="64"/>
      <c r="GAC134" s="64"/>
      <c r="GAD134" s="64"/>
      <c r="GAE134" s="64"/>
      <c r="GAF134" s="64"/>
      <c r="GAG134" s="64"/>
      <c r="GAH134" s="64"/>
      <c r="GAI134" s="64"/>
      <c r="GAJ134" s="64"/>
      <c r="GAK134" s="64"/>
      <c r="GAL134" s="64"/>
      <c r="GAM134" s="64"/>
      <c r="GAN134" s="64"/>
      <c r="GAO134" s="64"/>
      <c r="GAP134" s="64"/>
      <c r="GAQ134" s="64"/>
      <c r="GAR134" s="64"/>
      <c r="GAS134" s="64"/>
      <c r="GAT134" s="64"/>
      <c r="GAU134" s="64"/>
      <c r="GAV134" s="64"/>
      <c r="GAW134" s="64"/>
      <c r="GAX134" s="64"/>
      <c r="GAY134" s="64"/>
      <c r="GAZ134" s="64"/>
      <c r="GBA134" s="64"/>
      <c r="GBB134" s="64"/>
      <c r="GBC134" s="64"/>
      <c r="GBD134" s="64"/>
      <c r="GBE134" s="64"/>
      <c r="GBF134" s="64"/>
      <c r="GBG134" s="64"/>
      <c r="GBH134" s="64"/>
      <c r="GBI134" s="64"/>
      <c r="GBJ134" s="64"/>
      <c r="GBK134" s="64"/>
      <c r="GBL134" s="64"/>
      <c r="GBM134" s="64"/>
      <c r="GBN134" s="64"/>
      <c r="GBO134" s="64"/>
      <c r="GBP134" s="64"/>
      <c r="GBQ134" s="64"/>
      <c r="GBR134" s="64"/>
      <c r="GBS134" s="64"/>
      <c r="GBT134" s="64"/>
      <c r="GBU134" s="64"/>
      <c r="GBV134" s="64"/>
      <c r="GBW134" s="64"/>
      <c r="GBX134" s="64"/>
      <c r="GBY134" s="64"/>
      <c r="GBZ134" s="64"/>
      <c r="GCA134" s="64"/>
      <c r="GCB134" s="64"/>
      <c r="GCC134" s="64"/>
      <c r="GCD134" s="64"/>
      <c r="GCE134" s="64"/>
      <c r="GCF134" s="64"/>
      <c r="GCG134" s="64"/>
      <c r="GCH134" s="64"/>
      <c r="GCI134" s="64"/>
      <c r="GCJ134" s="64"/>
      <c r="GCK134" s="64"/>
      <c r="GCL134" s="64"/>
      <c r="GCM134" s="64"/>
      <c r="GCN134" s="64"/>
      <c r="GCO134" s="64"/>
      <c r="GCP134" s="64"/>
      <c r="GCQ134" s="64"/>
      <c r="GCR134" s="64"/>
      <c r="GCS134" s="64"/>
      <c r="GCT134" s="64"/>
      <c r="GCU134" s="64"/>
      <c r="GCV134" s="64"/>
      <c r="GCW134" s="64"/>
      <c r="GCX134" s="64"/>
      <c r="GCY134" s="64"/>
      <c r="GCZ134" s="64"/>
      <c r="GDA134" s="64"/>
      <c r="GDB134" s="64"/>
      <c r="GDC134" s="64"/>
      <c r="GDD134" s="64"/>
      <c r="GDE134" s="64"/>
      <c r="GDF134" s="64"/>
      <c r="GDG134" s="64"/>
      <c r="GDH134" s="64"/>
      <c r="GDI134" s="64"/>
      <c r="GDJ134" s="64"/>
      <c r="GDK134" s="64"/>
      <c r="GDL134" s="64"/>
      <c r="GDM134" s="64"/>
      <c r="GDN134" s="64"/>
      <c r="GDO134" s="64"/>
      <c r="GDP134" s="64"/>
      <c r="GDQ134" s="64"/>
      <c r="GDR134" s="64"/>
      <c r="GDS134" s="64"/>
      <c r="GDT134" s="64"/>
      <c r="GDU134" s="64"/>
      <c r="GDV134" s="64"/>
      <c r="GDW134" s="64"/>
      <c r="GDX134" s="64"/>
      <c r="GDY134" s="64"/>
      <c r="GDZ134" s="64"/>
      <c r="GEA134" s="64"/>
      <c r="GEB134" s="64"/>
      <c r="GEC134" s="64"/>
      <c r="GED134" s="64"/>
      <c r="GEE134" s="64"/>
      <c r="GEF134" s="64"/>
      <c r="GEG134" s="64"/>
      <c r="GEH134" s="64"/>
      <c r="GEI134" s="64"/>
      <c r="GEJ134" s="64"/>
      <c r="GEK134" s="64"/>
      <c r="GEL134" s="64"/>
      <c r="GEM134" s="64"/>
      <c r="GEN134" s="64"/>
      <c r="GEO134" s="64"/>
      <c r="GEP134" s="64"/>
      <c r="GEQ134" s="64"/>
      <c r="GER134" s="64"/>
      <c r="GES134" s="64"/>
      <c r="GET134" s="64"/>
      <c r="GEU134" s="64"/>
      <c r="GEV134" s="64"/>
      <c r="GEW134" s="64"/>
      <c r="GEX134" s="64"/>
      <c r="GEY134" s="64"/>
      <c r="GEZ134" s="64"/>
      <c r="GFA134" s="64"/>
      <c r="GFB134" s="64"/>
      <c r="GFC134" s="64"/>
      <c r="GFD134" s="64"/>
      <c r="GFE134" s="64"/>
      <c r="GFF134" s="64"/>
      <c r="GFG134" s="64"/>
      <c r="GFH134" s="64"/>
      <c r="GFI134" s="64"/>
      <c r="GFJ134" s="64"/>
      <c r="GFK134" s="64"/>
      <c r="GFL134" s="64"/>
      <c r="GFM134" s="64"/>
      <c r="GFN134" s="64"/>
      <c r="GFO134" s="64"/>
      <c r="GFP134" s="64"/>
      <c r="GFQ134" s="64"/>
      <c r="GFR134" s="64"/>
      <c r="GFS134" s="64"/>
      <c r="GFT134" s="64"/>
      <c r="GFU134" s="64"/>
      <c r="GFV134" s="64"/>
      <c r="GFW134" s="64"/>
      <c r="GFX134" s="64"/>
      <c r="GFY134" s="64"/>
      <c r="GFZ134" s="64"/>
      <c r="GGA134" s="64"/>
      <c r="GGB134" s="64"/>
      <c r="GGC134" s="64"/>
      <c r="GGD134" s="64"/>
      <c r="GGE134" s="64"/>
      <c r="GGF134" s="64"/>
      <c r="GGG134" s="64"/>
      <c r="GGH134" s="64"/>
      <c r="GGI134" s="64"/>
      <c r="GGJ134" s="64"/>
      <c r="GGK134" s="64"/>
      <c r="GGL134" s="64"/>
      <c r="GGM134" s="64"/>
      <c r="GGN134" s="64"/>
      <c r="GGO134" s="64"/>
      <c r="GGP134" s="64"/>
      <c r="GGQ134" s="64"/>
      <c r="GGR134" s="64"/>
      <c r="GGS134" s="64"/>
      <c r="GGT134" s="64"/>
      <c r="GGU134" s="64"/>
      <c r="GGV134" s="64"/>
      <c r="GGW134" s="64"/>
      <c r="GGX134" s="64"/>
      <c r="GGY134" s="64"/>
      <c r="GGZ134" s="64"/>
      <c r="GHA134" s="64"/>
      <c r="GHB134" s="64"/>
      <c r="GHC134" s="64"/>
      <c r="GHD134" s="64"/>
      <c r="GHE134" s="64"/>
      <c r="GHF134" s="64"/>
      <c r="GHG134" s="64"/>
      <c r="GHH134" s="64"/>
      <c r="GHI134" s="64"/>
      <c r="GHJ134" s="64"/>
      <c r="GHK134" s="64"/>
      <c r="GHL134" s="64"/>
      <c r="GHM134" s="64"/>
      <c r="GHN134" s="64"/>
      <c r="GHO134" s="64"/>
      <c r="GHP134" s="64"/>
      <c r="GHQ134" s="64"/>
      <c r="GHR134" s="64"/>
      <c r="GHS134" s="64"/>
      <c r="GHT134" s="64"/>
      <c r="GHU134" s="64"/>
      <c r="GHV134" s="64"/>
      <c r="GHW134" s="64"/>
      <c r="GHX134" s="64"/>
      <c r="GHY134" s="64"/>
      <c r="GHZ134" s="64"/>
      <c r="GIA134" s="64"/>
      <c r="GIB134" s="64"/>
      <c r="GIC134" s="64"/>
      <c r="GID134" s="64"/>
      <c r="GIE134" s="64"/>
      <c r="GIF134" s="64"/>
      <c r="GIG134" s="64"/>
      <c r="GIH134" s="64"/>
      <c r="GII134" s="64"/>
      <c r="GIJ134" s="64"/>
      <c r="GIK134" s="64"/>
      <c r="GIL134" s="64"/>
      <c r="GIM134" s="64"/>
      <c r="GIN134" s="64"/>
      <c r="GIO134" s="64"/>
      <c r="GIP134" s="64"/>
      <c r="GIQ134" s="64"/>
      <c r="GIR134" s="64"/>
      <c r="GIS134" s="64"/>
      <c r="GIT134" s="64"/>
      <c r="GIU134" s="64"/>
      <c r="GIV134" s="64"/>
      <c r="GIW134" s="64"/>
      <c r="GIX134" s="64"/>
      <c r="GIY134" s="64"/>
      <c r="GIZ134" s="64"/>
      <c r="GJA134" s="64"/>
      <c r="GJB134" s="64"/>
      <c r="GJC134" s="64"/>
      <c r="GJD134" s="64"/>
      <c r="GJE134" s="64"/>
      <c r="GJF134" s="64"/>
      <c r="GJG134" s="64"/>
      <c r="GJH134" s="64"/>
      <c r="GJI134" s="64"/>
      <c r="GJJ134" s="64"/>
      <c r="GJK134" s="64"/>
      <c r="GJL134" s="64"/>
      <c r="GJM134" s="64"/>
      <c r="GJN134" s="64"/>
      <c r="GJO134" s="64"/>
      <c r="GJP134" s="64"/>
      <c r="GJQ134" s="64"/>
      <c r="GJR134" s="64"/>
      <c r="GJS134" s="64"/>
      <c r="GJT134" s="64"/>
      <c r="GJU134" s="64"/>
      <c r="GJV134" s="64"/>
      <c r="GJW134" s="64"/>
      <c r="GJX134" s="64"/>
      <c r="GJY134" s="64"/>
      <c r="GJZ134" s="64"/>
      <c r="GKA134" s="64"/>
      <c r="GKB134" s="64"/>
      <c r="GKC134" s="64"/>
      <c r="GKD134" s="64"/>
      <c r="GKE134" s="64"/>
      <c r="GKF134" s="64"/>
      <c r="GKG134" s="64"/>
      <c r="GKH134" s="64"/>
      <c r="GKI134" s="64"/>
      <c r="GKJ134" s="64"/>
      <c r="GKK134" s="64"/>
      <c r="GKL134" s="64"/>
      <c r="GKM134" s="64"/>
      <c r="GKN134" s="64"/>
      <c r="GKO134" s="64"/>
      <c r="GKP134" s="64"/>
      <c r="GKQ134" s="64"/>
      <c r="GKR134" s="64"/>
      <c r="GKS134" s="64"/>
      <c r="GKT134" s="64"/>
      <c r="GKU134" s="64"/>
      <c r="GKV134" s="64"/>
      <c r="GKW134" s="64"/>
      <c r="GKX134" s="64"/>
      <c r="GKY134" s="64"/>
      <c r="GKZ134" s="64"/>
      <c r="GLA134" s="64"/>
      <c r="GLB134" s="64"/>
      <c r="GLC134" s="64"/>
      <c r="GLD134" s="64"/>
      <c r="GLE134" s="64"/>
      <c r="GLF134" s="64"/>
      <c r="GLG134" s="64"/>
      <c r="GLH134" s="64"/>
      <c r="GLI134" s="64"/>
      <c r="GLJ134" s="64"/>
      <c r="GLK134" s="64"/>
      <c r="GLL134" s="64"/>
      <c r="GLM134" s="64"/>
      <c r="GLN134" s="64"/>
      <c r="GLO134" s="64"/>
      <c r="GLP134" s="64"/>
      <c r="GLQ134" s="64"/>
      <c r="GLR134" s="64"/>
      <c r="GLS134" s="64"/>
      <c r="GLT134" s="64"/>
      <c r="GLU134" s="64"/>
      <c r="GLV134" s="64"/>
      <c r="GLW134" s="64"/>
      <c r="GLX134" s="64"/>
      <c r="GLY134" s="64"/>
      <c r="GLZ134" s="64"/>
      <c r="GMA134" s="64"/>
      <c r="GMB134" s="64"/>
      <c r="GMC134" s="64"/>
      <c r="GMD134" s="64"/>
      <c r="GME134" s="64"/>
      <c r="GMF134" s="64"/>
      <c r="GMG134" s="64"/>
      <c r="GMH134" s="64"/>
      <c r="GMI134" s="64"/>
      <c r="GMJ134" s="64"/>
      <c r="GMK134" s="64"/>
      <c r="GML134" s="64"/>
      <c r="GMM134" s="64"/>
      <c r="GMN134" s="64"/>
      <c r="GMO134" s="64"/>
      <c r="GMP134" s="64"/>
      <c r="GMQ134" s="64"/>
      <c r="GMR134" s="64"/>
      <c r="GMS134" s="64"/>
      <c r="GMT134" s="64"/>
      <c r="GMU134" s="64"/>
      <c r="GMV134" s="64"/>
      <c r="GMW134" s="64"/>
      <c r="GMX134" s="64"/>
      <c r="GMY134" s="64"/>
      <c r="GMZ134" s="64"/>
      <c r="GNA134" s="64"/>
      <c r="GNB134" s="64"/>
      <c r="GNC134" s="64"/>
      <c r="GND134" s="64"/>
      <c r="GNE134" s="64"/>
      <c r="GNF134" s="64"/>
      <c r="GNG134" s="64"/>
      <c r="GNH134" s="64"/>
      <c r="GNI134" s="64"/>
      <c r="GNJ134" s="64"/>
      <c r="GNK134" s="64"/>
      <c r="GNL134" s="64"/>
      <c r="GNM134" s="64"/>
      <c r="GNN134" s="64"/>
      <c r="GNO134" s="64"/>
      <c r="GNP134" s="64"/>
      <c r="GNQ134" s="64"/>
      <c r="GNR134" s="64"/>
      <c r="GNS134" s="64"/>
      <c r="GNT134" s="64"/>
      <c r="GNU134" s="64"/>
      <c r="GNV134" s="64"/>
      <c r="GNW134" s="64"/>
      <c r="GNX134" s="64"/>
      <c r="GNY134" s="64"/>
      <c r="GNZ134" s="64"/>
      <c r="GOA134" s="64"/>
      <c r="GOB134" s="64"/>
      <c r="GOC134" s="64"/>
      <c r="GOD134" s="64"/>
      <c r="GOE134" s="64"/>
      <c r="GOF134" s="64"/>
      <c r="GOG134" s="64"/>
      <c r="GOH134" s="64"/>
      <c r="GOI134" s="64"/>
      <c r="GOJ134" s="64"/>
      <c r="GOK134" s="64"/>
      <c r="GOL134" s="64"/>
      <c r="GOM134" s="64"/>
      <c r="GON134" s="64"/>
      <c r="GOO134" s="64"/>
      <c r="GOP134" s="64"/>
      <c r="GOQ134" s="64"/>
      <c r="GOR134" s="64"/>
      <c r="GOS134" s="64"/>
      <c r="GOT134" s="64"/>
      <c r="GOU134" s="64"/>
      <c r="GOV134" s="64"/>
      <c r="GOW134" s="64"/>
      <c r="GOX134" s="64"/>
      <c r="GOY134" s="64"/>
      <c r="GOZ134" s="64"/>
      <c r="GPA134" s="64"/>
      <c r="GPB134" s="64"/>
      <c r="GPC134" s="64"/>
      <c r="GPD134" s="64"/>
      <c r="GPE134" s="64"/>
      <c r="GPF134" s="64"/>
      <c r="GPG134" s="64"/>
      <c r="GPH134" s="64"/>
      <c r="GPI134" s="64"/>
      <c r="GPJ134" s="64"/>
      <c r="GPK134" s="64"/>
      <c r="GPL134" s="64"/>
      <c r="GPM134" s="64"/>
      <c r="GPN134" s="64"/>
      <c r="GPO134" s="64"/>
      <c r="GPP134" s="64"/>
      <c r="GPQ134" s="64"/>
      <c r="GPR134" s="64"/>
      <c r="GPS134" s="64"/>
      <c r="GPT134" s="64"/>
      <c r="GPU134" s="64"/>
      <c r="GPV134" s="64"/>
      <c r="GPW134" s="64"/>
      <c r="GPX134" s="64"/>
      <c r="GPY134" s="64"/>
      <c r="GPZ134" s="64"/>
      <c r="GQA134" s="64"/>
      <c r="GQB134" s="64"/>
      <c r="GQC134" s="64"/>
      <c r="GQD134" s="64"/>
      <c r="GQE134" s="64"/>
      <c r="GQF134" s="64"/>
      <c r="GQG134" s="64"/>
      <c r="GQH134" s="64"/>
      <c r="GQI134" s="64"/>
      <c r="GQJ134" s="64"/>
      <c r="GQK134" s="64"/>
      <c r="GQL134" s="64"/>
      <c r="GQM134" s="64"/>
      <c r="GQN134" s="64"/>
      <c r="GQO134" s="64"/>
      <c r="GQP134" s="64"/>
      <c r="GQQ134" s="64"/>
      <c r="GQR134" s="64"/>
      <c r="GQS134" s="64"/>
      <c r="GQT134" s="64"/>
      <c r="GQU134" s="64"/>
      <c r="GQV134" s="64"/>
      <c r="GQW134" s="64"/>
      <c r="GQX134" s="64"/>
      <c r="GQY134" s="64"/>
      <c r="GQZ134" s="64"/>
      <c r="GRA134" s="64"/>
      <c r="GRB134" s="64"/>
      <c r="GRC134" s="64"/>
      <c r="GRD134" s="64"/>
      <c r="GRE134" s="64"/>
      <c r="GRF134" s="64"/>
      <c r="GRG134" s="64"/>
      <c r="GRH134" s="64"/>
      <c r="GRI134" s="64"/>
      <c r="GRJ134" s="64"/>
      <c r="GRK134" s="64"/>
      <c r="GRL134" s="64"/>
      <c r="GRM134" s="64"/>
      <c r="GRN134" s="64"/>
      <c r="GRO134" s="64"/>
      <c r="GRP134" s="64"/>
      <c r="GRQ134" s="64"/>
      <c r="GRR134" s="64"/>
      <c r="GRS134" s="64"/>
      <c r="GRT134" s="64"/>
      <c r="GRU134" s="64"/>
      <c r="GRV134" s="64"/>
      <c r="GRW134" s="64"/>
      <c r="GRX134" s="64"/>
      <c r="GRY134" s="64"/>
      <c r="GRZ134" s="64"/>
      <c r="GSA134" s="64"/>
      <c r="GSB134" s="64"/>
      <c r="GSC134" s="64"/>
      <c r="GSD134" s="64"/>
      <c r="GSE134" s="64"/>
      <c r="GSF134" s="64"/>
      <c r="GSG134" s="64"/>
      <c r="GSH134" s="64"/>
      <c r="GSI134" s="64"/>
      <c r="GSJ134" s="64"/>
      <c r="GSK134" s="64"/>
      <c r="GSL134" s="64"/>
      <c r="GSM134" s="64"/>
      <c r="GSN134" s="64"/>
      <c r="GSO134" s="64"/>
      <c r="GSP134" s="64"/>
      <c r="GSQ134" s="64"/>
      <c r="GSR134" s="64"/>
      <c r="GSS134" s="64"/>
      <c r="GST134" s="64"/>
      <c r="GSU134" s="64"/>
      <c r="GSV134" s="64"/>
      <c r="GSW134" s="64"/>
      <c r="GSX134" s="64"/>
      <c r="GSY134" s="64"/>
      <c r="GSZ134" s="64"/>
      <c r="GTA134" s="64"/>
      <c r="GTB134" s="64"/>
      <c r="GTC134" s="64"/>
      <c r="GTD134" s="64"/>
      <c r="GTE134" s="64"/>
      <c r="GTF134" s="64"/>
      <c r="GTG134" s="64"/>
      <c r="GTH134" s="64"/>
      <c r="GTI134" s="64"/>
      <c r="GTJ134" s="64"/>
      <c r="GTK134" s="64"/>
      <c r="GTL134" s="64"/>
      <c r="GTM134" s="64"/>
      <c r="GTN134" s="64"/>
      <c r="GTO134" s="64"/>
      <c r="GTP134" s="64"/>
      <c r="GTQ134" s="64"/>
      <c r="GTR134" s="64"/>
      <c r="GTS134" s="64"/>
      <c r="GTT134" s="64"/>
      <c r="GTU134" s="64"/>
      <c r="GTV134" s="64"/>
      <c r="GTW134" s="64"/>
      <c r="GTX134" s="64"/>
      <c r="GTY134" s="64"/>
      <c r="GTZ134" s="64"/>
      <c r="GUA134" s="64"/>
      <c r="GUB134" s="64"/>
      <c r="GUC134" s="64"/>
      <c r="GUD134" s="64"/>
      <c r="GUE134" s="64"/>
      <c r="GUF134" s="64"/>
      <c r="GUG134" s="64"/>
      <c r="GUH134" s="64"/>
      <c r="GUI134" s="64"/>
      <c r="GUJ134" s="64"/>
      <c r="GUK134" s="64"/>
      <c r="GUL134" s="64"/>
      <c r="GUM134" s="64"/>
      <c r="GUN134" s="64"/>
      <c r="GUO134" s="64"/>
      <c r="GUP134" s="64"/>
      <c r="GUQ134" s="64"/>
      <c r="GUR134" s="64"/>
      <c r="GUS134" s="64"/>
      <c r="GUT134" s="64"/>
      <c r="GUU134" s="64"/>
      <c r="GUV134" s="64"/>
      <c r="GUW134" s="64"/>
      <c r="GUX134" s="64"/>
      <c r="GUY134" s="64"/>
      <c r="GUZ134" s="64"/>
      <c r="GVA134" s="64"/>
      <c r="GVB134" s="64"/>
      <c r="GVC134" s="64"/>
      <c r="GVD134" s="64"/>
      <c r="GVE134" s="64"/>
      <c r="GVF134" s="64"/>
      <c r="GVG134" s="64"/>
      <c r="GVH134" s="64"/>
      <c r="GVI134" s="64"/>
      <c r="GVJ134" s="64"/>
      <c r="GVK134" s="64"/>
      <c r="GVL134" s="64"/>
      <c r="GVM134" s="64"/>
      <c r="GVN134" s="64"/>
      <c r="GVO134" s="64"/>
      <c r="GVP134" s="64"/>
      <c r="GVQ134" s="64"/>
      <c r="GVR134" s="64"/>
      <c r="GVS134" s="64"/>
      <c r="GVT134" s="64"/>
      <c r="GVU134" s="64"/>
      <c r="GVV134" s="64"/>
      <c r="GVW134" s="64"/>
      <c r="GVX134" s="64"/>
      <c r="GVY134" s="64"/>
      <c r="GVZ134" s="64"/>
      <c r="GWA134" s="64"/>
      <c r="GWB134" s="64"/>
      <c r="GWC134" s="64"/>
      <c r="GWD134" s="64"/>
      <c r="GWE134" s="64"/>
      <c r="GWF134" s="64"/>
      <c r="GWG134" s="64"/>
      <c r="GWH134" s="64"/>
      <c r="GWI134" s="64"/>
      <c r="GWJ134" s="64"/>
      <c r="GWK134" s="64"/>
      <c r="GWL134" s="64"/>
      <c r="GWM134" s="64"/>
      <c r="GWN134" s="64"/>
      <c r="GWO134" s="64"/>
      <c r="GWP134" s="64"/>
      <c r="GWQ134" s="64"/>
      <c r="GWR134" s="64"/>
      <c r="GWS134" s="64"/>
      <c r="GWT134" s="64"/>
      <c r="GWU134" s="64"/>
      <c r="GWV134" s="64"/>
      <c r="GWW134" s="64"/>
      <c r="GWX134" s="64"/>
      <c r="GWY134" s="64"/>
      <c r="GWZ134" s="64"/>
      <c r="GXA134" s="64"/>
      <c r="GXB134" s="64"/>
      <c r="GXC134" s="64"/>
      <c r="GXD134" s="64"/>
      <c r="GXE134" s="64"/>
      <c r="GXF134" s="64"/>
      <c r="GXG134" s="64"/>
      <c r="GXH134" s="64"/>
      <c r="GXI134" s="64"/>
      <c r="GXJ134" s="64"/>
      <c r="GXK134" s="64"/>
      <c r="GXL134" s="64"/>
      <c r="GXM134" s="64"/>
      <c r="GXN134" s="64"/>
      <c r="GXO134" s="64"/>
      <c r="GXP134" s="64"/>
      <c r="GXQ134" s="64"/>
      <c r="GXR134" s="64"/>
      <c r="GXS134" s="64"/>
      <c r="GXT134" s="64"/>
      <c r="GXU134" s="64"/>
      <c r="GXV134" s="64"/>
      <c r="GXW134" s="64"/>
      <c r="GXX134" s="64"/>
      <c r="GXY134" s="64"/>
      <c r="GXZ134" s="64"/>
      <c r="GYA134" s="64"/>
      <c r="GYB134" s="64"/>
      <c r="GYC134" s="64"/>
      <c r="GYD134" s="64"/>
      <c r="GYE134" s="64"/>
      <c r="GYF134" s="64"/>
      <c r="GYG134" s="64"/>
      <c r="GYH134" s="64"/>
      <c r="GYI134" s="64"/>
      <c r="GYJ134" s="64"/>
      <c r="GYK134" s="64"/>
      <c r="GYL134" s="64"/>
      <c r="GYM134" s="64"/>
      <c r="GYN134" s="64"/>
      <c r="GYO134" s="64"/>
      <c r="GYP134" s="64"/>
      <c r="GYQ134" s="64"/>
      <c r="GYR134" s="64"/>
      <c r="GYS134" s="64"/>
      <c r="GYT134" s="64"/>
      <c r="GYU134" s="64"/>
      <c r="GYV134" s="64"/>
      <c r="GYW134" s="64"/>
      <c r="GYX134" s="64"/>
      <c r="GYY134" s="64"/>
      <c r="GYZ134" s="64"/>
      <c r="GZA134" s="64"/>
      <c r="GZB134" s="64"/>
      <c r="GZC134" s="64"/>
      <c r="GZD134" s="64"/>
      <c r="GZE134" s="64"/>
      <c r="GZF134" s="64"/>
      <c r="GZG134" s="64"/>
      <c r="GZH134" s="64"/>
      <c r="GZI134" s="64"/>
      <c r="GZJ134" s="64"/>
      <c r="GZK134" s="64"/>
      <c r="GZL134" s="64"/>
      <c r="GZM134" s="64"/>
      <c r="GZN134" s="64"/>
      <c r="GZO134" s="64"/>
      <c r="GZP134" s="64"/>
      <c r="GZQ134" s="64"/>
      <c r="GZR134" s="64"/>
      <c r="GZS134" s="64"/>
      <c r="GZT134" s="64"/>
      <c r="GZU134" s="64"/>
      <c r="GZV134" s="64"/>
      <c r="GZW134" s="64"/>
      <c r="GZX134" s="64"/>
      <c r="GZY134" s="64"/>
      <c r="GZZ134" s="64"/>
      <c r="HAA134" s="64"/>
      <c r="HAB134" s="64"/>
      <c r="HAC134" s="64"/>
      <c r="HAD134" s="64"/>
      <c r="HAE134" s="64"/>
      <c r="HAF134" s="64"/>
      <c r="HAG134" s="64"/>
      <c r="HAH134" s="64"/>
      <c r="HAI134" s="64"/>
      <c r="HAJ134" s="64"/>
      <c r="HAK134" s="64"/>
      <c r="HAL134" s="64"/>
      <c r="HAM134" s="64"/>
      <c r="HAN134" s="64"/>
      <c r="HAO134" s="64"/>
      <c r="HAP134" s="64"/>
      <c r="HAQ134" s="64"/>
      <c r="HAR134" s="64"/>
      <c r="HAS134" s="64"/>
      <c r="HAT134" s="64"/>
      <c r="HAU134" s="64"/>
      <c r="HAV134" s="64"/>
      <c r="HAW134" s="64"/>
      <c r="HAX134" s="64"/>
      <c r="HAY134" s="64"/>
      <c r="HAZ134" s="64"/>
      <c r="HBA134" s="64"/>
      <c r="HBB134" s="64"/>
      <c r="HBC134" s="64"/>
      <c r="HBD134" s="64"/>
      <c r="HBE134" s="64"/>
      <c r="HBF134" s="64"/>
      <c r="HBG134" s="64"/>
      <c r="HBH134" s="64"/>
      <c r="HBI134" s="64"/>
      <c r="HBJ134" s="64"/>
      <c r="HBK134" s="64"/>
      <c r="HBL134" s="64"/>
      <c r="HBM134" s="64"/>
      <c r="HBN134" s="64"/>
      <c r="HBO134" s="64"/>
      <c r="HBP134" s="64"/>
      <c r="HBQ134" s="64"/>
      <c r="HBR134" s="64"/>
      <c r="HBS134" s="64"/>
      <c r="HBT134" s="64"/>
      <c r="HBU134" s="64"/>
      <c r="HBV134" s="64"/>
      <c r="HBW134" s="64"/>
      <c r="HBX134" s="64"/>
      <c r="HBY134" s="64"/>
      <c r="HBZ134" s="64"/>
      <c r="HCA134" s="64"/>
      <c r="HCB134" s="64"/>
      <c r="HCC134" s="64"/>
      <c r="HCD134" s="64"/>
      <c r="HCE134" s="64"/>
      <c r="HCF134" s="64"/>
      <c r="HCG134" s="64"/>
      <c r="HCH134" s="64"/>
      <c r="HCI134" s="64"/>
      <c r="HCJ134" s="64"/>
      <c r="HCK134" s="64"/>
      <c r="HCL134" s="64"/>
      <c r="HCM134" s="64"/>
      <c r="HCN134" s="64"/>
      <c r="HCO134" s="64"/>
      <c r="HCP134" s="64"/>
      <c r="HCQ134" s="64"/>
      <c r="HCR134" s="64"/>
      <c r="HCS134" s="64"/>
      <c r="HCT134" s="64"/>
      <c r="HCU134" s="64"/>
      <c r="HCV134" s="64"/>
      <c r="HCW134" s="64"/>
      <c r="HCX134" s="64"/>
      <c r="HCY134" s="64"/>
      <c r="HCZ134" s="64"/>
      <c r="HDA134" s="64"/>
      <c r="HDB134" s="64"/>
      <c r="HDC134" s="64"/>
      <c r="HDD134" s="64"/>
      <c r="HDE134" s="64"/>
      <c r="HDF134" s="64"/>
      <c r="HDG134" s="64"/>
      <c r="HDH134" s="64"/>
      <c r="HDI134" s="64"/>
      <c r="HDJ134" s="64"/>
      <c r="HDK134" s="64"/>
      <c r="HDL134" s="64"/>
      <c r="HDM134" s="64"/>
      <c r="HDN134" s="64"/>
      <c r="HDO134" s="64"/>
      <c r="HDP134" s="64"/>
      <c r="HDQ134" s="64"/>
      <c r="HDR134" s="64"/>
      <c r="HDS134" s="64"/>
      <c r="HDT134" s="64"/>
      <c r="HDU134" s="64"/>
      <c r="HDV134" s="64"/>
      <c r="HDW134" s="64"/>
      <c r="HDX134" s="64"/>
      <c r="HDY134" s="64"/>
      <c r="HDZ134" s="64"/>
      <c r="HEA134" s="64"/>
      <c r="HEB134" s="64"/>
      <c r="HEC134" s="64"/>
      <c r="HED134" s="64"/>
      <c r="HEE134" s="64"/>
      <c r="HEF134" s="64"/>
      <c r="HEG134" s="64"/>
      <c r="HEH134" s="64"/>
      <c r="HEI134" s="64"/>
      <c r="HEJ134" s="64"/>
      <c r="HEK134" s="64"/>
      <c r="HEL134" s="64"/>
      <c r="HEM134" s="64"/>
      <c r="HEN134" s="64"/>
      <c r="HEO134" s="64"/>
      <c r="HEP134" s="64"/>
      <c r="HEQ134" s="64"/>
      <c r="HER134" s="64"/>
      <c r="HES134" s="64"/>
      <c r="HET134" s="64"/>
      <c r="HEU134" s="64"/>
      <c r="HEV134" s="64"/>
      <c r="HEW134" s="64"/>
      <c r="HEX134" s="64"/>
      <c r="HEY134" s="64"/>
      <c r="HEZ134" s="64"/>
      <c r="HFA134" s="64"/>
      <c r="HFB134" s="64"/>
      <c r="HFC134" s="64"/>
      <c r="HFD134" s="64"/>
      <c r="HFE134" s="64"/>
      <c r="HFF134" s="64"/>
      <c r="HFG134" s="64"/>
      <c r="HFH134" s="64"/>
      <c r="HFI134" s="64"/>
      <c r="HFJ134" s="64"/>
      <c r="HFK134" s="64"/>
      <c r="HFL134" s="64"/>
      <c r="HFM134" s="64"/>
      <c r="HFN134" s="64"/>
      <c r="HFO134" s="64"/>
      <c r="HFP134" s="64"/>
      <c r="HFQ134" s="64"/>
      <c r="HFR134" s="64"/>
      <c r="HFS134" s="64"/>
      <c r="HFT134" s="64"/>
      <c r="HFU134" s="64"/>
      <c r="HFV134" s="64"/>
      <c r="HFW134" s="64"/>
      <c r="HFX134" s="64"/>
      <c r="HFY134" s="64"/>
      <c r="HFZ134" s="64"/>
      <c r="HGA134" s="64"/>
      <c r="HGB134" s="64"/>
      <c r="HGC134" s="64"/>
      <c r="HGD134" s="64"/>
      <c r="HGE134" s="64"/>
      <c r="HGF134" s="64"/>
      <c r="HGG134" s="64"/>
      <c r="HGH134" s="64"/>
      <c r="HGI134" s="64"/>
      <c r="HGJ134" s="64"/>
      <c r="HGK134" s="64"/>
      <c r="HGL134" s="64"/>
      <c r="HGM134" s="64"/>
      <c r="HGN134" s="64"/>
      <c r="HGO134" s="64"/>
      <c r="HGP134" s="64"/>
      <c r="HGQ134" s="64"/>
      <c r="HGR134" s="64"/>
      <c r="HGS134" s="64"/>
      <c r="HGT134" s="64"/>
      <c r="HGU134" s="64"/>
      <c r="HGV134" s="64"/>
      <c r="HGW134" s="64"/>
      <c r="HGX134" s="64"/>
      <c r="HGY134" s="64"/>
      <c r="HGZ134" s="64"/>
      <c r="HHA134" s="64"/>
      <c r="HHB134" s="64"/>
      <c r="HHC134" s="64"/>
      <c r="HHD134" s="64"/>
      <c r="HHE134" s="64"/>
      <c r="HHF134" s="64"/>
      <c r="HHG134" s="64"/>
      <c r="HHH134" s="64"/>
      <c r="HHI134" s="64"/>
      <c r="HHJ134" s="64"/>
      <c r="HHK134" s="64"/>
      <c r="HHL134" s="64"/>
      <c r="HHM134" s="64"/>
      <c r="HHN134" s="64"/>
      <c r="HHO134" s="64"/>
      <c r="HHP134" s="64"/>
      <c r="HHQ134" s="64"/>
      <c r="HHR134" s="64"/>
      <c r="HHS134" s="64"/>
      <c r="HHT134" s="64"/>
      <c r="HHU134" s="64"/>
      <c r="HHV134" s="64"/>
      <c r="HHW134" s="64"/>
      <c r="HHX134" s="64"/>
      <c r="HHY134" s="64"/>
      <c r="HHZ134" s="64"/>
      <c r="HIA134" s="64"/>
      <c r="HIB134" s="64"/>
      <c r="HIC134" s="64"/>
      <c r="HID134" s="64"/>
      <c r="HIE134" s="64"/>
      <c r="HIF134" s="64"/>
      <c r="HIG134" s="64"/>
      <c r="HIH134" s="64"/>
      <c r="HII134" s="64"/>
      <c r="HIJ134" s="64"/>
      <c r="HIK134" s="64"/>
      <c r="HIL134" s="64"/>
      <c r="HIM134" s="64"/>
      <c r="HIN134" s="64"/>
      <c r="HIO134" s="64"/>
      <c r="HIP134" s="64"/>
      <c r="HIQ134" s="64"/>
      <c r="HIR134" s="64"/>
      <c r="HIS134" s="64"/>
      <c r="HIT134" s="64"/>
      <c r="HIU134" s="64"/>
      <c r="HIV134" s="64"/>
      <c r="HIW134" s="64"/>
      <c r="HIX134" s="64"/>
      <c r="HIY134" s="64"/>
      <c r="HIZ134" s="64"/>
      <c r="HJA134" s="64"/>
      <c r="HJB134" s="64"/>
      <c r="HJC134" s="64"/>
      <c r="HJD134" s="64"/>
      <c r="HJE134" s="64"/>
      <c r="HJF134" s="64"/>
      <c r="HJG134" s="64"/>
      <c r="HJH134" s="64"/>
      <c r="HJI134" s="64"/>
      <c r="HJJ134" s="64"/>
      <c r="HJK134" s="64"/>
      <c r="HJL134" s="64"/>
      <c r="HJM134" s="64"/>
      <c r="HJN134" s="64"/>
      <c r="HJO134" s="64"/>
      <c r="HJP134" s="64"/>
      <c r="HJQ134" s="64"/>
      <c r="HJR134" s="64"/>
      <c r="HJS134" s="64"/>
      <c r="HJT134" s="64"/>
      <c r="HJU134" s="64"/>
      <c r="HJV134" s="64"/>
      <c r="HJW134" s="64"/>
      <c r="HJX134" s="64"/>
      <c r="HJY134" s="64"/>
      <c r="HJZ134" s="64"/>
      <c r="HKA134" s="64"/>
      <c r="HKB134" s="64"/>
      <c r="HKC134" s="64"/>
      <c r="HKD134" s="64"/>
      <c r="HKE134" s="64"/>
      <c r="HKF134" s="64"/>
      <c r="HKG134" s="64"/>
      <c r="HKH134" s="64"/>
      <c r="HKI134" s="64"/>
      <c r="HKJ134" s="64"/>
      <c r="HKK134" s="64"/>
      <c r="HKL134" s="64"/>
      <c r="HKM134" s="64"/>
      <c r="HKN134" s="64"/>
      <c r="HKO134" s="64"/>
      <c r="HKP134" s="64"/>
      <c r="HKQ134" s="64"/>
      <c r="HKR134" s="64"/>
      <c r="HKS134" s="64"/>
      <c r="HKT134" s="64"/>
      <c r="HKU134" s="64"/>
      <c r="HKV134" s="64"/>
      <c r="HKW134" s="64"/>
      <c r="HKX134" s="64"/>
      <c r="HKY134" s="64"/>
      <c r="HKZ134" s="64"/>
      <c r="HLA134" s="64"/>
      <c r="HLB134" s="64"/>
      <c r="HLC134" s="64"/>
      <c r="HLD134" s="64"/>
      <c r="HLE134" s="64"/>
      <c r="HLF134" s="64"/>
      <c r="HLG134" s="64"/>
      <c r="HLH134" s="64"/>
      <c r="HLI134" s="64"/>
      <c r="HLJ134" s="64"/>
      <c r="HLK134" s="64"/>
      <c r="HLL134" s="64"/>
      <c r="HLM134" s="64"/>
      <c r="HLN134" s="64"/>
      <c r="HLO134" s="64"/>
      <c r="HLP134" s="64"/>
      <c r="HLQ134" s="64"/>
      <c r="HLR134" s="64"/>
      <c r="HLS134" s="64"/>
      <c r="HLT134" s="64"/>
      <c r="HLU134" s="64"/>
      <c r="HLV134" s="64"/>
      <c r="HLW134" s="64"/>
      <c r="HLX134" s="64"/>
      <c r="HLY134" s="64"/>
      <c r="HLZ134" s="64"/>
      <c r="HMA134" s="64"/>
      <c r="HMB134" s="64"/>
      <c r="HMC134" s="64"/>
      <c r="HMD134" s="64"/>
      <c r="HME134" s="64"/>
      <c r="HMF134" s="64"/>
      <c r="HMG134" s="64"/>
      <c r="HMH134" s="64"/>
      <c r="HMI134" s="64"/>
      <c r="HMJ134" s="64"/>
      <c r="HMK134" s="64"/>
      <c r="HML134" s="64"/>
      <c r="HMM134" s="64"/>
      <c r="HMN134" s="64"/>
      <c r="HMO134" s="64"/>
      <c r="HMP134" s="64"/>
      <c r="HMQ134" s="64"/>
      <c r="HMR134" s="64"/>
      <c r="HMS134" s="64"/>
      <c r="HMT134" s="64"/>
      <c r="HMU134" s="64"/>
      <c r="HMV134" s="64"/>
      <c r="HMW134" s="64"/>
      <c r="HMX134" s="64"/>
      <c r="HMY134" s="64"/>
      <c r="HMZ134" s="64"/>
      <c r="HNA134" s="64"/>
      <c r="HNB134" s="64"/>
      <c r="HNC134" s="64"/>
      <c r="HND134" s="64"/>
      <c r="HNE134" s="64"/>
      <c r="HNF134" s="64"/>
      <c r="HNG134" s="64"/>
      <c r="HNH134" s="64"/>
      <c r="HNI134" s="64"/>
      <c r="HNJ134" s="64"/>
      <c r="HNK134" s="64"/>
      <c r="HNL134" s="64"/>
      <c r="HNM134" s="64"/>
      <c r="HNN134" s="64"/>
      <c r="HNO134" s="64"/>
      <c r="HNP134" s="64"/>
      <c r="HNQ134" s="64"/>
      <c r="HNR134" s="64"/>
      <c r="HNS134" s="64"/>
      <c r="HNT134" s="64"/>
      <c r="HNU134" s="64"/>
      <c r="HNV134" s="64"/>
      <c r="HNW134" s="64"/>
      <c r="HNX134" s="64"/>
      <c r="HNY134" s="64"/>
      <c r="HNZ134" s="64"/>
      <c r="HOA134" s="64"/>
      <c r="HOB134" s="64"/>
      <c r="HOC134" s="64"/>
      <c r="HOD134" s="64"/>
      <c r="HOE134" s="64"/>
      <c r="HOF134" s="64"/>
      <c r="HOG134" s="64"/>
      <c r="HOH134" s="64"/>
      <c r="HOI134" s="64"/>
      <c r="HOJ134" s="64"/>
      <c r="HOK134" s="64"/>
      <c r="HOL134" s="64"/>
      <c r="HOM134" s="64"/>
      <c r="HON134" s="64"/>
      <c r="HOO134" s="64"/>
      <c r="HOP134" s="64"/>
      <c r="HOQ134" s="64"/>
      <c r="HOR134" s="64"/>
      <c r="HOS134" s="64"/>
      <c r="HOT134" s="64"/>
      <c r="HOU134" s="64"/>
      <c r="HOV134" s="64"/>
      <c r="HOW134" s="64"/>
      <c r="HOX134" s="64"/>
      <c r="HOY134" s="64"/>
      <c r="HOZ134" s="64"/>
      <c r="HPA134" s="64"/>
      <c r="HPB134" s="64"/>
      <c r="HPC134" s="64"/>
      <c r="HPD134" s="64"/>
      <c r="HPE134" s="64"/>
      <c r="HPF134" s="64"/>
      <c r="HPG134" s="64"/>
      <c r="HPH134" s="64"/>
      <c r="HPI134" s="64"/>
      <c r="HPJ134" s="64"/>
      <c r="HPK134" s="64"/>
      <c r="HPL134" s="64"/>
      <c r="HPM134" s="64"/>
      <c r="HPN134" s="64"/>
      <c r="HPO134" s="64"/>
      <c r="HPP134" s="64"/>
      <c r="HPQ134" s="64"/>
      <c r="HPR134" s="64"/>
      <c r="HPS134" s="64"/>
      <c r="HPT134" s="64"/>
      <c r="HPU134" s="64"/>
      <c r="HPV134" s="64"/>
      <c r="HPW134" s="64"/>
      <c r="HPX134" s="64"/>
      <c r="HPY134" s="64"/>
      <c r="HPZ134" s="64"/>
      <c r="HQA134" s="64"/>
      <c r="HQB134" s="64"/>
      <c r="HQC134" s="64"/>
      <c r="HQD134" s="64"/>
      <c r="HQE134" s="64"/>
      <c r="HQF134" s="64"/>
      <c r="HQG134" s="64"/>
      <c r="HQH134" s="64"/>
      <c r="HQI134" s="64"/>
      <c r="HQJ134" s="64"/>
      <c r="HQK134" s="64"/>
      <c r="HQL134" s="64"/>
      <c r="HQM134" s="64"/>
      <c r="HQN134" s="64"/>
      <c r="HQO134" s="64"/>
      <c r="HQP134" s="64"/>
      <c r="HQQ134" s="64"/>
      <c r="HQR134" s="64"/>
      <c r="HQS134" s="64"/>
      <c r="HQT134" s="64"/>
      <c r="HQU134" s="64"/>
      <c r="HQV134" s="64"/>
      <c r="HQW134" s="64"/>
      <c r="HQX134" s="64"/>
      <c r="HQY134" s="64"/>
      <c r="HQZ134" s="64"/>
      <c r="HRA134" s="64"/>
      <c r="HRB134" s="64"/>
      <c r="HRC134" s="64"/>
      <c r="HRD134" s="64"/>
      <c r="HRE134" s="64"/>
      <c r="HRF134" s="64"/>
      <c r="HRG134" s="64"/>
      <c r="HRH134" s="64"/>
      <c r="HRI134" s="64"/>
      <c r="HRJ134" s="64"/>
      <c r="HRK134" s="64"/>
      <c r="HRL134" s="64"/>
      <c r="HRM134" s="64"/>
      <c r="HRN134" s="64"/>
      <c r="HRO134" s="64"/>
      <c r="HRP134" s="64"/>
      <c r="HRQ134" s="64"/>
      <c r="HRR134" s="64"/>
      <c r="HRS134" s="64"/>
      <c r="HRT134" s="64"/>
      <c r="HRU134" s="64"/>
      <c r="HRV134" s="64"/>
      <c r="HRW134" s="64"/>
      <c r="HRX134" s="64"/>
      <c r="HRY134" s="64"/>
      <c r="HRZ134" s="64"/>
      <c r="HSA134" s="64"/>
      <c r="HSB134" s="64"/>
      <c r="HSC134" s="64"/>
      <c r="HSD134" s="64"/>
      <c r="HSE134" s="64"/>
      <c r="HSF134" s="64"/>
      <c r="HSG134" s="64"/>
      <c r="HSH134" s="64"/>
      <c r="HSI134" s="64"/>
      <c r="HSJ134" s="64"/>
      <c r="HSK134" s="64"/>
      <c r="HSL134" s="64"/>
      <c r="HSM134" s="64"/>
      <c r="HSN134" s="64"/>
      <c r="HSO134" s="64"/>
      <c r="HSP134" s="64"/>
      <c r="HSQ134" s="64"/>
      <c r="HSR134" s="64"/>
      <c r="HSS134" s="64"/>
      <c r="HST134" s="64"/>
      <c r="HSU134" s="64"/>
      <c r="HSV134" s="64"/>
      <c r="HSW134" s="64"/>
      <c r="HSX134" s="64"/>
      <c r="HSY134" s="64"/>
      <c r="HSZ134" s="64"/>
      <c r="HTA134" s="64"/>
      <c r="HTB134" s="64"/>
      <c r="HTC134" s="64"/>
      <c r="HTD134" s="64"/>
      <c r="HTE134" s="64"/>
      <c r="HTF134" s="64"/>
      <c r="HTG134" s="64"/>
      <c r="HTH134" s="64"/>
      <c r="HTI134" s="64"/>
      <c r="HTJ134" s="64"/>
      <c r="HTK134" s="64"/>
      <c r="HTL134" s="64"/>
      <c r="HTM134" s="64"/>
      <c r="HTN134" s="64"/>
      <c r="HTO134" s="64"/>
      <c r="HTP134" s="64"/>
      <c r="HTQ134" s="64"/>
      <c r="HTR134" s="64"/>
      <c r="HTS134" s="64"/>
      <c r="HTT134" s="64"/>
      <c r="HTU134" s="64"/>
      <c r="HTV134" s="64"/>
      <c r="HTW134" s="64"/>
      <c r="HTX134" s="64"/>
      <c r="HTY134" s="64"/>
      <c r="HTZ134" s="64"/>
      <c r="HUA134" s="64"/>
      <c r="HUB134" s="64"/>
      <c r="HUC134" s="64"/>
      <c r="HUD134" s="64"/>
      <c r="HUE134" s="64"/>
      <c r="HUF134" s="64"/>
      <c r="HUG134" s="64"/>
      <c r="HUH134" s="64"/>
      <c r="HUI134" s="64"/>
      <c r="HUJ134" s="64"/>
      <c r="HUK134" s="64"/>
      <c r="HUL134" s="64"/>
      <c r="HUM134" s="64"/>
      <c r="HUN134" s="64"/>
      <c r="HUO134" s="64"/>
      <c r="HUP134" s="64"/>
      <c r="HUQ134" s="64"/>
      <c r="HUR134" s="64"/>
      <c r="HUS134" s="64"/>
      <c r="HUT134" s="64"/>
      <c r="HUU134" s="64"/>
      <c r="HUV134" s="64"/>
      <c r="HUW134" s="64"/>
      <c r="HUX134" s="64"/>
      <c r="HUY134" s="64"/>
      <c r="HUZ134" s="64"/>
      <c r="HVA134" s="64"/>
      <c r="HVB134" s="64"/>
      <c r="HVC134" s="64"/>
      <c r="HVD134" s="64"/>
      <c r="HVE134" s="64"/>
      <c r="HVF134" s="64"/>
      <c r="HVG134" s="64"/>
      <c r="HVH134" s="64"/>
      <c r="HVI134" s="64"/>
      <c r="HVJ134" s="64"/>
      <c r="HVK134" s="64"/>
      <c r="HVL134" s="64"/>
      <c r="HVM134" s="64"/>
      <c r="HVN134" s="64"/>
      <c r="HVO134" s="64"/>
      <c r="HVP134" s="64"/>
      <c r="HVQ134" s="64"/>
      <c r="HVR134" s="64"/>
      <c r="HVS134" s="64"/>
      <c r="HVT134" s="64"/>
      <c r="HVU134" s="64"/>
      <c r="HVV134" s="64"/>
      <c r="HVW134" s="64"/>
      <c r="HVX134" s="64"/>
      <c r="HVY134" s="64"/>
      <c r="HVZ134" s="64"/>
      <c r="HWA134" s="64"/>
      <c r="HWB134" s="64"/>
      <c r="HWC134" s="64"/>
      <c r="HWD134" s="64"/>
      <c r="HWE134" s="64"/>
      <c r="HWF134" s="64"/>
      <c r="HWG134" s="64"/>
      <c r="HWH134" s="64"/>
      <c r="HWI134" s="64"/>
      <c r="HWJ134" s="64"/>
      <c r="HWK134" s="64"/>
      <c r="HWL134" s="64"/>
      <c r="HWM134" s="64"/>
      <c r="HWN134" s="64"/>
      <c r="HWO134" s="64"/>
      <c r="HWP134" s="64"/>
      <c r="HWQ134" s="64"/>
      <c r="HWR134" s="64"/>
      <c r="HWS134" s="64"/>
      <c r="HWT134" s="64"/>
      <c r="HWU134" s="64"/>
      <c r="HWV134" s="64"/>
      <c r="HWW134" s="64"/>
      <c r="HWX134" s="64"/>
      <c r="HWY134" s="64"/>
      <c r="HWZ134" s="64"/>
      <c r="HXA134" s="64"/>
      <c r="HXB134" s="64"/>
      <c r="HXC134" s="64"/>
      <c r="HXD134" s="64"/>
      <c r="HXE134" s="64"/>
      <c r="HXF134" s="64"/>
      <c r="HXG134" s="64"/>
      <c r="HXH134" s="64"/>
      <c r="HXI134" s="64"/>
      <c r="HXJ134" s="64"/>
      <c r="HXK134" s="64"/>
      <c r="HXL134" s="64"/>
      <c r="HXM134" s="64"/>
      <c r="HXN134" s="64"/>
      <c r="HXO134" s="64"/>
      <c r="HXP134" s="64"/>
      <c r="HXQ134" s="64"/>
      <c r="HXR134" s="64"/>
      <c r="HXS134" s="64"/>
      <c r="HXT134" s="64"/>
      <c r="HXU134" s="64"/>
      <c r="HXV134" s="64"/>
      <c r="HXW134" s="64"/>
      <c r="HXX134" s="64"/>
      <c r="HXY134" s="64"/>
      <c r="HXZ134" s="64"/>
      <c r="HYA134" s="64"/>
      <c r="HYB134" s="64"/>
      <c r="HYC134" s="64"/>
      <c r="HYD134" s="64"/>
      <c r="HYE134" s="64"/>
      <c r="HYF134" s="64"/>
      <c r="HYG134" s="64"/>
      <c r="HYH134" s="64"/>
      <c r="HYI134" s="64"/>
      <c r="HYJ134" s="64"/>
      <c r="HYK134" s="64"/>
      <c r="HYL134" s="64"/>
      <c r="HYM134" s="64"/>
      <c r="HYN134" s="64"/>
      <c r="HYO134" s="64"/>
      <c r="HYP134" s="64"/>
      <c r="HYQ134" s="64"/>
      <c r="HYR134" s="64"/>
      <c r="HYS134" s="64"/>
      <c r="HYT134" s="64"/>
      <c r="HYU134" s="64"/>
      <c r="HYV134" s="64"/>
      <c r="HYW134" s="64"/>
      <c r="HYX134" s="64"/>
      <c r="HYY134" s="64"/>
      <c r="HYZ134" s="64"/>
      <c r="HZA134" s="64"/>
      <c r="HZB134" s="64"/>
      <c r="HZC134" s="64"/>
      <c r="HZD134" s="64"/>
      <c r="HZE134" s="64"/>
      <c r="HZF134" s="64"/>
      <c r="HZG134" s="64"/>
      <c r="HZH134" s="64"/>
      <c r="HZI134" s="64"/>
      <c r="HZJ134" s="64"/>
      <c r="HZK134" s="64"/>
      <c r="HZL134" s="64"/>
      <c r="HZM134" s="64"/>
      <c r="HZN134" s="64"/>
      <c r="HZO134" s="64"/>
      <c r="HZP134" s="64"/>
      <c r="HZQ134" s="64"/>
      <c r="HZR134" s="64"/>
      <c r="HZS134" s="64"/>
      <c r="HZT134" s="64"/>
      <c r="HZU134" s="64"/>
      <c r="HZV134" s="64"/>
      <c r="HZW134" s="64"/>
      <c r="HZX134" s="64"/>
      <c r="HZY134" s="64"/>
      <c r="HZZ134" s="64"/>
      <c r="IAA134" s="64"/>
      <c r="IAB134" s="64"/>
      <c r="IAC134" s="64"/>
      <c r="IAD134" s="64"/>
      <c r="IAE134" s="64"/>
      <c r="IAF134" s="64"/>
      <c r="IAG134" s="64"/>
      <c r="IAH134" s="64"/>
      <c r="IAI134" s="64"/>
      <c r="IAJ134" s="64"/>
      <c r="IAK134" s="64"/>
      <c r="IAL134" s="64"/>
      <c r="IAM134" s="64"/>
      <c r="IAN134" s="64"/>
      <c r="IAO134" s="64"/>
      <c r="IAP134" s="64"/>
      <c r="IAQ134" s="64"/>
      <c r="IAR134" s="64"/>
      <c r="IAS134" s="64"/>
      <c r="IAT134" s="64"/>
      <c r="IAU134" s="64"/>
      <c r="IAV134" s="64"/>
      <c r="IAW134" s="64"/>
      <c r="IAX134" s="64"/>
      <c r="IAY134" s="64"/>
      <c r="IAZ134" s="64"/>
      <c r="IBA134" s="64"/>
      <c r="IBB134" s="64"/>
      <c r="IBC134" s="64"/>
      <c r="IBD134" s="64"/>
      <c r="IBE134" s="64"/>
      <c r="IBF134" s="64"/>
      <c r="IBG134" s="64"/>
      <c r="IBH134" s="64"/>
      <c r="IBI134" s="64"/>
      <c r="IBJ134" s="64"/>
      <c r="IBK134" s="64"/>
      <c r="IBL134" s="64"/>
      <c r="IBM134" s="64"/>
      <c r="IBN134" s="64"/>
      <c r="IBO134" s="64"/>
      <c r="IBP134" s="64"/>
      <c r="IBQ134" s="64"/>
      <c r="IBR134" s="64"/>
      <c r="IBS134" s="64"/>
      <c r="IBT134" s="64"/>
      <c r="IBU134" s="64"/>
      <c r="IBV134" s="64"/>
      <c r="IBW134" s="64"/>
      <c r="IBX134" s="64"/>
      <c r="IBY134" s="64"/>
      <c r="IBZ134" s="64"/>
      <c r="ICA134" s="64"/>
      <c r="ICB134" s="64"/>
      <c r="ICC134" s="64"/>
      <c r="ICD134" s="64"/>
      <c r="ICE134" s="64"/>
      <c r="ICF134" s="64"/>
      <c r="ICG134" s="64"/>
      <c r="ICH134" s="64"/>
      <c r="ICI134" s="64"/>
      <c r="ICJ134" s="64"/>
      <c r="ICK134" s="64"/>
      <c r="ICL134" s="64"/>
      <c r="ICM134" s="64"/>
      <c r="ICN134" s="64"/>
      <c r="ICO134" s="64"/>
      <c r="ICP134" s="64"/>
      <c r="ICQ134" s="64"/>
      <c r="ICR134" s="64"/>
      <c r="ICS134" s="64"/>
      <c r="ICT134" s="64"/>
      <c r="ICU134" s="64"/>
      <c r="ICV134" s="64"/>
      <c r="ICW134" s="64"/>
      <c r="ICX134" s="64"/>
      <c r="ICY134" s="64"/>
      <c r="ICZ134" s="64"/>
      <c r="IDA134" s="64"/>
      <c r="IDB134" s="64"/>
      <c r="IDC134" s="64"/>
      <c r="IDD134" s="64"/>
      <c r="IDE134" s="64"/>
      <c r="IDF134" s="64"/>
      <c r="IDG134" s="64"/>
      <c r="IDH134" s="64"/>
      <c r="IDI134" s="64"/>
      <c r="IDJ134" s="64"/>
      <c r="IDK134" s="64"/>
      <c r="IDL134" s="64"/>
      <c r="IDM134" s="64"/>
      <c r="IDN134" s="64"/>
      <c r="IDO134" s="64"/>
      <c r="IDP134" s="64"/>
      <c r="IDQ134" s="64"/>
      <c r="IDR134" s="64"/>
      <c r="IDS134" s="64"/>
      <c r="IDT134" s="64"/>
      <c r="IDU134" s="64"/>
      <c r="IDV134" s="64"/>
      <c r="IDW134" s="64"/>
      <c r="IDX134" s="64"/>
      <c r="IDY134" s="64"/>
      <c r="IDZ134" s="64"/>
      <c r="IEA134" s="64"/>
      <c r="IEB134" s="64"/>
      <c r="IEC134" s="64"/>
      <c r="IED134" s="64"/>
      <c r="IEE134" s="64"/>
      <c r="IEF134" s="64"/>
      <c r="IEG134" s="64"/>
      <c r="IEH134" s="64"/>
      <c r="IEI134" s="64"/>
      <c r="IEJ134" s="64"/>
      <c r="IEK134" s="64"/>
      <c r="IEL134" s="64"/>
      <c r="IEM134" s="64"/>
      <c r="IEN134" s="64"/>
      <c r="IEO134" s="64"/>
      <c r="IEP134" s="64"/>
      <c r="IEQ134" s="64"/>
      <c r="IER134" s="64"/>
      <c r="IES134" s="64"/>
      <c r="IET134" s="64"/>
      <c r="IEU134" s="64"/>
      <c r="IEV134" s="64"/>
      <c r="IEW134" s="64"/>
      <c r="IEX134" s="64"/>
      <c r="IEY134" s="64"/>
      <c r="IEZ134" s="64"/>
      <c r="IFA134" s="64"/>
      <c r="IFB134" s="64"/>
      <c r="IFC134" s="64"/>
      <c r="IFD134" s="64"/>
      <c r="IFE134" s="64"/>
      <c r="IFF134" s="64"/>
      <c r="IFG134" s="64"/>
      <c r="IFH134" s="64"/>
      <c r="IFI134" s="64"/>
      <c r="IFJ134" s="64"/>
      <c r="IFK134" s="64"/>
      <c r="IFL134" s="64"/>
      <c r="IFM134" s="64"/>
      <c r="IFN134" s="64"/>
      <c r="IFO134" s="64"/>
      <c r="IFP134" s="64"/>
      <c r="IFQ134" s="64"/>
      <c r="IFR134" s="64"/>
      <c r="IFS134" s="64"/>
      <c r="IFT134" s="64"/>
      <c r="IFU134" s="64"/>
      <c r="IFV134" s="64"/>
      <c r="IFW134" s="64"/>
      <c r="IFX134" s="64"/>
      <c r="IFY134" s="64"/>
      <c r="IFZ134" s="64"/>
      <c r="IGA134" s="64"/>
      <c r="IGB134" s="64"/>
      <c r="IGC134" s="64"/>
      <c r="IGD134" s="64"/>
      <c r="IGE134" s="64"/>
      <c r="IGF134" s="64"/>
      <c r="IGG134" s="64"/>
      <c r="IGH134" s="64"/>
      <c r="IGI134" s="64"/>
      <c r="IGJ134" s="64"/>
      <c r="IGK134" s="64"/>
      <c r="IGL134" s="64"/>
      <c r="IGM134" s="64"/>
      <c r="IGN134" s="64"/>
      <c r="IGO134" s="64"/>
      <c r="IGP134" s="64"/>
      <c r="IGQ134" s="64"/>
      <c r="IGR134" s="64"/>
      <c r="IGS134" s="64"/>
      <c r="IGT134" s="64"/>
      <c r="IGU134" s="64"/>
      <c r="IGV134" s="64"/>
      <c r="IGW134" s="64"/>
      <c r="IGX134" s="64"/>
      <c r="IGY134" s="64"/>
      <c r="IGZ134" s="64"/>
      <c r="IHA134" s="64"/>
      <c r="IHB134" s="64"/>
      <c r="IHC134" s="64"/>
      <c r="IHD134" s="64"/>
      <c r="IHE134" s="64"/>
      <c r="IHF134" s="64"/>
      <c r="IHG134" s="64"/>
      <c r="IHH134" s="64"/>
      <c r="IHI134" s="64"/>
      <c r="IHJ134" s="64"/>
      <c r="IHK134" s="64"/>
      <c r="IHL134" s="64"/>
      <c r="IHM134" s="64"/>
      <c r="IHN134" s="64"/>
      <c r="IHO134" s="64"/>
      <c r="IHP134" s="64"/>
      <c r="IHQ134" s="64"/>
      <c r="IHR134" s="64"/>
      <c r="IHS134" s="64"/>
      <c r="IHT134" s="64"/>
      <c r="IHU134" s="64"/>
      <c r="IHV134" s="64"/>
      <c r="IHW134" s="64"/>
      <c r="IHX134" s="64"/>
      <c r="IHY134" s="64"/>
      <c r="IHZ134" s="64"/>
      <c r="IIA134" s="64"/>
      <c r="IIB134" s="64"/>
      <c r="IIC134" s="64"/>
      <c r="IID134" s="64"/>
      <c r="IIE134" s="64"/>
      <c r="IIF134" s="64"/>
      <c r="IIG134" s="64"/>
      <c r="IIH134" s="64"/>
      <c r="III134" s="64"/>
      <c r="IIJ134" s="64"/>
      <c r="IIK134" s="64"/>
      <c r="IIL134" s="64"/>
      <c r="IIM134" s="64"/>
      <c r="IIN134" s="64"/>
      <c r="IIO134" s="64"/>
      <c r="IIP134" s="64"/>
      <c r="IIQ134" s="64"/>
      <c r="IIR134" s="64"/>
      <c r="IIS134" s="64"/>
      <c r="IIT134" s="64"/>
      <c r="IIU134" s="64"/>
      <c r="IIV134" s="64"/>
      <c r="IIW134" s="64"/>
      <c r="IIX134" s="64"/>
      <c r="IIY134" s="64"/>
      <c r="IIZ134" s="64"/>
      <c r="IJA134" s="64"/>
      <c r="IJB134" s="64"/>
      <c r="IJC134" s="64"/>
      <c r="IJD134" s="64"/>
      <c r="IJE134" s="64"/>
      <c r="IJF134" s="64"/>
      <c r="IJG134" s="64"/>
      <c r="IJH134" s="64"/>
      <c r="IJI134" s="64"/>
      <c r="IJJ134" s="64"/>
      <c r="IJK134" s="64"/>
      <c r="IJL134" s="64"/>
      <c r="IJM134" s="64"/>
      <c r="IJN134" s="64"/>
      <c r="IJO134" s="64"/>
      <c r="IJP134" s="64"/>
      <c r="IJQ134" s="64"/>
      <c r="IJR134" s="64"/>
      <c r="IJS134" s="64"/>
      <c r="IJT134" s="64"/>
      <c r="IJU134" s="64"/>
      <c r="IJV134" s="64"/>
      <c r="IJW134" s="64"/>
      <c r="IJX134" s="64"/>
      <c r="IJY134" s="64"/>
      <c r="IJZ134" s="64"/>
      <c r="IKA134" s="64"/>
      <c r="IKB134" s="64"/>
      <c r="IKC134" s="64"/>
      <c r="IKD134" s="64"/>
      <c r="IKE134" s="64"/>
      <c r="IKF134" s="64"/>
      <c r="IKG134" s="64"/>
      <c r="IKH134" s="64"/>
      <c r="IKI134" s="64"/>
      <c r="IKJ134" s="64"/>
      <c r="IKK134" s="64"/>
      <c r="IKL134" s="64"/>
      <c r="IKM134" s="64"/>
      <c r="IKN134" s="64"/>
      <c r="IKO134" s="64"/>
      <c r="IKP134" s="64"/>
      <c r="IKQ134" s="64"/>
      <c r="IKR134" s="64"/>
      <c r="IKS134" s="64"/>
      <c r="IKT134" s="64"/>
      <c r="IKU134" s="64"/>
      <c r="IKV134" s="64"/>
      <c r="IKW134" s="64"/>
      <c r="IKX134" s="64"/>
      <c r="IKY134" s="64"/>
      <c r="IKZ134" s="64"/>
      <c r="ILA134" s="64"/>
      <c r="ILB134" s="64"/>
      <c r="ILC134" s="64"/>
      <c r="ILD134" s="64"/>
      <c r="ILE134" s="64"/>
      <c r="ILF134" s="64"/>
      <c r="ILG134" s="64"/>
      <c r="ILH134" s="64"/>
      <c r="ILI134" s="64"/>
      <c r="ILJ134" s="64"/>
      <c r="ILK134" s="64"/>
      <c r="ILL134" s="64"/>
      <c r="ILM134" s="64"/>
      <c r="ILN134" s="64"/>
      <c r="ILO134" s="64"/>
      <c r="ILP134" s="64"/>
      <c r="ILQ134" s="64"/>
      <c r="ILR134" s="64"/>
      <c r="ILS134" s="64"/>
      <c r="ILT134" s="64"/>
      <c r="ILU134" s="64"/>
      <c r="ILV134" s="64"/>
      <c r="ILW134" s="64"/>
      <c r="ILX134" s="64"/>
      <c r="ILY134" s="64"/>
      <c r="ILZ134" s="64"/>
      <c r="IMA134" s="64"/>
      <c r="IMB134" s="64"/>
      <c r="IMC134" s="64"/>
      <c r="IMD134" s="64"/>
      <c r="IME134" s="64"/>
      <c r="IMF134" s="64"/>
      <c r="IMG134" s="64"/>
      <c r="IMH134" s="64"/>
      <c r="IMI134" s="64"/>
      <c r="IMJ134" s="64"/>
      <c r="IMK134" s="64"/>
      <c r="IML134" s="64"/>
      <c r="IMM134" s="64"/>
      <c r="IMN134" s="64"/>
      <c r="IMO134" s="64"/>
      <c r="IMP134" s="64"/>
      <c r="IMQ134" s="64"/>
      <c r="IMR134" s="64"/>
      <c r="IMS134" s="64"/>
      <c r="IMT134" s="64"/>
      <c r="IMU134" s="64"/>
      <c r="IMV134" s="64"/>
      <c r="IMW134" s="64"/>
      <c r="IMX134" s="64"/>
      <c r="IMY134" s="64"/>
      <c r="IMZ134" s="64"/>
      <c r="INA134" s="64"/>
      <c r="INB134" s="64"/>
      <c r="INC134" s="64"/>
      <c r="IND134" s="64"/>
      <c r="INE134" s="64"/>
      <c r="INF134" s="64"/>
      <c r="ING134" s="64"/>
      <c r="INH134" s="64"/>
      <c r="INI134" s="64"/>
      <c r="INJ134" s="64"/>
      <c r="INK134" s="64"/>
      <c r="INL134" s="64"/>
      <c r="INM134" s="64"/>
      <c r="INN134" s="64"/>
      <c r="INO134" s="64"/>
      <c r="INP134" s="64"/>
      <c r="INQ134" s="64"/>
      <c r="INR134" s="64"/>
      <c r="INS134" s="64"/>
      <c r="INT134" s="64"/>
      <c r="INU134" s="64"/>
      <c r="INV134" s="64"/>
      <c r="INW134" s="64"/>
      <c r="INX134" s="64"/>
      <c r="INY134" s="64"/>
      <c r="INZ134" s="64"/>
      <c r="IOA134" s="64"/>
      <c r="IOB134" s="64"/>
      <c r="IOC134" s="64"/>
      <c r="IOD134" s="64"/>
      <c r="IOE134" s="64"/>
      <c r="IOF134" s="64"/>
      <c r="IOG134" s="64"/>
      <c r="IOH134" s="64"/>
      <c r="IOI134" s="64"/>
      <c r="IOJ134" s="64"/>
      <c r="IOK134" s="64"/>
      <c r="IOL134" s="64"/>
      <c r="IOM134" s="64"/>
      <c r="ION134" s="64"/>
      <c r="IOO134" s="64"/>
      <c r="IOP134" s="64"/>
      <c r="IOQ134" s="64"/>
      <c r="IOR134" s="64"/>
      <c r="IOS134" s="64"/>
      <c r="IOT134" s="64"/>
      <c r="IOU134" s="64"/>
      <c r="IOV134" s="64"/>
      <c r="IOW134" s="64"/>
      <c r="IOX134" s="64"/>
      <c r="IOY134" s="64"/>
      <c r="IOZ134" s="64"/>
      <c r="IPA134" s="64"/>
      <c r="IPB134" s="64"/>
      <c r="IPC134" s="64"/>
      <c r="IPD134" s="64"/>
      <c r="IPE134" s="64"/>
      <c r="IPF134" s="64"/>
      <c r="IPG134" s="64"/>
      <c r="IPH134" s="64"/>
      <c r="IPI134" s="64"/>
      <c r="IPJ134" s="64"/>
      <c r="IPK134" s="64"/>
      <c r="IPL134" s="64"/>
      <c r="IPM134" s="64"/>
      <c r="IPN134" s="64"/>
      <c r="IPO134" s="64"/>
      <c r="IPP134" s="64"/>
      <c r="IPQ134" s="64"/>
      <c r="IPR134" s="64"/>
      <c r="IPS134" s="64"/>
      <c r="IPT134" s="64"/>
      <c r="IPU134" s="64"/>
      <c r="IPV134" s="64"/>
      <c r="IPW134" s="64"/>
      <c r="IPX134" s="64"/>
      <c r="IPY134" s="64"/>
      <c r="IPZ134" s="64"/>
      <c r="IQA134" s="64"/>
      <c r="IQB134" s="64"/>
      <c r="IQC134" s="64"/>
      <c r="IQD134" s="64"/>
      <c r="IQE134" s="64"/>
      <c r="IQF134" s="64"/>
      <c r="IQG134" s="64"/>
      <c r="IQH134" s="64"/>
      <c r="IQI134" s="64"/>
      <c r="IQJ134" s="64"/>
      <c r="IQK134" s="64"/>
      <c r="IQL134" s="64"/>
      <c r="IQM134" s="64"/>
      <c r="IQN134" s="64"/>
      <c r="IQO134" s="64"/>
      <c r="IQP134" s="64"/>
      <c r="IQQ134" s="64"/>
      <c r="IQR134" s="64"/>
      <c r="IQS134" s="64"/>
      <c r="IQT134" s="64"/>
      <c r="IQU134" s="64"/>
      <c r="IQV134" s="64"/>
      <c r="IQW134" s="64"/>
      <c r="IQX134" s="64"/>
      <c r="IQY134" s="64"/>
      <c r="IQZ134" s="64"/>
      <c r="IRA134" s="64"/>
      <c r="IRB134" s="64"/>
      <c r="IRC134" s="64"/>
      <c r="IRD134" s="64"/>
      <c r="IRE134" s="64"/>
      <c r="IRF134" s="64"/>
      <c r="IRG134" s="64"/>
      <c r="IRH134" s="64"/>
      <c r="IRI134" s="64"/>
      <c r="IRJ134" s="64"/>
      <c r="IRK134" s="64"/>
      <c r="IRL134" s="64"/>
      <c r="IRM134" s="64"/>
      <c r="IRN134" s="64"/>
      <c r="IRO134" s="64"/>
      <c r="IRP134" s="64"/>
      <c r="IRQ134" s="64"/>
      <c r="IRR134" s="64"/>
      <c r="IRS134" s="64"/>
      <c r="IRT134" s="64"/>
      <c r="IRU134" s="64"/>
      <c r="IRV134" s="64"/>
      <c r="IRW134" s="64"/>
      <c r="IRX134" s="64"/>
      <c r="IRY134" s="64"/>
      <c r="IRZ134" s="64"/>
      <c r="ISA134" s="64"/>
      <c r="ISB134" s="64"/>
      <c r="ISC134" s="64"/>
      <c r="ISD134" s="64"/>
      <c r="ISE134" s="64"/>
      <c r="ISF134" s="64"/>
      <c r="ISG134" s="64"/>
      <c r="ISH134" s="64"/>
      <c r="ISI134" s="64"/>
      <c r="ISJ134" s="64"/>
      <c r="ISK134" s="64"/>
      <c r="ISL134" s="64"/>
      <c r="ISM134" s="64"/>
      <c r="ISN134" s="64"/>
      <c r="ISO134" s="64"/>
      <c r="ISP134" s="64"/>
      <c r="ISQ134" s="64"/>
      <c r="ISR134" s="64"/>
      <c r="ISS134" s="64"/>
      <c r="IST134" s="64"/>
      <c r="ISU134" s="64"/>
      <c r="ISV134" s="64"/>
      <c r="ISW134" s="64"/>
      <c r="ISX134" s="64"/>
      <c r="ISY134" s="64"/>
      <c r="ISZ134" s="64"/>
      <c r="ITA134" s="64"/>
      <c r="ITB134" s="64"/>
      <c r="ITC134" s="64"/>
      <c r="ITD134" s="64"/>
      <c r="ITE134" s="64"/>
      <c r="ITF134" s="64"/>
      <c r="ITG134" s="64"/>
      <c r="ITH134" s="64"/>
      <c r="ITI134" s="64"/>
      <c r="ITJ134" s="64"/>
      <c r="ITK134" s="64"/>
      <c r="ITL134" s="64"/>
      <c r="ITM134" s="64"/>
      <c r="ITN134" s="64"/>
      <c r="ITO134" s="64"/>
      <c r="ITP134" s="64"/>
      <c r="ITQ134" s="64"/>
      <c r="ITR134" s="64"/>
      <c r="ITS134" s="64"/>
      <c r="ITT134" s="64"/>
      <c r="ITU134" s="64"/>
      <c r="ITV134" s="64"/>
      <c r="ITW134" s="64"/>
      <c r="ITX134" s="64"/>
      <c r="ITY134" s="64"/>
      <c r="ITZ134" s="64"/>
      <c r="IUA134" s="64"/>
      <c r="IUB134" s="64"/>
      <c r="IUC134" s="64"/>
      <c r="IUD134" s="64"/>
      <c r="IUE134" s="64"/>
      <c r="IUF134" s="64"/>
      <c r="IUG134" s="64"/>
      <c r="IUH134" s="64"/>
      <c r="IUI134" s="64"/>
      <c r="IUJ134" s="64"/>
      <c r="IUK134" s="64"/>
      <c r="IUL134" s="64"/>
      <c r="IUM134" s="64"/>
      <c r="IUN134" s="64"/>
      <c r="IUO134" s="64"/>
      <c r="IUP134" s="64"/>
      <c r="IUQ134" s="64"/>
      <c r="IUR134" s="64"/>
      <c r="IUS134" s="64"/>
      <c r="IUT134" s="64"/>
      <c r="IUU134" s="64"/>
      <c r="IUV134" s="64"/>
      <c r="IUW134" s="64"/>
      <c r="IUX134" s="64"/>
      <c r="IUY134" s="64"/>
      <c r="IUZ134" s="64"/>
      <c r="IVA134" s="64"/>
      <c r="IVB134" s="64"/>
      <c r="IVC134" s="64"/>
      <c r="IVD134" s="64"/>
      <c r="IVE134" s="64"/>
      <c r="IVF134" s="64"/>
      <c r="IVG134" s="64"/>
      <c r="IVH134" s="64"/>
      <c r="IVI134" s="64"/>
      <c r="IVJ134" s="64"/>
      <c r="IVK134" s="64"/>
      <c r="IVL134" s="64"/>
      <c r="IVM134" s="64"/>
      <c r="IVN134" s="64"/>
      <c r="IVO134" s="64"/>
      <c r="IVP134" s="64"/>
      <c r="IVQ134" s="64"/>
      <c r="IVR134" s="64"/>
      <c r="IVS134" s="64"/>
      <c r="IVT134" s="64"/>
      <c r="IVU134" s="64"/>
      <c r="IVV134" s="64"/>
      <c r="IVW134" s="64"/>
      <c r="IVX134" s="64"/>
      <c r="IVY134" s="64"/>
      <c r="IVZ134" s="64"/>
      <c r="IWA134" s="64"/>
      <c r="IWB134" s="64"/>
      <c r="IWC134" s="64"/>
      <c r="IWD134" s="64"/>
      <c r="IWE134" s="64"/>
      <c r="IWF134" s="64"/>
      <c r="IWG134" s="64"/>
      <c r="IWH134" s="64"/>
      <c r="IWI134" s="64"/>
      <c r="IWJ134" s="64"/>
      <c r="IWK134" s="64"/>
      <c r="IWL134" s="64"/>
      <c r="IWM134" s="64"/>
      <c r="IWN134" s="64"/>
      <c r="IWO134" s="64"/>
      <c r="IWP134" s="64"/>
      <c r="IWQ134" s="64"/>
      <c r="IWR134" s="64"/>
      <c r="IWS134" s="64"/>
      <c r="IWT134" s="64"/>
      <c r="IWU134" s="64"/>
      <c r="IWV134" s="64"/>
      <c r="IWW134" s="64"/>
      <c r="IWX134" s="64"/>
      <c r="IWY134" s="64"/>
      <c r="IWZ134" s="64"/>
      <c r="IXA134" s="64"/>
      <c r="IXB134" s="64"/>
      <c r="IXC134" s="64"/>
      <c r="IXD134" s="64"/>
      <c r="IXE134" s="64"/>
      <c r="IXF134" s="64"/>
      <c r="IXG134" s="64"/>
      <c r="IXH134" s="64"/>
      <c r="IXI134" s="64"/>
      <c r="IXJ134" s="64"/>
      <c r="IXK134" s="64"/>
      <c r="IXL134" s="64"/>
      <c r="IXM134" s="64"/>
      <c r="IXN134" s="64"/>
      <c r="IXO134" s="64"/>
      <c r="IXP134" s="64"/>
      <c r="IXQ134" s="64"/>
      <c r="IXR134" s="64"/>
      <c r="IXS134" s="64"/>
      <c r="IXT134" s="64"/>
      <c r="IXU134" s="64"/>
      <c r="IXV134" s="64"/>
      <c r="IXW134" s="64"/>
      <c r="IXX134" s="64"/>
      <c r="IXY134" s="64"/>
      <c r="IXZ134" s="64"/>
      <c r="IYA134" s="64"/>
      <c r="IYB134" s="64"/>
      <c r="IYC134" s="64"/>
      <c r="IYD134" s="64"/>
      <c r="IYE134" s="64"/>
      <c r="IYF134" s="64"/>
      <c r="IYG134" s="64"/>
      <c r="IYH134" s="64"/>
      <c r="IYI134" s="64"/>
      <c r="IYJ134" s="64"/>
      <c r="IYK134" s="64"/>
      <c r="IYL134" s="64"/>
      <c r="IYM134" s="64"/>
      <c r="IYN134" s="64"/>
      <c r="IYO134" s="64"/>
      <c r="IYP134" s="64"/>
      <c r="IYQ134" s="64"/>
      <c r="IYR134" s="64"/>
      <c r="IYS134" s="64"/>
      <c r="IYT134" s="64"/>
      <c r="IYU134" s="64"/>
      <c r="IYV134" s="64"/>
      <c r="IYW134" s="64"/>
      <c r="IYX134" s="64"/>
      <c r="IYY134" s="64"/>
      <c r="IYZ134" s="64"/>
      <c r="IZA134" s="64"/>
      <c r="IZB134" s="64"/>
      <c r="IZC134" s="64"/>
      <c r="IZD134" s="64"/>
      <c r="IZE134" s="64"/>
      <c r="IZF134" s="64"/>
      <c r="IZG134" s="64"/>
      <c r="IZH134" s="64"/>
      <c r="IZI134" s="64"/>
      <c r="IZJ134" s="64"/>
      <c r="IZK134" s="64"/>
      <c r="IZL134" s="64"/>
      <c r="IZM134" s="64"/>
      <c r="IZN134" s="64"/>
      <c r="IZO134" s="64"/>
      <c r="IZP134" s="64"/>
      <c r="IZQ134" s="64"/>
      <c r="IZR134" s="64"/>
      <c r="IZS134" s="64"/>
      <c r="IZT134" s="64"/>
      <c r="IZU134" s="64"/>
      <c r="IZV134" s="64"/>
      <c r="IZW134" s="64"/>
      <c r="IZX134" s="64"/>
      <c r="IZY134" s="64"/>
      <c r="IZZ134" s="64"/>
      <c r="JAA134" s="64"/>
      <c r="JAB134" s="64"/>
      <c r="JAC134" s="64"/>
      <c r="JAD134" s="64"/>
      <c r="JAE134" s="64"/>
      <c r="JAF134" s="64"/>
      <c r="JAG134" s="64"/>
      <c r="JAH134" s="64"/>
      <c r="JAI134" s="64"/>
      <c r="JAJ134" s="64"/>
      <c r="JAK134" s="64"/>
      <c r="JAL134" s="64"/>
      <c r="JAM134" s="64"/>
      <c r="JAN134" s="64"/>
      <c r="JAO134" s="64"/>
      <c r="JAP134" s="64"/>
      <c r="JAQ134" s="64"/>
      <c r="JAR134" s="64"/>
      <c r="JAS134" s="64"/>
      <c r="JAT134" s="64"/>
      <c r="JAU134" s="64"/>
      <c r="JAV134" s="64"/>
      <c r="JAW134" s="64"/>
      <c r="JAX134" s="64"/>
      <c r="JAY134" s="64"/>
      <c r="JAZ134" s="64"/>
      <c r="JBA134" s="64"/>
      <c r="JBB134" s="64"/>
      <c r="JBC134" s="64"/>
      <c r="JBD134" s="64"/>
      <c r="JBE134" s="64"/>
      <c r="JBF134" s="64"/>
      <c r="JBG134" s="64"/>
      <c r="JBH134" s="64"/>
      <c r="JBI134" s="64"/>
      <c r="JBJ134" s="64"/>
      <c r="JBK134" s="64"/>
      <c r="JBL134" s="64"/>
      <c r="JBM134" s="64"/>
      <c r="JBN134" s="64"/>
      <c r="JBO134" s="64"/>
      <c r="JBP134" s="64"/>
      <c r="JBQ134" s="64"/>
      <c r="JBR134" s="64"/>
      <c r="JBS134" s="64"/>
      <c r="JBT134" s="64"/>
      <c r="JBU134" s="64"/>
      <c r="JBV134" s="64"/>
      <c r="JBW134" s="64"/>
      <c r="JBX134" s="64"/>
      <c r="JBY134" s="64"/>
      <c r="JBZ134" s="64"/>
      <c r="JCA134" s="64"/>
      <c r="JCB134" s="64"/>
      <c r="JCC134" s="64"/>
      <c r="JCD134" s="64"/>
      <c r="JCE134" s="64"/>
      <c r="JCF134" s="64"/>
      <c r="JCG134" s="64"/>
      <c r="JCH134" s="64"/>
      <c r="JCI134" s="64"/>
      <c r="JCJ134" s="64"/>
      <c r="JCK134" s="64"/>
      <c r="JCL134" s="64"/>
      <c r="JCM134" s="64"/>
      <c r="JCN134" s="64"/>
      <c r="JCO134" s="64"/>
      <c r="JCP134" s="64"/>
      <c r="JCQ134" s="64"/>
      <c r="JCR134" s="64"/>
      <c r="JCS134" s="64"/>
      <c r="JCT134" s="64"/>
      <c r="JCU134" s="64"/>
      <c r="JCV134" s="64"/>
      <c r="JCW134" s="64"/>
      <c r="JCX134" s="64"/>
      <c r="JCY134" s="64"/>
      <c r="JCZ134" s="64"/>
      <c r="JDA134" s="64"/>
      <c r="JDB134" s="64"/>
      <c r="JDC134" s="64"/>
      <c r="JDD134" s="64"/>
      <c r="JDE134" s="64"/>
      <c r="JDF134" s="64"/>
      <c r="JDG134" s="64"/>
      <c r="JDH134" s="64"/>
      <c r="JDI134" s="64"/>
      <c r="JDJ134" s="64"/>
      <c r="JDK134" s="64"/>
      <c r="JDL134" s="64"/>
      <c r="JDM134" s="64"/>
      <c r="JDN134" s="64"/>
      <c r="JDO134" s="64"/>
      <c r="JDP134" s="64"/>
      <c r="JDQ134" s="64"/>
      <c r="JDR134" s="64"/>
      <c r="JDS134" s="64"/>
      <c r="JDT134" s="64"/>
      <c r="JDU134" s="64"/>
      <c r="JDV134" s="64"/>
      <c r="JDW134" s="64"/>
      <c r="JDX134" s="64"/>
      <c r="JDY134" s="64"/>
      <c r="JDZ134" s="64"/>
      <c r="JEA134" s="64"/>
      <c r="JEB134" s="64"/>
      <c r="JEC134" s="64"/>
      <c r="JED134" s="64"/>
      <c r="JEE134" s="64"/>
      <c r="JEF134" s="64"/>
      <c r="JEG134" s="64"/>
      <c r="JEH134" s="64"/>
      <c r="JEI134" s="64"/>
      <c r="JEJ134" s="64"/>
      <c r="JEK134" s="64"/>
      <c r="JEL134" s="64"/>
      <c r="JEM134" s="64"/>
      <c r="JEN134" s="64"/>
      <c r="JEO134" s="64"/>
      <c r="JEP134" s="64"/>
      <c r="JEQ134" s="64"/>
      <c r="JER134" s="64"/>
      <c r="JES134" s="64"/>
      <c r="JET134" s="64"/>
      <c r="JEU134" s="64"/>
      <c r="JEV134" s="64"/>
      <c r="JEW134" s="64"/>
      <c r="JEX134" s="64"/>
      <c r="JEY134" s="64"/>
      <c r="JEZ134" s="64"/>
      <c r="JFA134" s="64"/>
      <c r="JFB134" s="64"/>
      <c r="JFC134" s="64"/>
      <c r="JFD134" s="64"/>
      <c r="JFE134" s="64"/>
      <c r="JFF134" s="64"/>
      <c r="JFG134" s="64"/>
      <c r="JFH134" s="64"/>
      <c r="JFI134" s="64"/>
      <c r="JFJ134" s="64"/>
      <c r="JFK134" s="64"/>
      <c r="JFL134" s="64"/>
      <c r="JFM134" s="64"/>
      <c r="JFN134" s="64"/>
      <c r="JFO134" s="64"/>
      <c r="JFP134" s="64"/>
      <c r="JFQ134" s="64"/>
      <c r="JFR134" s="64"/>
      <c r="JFS134" s="64"/>
      <c r="JFT134" s="64"/>
      <c r="JFU134" s="64"/>
      <c r="JFV134" s="64"/>
      <c r="JFW134" s="64"/>
      <c r="JFX134" s="64"/>
      <c r="JFY134" s="64"/>
      <c r="JFZ134" s="64"/>
      <c r="JGA134" s="64"/>
      <c r="JGB134" s="64"/>
      <c r="JGC134" s="64"/>
      <c r="JGD134" s="64"/>
      <c r="JGE134" s="64"/>
      <c r="JGF134" s="64"/>
      <c r="JGG134" s="64"/>
      <c r="JGH134" s="64"/>
      <c r="JGI134" s="64"/>
      <c r="JGJ134" s="64"/>
      <c r="JGK134" s="64"/>
      <c r="JGL134" s="64"/>
      <c r="JGM134" s="64"/>
      <c r="JGN134" s="64"/>
      <c r="JGO134" s="64"/>
      <c r="JGP134" s="64"/>
      <c r="JGQ134" s="64"/>
      <c r="JGR134" s="64"/>
      <c r="JGS134" s="64"/>
      <c r="JGT134" s="64"/>
      <c r="JGU134" s="64"/>
      <c r="JGV134" s="64"/>
      <c r="JGW134" s="64"/>
      <c r="JGX134" s="64"/>
      <c r="JGY134" s="64"/>
      <c r="JGZ134" s="64"/>
      <c r="JHA134" s="64"/>
      <c r="JHB134" s="64"/>
      <c r="JHC134" s="64"/>
      <c r="JHD134" s="64"/>
      <c r="JHE134" s="64"/>
      <c r="JHF134" s="64"/>
      <c r="JHG134" s="64"/>
      <c r="JHH134" s="64"/>
      <c r="JHI134" s="64"/>
      <c r="JHJ134" s="64"/>
      <c r="JHK134" s="64"/>
      <c r="JHL134" s="64"/>
      <c r="JHM134" s="64"/>
      <c r="JHN134" s="64"/>
      <c r="JHO134" s="64"/>
      <c r="JHP134" s="64"/>
      <c r="JHQ134" s="64"/>
      <c r="JHR134" s="64"/>
      <c r="JHS134" s="64"/>
      <c r="JHT134" s="64"/>
      <c r="JHU134" s="64"/>
      <c r="JHV134" s="64"/>
      <c r="JHW134" s="64"/>
      <c r="JHX134" s="64"/>
      <c r="JHY134" s="64"/>
      <c r="JHZ134" s="64"/>
      <c r="JIA134" s="64"/>
      <c r="JIB134" s="64"/>
      <c r="JIC134" s="64"/>
      <c r="JID134" s="64"/>
      <c r="JIE134" s="64"/>
      <c r="JIF134" s="64"/>
      <c r="JIG134" s="64"/>
      <c r="JIH134" s="64"/>
      <c r="JII134" s="64"/>
      <c r="JIJ134" s="64"/>
      <c r="JIK134" s="64"/>
      <c r="JIL134" s="64"/>
      <c r="JIM134" s="64"/>
      <c r="JIN134" s="64"/>
      <c r="JIO134" s="64"/>
      <c r="JIP134" s="64"/>
      <c r="JIQ134" s="64"/>
      <c r="JIR134" s="64"/>
      <c r="JIS134" s="64"/>
      <c r="JIT134" s="64"/>
      <c r="JIU134" s="64"/>
      <c r="JIV134" s="64"/>
      <c r="JIW134" s="64"/>
      <c r="JIX134" s="64"/>
      <c r="JIY134" s="64"/>
      <c r="JIZ134" s="64"/>
      <c r="JJA134" s="64"/>
      <c r="JJB134" s="64"/>
      <c r="JJC134" s="64"/>
      <c r="JJD134" s="64"/>
      <c r="JJE134" s="64"/>
      <c r="JJF134" s="64"/>
      <c r="JJG134" s="64"/>
      <c r="JJH134" s="64"/>
      <c r="JJI134" s="64"/>
      <c r="JJJ134" s="64"/>
      <c r="JJK134" s="64"/>
      <c r="JJL134" s="64"/>
      <c r="JJM134" s="64"/>
      <c r="JJN134" s="64"/>
      <c r="JJO134" s="64"/>
      <c r="JJP134" s="64"/>
      <c r="JJQ134" s="64"/>
      <c r="JJR134" s="64"/>
      <c r="JJS134" s="64"/>
      <c r="JJT134" s="64"/>
      <c r="JJU134" s="64"/>
      <c r="JJV134" s="64"/>
      <c r="JJW134" s="64"/>
      <c r="JJX134" s="64"/>
      <c r="JJY134" s="64"/>
      <c r="JJZ134" s="64"/>
      <c r="JKA134" s="64"/>
      <c r="JKB134" s="64"/>
      <c r="JKC134" s="64"/>
      <c r="JKD134" s="64"/>
      <c r="JKE134" s="64"/>
      <c r="JKF134" s="64"/>
      <c r="JKG134" s="64"/>
      <c r="JKH134" s="64"/>
      <c r="JKI134" s="64"/>
      <c r="JKJ134" s="64"/>
      <c r="JKK134" s="64"/>
      <c r="JKL134" s="64"/>
      <c r="JKM134" s="64"/>
      <c r="JKN134" s="64"/>
      <c r="JKO134" s="64"/>
      <c r="JKP134" s="64"/>
      <c r="JKQ134" s="64"/>
      <c r="JKR134" s="64"/>
      <c r="JKS134" s="64"/>
      <c r="JKT134" s="64"/>
      <c r="JKU134" s="64"/>
      <c r="JKV134" s="64"/>
      <c r="JKW134" s="64"/>
      <c r="JKX134" s="64"/>
      <c r="JKY134" s="64"/>
      <c r="JKZ134" s="64"/>
      <c r="JLA134" s="64"/>
      <c r="JLB134" s="64"/>
      <c r="JLC134" s="64"/>
      <c r="JLD134" s="64"/>
      <c r="JLE134" s="64"/>
      <c r="JLF134" s="64"/>
      <c r="JLG134" s="64"/>
      <c r="JLH134" s="64"/>
      <c r="JLI134" s="64"/>
      <c r="JLJ134" s="64"/>
      <c r="JLK134" s="64"/>
      <c r="JLL134" s="64"/>
      <c r="JLM134" s="64"/>
      <c r="JLN134" s="64"/>
      <c r="JLO134" s="64"/>
      <c r="JLP134" s="64"/>
      <c r="JLQ134" s="64"/>
      <c r="JLR134" s="64"/>
      <c r="JLS134" s="64"/>
      <c r="JLT134" s="64"/>
      <c r="JLU134" s="64"/>
      <c r="JLV134" s="64"/>
      <c r="JLW134" s="64"/>
      <c r="JLX134" s="64"/>
      <c r="JLY134" s="64"/>
      <c r="JLZ134" s="64"/>
      <c r="JMA134" s="64"/>
      <c r="JMB134" s="64"/>
      <c r="JMC134" s="64"/>
      <c r="JMD134" s="64"/>
      <c r="JME134" s="64"/>
      <c r="JMF134" s="64"/>
      <c r="JMG134" s="64"/>
      <c r="JMH134" s="64"/>
      <c r="JMI134" s="64"/>
      <c r="JMJ134" s="64"/>
      <c r="JMK134" s="64"/>
      <c r="JML134" s="64"/>
      <c r="JMM134" s="64"/>
      <c r="JMN134" s="64"/>
      <c r="JMO134" s="64"/>
      <c r="JMP134" s="64"/>
      <c r="JMQ134" s="64"/>
      <c r="JMR134" s="64"/>
      <c r="JMS134" s="64"/>
      <c r="JMT134" s="64"/>
      <c r="JMU134" s="64"/>
      <c r="JMV134" s="64"/>
      <c r="JMW134" s="64"/>
      <c r="JMX134" s="64"/>
      <c r="JMY134" s="64"/>
      <c r="JMZ134" s="64"/>
      <c r="JNA134" s="64"/>
      <c r="JNB134" s="64"/>
      <c r="JNC134" s="64"/>
      <c r="JND134" s="64"/>
      <c r="JNE134" s="64"/>
      <c r="JNF134" s="64"/>
      <c r="JNG134" s="64"/>
      <c r="JNH134" s="64"/>
      <c r="JNI134" s="64"/>
      <c r="JNJ134" s="64"/>
      <c r="JNK134" s="64"/>
      <c r="JNL134" s="64"/>
      <c r="JNM134" s="64"/>
      <c r="JNN134" s="64"/>
      <c r="JNO134" s="64"/>
      <c r="JNP134" s="64"/>
      <c r="JNQ134" s="64"/>
      <c r="JNR134" s="64"/>
      <c r="JNS134" s="64"/>
      <c r="JNT134" s="64"/>
      <c r="JNU134" s="64"/>
      <c r="JNV134" s="64"/>
      <c r="JNW134" s="64"/>
      <c r="JNX134" s="64"/>
      <c r="JNY134" s="64"/>
      <c r="JNZ134" s="64"/>
      <c r="JOA134" s="64"/>
      <c r="JOB134" s="64"/>
      <c r="JOC134" s="64"/>
      <c r="JOD134" s="64"/>
      <c r="JOE134" s="64"/>
      <c r="JOF134" s="64"/>
      <c r="JOG134" s="64"/>
      <c r="JOH134" s="64"/>
      <c r="JOI134" s="64"/>
      <c r="JOJ134" s="64"/>
      <c r="JOK134" s="64"/>
      <c r="JOL134" s="64"/>
      <c r="JOM134" s="64"/>
      <c r="JON134" s="64"/>
      <c r="JOO134" s="64"/>
      <c r="JOP134" s="64"/>
      <c r="JOQ134" s="64"/>
      <c r="JOR134" s="64"/>
      <c r="JOS134" s="64"/>
      <c r="JOT134" s="64"/>
      <c r="JOU134" s="64"/>
      <c r="JOV134" s="64"/>
      <c r="JOW134" s="64"/>
      <c r="JOX134" s="64"/>
      <c r="JOY134" s="64"/>
      <c r="JOZ134" s="64"/>
      <c r="JPA134" s="64"/>
      <c r="JPB134" s="64"/>
      <c r="JPC134" s="64"/>
      <c r="JPD134" s="64"/>
      <c r="JPE134" s="64"/>
      <c r="JPF134" s="64"/>
      <c r="JPG134" s="64"/>
      <c r="JPH134" s="64"/>
      <c r="JPI134" s="64"/>
      <c r="JPJ134" s="64"/>
      <c r="JPK134" s="64"/>
      <c r="JPL134" s="64"/>
      <c r="JPM134" s="64"/>
      <c r="JPN134" s="64"/>
      <c r="JPO134" s="64"/>
      <c r="JPP134" s="64"/>
      <c r="JPQ134" s="64"/>
      <c r="JPR134" s="64"/>
      <c r="JPS134" s="64"/>
      <c r="JPT134" s="64"/>
      <c r="JPU134" s="64"/>
      <c r="JPV134" s="64"/>
      <c r="JPW134" s="64"/>
      <c r="JPX134" s="64"/>
      <c r="JPY134" s="64"/>
      <c r="JPZ134" s="64"/>
      <c r="JQA134" s="64"/>
      <c r="JQB134" s="64"/>
      <c r="JQC134" s="64"/>
      <c r="JQD134" s="64"/>
      <c r="JQE134" s="64"/>
      <c r="JQF134" s="64"/>
      <c r="JQG134" s="64"/>
      <c r="JQH134" s="64"/>
      <c r="JQI134" s="64"/>
      <c r="JQJ134" s="64"/>
      <c r="JQK134" s="64"/>
      <c r="JQL134" s="64"/>
      <c r="JQM134" s="64"/>
      <c r="JQN134" s="64"/>
      <c r="JQO134" s="64"/>
      <c r="JQP134" s="64"/>
      <c r="JQQ134" s="64"/>
      <c r="JQR134" s="64"/>
      <c r="JQS134" s="64"/>
      <c r="JQT134" s="64"/>
      <c r="JQU134" s="64"/>
      <c r="JQV134" s="64"/>
      <c r="JQW134" s="64"/>
      <c r="JQX134" s="64"/>
      <c r="JQY134" s="64"/>
      <c r="JQZ134" s="64"/>
      <c r="JRA134" s="64"/>
      <c r="JRB134" s="64"/>
      <c r="JRC134" s="64"/>
      <c r="JRD134" s="64"/>
      <c r="JRE134" s="64"/>
      <c r="JRF134" s="64"/>
      <c r="JRG134" s="64"/>
      <c r="JRH134" s="64"/>
      <c r="JRI134" s="64"/>
      <c r="JRJ134" s="64"/>
      <c r="JRK134" s="64"/>
      <c r="JRL134" s="64"/>
      <c r="JRM134" s="64"/>
      <c r="JRN134" s="64"/>
      <c r="JRO134" s="64"/>
      <c r="JRP134" s="64"/>
      <c r="JRQ134" s="64"/>
      <c r="JRR134" s="64"/>
      <c r="JRS134" s="64"/>
      <c r="JRT134" s="64"/>
      <c r="JRU134" s="64"/>
      <c r="JRV134" s="64"/>
      <c r="JRW134" s="64"/>
      <c r="JRX134" s="64"/>
      <c r="JRY134" s="64"/>
      <c r="JRZ134" s="64"/>
      <c r="JSA134" s="64"/>
      <c r="JSB134" s="64"/>
      <c r="JSC134" s="64"/>
      <c r="JSD134" s="64"/>
      <c r="JSE134" s="64"/>
      <c r="JSF134" s="64"/>
      <c r="JSG134" s="64"/>
      <c r="JSH134" s="64"/>
      <c r="JSI134" s="64"/>
      <c r="JSJ134" s="64"/>
      <c r="JSK134" s="64"/>
      <c r="JSL134" s="64"/>
      <c r="JSM134" s="64"/>
      <c r="JSN134" s="64"/>
      <c r="JSO134" s="64"/>
      <c r="JSP134" s="64"/>
      <c r="JSQ134" s="64"/>
      <c r="JSR134" s="64"/>
      <c r="JSS134" s="64"/>
      <c r="JST134" s="64"/>
      <c r="JSU134" s="64"/>
      <c r="JSV134" s="64"/>
      <c r="JSW134" s="64"/>
      <c r="JSX134" s="64"/>
      <c r="JSY134" s="64"/>
      <c r="JSZ134" s="64"/>
      <c r="JTA134" s="64"/>
      <c r="JTB134" s="64"/>
      <c r="JTC134" s="64"/>
      <c r="JTD134" s="64"/>
      <c r="JTE134" s="64"/>
      <c r="JTF134" s="64"/>
      <c r="JTG134" s="64"/>
      <c r="JTH134" s="64"/>
      <c r="JTI134" s="64"/>
      <c r="JTJ134" s="64"/>
      <c r="JTK134" s="64"/>
      <c r="JTL134" s="64"/>
      <c r="JTM134" s="64"/>
      <c r="JTN134" s="64"/>
      <c r="JTO134" s="64"/>
      <c r="JTP134" s="64"/>
      <c r="JTQ134" s="64"/>
      <c r="JTR134" s="64"/>
      <c r="JTS134" s="64"/>
      <c r="JTT134" s="64"/>
      <c r="JTU134" s="64"/>
      <c r="JTV134" s="64"/>
      <c r="JTW134" s="64"/>
      <c r="JTX134" s="64"/>
      <c r="JTY134" s="64"/>
      <c r="JTZ134" s="64"/>
      <c r="JUA134" s="64"/>
      <c r="JUB134" s="64"/>
      <c r="JUC134" s="64"/>
      <c r="JUD134" s="64"/>
      <c r="JUE134" s="64"/>
      <c r="JUF134" s="64"/>
      <c r="JUG134" s="64"/>
      <c r="JUH134" s="64"/>
      <c r="JUI134" s="64"/>
      <c r="JUJ134" s="64"/>
      <c r="JUK134" s="64"/>
      <c r="JUL134" s="64"/>
      <c r="JUM134" s="64"/>
      <c r="JUN134" s="64"/>
      <c r="JUO134" s="64"/>
      <c r="JUP134" s="64"/>
      <c r="JUQ134" s="64"/>
      <c r="JUR134" s="64"/>
      <c r="JUS134" s="64"/>
      <c r="JUT134" s="64"/>
      <c r="JUU134" s="64"/>
      <c r="JUV134" s="64"/>
      <c r="JUW134" s="64"/>
      <c r="JUX134" s="64"/>
      <c r="JUY134" s="64"/>
      <c r="JUZ134" s="64"/>
      <c r="JVA134" s="64"/>
      <c r="JVB134" s="64"/>
      <c r="JVC134" s="64"/>
      <c r="JVD134" s="64"/>
      <c r="JVE134" s="64"/>
      <c r="JVF134" s="64"/>
      <c r="JVG134" s="64"/>
      <c r="JVH134" s="64"/>
      <c r="JVI134" s="64"/>
      <c r="JVJ134" s="64"/>
      <c r="JVK134" s="64"/>
      <c r="JVL134" s="64"/>
      <c r="JVM134" s="64"/>
      <c r="JVN134" s="64"/>
      <c r="JVO134" s="64"/>
      <c r="JVP134" s="64"/>
      <c r="JVQ134" s="64"/>
      <c r="JVR134" s="64"/>
      <c r="JVS134" s="64"/>
      <c r="JVT134" s="64"/>
      <c r="JVU134" s="64"/>
      <c r="JVV134" s="64"/>
      <c r="JVW134" s="64"/>
      <c r="JVX134" s="64"/>
      <c r="JVY134" s="64"/>
      <c r="JVZ134" s="64"/>
      <c r="JWA134" s="64"/>
      <c r="JWB134" s="64"/>
      <c r="JWC134" s="64"/>
      <c r="JWD134" s="64"/>
      <c r="JWE134" s="64"/>
      <c r="JWF134" s="64"/>
      <c r="JWG134" s="64"/>
      <c r="JWH134" s="64"/>
      <c r="JWI134" s="64"/>
      <c r="JWJ134" s="64"/>
      <c r="JWK134" s="64"/>
      <c r="JWL134" s="64"/>
      <c r="JWM134" s="64"/>
      <c r="JWN134" s="64"/>
      <c r="JWO134" s="64"/>
      <c r="JWP134" s="64"/>
      <c r="JWQ134" s="64"/>
      <c r="JWR134" s="64"/>
      <c r="JWS134" s="64"/>
      <c r="JWT134" s="64"/>
      <c r="JWU134" s="64"/>
      <c r="JWV134" s="64"/>
      <c r="JWW134" s="64"/>
      <c r="JWX134" s="64"/>
      <c r="JWY134" s="64"/>
      <c r="JWZ134" s="64"/>
      <c r="JXA134" s="64"/>
      <c r="JXB134" s="64"/>
      <c r="JXC134" s="64"/>
      <c r="JXD134" s="64"/>
      <c r="JXE134" s="64"/>
      <c r="JXF134" s="64"/>
      <c r="JXG134" s="64"/>
      <c r="JXH134" s="64"/>
      <c r="JXI134" s="64"/>
      <c r="JXJ134" s="64"/>
      <c r="JXK134" s="64"/>
      <c r="JXL134" s="64"/>
      <c r="JXM134" s="64"/>
      <c r="JXN134" s="64"/>
      <c r="JXO134" s="64"/>
      <c r="JXP134" s="64"/>
      <c r="JXQ134" s="64"/>
      <c r="JXR134" s="64"/>
      <c r="JXS134" s="64"/>
      <c r="JXT134" s="64"/>
      <c r="JXU134" s="64"/>
      <c r="JXV134" s="64"/>
      <c r="JXW134" s="64"/>
      <c r="JXX134" s="64"/>
      <c r="JXY134" s="64"/>
      <c r="JXZ134" s="64"/>
      <c r="JYA134" s="64"/>
      <c r="JYB134" s="64"/>
      <c r="JYC134" s="64"/>
      <c r="JYD134" s="64"/>
      <c r="JYE134" s="64"/>
      <c r="JYF134" s="64"/>
      <c r="JYG134" s="64"/>
      <c r="JYH134" s="64"/>
      <c r="JYI134" s="64"/>
      <c r="JYJ134" s="64"/>
      <c r="JYK134" s="64"/>
      <c r="JYL134" s="64"/>
      <c r="JYM134" s="64"/>
      <c r="JYN134" s="64"/>
      <c r="JYO134" s="64"/>
      <c r="JYP134" s="64"/>
      <c r="JYQ134" s="64"/>
      <c r="JYR134" s="64"/>
      <c r="JYS134" s="64"/>
      <c r="JYT134" s="64"/>
      <c r="JYU134" s="64"/>
      <c r="JYV134" s="64"/>
      <c r="JYW134" s="64"/>
      <c r="JYX134" s="64"/>
      <c r="JYY134" s="64"/>
      <c r="JYZ134" s="64"/>
      <c r="JZA134" s="64"/>
      <c r="JZB134" s="64"/>
      <c r="JZC134" s="64"/>
      <c r="JZD134" s="64"/>
      <c r="JZE134" s="64"/>
      <c r="JZF134" s="64"/>
      <c r="JZG134" s="64"/>
      <c r="JZH134" s="64"/>
      <c r="JZI134" s="64"/>
      <c r="JZJ134" s="64"/>
      <c r="JZK134" s="64"/>
      <c r="JZL134" s="64"/>
      <c r="JZM134" s="64"/>
      <c r="JZN134" s="64"/>
      <c r="JZO134" s="64"/>
      <c r="JZP134" s="64"/>
      <c r="JZQ134" s="64"/>
      <c r="JZR134" s="64"/>
      <c r="JZS134" s="64"/>
      <c r="JZT134" s="64"/>
      <c r="JZU134" s="64"/>
      <c r="JZV134" s="64"/>
      <c r="JZW134" s="64"/>
      <c r="JZX134" s="64"/>
      <c r="JZY134" s="64"/>
      <c r="JZZ134" s="64"/>
      <c r="KAA134" s="64"/>
      <c r="KAB134" s="64"/>
      <c r="KAC134" s="64"/>
      <c r="KAD134" s="64"/>
      <c r="KAE134" s="64"/>
      <c r="KAF134" s="64"/>
      <c r="KAG134" s="64"/>
      <c r="KAH134" s="64"/>
      <c r="KAI134" s="64"/>
      <c r="KAJ134" s="64"/>
      <c r="KAK134" s="64"/>
      <c r="KAL134" s="64"/>
      <c r="KAM134" s="64"/>
      <c r="KAN134" s="64"/>
      <c r="KAO134" s="64"/>
      <c r="KAP134" s="64"/>
      <c r="KAQ134" s="64"/>
      <c r="KAR134" s="64"/>
      <c r="KAS134" s="64"/>
      <c r="KAT134" s="64"/>
      <c r="KAU134" s="64"/>
      <c r="KAV134" s="64"/>
      <c r="KAW134" s="64"/>
      <c r="KAX134" s="64"/>
      <c r="KAY134" s="64"/>
      <c r="KAZ134" s="64"/>
      <c r="KBA134" s="64"/>
      <c r="KBB134" s="64"/>
      <c r="KBC134" s="64"/>
      <c r="KBD134" s="64"/>
      <c r="KBE134" s="64"/>
      <c r="KBF134" s="64"/>
      <c r="KBG134" s="64"/>
      <c r="KBH134" s="64"/>
      <c r="KBI134" s="64"/>
      <c r="KBJ134" s="64"/>
      <c r="KBK134" s="64"/>
      <c r="KBL134" s="64"/>
      <c r="KBM134" s="64"/>
      <c r="KBN134" s="64"/>
      <c r="KBO134" s="64"/>
      <c r="KBP134" s="64"/>
      <c r="KBQ134" s="64"/>
      <c r="KBR134" s="64"/>
      <c r="KBS134" s="64"/>
      <c r="KBT134" s="64"/>
      <c r="KBU134" s="64"/>
      <c r="KBV134" s="64"/>
      <c r="KBW134" s="64"/>
      <c r="KBX134" s="64"/>
      <c r="KBY134" s="64"/>
      <c r="KBZ134" s="64"/>
      <c r="KCA134" s="64"/>
      <c r="KCB134" s="64"/>
      <c r="KCC134" s="64"/>
      <c r="KCD134" s="64"/>
      <c r="KCE134" s="64"/>
      <c r="KCF134" s="64"/>
      <c r="KCG134" s="64"/>
      <c r="KCH134" s="64"/>
      <c r="KCI134" s="64"/>
      <c r="KCJ134" s="64"/>
      <c r="KCK134" s="64"/>
      <c r="KCL134" s="64"/>
      <c r="KCM134" s="64"/>
      <c r="KCN134" s="64"/>
      <c r="KCO134" s="64"/>
      <c r="KCP134" s="64"/>
      <c r="KCQ134" s="64"/>
      <c r="KCR134" s="64"/>
      <c r="KCS134" s="64"/>
      <c r="KCT134" s="64"/>
      <c r="KCU134" s="64"/>
      <c r="KCV134" s="64"/>
      <c r="KCW134" s="64"/>
      <c r="KCX134" s="64"/>
      <c r="KCY134" s="64"/>
      <c r="KCZ134" s="64"/>
      <c r="KDA134" s="64"/>
      <c r="KDB134" s="64"/>
      <c r="KDC134" s="64"/>
      <c r="KDD134" s="64"/>
      <c r="KDE134" s="64"/>
      <c r="KDF134" s="64"/>
      <c r="KDG134" s="64"/>
      <c r="KDH134" s="64"/>
      <c r="KDI134" s="64"/>
      <c r="KDJ134" s="64"/>
      <c r="KDK134" s="64"/>
      <c r="KDL134" s="64"/>
      <c r="KDM134" s="64"/>
      <c r="KDN134" s="64"/>
      <c r="KDO134" s="64"/>
      <c r="KDP134" s="64"/>
      <c r="KDQ134" s="64"/>
      <c r="KDR134" s="64"/>
      <c r="KDS134" s="64"/>
      <c r="KDT134" s="64"/>
      <c r="KDU134" s="64"/>
      <c r="KDV134" s="64"/>
      <c r="KDW134" s="64"/>
      <c r="KDX134" s="64"/>
      <c r="KDY134" s="64"/>
      <c r="KDZ134" s="64"/>
      <c r="KEA134" s="64"/>
      <c r="KEB134" s="64"/>
      <c r="KEC134" s="64"/>
      <c r="KED134" s="64"/>
      <c r="KEE134" s="64"/>
      <c r="KEF134" s="64"/>
      <c r="KEG134" s="64"/>
      <c r="KEH134" s="64"/>
      <c r="KEI134" s="64"/>
      <c r="KEJ134" s="64"/>
      <c r="KEK134" s="64"/>
      <c r="KEL134" s="64"/>
      <c r="KEM134" s="64"/>
      <c r="KEN134" s="64"/>
      <c r="KEO134" s="64"/>
      <c r="KEP134" s="64"/>
      <c r="KEQ134" s="64"/>
      <c r="KER134" s="64"/>
      <c r="KES134" s="64"/>
      <c r="KET134" s="64"/>
      <c r="KEU134" s="64"/>
      <c r="KEV134" s="64"/>
      <c r="KEW134" s="64"/>
      <c r="KEX134" s="64"/>
      <c r="KEY134" s="64"/>
      <c r="KEZ134" s="64"/>
      <c r="KFA134" s="64"/>
      <c r="KFB134" s="64"/>
      <c r="KFC134" s="64"/>
      <c r="KFD134" s="64"/>
      <c r="KFE134" s="64"/>
      <c r="KFF134" s="64"/>
      <c r="KFG134" s="64"/>
      <c r="KFH134" s="64"/>
      <c r="KFI134" s="64"/>
      <c r="KFJ134" s="64"/>
      <c r="KFK134" s="64"/>
      <c r="KFL134" s="64"/>
      <c r="KFM134" s="64"/>
      <c r="KFN134" s="64"/>
      <c r="KFO134" s="64"/>
      <c r="KFP134" s="64"/>
      <c r="KFQ134" s="64"/>
      <c r="KFR134" s="64"/>
      <c r="KFS134" s="64"/>
      <c r="KFT134" s="64"/>
      <c r="KFU134" s="64"/>
      <c r="KFV134" s="64"/>
      <c r="KFW134" s="64"/>
      <c r="KFX134" s="64"/>
      <c r="KFY134" s="64"/>
      <c r="KFZ134" s="64"/>
      <c r="KGA134" s="64"/>
      <c r="KGB134" s="64"/>
      <c r="KGC134" s="64"/>
      <c r="KGD134" s="64"/>
      <c r="KGE134" s="64"/>
      <c r="KGF134" s="64"/>
      <c r="KGG134" s="64"/>
      <c r="KGH134" s="64"/>
      <c r="KGI134" s="64"/>
      <c r="KGJ134" s="64"/>
      <c r="KGK134" s="64"/>
      <c r="KGL134" s="64"/>
      <c r="KGM134" s="64"/>
      <c r="KGN134" s="64"/>
      <c r="KGO134" s="64"/>
      <c r="KGP134" s="64"/>
      <c r="KGQ134" s="64"/>
      <c r="KGR134" s="64"/>
      <c r="KGS134" s="64"/>
      <c r="KGT134" s="64"/>
      <c r="KGU134" s="64"/>
      <c r="KGV134" s="64"/>
      <c r="KGW134" s="64"/>
      <c r="KGX134" s="64"/>
      <c r="KGY134" s="64"/>
      <c r="KGZ134" s="64"/>
      <c r="KHA134" s="64"/>
      <c r="KHB134" s="64"/>
      <c r="KHC134" s="64"/>
      <c r="KHD134" s="64"/>
      <c r="KHE134" s="64"/>
      <c r="KHF134" s="64"/>
      <c r="KHG134" s="64"/>
      <c r="KHH134" s="64"/>
      <c r="KHI134" s="64"/>
      <c r="KHJ134" s="64"/>
      <c r="KHK134" s="64"/>
      <c r="KHL134" s="64"/>
      <c r="KHM134" s="64"/>
      <c r="KHN134" s="64"/>
      <c r="KHO134" s="64"/>
      <c r="KHP134" s="64"/>
      <c r="KHQ134" s="64"/>
      <c r="KHR134" s="64"/>
      <c r="KHS134" s="64"/>
      <c r="KHT134" s="64"/>
      <c r="KHU134" s="64"/>
      <c r="KHV134" s="64"/>
      <c r="KHW134" s="64"/>
      <c r="KHX134" s="64"/>
      <c r="KHY134" s="64"/>
      <c r="KHZ134" s="64"/>
      <c r="KIA134" s="64"/>
      <c r="KIB134" s="64"/>
      <c r="KIC134" s="64"/>
      <c r="KID134" s="64"/>
      <c r="KIE134" s="64"/>
      <c r="KIF134" s="64"/>
      <c r="KIG134" s="64"/>
      <c r="KIH134" s="64"/>
      <c r="KII134" s="64"/>
      <c r="KIJ134" s="64"/>
      <c r="KIK134" s="64"/>
      <c r="KIL134" s="64"/>
      <c r="KIM134" s="64"/>
      <c r="KIN134" s="64"/>
      <c r="KIO134" s="64"/>
      <c r="KIP134" s="64"/>
      <c r="KIQ134" s="64"/>
      <c r="KIR134" s="64"/>
      <c r="KIS134" s="64"/>
      <c r="KIT134" s="64"/>
      <c r="KIU134" s="64"/>
      <c r="KIV134" s="64"/>
      <c r="KIW134" s="64"/>
      <c r="KIX134" s="64"/>
      <c r="KIY134" s="64"/>
      <c r="KIZ134" s="64"/>
      <c r="KJA134" s="64"/>
      <c r="KJB134" s="64"/>
      <c r="KJC134" s="64"/>
      <c r="KJD134" s="64"/>
      <c r="KJE134" s="64"/>
      <c r="KJF134" s="64"/>
      <c r="KJG134" s="64"/>
      <c r="KJH134" s="64"/>
      <c r="KJI134" s="64"/>
      <c r="KJJ134" s="64"/>
      <c r="KJK134" s="64"/>
      <c r="KJL134" s="64"/>
      <c r="KJM134" s="64"/>
      <c r="KJN134" s="64"/>
      <c r="KJO134" s="64"/>
      <c r="KJP134" s="64"/>
      <c r="KJQ134" s="64"/>
      <c r="KJR134" s="64"/>
      <c r="KJS134" s="64"/>
      <c r="KJT134" s="64"/>
      <c r="KJU134" s="64"/>
      <c r="KJV134" s="64"/>
      <c r="KJW134" s="64"/>
      <c r="KJX134" s="64"/>
      <c r="KJY134" s="64"/>
      <c r="KJZ134" s="64"/>
      <c r="KKA134" s="64"/>
      <c r="KKB134" s="64"/>
      <c r="KKC134" s="64"/>
      <c r="KKD134" s="64"/>
      <c r="KKE134" s="64"/>
      <c r="KKF134" s="64"/>
      <c r="KKG134" s="64"/>
      <c r="KKH134" s="64"/>
      <c r="KKI134" s="64"/>
      <c r="KKJ134" s="64"/>
      <c r="KKK134" s="64"/>
      <c r="KKL134" s="64"/>
      <c r="KKM134" s="64"/>
      <c r="KKN134" s="64"/>
      <c r="KKO134" s="64"/>
      <c r="KKP134" s="64"/>
      <c r="KKQ134" s="64"/>
      <c r="KKR134" s="64"/>
      <c r="KKS134" s="64"/>
      <c r="KKT134" s="64"/>
      <c r="KKU134" s="64"/>
      <c r="KKV134" s="64"/>
      <c r="KKW134" s="64"/>
      <c r="KKX134" s="64"/>
      <c r="KKY134" s="64"/>
      <c r="KKZ134" s="64"/>
      <c r="KLA134" s="64"/>
      <c r="KLB134" s="64"/>
      <c r="KLC134" s="64"/>
      <c r="KLD134" s="64"/>
      <c r="KLE134" s="64"/>
      <c r="KLF134" s="64"/>
      <c r="KLG134" s="64"/>
      <c r="KLH134" s="64"/>
      <c r="KLI134" s="64"/>
      <c r="KLJ134" s="64"/>
      <c r="KLK134" s="64"/>
      <c r="KLL134" s="64"/>
      <c r="KLM134" s="64"/>
      <c r="KLN134" s="64"/>
      <c r="KLO134" s="64"/>
      <c r="KLP134" s="64"/>
      <c r="KLQ134" s="64"/>
      <c r="KLR134" s="64"/>
      <c r="KLS134" s="64"/>
      <c r="KLT134" s="64"/>
      <c r="KLU134" s="64"/>
      <c r="KLV134" s="64"/>
      <c r="KLW134" s="64"/>
      <c r="KLX134" s="64"/>
      <c r="KLY134" s="64"/>
      <c r="KLZ134" s="64"/>
      <c r="KMA134" s="64"/>
      <c r="KMB134" s="64"/>
      <c r="KMC134" s="64"/>
      <c r="KMD134" s="64"/>
      <c r="KME134" s="64"/>
      <c r="KMF134" s="64"/>
      <c r="KMG134" s="64"/>
      <c r="KMH134" s="64"/>
      <c r="KMI134" s="64"/>
      <c r="KMJ134" s="64"/>
      <c r="KMK134" s="64"/>
      <c r="KML134" s="64"/>
      <c r="KMM134" s="64"/>
      <c r="KMN134" s="64"/>
      <c r="KMO134" s="64"/>
      <c r="KMP134" s="64"/>
      <c r="KMQ134" s="64"/>
      <c r="KMR134" s="64"/>
      <c r="KMS134" s="64"/>
      <c r="KMT134" s="64"/>
      <c r="KMU134" s="64"/>
      <c r="KMV134" s="64"/>
      <c r="KMW134" s="64"/>
      <c r="KMX134" s="64"/>
      <c r="KMY134" s="64"/>
      <c r="KMZ134" s="64"/>
      <c r="KNA134" s="64"/>
      <c r="KNB134" s="64"/>
      <c r="KNC134" s="64"/>
      <c r="KND134" s="64"/>
      <c r="KNE134" s="64"/>
      <c r="KNF134" s="64"/>
      <c r="KNG134" s="64"/>
      <c r="KNH134" s="64"/>
      <c r="KNI134" s="64"/>
      <c r="KNJ134" s="64"/>
      <c r="KNK134" s="64"/>
      <c r="KNL134" s="64"/>
      <c r="KNM134" s="64"/>
      <c r="KNN134" s="64"/>
      <c r="KNO134" s="64"/>
      <c r="KNP134" s="64"/>
      <c r="KNQ134" s="64"/>
      <c r="KNR134" s="64"/>
      <c r="KNS134" s="64"/>
      <c r="KNT134" s="64"/>
      <c r="KNU134" s="64"/>
      <c r="KNV134" s="64"/>
      <c r="KNW134" s="64"/>
      <c r="KNX134" s="64"/>
      <c r="KNY134" s="64"/>
      <c r="KNZ134" s="64"/>
      <c r="KOA134" s="64"/>
      <c r="KOB134" s="64"/>
      <c r="KOC134" s="64"/>
      <c r="KOD134" s="64"/>
      <c r="KOE134" s="64"/>
      <c r="KOF134" s="64"/>
      <c r="KOG134" s="64"/>
      <c r="KOH134" s="64"/>
      <c r="KOI134" s="64"/>
      <c r="KOJ134" s="64"/>
      <c r="KOK134" s="64"/>
      <c r="KOL134" s="64"/>
      <c r="KOM134" s="64"/>
      <c r="KON134" s="64"/>
      <c r="KOO134" s="64"/>
      <c r="KOP134" s="64"/>
      <c r="KOQ134" s="64"/>
      <c r="KOR134" s="64"/>
      <c r="KOS134" s="64"/>
      <c r="KOT134" s="64"/>
      <c r="KOU134" s="64"/>
      <c r="KOV134" s="64"/>
      <c r="KOW134" s="64"/>
      <c r="KOX134" s="64"/>
      <c r="KOY134" s="64"/>
      <c r="KOZ134" s="64"/>
      <c r="KPA134" s="64"/>
      <c r="KPB134" s="64"/>
      <c r="KPC134" s="64"/>
      <c r="KPD134" s="64"/>
      <c r="KPE134" s="64"/>
      <c r="KPF134" s="64"/>
      <c r="KPG134" s="64"/>
      <c r="KPH134" s="64"/>
      <c r="KPI134" s="64"/>
      <c r="KPJ134" s="64"/>
      <c r="KPK134" s="64"/>
      <c r="KPL134" s="64"/>
      <c r="KPM134" s="64"/>
      <c r="KPN134" s="64"/>
      <c r="KPO134" s="64"/>
      <c r="KPP134" s="64"/>
      <c r="KPQ134" s="64"/>
      <c r="KPR134" s="64"/>
      <c r="KPS134" s="64"/>
      <c r="KPT134" s="64"/>
      <c r="KPU134" s="64"/>
      <c r="KPV134" s="64"/>
      <c r="KPW134" s="64"/>
      <c r="KPX134" s="64"/>
      <c r="KPY134" s="64"/>
      <c r="KPZ134" s="64"/>
      <c r="KQA134" s="64"/>
      <c r="KQB134" s="64"/>
      <c r="KQC134" s="64"/>
      <c r="KQD134" s="64"/>
      <c r="KQE134" s="64"/>
      <c r="KQF134" s="64"/>
      <c r="KQG134" s="64"/>
      <c r="KQH134" s="64"/>
      <c r="KQI134" s="64"/>
      <c r="KQJ134" s="64"/>
      <c r="KQK134" s="64"/>
      <c r="KQL134" s="64"/>
      <c r="KQM134" s="64"/>
      <c r="KQN134" s="64"/>
      <c r="KQO134" s="64"/>
      <c r="KQP134" s="64"/>
      <c r="KQQ134" s="64"/>
      <c r="KQR134" s="64"/>
      <c r="KQS134" s="64"/>
      <c r="KQT134" s="64"/>
      <c r="KQU134" s="64"/>
      <c r="KQV134" s="64"/>
      <c r="KQW134" s="64"/>
      <c r="KQX134" s="64"/>
      <c r="KQY134" s="64"/>
      <c r="KQZ134" s="64"/>
      <c r="KRA134" s="64"/>
      <c r="KRB134" s="64"/>
      <c r="KRC134" s="64"/>
      <c r="KRD134" s="64"/>
      <c r="KRE134" s="64"/>
      <c r="KRF134" s="64"/>
      <c r="KRG134" s="64"/>
      <c r="KRH134" s="64"/>
      <c r="KRI134" s="64"/>
      <c r="KRJ134" s="64"/>
      <c r="KRK134" s="64"/>
      <c r="KRL134" s="64"/>
      <c r="KRM134" s="64"/>
      <c r="KRN134" s="64"/>
      <c r="KRO134" s="64"/>
      <c r="KRP134" s="64"/>
      <c r="KRQ134" s="64"/>
      <c r="KRR134" s="64"/>
      <c r="KRS134" s="64"/>
      <c r="KRT134" s="64"/>
      <c r="KRU134" s="64"/>
      <c r="KRV134" s="64"/>
      <c r="KRW134" s="64"/>
      <c r="KRX134" s="64"/>
      <c r="KRY134" s="64"/>
      <c r="KRZ134" s="64"/>
      <c r="KSA134" s="64"/>
      <c r="KSB134" s="64"/>
      <c r="KSC134" s="64"/>
      <c r="KSD134" s="64"/>
      <c r="KSE134" s="64"/>
      <c r="KSF134" s="64"/>
      <c r="KSG134" s="64"/>
      <c r="KSH134" s="64"/>
      <c r="KSI134" s="64"/>
      <c r="KSJ134" s="64"/>
      <c r="KSK134" s="64"/>
      <c r="KSL134" s="64"/>
      <c r="KSM134" s="64"/>
      <c r="KSN134" s="64"/>
      <c r="KSO134" s="64"/>
      <c r="KSP134" s="64"/>
      <c r="KSQ134" s="64"/>
      <c r="KSR134" s="64"/>
      <c r="KSS134" s="64"/>
      <c r="KST134" s="64"/>
      <c r="KSU134" s="64"/>
      <c r="KSV134" s="64"/>
      <c r="KSW134" s="64"/>
      <c r="KSX134" s="64"/>
      <c r="KSY134" s="64"/>
      <c r="KSZ134" s="64"/>
      <c r="KTA134" s="64"/>
      <c r="KTB134" s="64"/>
      <c r="KTC134" s="64"/>
      <c r="KTD134" s="64"/>
      <c r="KTE134" s="64"/>
      <c r="KTF134" s="64"/>
      <c r="KTG134" s="64"/>
      <c r="KTH134" s="64"/>
      <c r="KTI134" s="64"/>
      <c r="KTJ134" s="64"/>
      <c r="KTK134" s="64"/>
      <c r="KTL134" s="64"/>
      <c r="KTM134" s="64"/>
      <c r="KTN134" s="64"/>
      <c r="KTO134" s="64"/>
      <c r="KTP134" s="64"/>
      <c r="KTQ134" s="64"/>
      <c r="KTR134" s="64"/>
      <c r="KTS134" s="64"/>
      <c r="KTT134" s="64"/>
      <c r="KTU134" s="64"/>
      <c r="KTV134" s="64"/>
      <c r="KTW134" s="64"/>
      <c r="KTX134" s="64"/>
      <c r="KTY134" s="64"/>
      <c r="KTZ134" s="64"/>
      <c r="KUA134" s="64"/>
      <c r="KUB134" s="64"/>
      <c r="KUC134" s="64"/>
      <c r="KUD134" s="64"/>
      <c r="KUE134" s="64"/>
      <c r="KUF134" s="64"/>
      <c r="KUG134" s="64"/>
      <c r="KUH134" s="64"/>
      <c r="KUI134" s="64"/>
      <c r="KUJ134" s="64"/>
      <c r="KUK134" s="64"/>
      <c r="KUL134" s="64"/>
      <c r="KUM134" s="64"/>
      <c r="KUN134" s="64"/>
      <c r="KUO134" s="64"/>
      <c r="KUP134" s="64"/>
      <c r="KUQ134" s="64"/>
      <c r="KUR134" s="64"/>
      <c r="KUS134" s="64"/>
      <c r="KUT134" s="64"/>
      <c r="KUU134" s="64"/>
      <c r="KUV134" s="64"/>
      <c r="KUW134" s="64"/>
      <c r="KUX134" s="64"/>
      <c r="KUY134" s="64"/>
      <c r="KUZ134" s="64"/>
      <c r="KVA134" s="64"/>
      <c r="KVB134" s="64"/>
      <c r="KVC134" s="64"/>
      <c r="KVD134" s="64"/>
      <c r="KVE134" s="64"/>
      <c r="KVF134" s="64"/>
      <c r="KVG134" s="64"/>
      <c r="KVH134" s="64"/>
      <c r="KVI134" s="64"/>
      <c r="KVJ134" s="64"/>
      <c r="KVK134" s="64"/>
      <c r="KVL134" s="64"/>
      <c r="KVM134" s="64"/>
      <c r="KVN134" s="64"/>
      <c r="KVO134" s="64"/>
      <c r="KVP134" s="64"/>
      <c r="KVQ134" s="64"/>
      <c r="KVR134" s="64"/>
      <c r="KVS134" s="64"/>
      <c r="KVT134" s="64"/>
      <c r="KVU134" s="64"/>
      <c r="KVV134" s="64"/>
      <c r="KVW134" s="64"/>
      <c r="KVX134" s="64"/>
      <c r="KVY134" s="64"/>
      <c r="KVZ134" s="64"/>
      <c r="KWA134" s="64"/>
      <c r="KWB134" s="64"/>
      <c r="KWC134" s="64"/>
      <c r="KWD134" s="64"/>
      <c r="KWE134" s="64"/>
      <c r="KWF134" s="64"/>
      <c r="KWG134" s="64"/>
      <c r="KWH134" s="64"/>
      <c r="KWI134" s="64"/>
      <c r="KWJ134" s="64"/>
      <c r="KWK134" s="64"/>
      <c r="KWL134" s="64"/>
      <c r="KWM134" s="64"/>
      <c r="KWN134" s="64"/>
      <c r="KWO134" s="64"/>
      <c r="KWP134" s="64"/>
      <c r="KWQ134" s="64"/>
      <c r="KWR134" s="64"/>
      <c r="KWS134" s="64"/>
      <c r="KWT134" s="64"/>
      <c r="KWU134" s="64"/>
      <c r="KWV134" s="64"/>
      <c r="KWW134" s="64"/>
      <c r="KWX134" s="64"/>
      <c r="KWY134" s="64"/>
      <c r="KWZ134" s="64"/>
      <c r="KXA134" s="64"/>
      <c r="KXB134" s="64"/>
      <c r="KXC134" s="64"/>
      <c r="KXD134" s="64"/>
      <c r="KXE134" s="64"/>
      <c r="KXF134" s="64"/>
      <c r="KXG134" s="64"/>
      <c r="KXH134" s="64"/>
      <c r="KXI134" s="64"/>
      <c r="KXJ134" s="64"/>
      <c r="KXK134" s="64"/>
      <c r="KXL134" s="64"/>
      <c r="KXM134" s="64"/>
      <c r="KXN134" s="64"/>
      <c r="KXO134" s="64"/>
      <c r="KXP134" s="64"/>
      <c r="KXQ134" s="64"/>
      <c r="KXR134" s="64"/>
      <c r="KXS134" s="64"/>
      <c r="KXT134" s="64"/>
      <c r="KXU134" s="64"/>
      <c r="KXV134" s="64"/>
      <c r="KXW134" s="64"/>
      <c r="KXX134" s="64"/>
      <c r="KXY134" s="64"/>
      <c r="KXZ134" s="64"/>
      <c r="KYA134" s="64"/>
      <c r="KYB134" s="64"/>
      <c r="KYC134" s="64"/>
      <c r="KYD134" s="64"/>
      <c r="KYE134" s="64"/>
      <c r="KYF134" s="64"/>
      <c r="KYG134" s="64"/>
      <c r="KYH134" s="64"/>
      <c r="KYI134" s="64"/>
      <c r="KYJ134" s="64"/>
      <c r="KYK134" s="64"/>
      <c r="KYL134" s="64"/>
      <c r="KYM134" s="64"/>
      <c r="KYN134" s="64"/>
      <c r="KYO134" s="64"/>
      <c r="KYP134" s="64"/>
      <c r="KYQ134" s="64"/>
      <c r="KYR134" s="64"/>
      <c r="KYS134" s="64"/>
      <c r="KYT134" s="64"/>
      <c r="KYU134" s="64"/>
      <c r="KYV134" s="64"/>
      <c r="KYW134" s="64"/>
      <c r="KYX134" s="64"/>
      <c r="KYY134" s="64"/>
      <c r="KYZ134" s="64"/>
      <c r="KZA134" s="64"/>
      <c r="KZB134" s="64"/>
      <c r="KZC134" s="64"/>
      <c r="KZD134" s="64"/>
      <c r="KZE134" s="64"/>
      <c r="KZF134" s="64"/>
      <c r="KZG134" s="64"/>
      <c r="KZH134" s="64"/>
      <c r="KZI134" s="64"/>
      <c r="KZJ134" s="64"/>
      <c r="KZK134" s="64"/>
      <c r="KZL134" s="64"/>
      <c r="KZM134" s="64"/>
      <c r="KZN134" s="64"/>
      <c r="KZO134" s="64"/>
      <c r="KZP134" s="64"/>
      <c r="KZQ134" s="64"/>
      <c r="KZR134" s="64"/>
      <c r="KZS134" s="64"/>
      <c r="KZT134" s="64"/>
      <c r="KZU134" s="64"/>
      <c r="KZV134" s="64"/>
      <c r="KZW134" s="64"/>
      <c r="KZX134" s="64"/>
      <c r="KZY134" s="64"/>
      <c r="KZZ134" s="64"/>
      <c r="LAA134" s="64"/>
      <c r="LAB134" s="64"/>
      <c r="LAC134" s="64"/>
      <c r="LAD134" s="64"/>
      <c r="LAE134" s="64"/>
      <c r="LAF134" s="64"/>
      <c r="LAG134" s="64"/>
      <c r="LAH134" s="64"/>
      <c r="LAI134" s="64"/>
      <c r="LAJ134" s="64"/>
      <c r="LAK134" s="64"/>
      <c r="LAL134" s="64"/>
      <c r="LAM134" s="64"/>
      <c r="LAN134" s="64"/>
      <c r="LAO134" s="64"/>
      <c r="LAP134" s="64"/>
      <c r="LAQ134" s="64"/>
      <c r="LAR134" s="64"/>
      <c r="LAS134" s="64"/>
      <c r="LAT134" s="64"/>
      <c r="LAU134" s="64"/>
      <c r="LAV134" s="64"/>
      <c r="LAW134" s="64"/>
      <c r="LAX134" s="64"/>
      <c r="LAY134" s="64"/>
      <c r="LAZ134" s="64"/>
      <c r="LBA134" s="64"/>
      <c r="LBB134" s="64"/>
      <c r="LBC134" s="64"/>
      <c r="LBD134" s="64"/>
      <c r="LBE134" s="64"/>
      <c r="LBF134" s="64"/>
      <c r="LBG134" s="64"/>
      <c r="LBH134" s="64"/>
      <c r="LBI134" s="64"/>
      <c r="LBJ134" s="64"/>
      <c r="LBK134" s="64"/>
      <c r="LBL134" s="64"/>
      <c r="LBM134" s="64"/>
      <c r="LBN134" s="64"/>
      <c r="LBO134" s="64"/>
      <c r="LBP134" s="64"/>
      <c r="LBQ134" s="64"/>
      <c r="LBR134" s="64"/>
      <c r="LBS134" s="64"/>
      <c r="LBT134" s="64"/>
      <c r="LBU134" s="64"/>
      <c r="LBV134" s="64"/>
      <c r="LBW134" s="64"/>
      <c r="LBX134" s="64"/>
      <c r="LBY134" s="64"/>
      <c r="LBZ134" s="64"/>
      <c r="LCA134" s="64"/>
      <c r="LCB134" s="64"/>
      <c r="LCC134" s="64"/>
      <c r="LCD134" s="64"/>
      <c r="LCE134" s="64"/>
      <c r="LCF134" s="64"/>
      <c r="LCG134" s="64"/>
      <c r="LCH134" s="64"/>
      <c r="LCI134" s="64"/>
      <c r="LCJ134" s="64"/>
      <c r="LCK134" s="64"/>
      <c r="LCL134" s="64"/>
      <c r="LCM134" s="64"/>
      <c r="LCN134" s="64"/>
      <c r="LCO134" s="64"/>
      <c r="LCP134" s="64"/>
      <c r="LCQ134" s="64"/>
      <c r="LCR134" s="64"/>
      <c r="LCS134" s="64"/>
      <c r="LCT134" s="64"/>
      <c r="LCU134" s="64"/>
      <c r="LCV134" s="64"/>
      <c r="LCW134" s="64"/>
      <c r="LCX134" s="64"/>
      <c r="LCY134" s="64"/>
      <c r="LCZ134" s="64"/>
      <c r="LDA134" s="64"/>
      <c r="LDB134" s="64"/>
      <c r="LDC134" s="64"/>
      <c r="LDD134" s="64"/>
      <c r="LDE134" s="64"/>
      <c r="LDF134" s="64"/>
      <c r="LDG134" s="64"/>
      <c r="LDH134" s="64"/>
      <c r="LDI134" s="64"/>
      <c r="LDJ134" s="64"/>
      <c r="LDK134" s="64"/>
      <c r="LDL134" s="64"/>
      <c r="LDM134" s="64"/>
      <c r="LDN134" s="64"/>
      <c r="LDO134" s="64"/>
      <c r="LDP134" s="64"/>
      <c r="LDQ134" s="64"/>
      <c r="LDR134" s="64"/>
      <c r="LDS134" s="64"/>
      <c r="LDT134" s="64"/>
      <c r="LDU134" s="64"/>
      <c r="LDV134" s="64"/>
      <c r="LDW134" s="64"/>
      <c r="LDX134" s="64"/>
      <c r="LDY134" s="64"/>
      <c r="LDZ134" s="64"/>
      <c r="LEA134" s="64"/>
      <c r="LEB134" s="64"/>
      <c r="LEC134" s="64"/>
      <c r="LED134" s="64"/>
      <c r="LEE134" s="64"/>
      <c r="LEF134" s="64"/>
      <c r="LEG134" s="64"/>
      <c r="LEH134" s="64"/>
      <c r="LEI134" s="64"/>
      <c r="LEJ134" s="64"/>
      <c r="LEK134" s="64"/>
      <c r="LEL134" s="64"/>
      <c r="LEM134" s="64"/>
      <c r="LEN134" s="64"/>
      <c r="LEO134" s="64"/>
      <c r="LEP134" s="64"/>
      <c r="LEQ134" s="64"/>
      <c r="LER134" s="64"/>
      <c r="LES134" s="64"/>
      <c r="LET134" s="64"/>
      <c r="LEU134" s="64"/>
      <c r="LEV134" s="64"/>
      <c r="LEW134" s="64"/>
      <c r="LEX134" s="64"/>
      <c r="LEY134" s="64"/>
      <c r="LEZ134" s="64"/>
      <c r="LFA134" s="64"/>
      <c r="LFB134" s="64"/>
      <c r="LFC134" s="64"/>
      <c r="LFD134" s="64"/>
      <c r="LFE134" s="64"/>
      <c r="LFF134" s="64"/>
      <c r="LFG134" s="64"/>
      <c r="LFH134" s="64"/>
      <c r="LFI134" s="64"/>
      <c r="LFJ134" s="64"/>
      <c r="LFK134" s="64"/>
      <c r="LFL134" s="64"/>
      <c r="LFM134" s="64"/>
      <c r="LFN134" s="64"/>
      <c r="LFO134" s="64"/>
      <c r="LFP134" s="64"/>
      <c r="LFQ134" s="64"/>
      <c r="LFR134" s="64"/>
      <c r="LFS134" s="64"/>
      <c r="LFT134" s="64"/>
      <c r="LFU134" s="64"/>
      <c r="LFV134" s="64"/>
      <c r="LFW134" s="64"/>
      <c r="LFX134" s="64"/>
      <c r="LFY134" s="64"/>
      <c r="LFZ134" s="64"/>
      <c r="LGA134" s="64"/>
      <c r="LGB134" s="64"/>
      <c r="LGC134" s="64"/>
      <c r="LGD134" s="64"/>
      <c r="LGE134" s="64"/>
      <c r="LGF134" s="64"/>
      <c r="LGG134" s="64"/>
      <c r="LGH134" s="64"/>
      <c r="LGI134" s="64"/>
      <c r="LGJ134" s="64"/>
      <c r="LGK134" s="64"/>
      <c r="LGL134" s="64"/>
      <c r="LGM134" s="64"/>
      <c r="LGN134" s="64"/>
      <c r="LGO134" s="64"/>
      <c r="LGP134" s="64"/>
      <c r="LGQ134" s="64"/>
      <c r="LGR134" s="64"/>
      <c r="LGS134" s="64"/>
      <c r="LGT134" s="64"/>
      <c r="LGU134" s="64"/>
      <c r="LGV134" s="64"/>
      <c r="LGW134" s="64"/>
      <c r="LGX134" s="64"/>
      <c r="LGY134" s="64"/>
      <c r="LGZ134" s="64"/>
      <c r="LHA134" s="64"/>
      <c r="LHB134" s="64"/>
      <c r="LHC134" s="64"/>
      <c r="LHD134" s="64"/>
      <c r="LHE134" s="64"/>
      <c r="LHF134" s="64"/>
      <c r="LHG134" s="64"/>
      <c r="LHH134" s="64"/>
      <c r="LHI134" s="64"/>
      <c r="LHJ134" s="64"/>
      <c r="LHK134" s="64"/>
      <c r="LHL134" s="64"/>
      <c r="LHM134" s="64"/>
      <c r="LHN134" s="64"/>
      <c r="LHO134" s="64"/>
      <c r="LHP134" s="64"/>
      <c r="LHQ134" s="64"/>
      <c r="LHR134" s="64"/>
      <c r="LHS134" s="64"/>
      <c r="LHT134" s="64"/>
      <c r="LHU134" s="64"/>
      <c r="LHV134" s="64"/>
      <c r="LHW134" s="64"/>
      <c r="LHX134" s="64"/>
      <c r="LHY134" s="64"/>
      <c r="LHZ134" s="64"/>
      <c r="LIA134" s="64"/>
      <c r="LIB134" s="64"/>
      <c r="LIC134" s="64"/>
      <c r="LID134" s="64"/>
      <c r="LIE134" s="64"/>
      <c r="LIF134" s="64"/>
      <c r="LIG134" s="64"/>
      <c r="LIH134" s="64"/>
      <c r="LII134" s="64"/>
      <c r="LIJ134" s="64"/>
      <c r="LIK134" s="64"/>
      <c r="LIL134" s="64"/>
      <c r="LIM134" s="64"/>
      <c r="LIN134" s="64"/>
      <c r="LIO134" s="64"/>
      <c r="LIP134" s="64"/>
      <c r="LIQ134" s="64"/>
      <c r="LIR134" s="64"/>
      <c r="LIS134" s="64"/>
      <c r="LIT134" s="64"/>
      <c r="LIU134" s="64"/>
      <c r="LIV134" s="64"/>
      <c r="LIW134" s="64"/>
      <c r="LIX134" s="64"/>
      <c r="LIY134" s="64"/>
      <c r="LIZ134" s="64"/>
      <c r="LJA134" s="64"/>
      <c r="LJB134" s="64"/>
      <c r="LJC134" s="64"/>
      <c r="LJD134" s="64"/>
      <c r="LJE134" s="64"/>
      <c r="LJF134" s="64"/>
      <c r="LJG134" s="64"/>
      <c r="LJH134" s="64"/>
      <c r="LJI134" s="64"/>
      <c r="LJJ134" s="64"/>
      <c r="LJK134" s="64"/>
      <c r="LJL134" s="64"/>
      <c r="LJM134" s="64"/>
      <c r="LJN134" s="64"/>
      <c r="LJO134" s="64"/>
      <c r="LJP134" s="64"/>
      <c r="LJQ134" s="64"/>
      <c r="LJR134" s="64"/>
      <c r="LJS134" s="64"/>
      <c r="LJT134" s="64"/>
      <c r="LJU134" s="64"/>
      <c r="LJV134" s="64"/>
      <c r="LJW134" s="64"/>
      <c r="LJX134" s="64"/>
      <c r="LJY134" s="64"/>
      <c r="LJZ134" s="64"/>
      <c r="LKA134" s="64"/>
      <c r="LKB134" s="64"/>
      <c r="LKC134" s="64"/>
      <c r="LKD134" s="64"/>
      <c r="LKE134" s="64"/>
      <c r="LKF134" s="64"/>
      <c r="LKG134" s="64"/>
      <c r="LKH134" s="64"/>
      <c r="LKI134" s="64"/>
      <c r="LKJ134" s="64"/>
      <c r="LKK134" s="64"/>
      <c r="LKL134" s="64"/>
      <c r="LKM134" s="64"/>
      <c r="LKN134" s="64"/>
      <c r="LKO134" s="64"/>
      <c r="LKP134" s="64"/>
      <c r="LKQ134" s="64"/>
      <c r="LKR134" s="64"/>
      <c r="LKS134" s="64"/>
      <c r="LKT134" s="64"/>
      <c r="LKU134" s="64"/>
      <c r="LKV134" s="64"/>
      <c r="LKW134" s="64"/>
      <c r="LKX134" s="64"/>
      <c r="LKY134" s="64"/>
      <c r="LKZ134" s="64"/>
      <c r="LLA134" s="64"/>
      <c r="LLB134" s="64"/>
      <c r="LLC134" s="64"/>
      <c r="LLD134" s="64"/>
      <c r="LLE134" s="64"/>
      <c r="LLF134" s="64"/>
      <c r="LLG134" s="64"/>
      <c r="LLH134" s="64"/>
      <c r="LLI134" s="64"/>
      <c r="LLJ134" s="64"/>
      <c r="LLK134" s="64"/>
      <c r="LLL134" s="64"/>
      <c r="LLM134" s="64"/>
      <c r="LLN134" s="64"/>
      <c r="LLO134" s="64"/>
      <c r="LLP134" s="64"/>
      <c r="LLQ134" s="64"/>
      <c r="LLR134" s="64"/>
      <c r="LLS134" s="64"/>
      <c r="LLT134" s="64"/>
      <c r="LLU134" s="64"/>
      <c r="LLV134" s="64"/>
      <c r="LLW134" s="64"/>
      <c r="LLX134" s="64"/>
      <c r="LLY134" s="64"/>
      <c r="LLZ134" s="64"/>
      <c r="LMA134" s="64"/>
      <c r="LMB134" s="64"/>
      <c r="LMC134" s="64"/>
      <c r="LMD134" s="64"/>
      <c r="LME134" s="64"/>
      <c r="LMF134" s="64"/>
      <c r="LMG134" s="64"/>
      <c r="LMH134" s="64"/>
      <c r="LMI134" s="64"/>
      <c r="LMJ134" s="64"/>
      <c r="LMK134" s="64"/>
      <c r="LML134" s="64"/>
      <c r="LMM134" s="64"/>
      <c r="LMN134" s="64"/>
      <c r="LMO134" s="64"/>
      <c r="LMP134" s="64"/>
      <c r="LMQ134" s="64"/>
      <c r="LMR134" s="64"/>
      <c r="LMS134" s="64"/>
      <c r="LMT134" s="64"/>
      <c r="LMU134" s="64"/>
      <c r="LMV134" s="64"/>
      <c r="LMW134" s="64"/>
      <c r="LMX134" s="64"/>
      <c r="LMY134" s="64"/>
      <c r="LMZ134" s="64"/>
      <c r="LNA134" s="64"/>
      <c r="LNB134" s="64"/>
      <c r="LNC134" s="64"/>
      <c r="LND134" s="64"/>
      <c r="LNE134" s="64"/>
      <c r="LNF134" s="64"/>
      <c r="LNG134" s="64"/>
      <c r="LNH134" s="64"/>
      <c r="LNI134" s="64"/>
      <c r="LNJ134" s="64"/>
      <c r="LNK134" s="64"/>
      <c r="LNL134" s="64"/>
      <c r="LNM134" s="64"/>
      <c r="LNN134" s="64"/>
      <c r="LNO134" s="64"/>
      <c r="LNP134" s="64"/>
      <c r="LNQ134" s="64"/>
      <c r="LNR134" s="64"/>
      <c r="LNS134" s="64"/>
      <c r="LNT134" s="64"/>
      <c r="LNU134" s="64"/>
      <c r="LNV134" s="64"/>
      <c r="LNW134" s="64"/>
      <c r="LNX134" s="64"/>
      <c r="LNY134" s="64"/>
      <c r="LNZ134" s="64"/>
      <c r="LOA134" s="64"/>
      <c r="LOB134" s="64"/>
      <c r="LOC134" s="64"/>
      <c r="LOD134" s="64"/>
      <c r="LOE134" s="64"/>
      <c r="LOF134" s="64"/>
      <c r="LOG134" s="64"/>
      <c r="LOH134" s="64"/>
      <c r="LOI134" s="64"/>
      <c r="LOJ134" s="64"/>
      <c r="LOK134" s="64"/>
      <c r="LOL134" s="64"/>
      <c r="LOM134" s="64"/>
      <c r="LON134" s="64"/>
      <c r="LOO134" s="64"/>
      <c r="LOP134" s="64"/>
      <c r="LOQ134" s="64"/>
      <c r="LOR134" s="64"/>
      <c r="LOS134" s="64"/>
      <c r="LOT134" s="64"/>
      <c r="LOU134" s="64"/>
      <c r="LOV134" s="64"/>
      <c r="LOW134" s="64"/>
      <c r="LOX134" s="64"/>
      <c r="LOY134" s="64"/>
      <c r="LOZ134" s="64"/>
      <c r="LPA134" s="64"/>
      <c r="LPB134" s="64"/>
      <c r="LPC134" s="64"/>
      <c r="LPD134" s="64"/>
      <c r="LPE134" s="64"/>
      <c r="LPF134" s="64"/>
      <c r="LPG134" s="64"/>
      <c r="LPH134" s="64"/>
      <c r="LPI134" s="64"/>
      <c r="LPJ134" s="64"/>
      <c r="LPK134" s="64"/>
      <c r="LPL134" s="64"/>
      <c r="LPM134" s="64"/>
      <c r="LPN134" s="64"/>
      <c r="LPO134" s="64"/>
      <c r="LPP134" s="64"/>
      <c r="LPQ134" s="64"/>
      <c r="LPR134" s="64"/>
      <c r="LPS134" s="64"/>
      <c r="LPT134" s="64"/>
      <c r="LPU134" s="64"/>
      <c r="LPV134" s="64"/>
      <c r="LPW134" s="64"/>
      <c r="LPX134" s="64"/>
      <c r="LPY134" s="64"/>
      <c r="LPZ134" s="64"/>
      <c r="LQA134" s="64"/>
      <c r="LQB134" s="64"/>
      <c r="LQC134" s="64"/>
      <c r="LQD134" s="64"/>
      <c r="LQE134" s="64"/>
      <c r="LQF134" s="64"/>
      <c r="LQG134" s="64"/>
      <c r="LQH134" s="64"/>
      <c r="LQI134" s="64"/>
      <c r="LQJ134" s="64"/>
      <c r="LQK134" s="64"/>
      <c r="LQL134" s="64"/>
      <c r="LQM134" s="64"/>
      <c r="LQN134" s="64"/>
      <c r="LQO134" s="64"/>
      <c r="LQP134" s="64"/>
      <c r="LQQ134" s="64"/>
      <c r="LQR134" s="64"/>
      <c r="LQS134" s="64"/>
      <c r="LQT134" s="64"/>
      <c r="LQU134" s="64"/>
      <c r="LQV134" s="64"/>
      <c r="LQW134" s="64"/>
      <c r="LQX134" s="64"/>
      <c r="LQY134" s="64"/>
      <c r="LQZ134" s="64"/>
      <c r="LRA134" s="64"/>
      <c r="LRB134" s="64"/>
      <c r="LRC134" s="64"/>
      <c r="LRD134" s="64"/>
      <c r="LRE134" s="64"/>
      <c r="LRF134" s="64"/>
      <c r="LRG134" s="64"/>
      <c r="LRH134" s="64"/>
      <c r="LRI134" s="64"/>
      <c r="LRJ134" s="64"/>
      <c r="LRK134" s="64"/>
      <c r="LRL134" s="64"/>
      <c r="LRM134" s="64"/>
      <c r="LRN134" s="64"/>
      <c r="LRO134" s="64"/>
      <c r="LRP134" s="64"/>
      <c r="LRQ134" s="64"/>
      <c r="LRR134" s="64"/>
      <c r="LRS134" s="64"/>
      <c r="LRT134" s="64"/>
      <c r="LRU134" s="64"/>
      <c r="LRV134" s="64"/>
      <c r="LRW134" s="64"/>
      <c r="LRX134" s="64"/>
      <c r="LRY134" s="64"/>
      <c r="LRZ134" s="64"/>
      <c r="LSA134" s="64"/>
      <c r="LSB134" s="64"/>
      <c r="LSC134" s="64"/>
      <c r="LSD134" s="64"/>
      <c r="LSE134" s="64"/>
      <c r="LSF134" s="64"/>
      <c r="LSG134" s="64"/>
      <c r="LSH134" s="64"/>
      <c r="LSI134" s="64"/>
      <c r="LSJ134" s="64"/>
      <c r="LSK134" s="64"/>
      <c r="LSL134" s="64"/>
      <c r="LSM134" s="64"/>
      <c r="LSN134" s="64"/>
      <c r="LSO134" s="64"/>
      <c r="LSP134" s="64"/>
      <c r="LSQ134" s="64"/>
      <c r="LSR134" s="64"/>
      <c r="LSS134" s="64"/>
      <c r="LST134" s="64"/>
      <c r="LSU134" s="64"/>
      <c r="LSV134" s="64"/>
      <c r="LSW134" s="64"/>
      <c r="LSX134" s="64"/>
      <c r="LSY134" s="64"/>
      <c r="LSZ134" s="64"/>
      <c r="LTA134" s="64"/>
      <c r="LTB134" s="64"/>
      <c r="LTC134" s="64"/>
      <c r="LTD134" s="64"/>
      <c r="LTE134" s="64"/>
      <c r="LTF134" s="64"/>
      <c r="LTG134" s="64"/>
      <c r="LTH134" s="64"/>
      <c r="LTI134" s="64"/>
      <c r="LTJ134" s="64"/>
      <c r="LTK134" s="64"/>
      <c r="LTL134" s="64"/>
      <c r="LTM134" s="64"/>
      <c r="LTN134" s="64"/>
      <c r="LTO134" s="64"/>
      <c r="LTP134" s="64"/>
      <c r="LTQ134" s="64"/>
      <c r="LTR134" s="64"/>
      <c r="LTS134" s="64"/>
      <c r="LTT134" s="64"/>
      <c r="LTU134" s="64"/>
      <c r="LTV134" s="64"/>
      <c r="LTW134" s="64"/>
      <c r="LTX134" s="64"/>
      <c r="LTY134" s="64"/>
      <c r="LTZ134" s="64"/>
      <c r="LUA134" s="64"/>
      <c r="LUB134" s="64"/>
      <c r="LUC134" s="64"/>
      <c r="LUD134" s="64"/>
      <c r="LUE134" s="64"/>
      <c r="LUF134" s="64"/>
      <c r="LUG134" s="64"/>
      <c r="LUH134" s="64"/>
      <c r="LUI134" s="64"/>
      <c r="LUJ134" s="64"/>
      <c r="LUK134" s="64"/>
      <c r="LUL134" s="64"/>
      <c r="LUM134" s="64"/>
      <c r="LUN134" s="64"/>
      <c r="LUO134" s="64"/>
      <c r="LUP134" s="64"/>
      <c r="LUQ134" s="64"/>
      <c r="LUR134" s="64"/>
      <c r="LUS134" s="64"/>
      <c r="LUT134" s="64"/>
      <c r="LUU134" s="64"/>
      <c r="LUV134" s="64"/>
      <c r="LUW134" s="64"/>
      <c r="LUX134" s="64"/>
      <c r="LUY134" s="64"/>
      <c r="LUZ134" s="64"/>
      <c r="LVA134" s="64"/>
      <c r="LVB134" s="64"/>
      <c r="LVC134" s="64"/>
      <c r="LVD134" s="64"/>
      <c r="LVE134" s="64"/>
      <c r="LVF134" s="64"/>
      <c r="LVG134" s="64"/>
      <c r="LVH134" s="64"/>
      <c r="LVI134" s="64"/>
      <c r="LVJ134" s="64"/>
      <c r="LVK134" s="64"/>
      <c r="LVL134" s="64"/>
      <c r="LVM134" s="64"/>
      <c r="LVN134" s="64"/>
      <c r="LVO134" s="64"/>
      <c r="LVP134" s="64"/>
      <c r="LVQ134" s="64"/>
      <c r="LVR134" s="64"/>
      <c r="LVS134" s="64"/>
      <c r="LVT134" s="64"/>
      <c r="LVU134" s="64"/>
      <c r="LVV134" s="64"/>
      <c r="LVW134" s="64"/>
      <c r="LVX134" s="64"/>
      <c r="LVY134" s="64"/>
      <c r="LVZ134" s="64"/>
      <c r="LWA134" s="64"/>
      <c r="LWB134" s="64"/>
      <c r="LWC134" s="64"/>
      <c r="LWD134" s="64"/>
      <c r="LWE134" s="64"/>
      <c r="LWF134" s="64"/>
      <c r="LWG134" s="64"/>
      <c r="LWH134" s="64"/>
      <c r="LWI134" s="64"/>
      <c r="LWJ134" s="64"/>
      <c r="LWK134" s="64"/>
      <c r="LWL134" s="64"/>
      <c r="LWM134" s="64"/>
      <c r="LWN134" s="64"/>
      <c r="LWO134" s="64"/>
      <c r="LWP134" s="64"/>
      <c r="LWQ134" s="64"/>
      <c r="LWR134" s="64"/>
      <c r="LWS134" s="64"/>
      <c r="LWT134" s="64"/>
      <c r="LWU134" s="64"/>
      <c r="LWV134" s="64"/>
      <c r="LWW134" s="64"/>
      <c r="LWX134" s="64"/>
      <c r="LWY134" s="64"/>
      <c r="LWZ134" s="64"/>
      <c r="LXA134" s="64"/>
      <c r="LXB134" s="64"/>
      <c r="LXC134" s="64"/>
      <c r="LXD134" s="64"/>
      <c r="LXE134" s="64"/>
      <c r="LXF134" s="64"/>
      <c r="LXG134" s="64"/>
      <c r="LXH134" s="64"/>
      <c r="LXI134" s="64"/>
      <c r="LXJ134" s="64"/>
      <c r="LXK134" s="64"/>
      <c r="LXL134" s="64"/>
      <c r="LXM134" s="64"/>
      <c r="LXN134" s="64"/>
      <c r="LXO134" s="64"/>
      <c r="LXP134" s="64"/>
      <c r="LXQ134" s="64"/>
      <c r="LXR134" s="64"/>
      <c r="LXS134" s="64"/>
      <c r="LXT134" s="64"/>
      <c r="LXU134" s="64"/>
      <c r="LXV134" s="64"/>
      <c r="LXW134" s="64"/>
      <c r="LXX134" s="64"/>
      <c r="LXY134" s="64"/>
      <c r="LXZ134" s="64"/>
      <c r="LYA134" s="64"/>
      <c r="LYB134" s="64"/>
      <c r="LYC134" s="64"/>
      <c r="LYD134" s="64"/>
      <c r="LYE134" s="64"/>
      <c r="LYF134" s="64"/>
      <c r="LYG134" s="64"/>
      <c r="LYH134" s="64"/>
      <c r="LYI134" s="64"/>
      <c r="LYJ134" s="64"/>
      <c r="LYK134" s="64"/>
      <c r="LYL134" s="64"/>
      <c r="LYM134" s="64"/>
      <c r="LYN134" s="64"/>
      <c r="LYO134" s="64"/>
      <c r="LYP134" s="64"/>
      <c r="LYQ134" s="64"/>
      <c r="LYR134" s="64"/>
      <c r="LYS134" s="64"/>
      <c r="LYT134" s="64"/>
      <c r="LYU134" s="64"/>
      <c r="LYV134" s="64"/>
      <c r="LYW134" s="64"/>
      <c r="LYX134" s="64"/>
      <c r="LYY134" s="64"/>
      <c r="LYZ134" s="64"/>
      <c r="LZA134" s="64"/>
      <c r="LZB134" s="64"/>
      <c r="LZC134" s="64"/>
      <c r="LZD134" s="64"/>
      <c r="LZE134" s="64"/>
      <c r="LZF134" s="64"/>
      <c r="LZG134" s="64"/>
      <c r="LZH134" s="64"/>
      <c r="LZI134" s="64"/>
      <c r="LZJ134" s="64"/>
      <c r="LZK134" s="64"/>
      <c r="LZL134" s="64"/>
      <c r="LZM134" s="64"/>
      <c r="LZN134" s="64"/>
      <c r="LZO134" s="64"/>
      <c r="LZP134" s="64"/>
      <c r="LZQ134" s="64"/>
      <c r="LZR134" s="64"/>
      <c r="LZS134" s="64"/>
      <c r="LZT134" s="64"/>
      <c r="LZU134" s="64"/>
      <c r="LZV134" s="64"/>
      <c r="LZW134" s="64"/>
      <c r="LZX134" s="64"/>
      <c r="LZY134" s="64"/>
      <c r="LZZ134" s="64"/>
      <c r="MAA134" s="64"/>
      <c r="MAB134" s="64"/>
      <c r="MAC134" s="64"/>
      <c r="MAD134" s="64"/>
      <c r="MAE134" s="64"/>
      <c r="MAF134" s="64"/>
      <c r="MAG134" s="64"/>
      <c r="MAH134" s="64"/>
      <c r="MAI134" s="64"/>
      <c r="MAJ134" s="64"/>
      <c r="MAK134" s="64"/>
      <c r="MAL134" s="64"/>
      <c r="MAM134" s="64"/>
      <c r="MAN134" s="64"/>
      <c r="MAO134" s="64"/>
      <c r="MAP134" s="64"/>
      <c r="MAQ134" s="64"/>
      <c r="MAR134" s="64"/>
      <c r="MAS134" s="64"/>
      <c r="MAT134" s="64"/>
      <c r="MAU134" s="64"/>
      <c r="MAV134" s="64"/>
      <c r="MAW134" s="64"/>
      <c r="MAX134" s="64"/>
      <c r="MAY134" s="64"/>
      <c r="MAZ134" s="64"/>
      <c r="MBA134" s="64"/>
      <c r="MBB134" s="64"/>
      <c r="MBC134" s="64"/>
      <c r="MBD134" s="64"/>
      <c r="MBE134" s="64"/>
      <c r="MBF134" s="64"/>
      <c r="MBG134" s="64"/>
      <c r="MBH134" s="64"/>
      <c r="MBI134" s="64"/>
      <c r="MBJ134" s="64"/>
      <c r="MBK134" s="64"/>
      <c r="MBL134" s="64"/>
      <c r="MBM134" s="64"/>
      <c r="MBN134" s="64"/>
      <c r="MBO134" s="64"/>
      <c r="MBP134" s="64"/>
      <c r="MBQ134" s="64"/>
      <c r="MBR134" s="64"/>
      <c r="MBS134" s="64"/>
      <c r="MBT134" s="64"/>
      <c r="MBU134" s="64"/>
      <c r="MBV134" s="64"/>
      <c r="MBW134" s="64"/>
      <c r="MBX134" s="64"/>
      <c r="MBY134" s="64"/>
      <c r="MBZ134" s="64"/>
      <c r="MCA134" s="64"/>
      <c r="MCB134" s="64"/>
      <c r="MCC134" s="64"/>
      <c r="MCD134" s="64"/>
      <c r="MCE134" s="64"/>
      <c r="MCF134" s="64"/>
      <c r="MCG134" s="64"/>
      <c r="MCH134" s="64"/>
      <c r="MCI134" s="64"/>
      <c r="MCJ134" s="64"/>
      <c r="MCK134" s="64"/>
      <c r="MCL134" s="64"/>
      <c r="MCM134" s="64"/>
      <c r="MCN134" s="64"/>
      <c r="MCO134" s="64"/>
      <c r="MCP134" s="64"/>
      <c r="MCQ134" s="64"/>
      <c r="MCR134" s="64"/>
      <c r="MCS134" s="64"/>
      <c r="MCT134" s="64"/>
      <c r="MCU134" s="64"/>
      <c r="MCV134" s="64"/>
      <c r="MCW134" s="64"/>
      <c r="MCX134" s="64"/>
      <c r="MCY134" s="64"/>
      <c r="MCZ134" s="64"/>
      <c r="MDA134" s="64"/>
      <c r="MDB134" s="64"/>
      <c r="MDC134" s="64"/>
      <c r="MDD134" s="64"/>
      <c r="MDE134" s="64"/>
      <c r="MDF134" s="64"/>
      <c r="MDG134" s="64"/>
      <c r="MDH134" s="64"/>
      <c r="MDI134" s="64"/>
      <c r="MDJ134" s="64"/>
      <c r="MDK134" s="64"/>
      <c r="MDL134" s="64"/>
      <c r="MDM134" s="64"/>
      <c r="MDN134" s="64"/>
      <c r="MDO134" s="64"/>
      <c r="MDP134" s="64"/>
      <c r="MDQ134" s="64"/>
      <c r="MDR134" s="64"/>
      <c r="MDS134" s="64"/>
      <c r="MDT134" s="64"/>
      <c r="MDU134" s="64"/>
      <c r="MDV134" s="64"/>
      <c r="MDW134" s="64"/>
      <c r="MDX134" s="64"/>
      <c r="MDY134" s="64"/>
      <c r="MDZ134" s="64"/>
      <c r="MEA134" s="64"/>
      <c r="MEB134" s="64"/>
      <c r="MEC134" s="64"/>
      <c r="MED134" s="64"/>
      <c r="MEE134" s="64"/>
      <c r="MEF134" s="64"/>
      <c r="MEG134" s="64"/>
      <c r="MEH134" s="64"/>
      <c r="MEI134" s="64"/>
      <c r="MEJ134" s="64"/>
      <c r="MEK134" s="64"/>
      <c r="MEL134" s="64"/>
      <c r="MEM134" s="64"/>
      <c r="MEN134" s="64"/>
      <c r="MEO134" s="64"/>
      <c r="MEP134" s="64"/>
      <c r="MEQ134" s="64"/>
      <c r="MER134" s="64"/>
      <c r="MES134" s="64"/>
      <c r="MET134" s="64"/>
      <c r="MEU134" s="64"/>
      <c r="MEV134" s="64"/>
      <c r="MEW134" s="64"/>
      <c r="MEX134" s="64"/>
      <c r="MEY134" s="64"/>
      <c r="MEZ134" s="64"/>
      <c r="MFA134" s="64"/>
      <c r="MFB134" s="64"/>
      <c r="MFC134" s="64"/>
      <c r="MFD134" s="64"/>
      <c r="MFE134" s="64"/>
      <c r="MFF134" s="64"/>
      <c r="MFG134" s="64"/>
      <c r="MFH134" s="64"/>
      <c r="MFI134" s="64"/>
      <c r="MFJ134" s="64"/>
      <c r="MFK134" s="64"/>
      <c r="MFL134" s="64"/>
      <c r="MFM134" s="64"/>
      <c r="MFN134" s="64"/>
      <c r="MFO134" s="64"/>
      <c r="MFP134" s="64"/>
      <c r="MFQ134" s="64"/>
      <c r="MFR134" s="64"/>
      <c r="MFS134" s="64"/>
      <c r="MFT134" s="64"/>
      <c r="MFU134" s="64"/>
      <c r="MFV134" s="64"/>
      <c r="MFW134" s="64"/>
      <c r="MFX134" s="64"/>
      <c r="MFY134" s="64"/>
      <c r="MFZ134" s="64"/>
      <c r="MGA134" s="64"/>
      <c r="MGB134" s="64"/>
      <c r="MGC134" s="64"/>
      <c r="MGD134" s="64"/>
      <c r="MGE134" s="64"/>
      <c r="MGF134" s="64"/>
      <c r="MGG134" s="64"/>
      <c r="MGH134" s="64"/>
      <c r="MGI134" s="64"/>
      <c r="MGJ134" s="64"/>
      <c r="MGK134" s="64"/>
      <c r="MGL134" s="64"/>
      <c r="MGM134" s="64"/>
      <c r="MGN134" s="64"/>
      <c r="MGO134" s="64"/>
      <c r="MGP134" s="64"/>
      <c r="MGQ134" s="64"/>
      <c r="MGR134" s="64"/>
      <c r="MGS134" s="64"/>
      <c r="MGT134" s="64"/>
      <c r="MGU134" s="64"/>
      <c r="MGV134" s="64"/>
      <c r="MGW134" s="64"/>
      <c r="MGX134" s="64"/>
      <c r="MGY134" s="64"/>
      <c r="MGZ134" s="64"/>
      <c r="MHA134" s="64"/>
      <c r="MHB134" s="64"/>
      <c r="MHC134" s="64"/>
      <c r="MHD134" s="64"/>
      <c r="MHE134" s="64"/>
      <c r="MHF134" s="64"/>
      <c r="MHG134" s="64"/>
      <c r="MHH134" s="64"/>
      <c r="MHI134" s="64"/>
      <c r="MHJ134" s="64"/>
      <c r="MHK134" s="64"/>
      <c r="MHL134" s="64"/>
      <c r="MHM134" s="64"/>
      <c r="MHN134" s="64"/>
      <c r="MHO134" s="64"/>
      <c r="MHP134" s="64"/>
      <c r="MHQ134" s="64"/>
      <c r="MHR134" s="64"/>
      <c r="MHS134" s="64"/>
      <c r="MHT134" s="64"/>
      <c r="MHU134" s="64"/>
      <c r="MHV134" s="64"/>
      <c r="MHW134" s="64"/>
      <c r="MHX134" s="64"/>
      <c r="MHY134" s="64"/>
      <c r="MHZ134" s="64"/>
      <c r="MIA134" s="64"/>
      <c r="MIB134" s="64"/>
      <c r="MIC134" s="64"/>
      <c r="MID134" s="64"/>
      <c r="MIE134" s="64"/>
      <c r="MIF134" s="64"/>
      <c r="MIG134" s="64"/>
      <c r="MIH134" s="64"/>
      <c r="MII134" s="64"/>
      <c r="MIJ134" s="64"/>
      <c r="MIK134" s="64"/>
      <c r="MIL134" s="64"/>
      <c r="MIM134" s="64"/>
      <c r="MIN134" s="64"/>
      <c r="MIO134" s="64"/>
      <c r="MIP134" s="64"/>
      <c r="MIQ134" s="64"/>
      <c r="MIR134" s="64"/>
      <c r="MIS134" s="64"/>
      <c r="MIT134" s="64"/>
      <c r="MIU134" s="64"/>
      <c r="MIV134" s="64"/>
      <c r="MIW134" s="64"/>
      <c r="MIX134" s="64"/>
      <c r="MIY134" s="64"/>
      <c r="MIZ134" s="64"/>
      <c r="MJA134" s="64"/>
      <c r="MJB134" s="64"/>
      <c r="MJC134" s="64"/>
      <c r="MJD134" s="64"/>
      <c r="MJE134" s="64"/>
      <c r="MJF134" s="64"/>
      <c r="MJG134" s="64"/>
      <c r="MJH134" s="64"/>
      <c r="MJI134" s="64"/>
      <c r="MJJ134" s="64"/>
      <c r="MJK134" s="64"/>
      <c r="MJL134" s="64"/>
      <c r="MJM134" s="64"/>
      <c r="MJN134" s="64"/>
      <c r="MJO134" s="64"/>
      <c r="MJP134" s="64"/>
      <c r="MJQ134" s="64"/>
      <c r="MJR134" s="64"/>
      <c r="MJS134" s="64"/>
      <c r="MJT134" s="64"/>
      <c r="MJU134" s="64"/>
      <c r="MJV134" s="64"/>
      <c r="MJW134" s="64"/>
      <c r="MJX134" s="64"/>
      <c r="MJY134" s="64"/>
      <c r="MJZ134" s="64"/>
      <c r="MKA134" s="64"/>
      <c r="MKB134" s="64"/>
      <c r="MKC134" s="64"/>
      <c r="MKD134" s="64"/>
      <c r="MKE134" s="64"/>
      <c r="MKF134" s="64"/>
      <c r="MKG134" s="64"/>
      <c r="MKH134" s="64"/>
      <c r="MKI134" s="64"/>
      <c r="MKJ134" s="64"/>
      <c r="MKK134" s="64"/>
      <c r="MKL134" s="64"/>
      <c r="MKM134" s="64"/>
      <c r="MKN134" s="64"/>
      <c r="MKO134" s="64"/>
      <c r="MKP134" s="64"/>
      <c r="MKQ134" s="64"/>
      <c r="MKR134" s="64"/>
      <c r="MKS134" s="64"/>
      <c r="MKT134" s="64"/>
      <c r="MKU134" s="64"/>
      <c r="MKV134" s="64"/>
      <c r="MKW134" s="64"/>
      <c r="MKX134" s="64"/>
      <c r="MKY134" s="64"/>
      <c r="MKZ134" s="64"/>
      <c r="MLA134" s="64"/>
      <c r="MLB134" s="64"/>
      <c r="MLC134" s="64"/>
      <c r="MLD134" s="64"/>
      <c r="MLE134" s="64"/>
      <c r="MLF134" s="64"/>
      <c r="MLG134" s="64"/>
      <c r="MLH134" s="64"/>
      <c r="MLI134" s="64"/>
      <c r="MLJ134" s="64"/>
      <c r="MLK134" s="64"/>
      <c r="MLL134" s="64"/>
      <c r="MLM134" s="64"/>
      <c r="MLN134" s="64"/>
      <c r="MLO134" s="64"/>
      <c r="MLP134" s="64"/>
      <c r="MLQ134" s="64"/>
      <c r="MLR134" s="64"/>
      <c r="MLS134" s="64"/>
      <c r="MLT134" s="64"/>
      <c r="MLU134" s="64"/>
      <c r="MLV134" s="64"/>
      <c r="MLW134" s="64"/>
      <c r="MLX134" s="64"/>
      <c r="MLY134" s="64"/>
      <c r="MLZ134" s="64"/>
      <c r="MMA134" s="64"/>
      <c r="MMB134" s="64"/>
      <c r="MMC134" s="64"/>
      <c r="MMD134" s="64"/>
      <c r="MME134" s="64"/>
      <c r="MMF134" s="64"/>
      <c r="MMG134" s="64"/>
      <c r="MMH134" s="64"/>
      <c r="MMI134" s="64"/>
      <c r="MMJ134" s="64"/>
      <c r="MMK134" s="64"/>
      <c r="MML134" s="64"/>
      <c r="MMM134" s="64"/>
      <c r="MMN134" s="64"/>
      <c r="MMO134" s="64"/>
      <c r="MMP134" s="64"/>
      <c r="MMQ134" s="64"/>
      <c r="MMR134" s="64"/>
      <c r="MMS134" s="64"/>
      <c r="MMT134" s="64"/>
      <c r="MMU134" s="64"/>
      <c r="MMV134" s="64"/>
      <c r="MMW134" s="64"/>
      <c r="MMX134" s="64"/>
      <c r="MMY134" s="64"/>
      <c r="MMZ134" s="64"/>
      <c r="MNA134" s="64"/>
      <c r="MNB134" s="64"/>
      <c r="MNC134" s="64"/>
      <c r="MND134" s="64"/>
      <c r="MNE134" s="64"/>
      <c r="MNF134" s="64"/>
      <c r="MNG134" s="64"/>
      <c r="MNH134" s="64"/>
      <c r="MNI134" s="64"/>
      <c r="MNJ134" s="64"/>
      <c r="MNK134" s="64"/>
      <c r="MNL134" s="64"/>
      <c r="MNM134" s="64"/>
      <c r="MNN134" s="64"/>
      <c r="MNO134" s="64"/>
      <c r="MNP134" s="64"/>
      <c r="MNQ134" s="64"/>
      <c r="MNR134" s="64"/>
      <c r="MNS134" s="64"/>
      <c r="MNT134" s="64"/>
      <c r="MNU134" s="64"/>
      <c r="MNV134" s="64"/>
      <c r="MNW134" s="64"/>
      <c r="MNX134" s="64"/>
      <c r="MNY134" s="64"/>
      <c r="MNZ134" s="64"/>
      <c r="MOA134" s="64"/>
      <c r="MOB134" s="64"/>
      <c r="MOC134" s="64"/>
      <c r="MOD134" s="64"/>
      <c r="MOE134" s="64"/>
      <c r="MOF134" s="64"/>
      <c r="MOG134" s="64"/>
      <c r="MOH134" s="64"/>
      <c r="MOI134" s="64"/>
      <c r="MOJ134" s="64"/>
      <c r="MOK134" s="64"/>
      <c r="MOL134" s="64"/>
      <c r="MOM134" s="64"/>
      <c r="MON134" s="64"/>
      <c r="MOO134" s="64"/>
      <c r="MOP134" s="64"/>
      <c r="MOQ134" s="64"/>
      <c r="MOR134" s="64"/>
      <c r="MOS134" s="64"/>
      <c r="MOT134" s="64"/>
      <c r="MOU134" s="64"/>
      <c r="MOV134" s="64"/>
      <c r="MOW134" s="64"/>
      <c r="MOX134" s="64"/>
      <c r="MOY134" s="64"/>
      <c r="MOZ134" s="64"/>
      <c r="MPA134" s="64"/>
      <c r="MPB134" s="64"/>
      <c r="MPC134" s="64"/>
      <c r="MPD134" s="64"/>
      <c r="MPE134" s="64"/>
      <c r="MPF134" s="64"/>
      <c r="MPG134" s="64"/>
      <c r="MPH134" s="64"/>
      <c r="MPI134" s="64"/>
      <c r="MPJ134" s="64"/>
      <c r="MPK134" s="64"/>
      <c r="MPL134" s="64"/>
      <c r="MPM134" s="64"/>
      <c r="MPN134" s="64"/>
      <c r="MPO134" s="64"/>
      <c r="MPP134" s="64"/>
      <c r="MPQ134" s="64"/>
      <c r="MPR134" s="64"/>
      <c r="MPS134" s="64"/>
      <c r="MPT134" s="64"/>
      <c r="MPU134" s="64"/>
      <c r="MPV134" s="64"/>
      <c r="MPW134" s="64"/>
      <c r="MPX134" s="64"/>
      <c r="MPY134" s="64"/>
      <c r="MPZ134" s="64"/>
      <c r="MQA134" s="64"/>
      <c r="MQB134" s="64"/>
      <c r="MQC134" s="64"/>
      <c r="MQD134" s="64"/>
      <c r="MQE134" s="64"/>
      <c r="MQF134" s="64"/>
      <c r="MQG134" s="64"/>
      <c r="MQH134" s="64"/>
      <c r="MQI134" s="64"/>
      <c r="MQJ134" s="64"/>
      <c r="MQK134" s="64"/>
      <c r="MQL134" s="64"/>
      <c r="MQM134" s="64"/>
      <c r="MQN134" s="64"/>
      <c r="MQO134" s="64"/>
      <c r="MQP134" s="64"/>
      <c r="MQQ134" s="64"/>
      <c r="MQR134" s="64"/>
      <c r="MQS134" s="64"/>
      <c r="MQT134" s="64"/>
      <c r="MQU134" s="64"/>
      <c r="MQV134" s="64"/>
      <c r="MQW134" s="64"/>
      <c r="MQX134" s="64"/>
      <c r="MQY134" s="64"/>
      <c r="MQZ134" s="64"/>
      <c r="MRA134" s="64"/>
      <c r="MRB134" s="64"/>
      <c r="MRC134" s="64"/>
      <c r="MRD134" s="64"/>
      <c r="MRE134" s="64"/>
      <c r="MRF134" s="64"/>
      <c r="MRG134" s="64"/>
      <c r="MRH134" s="64"/>
      <c r="MRI134" s="64"/>
      <c r="MRJ134" s="64"/>
      <c r="MRK134" s="64"/>
      <c r="MRL134" s="64"/>
      <c r="MRM134" s="64"/>
      <c r="MRN134" s="64"/>
      <c r="MRO134" s="64"/>
      <c r="MRP134" s="64"/>
      <c r="MRQ134" s="64"/>
      <c r="MRR134" s="64"/>
      <c r="MRS134" s="64"/>
      <c r="MRT134" s="64"/>
      <c r="MRU134" s="64"/>
      <c r="MRV134" s="64"/>
      <c r="MRW134" s="64"/>
      <c r="MRX134" s="64"/>
      <c r="MRY134" s="64"/>
      <c r="MRZ134" s="64"/>
      <c r="MSA134" s="64"/>
      <c r="MSB134" s="64"/>
      <c r="MSC134" s="64"/>
      <c r="MSD134" s="64"/>
      <c r="MSE134" s="64"/>
      <c r="MSF134" s="64"/>
      <c r="MSG134" s="64"/>
      <c r="MSH134" s="64"/>
      <c r="MSI134" s="64"/>
      <c r="MSJ134" s="64"/>
      <c r="MSK134" s="64"/>
      <c r="MSL134" s="64"/>
      <c r="MSM134" s="64"/>
      <c r="MSN134" s="64"/>
      <c r="MSO134" s="64"/>
      <c r="MSP134" s="64"/>
      <c r="MSQ134" s="64"/>
      <c r="MSR134" s="64"/>
      <c r="MSS134" s="64"/>
      <c r="MST134" s="64"/>
      <c r="MSU134" s="64"/>
      <c r="MSV134" s="64"/>
      <c r="MSW134" s="64"/>
      <c r="MSX134" s="64"/>
      <c r="MSY134" s="64"/>
      <c r="MSZ134" s="64"/>
      <c r="MTA134" s="64"/>
      <c r="MTB134" s="64"/>
      <c r="MTC134" s="64"/>
      <c r="MTD134" s="64"/>
      <c r="MTE134" s="64"/>
      <c r="MTF134" s="64"/>
      <c r="MTG134" s="64"/>
      <c r="MTH134" s="64"/>
      <c r="MTI134" s="64"/>
      <c r="MTJ134" s="64"/>
      <c r="MTK134" s="64"/>
      <c r="MTL134" s="64"/>
      <c r="MTM134" s="64"/>
      <c r="MTN134" s="64"/>
      <c r="MTO134" s="64"/>
      <c r="MTP134" s="64"/>
      <c r="MTQ134" s="64"/>
      <c r="MTR134" s="64"/>
      <c r="MTS134" s="64"/>
      <c r="MTT134" s="64"/>
      <c r="MTU134" s="64"/>
      <c r="MTV134" s="64"/>
      <c r="MTW134" s="64"/>
      <c r="MTX134" s="64"/>
      <c r="MTY134" s="64"/>
      <c r="MTZ134" s="64"/>
      <c r="MUA134" s="64"/>
      <c r="MUB134" s="64"/>
      <c r="MUC134" s="64"/>
      <c r="MUD134" s="64"/>
      <c r="MUE134" s="64"/>
      <c r="MUF134" s="64"/>
      <c r="MUG134" s="64"/>
      <c r="MUH134" s="64"/>
      <c r="MUI134" s="64"/>
      <c r="MUJ134" s="64"/>
      <c r="MUK134" s="64"/>
      <c r="MUL134" s="64"/>
      <c r="MUM134" s="64"/>
      <c r="MUN134" s="64"/>
      <c r="MUO134" s="64"/>
      <c r="MUP134" s="64"/>
      <c r="MUQ134" s="64"/>
      <c r="MUR134" s="64"/>
      <c r="MUS134" s="64"/>
      <c r="MUT134" s="64"/>
      <c r="MUU134" s="64"/>
      <c r="MUV134" s="64"/>
      <c r="MUW134" s="64"/>
      <c r="MUX134" s="64"/>
      <c r="MUY134" s="64"/>
      <c r="MUZ134" s="64"/>
      <c r="MVA134" s="64"/>
      <c r="MVB134" s="64"/>
      <c r="MVC134" s="64"/>
      <c r="MVD134" s="64"/>
      <c r="MVE134" s="64"/>
      <c r="MVF134" s="64"/>
      <c r="MVG134" s="64"/>
      <c r="MVH134" s="64"/>
      <c r="MVI134" s="64"/>
      <c r="MVJ134" s="64"/>
      <c r="MVK134" s="64"/>
      <c r="MVL134" s="64"/>
      <c r="MVM134" s="64"/>
      <c r="MVN134" s="64"/>
      <c r="MVO134" s="64"/>
      <c r="MVP134" s="64"/>
      <c r="MVQ134" s="64"/>
      <c r="MVR134" s="64"/>
      <c r="MVS134" s="64"/>
      <c r="MVT134" s="64"/>
      <c r="MVU134" s="64"/>
      <c r="MVV134" s="64"/>
      <c r="MVW134" s="64"/>
      <c r="MVX134" s="64"/>
      <c r="MVY134" s="64"/>
      <c r="MVZ134" s="64"/>
      <c r="MWA134" s="64"/>
      <c r="MWB134" s="64"/>
      <c r="MWC134" s="64"/>
      <c r="MWD134" s="64"/>
      <c r="MWE134" s="64"/>
      <c r="MWF134" s="64"/>
      <c r="MWG134" s="64"/>
      <c r="MWH134" s="64"/>
      <c r="MWI134" s="64"/>
      <c r="MWJ134" s="64"/>
      <c r="MWK134" s="64"/>
      <c r="MWL134" s="64"/>
      <c r="MWM134" s="64"/>
      <c r="MWN134" s="64"/>
      <c r="MWO134" s="64"/>
      <c r="MWP134" s="64"/>
      <c r="MWQ134" s="64"/>
      <c r="MWR134" s="64"/>
      <c r="MWS134" s="64"/>
      <c r="MWT134" s="64"/>
      <c r="MWU134" s="64"/>
      <c r="MWV134" s="64"/>
      <c r="MWW134" s="64"/>
      <c r="MWX134" s="64"/>
      <c r="MWY134" s="64"/>
      <c r="MWZ134" s="64"/>
      <c r="MXA134" s="64"/>
      <c r="MXB134" s="64"/>
      <c r="MXC134" s="64"/>
      <c r="MXD134" s="64"/>
      <c r="MXE134" s="64"/>
      <c r="MXF134" s="64"/>
      <c r="MXG134" s="64"/>
      <c r="MXH134" s="64"/>
      <c r="MXI134" s="64"/>
      <c r="MXJ134" s="64"/>
      <c r="MXK134" s="64"/>
      <c r="MXL134" s="64"/>
      <c r="MXM134" s="64"/>
      <c r="MXN134" s="64"/>
      <c r="MXO134" s="64"/>
      <c r="MXP134" s="64"/>
      <c r="MXQ134" s="64"/>
      <c r="MXR134" s="64"/>
      <c r="MXS134" s="64"/>
      <c r="MXT134" s="64"/>
      <c r="MXU134" s="64"/>
      <c r="MXV134" s="64"/>
      <c r="MXW134" s="64"/>
      <c r="MXX134" s="64"/>
      <c r="MXY134" s="64"/>
      <c r="MXZ134" s="64"/>
      <c r="MYA134" s="64"/>
      <c r="MYB134" s="64"/>
      <c r="MYC134" s="64"/>
      <c r="MYD134" s="64"/>
      <c r="MYE134" s="64"/>
      <c r="MYF134" s="64"/>
      <c r="MYG134" s="64"/>
      <c r="MYH134" s="64"/>
      <c r="MYI134" s="64"/>
      <c r="MYJ134" s="64"/>
      <c r="MYK134" s="64"/>
      <c r="MYL134" s="64"/>
      <c r="MYM134" s="64"/>
      <c r="MYN134" s="64"/>
      <c r="MYO134" s="64"/>
      <c r="MYP134" s="64"/>
      <c r="MYQ134" s="64"/>
      <c r="MYR134" s="64"/>
      <c r="MYS134" s="64"/>
      <c r="MYT134" s="64"/>
      <c r="MYU134" s="64"/>
      <c r="MYV134" s="64"/>
      <c r="MYW134" s="64"/>
      <c r="MYX134" s="64"/>
      <c r="MYY134" s="64"/>
      <c r="MYZ134" s="64"/>
      <c r="MZA134" s="64"/>
      <c r="MZB134" s="64"/>
      <c r="MZC134" s="64"/>
      <c r="MZD134" s="64"/>
      <c r="MZE134" s="64"/>
      <c r="MZF134" s="64"/>
      <c r="MZG134" s="64"/>
      <c r="MZH134" s="64"/>
      <c r="MZI134" s="64"/>
      <c r="MZJ134" s="64"/>
      <c r="MZK134" s="64"/>
      <c r="MZL134" s="64"/>
      <c r="MZM134" s="64"/>
      <c r="MZN134" s="64"/>
      <c r="MZO134" s="64"/>
      <c r="MZP134" s="64"/>
      <c r="MZQ134" s="64"/>
      <c r="MZR134" s="64"/>
      <c r="MZS134" s="64"/>
      <c r="MZT134" s="64"/>
      <c r="MZU134" s="64"/>
      <c r="MZV134" s="64"/>
      <c r="MZW134" s="64"/>
      <c r="MZX134" s="64"/>
      <c r="MZY134" s="64"/>
      <c r="MZZ134" s="64"/>
      <c r="NAA134" s="64"/>
      <c r="NAB134" s="64"/>
      <c r="NAC134" s="64"/>
      <c r="NAD134" s="64"/>
      <c r="NAE134" s="64"/>
      <c r="NAF134" s="64"/>
      <c r="NAG134" s="64"/>
      <c r="NAH134" s="64"/>
      <c r="NAI134" s="64"/>
      <c r="NAJ134" s="64"/>
      <c r="NAK134" s="64"/>
      <c r="NAL134" s="64"/>
      <c r="NAM134" s="64"/>
      <c r="NAN134" s="64"/>
      <c r="NAO134" s="64"/>
      <c r="NAP134" s="64"/>
      <c r="NAQ134" s="64"/>
      <c r="NAR134" s="64"/>
      <c r="NAS134" s="64"/>
      <c r="NAT134" s="64"/>
      <c r="NAU134" s="64"/>
      <c r="NAV134" s="64"/>
      <c r="NAW134" s="64"/>
      <c r="NAX134" s="64"/>
      <c r="NAY134" s="64"/>
      <c r="NAZ134" s="64"/>
      <c r="NBA134" s="64"/>
      <c r="NBB134" s="64"/>
      <c r="NBC134" s="64"/>
      <c r="NBD134" s="64"/>
      <c r="NBE134" s="64"/>
      <c r="NBF134" s="64"/>
      <c r="NBG134" s="64"/>
      <c r="NBH134" s="64"/>
      <c r="NBI134" s="64"/>
      <c r="NBJ134" s="64"/>
      <c r="NBK134" s="64"/>
      <c r="NBL134" s="64"/>
      <c r="NBM134" s="64"/>
      <c r="NBN134" s="64"/>
      <c r="NBO134" s="64"/>
      <c r="NBP134" s="64"/>
      <c r="NBQ134" s="64"/>
      <c r="NBR134" s="64"/>
      <c r="NBS134" s="64"/>
      <c r="NBT134" s="64"/>
      <c r="NBU134" s="64"/>
      <c r="NBV134" s="64"/>
      <c r="NBW134" s="64"/>
      <c r="NBX134" s="64"/>
      <c r="NBY134" s="64"/>
      <c r="NBZ134" s="64"/>
      <c r="NCA134" s="64"/>
      <c r="NCB134" s="64"/>
      <c r="NCC134" s="64"/>
      <c r="NCD134" s="64"/>
      <c r="NCE134" s="64"/>
      <c r="NCF134" s="64"/>
      <c r="NCG134" s="64"/>
      <c r="NCH134" s="64"/>
      <c r="NCI134" s="64"/>
      <c r="NCJ134" s="64"/>
      <c r="NCK134" s="64"/>
      <c r="NCL134" s="64"/>
      <c r="NCM134" s="64"/>
      <c r="NCN134" s="64"/>
      <c r="NCO134" s="64"/>
      <c r="NCP134" s="64"/>
      <c r="NCQ134" s="64"/>
      <c r="NCR134" s="64"/>
      <c r="NCS134" s="64"/>
      <c r="NCT134" s="64"/>
      <c r="NCU134" s="64"/>
      <c r="NCV134" s="64"/>
      <c r="NCW134" s="64"/>
      <c r="NCX134" s="64"/>
      <c r="NCY134" s="64"/>
      <c r="NCZ134" s="64"/>
      <c r="NDA134" s="64"/>
      <c r="NDB134" s="64"/>
      <c r="NDC134" s="64"/>
      <c r="NDD134" s="64"/>
      <c r="NDE134" s="64"/>
      <c r="NDF134" s="64"/>
      <c r="NDG134" s="64"/>
      <c r="NDH134" s="64"/>
      <c r="NDI134" s="64"/>
      <c r="NDJ134" s="64"/>
      <c r="NDK134" s="64"/>
      <c r="NDL134" s="64"/>
      <c r="NDM134" s="64"/>
      <c r="NDN134" s="64"/>
      <c r="NDO134" s="64"/>
      <c r="NDP134" s="64"/>
      <c r="NDQ134" s="64"/>
      <c r="NDR134" s="64"/>
      <c r="NDS134" s="64"/>
      <c r="NDT134" s="64"/>
      <c r="NDU134" s="64"/>
      <c r="NDV134" s="64"/>
      <c r="NDW134" s="64"/>
      <c r="NDX134" s="64"/>
      <c r="NDY134" s="64"/>
      <c r="NDZ134" s="64"/>
      <c r="NEA134" s="64"/>
      <c r="NEB134" s="64"/>
      <c r="NEC134" s="64"/>
      <c r="NED134" s="64"/>
      <c r="NEE134" s="64"/>
      <c r="NEF134" s="64"/>
      <c r="NEG134" s="64"/>
      <c r="NEH134" s="64"/>
      <c r="NEI134" s="64"/>
      <c r="NEJ134" s="64"/>
      <c r="NEK134" s="64"/>
      <c r="NEL134" s="64"/>
      <c r="NEM134" s="64"/>
      <c r="NEN134" s="64"/>
      <c r="NEO134" s="64"/>
      <c r="NEP134" s="64"/>
      <c r="NEQ134" s="64"/>
      <c r="NER134" s="64"/>
      <c r="NES134" s="64"/>
      <c r="NET134" s="64"/>
      <c r="NEU134" s="64"/>
      <c r="NEV134" s="64"/>
      <c r="NEW134" s="64"/>
      <c r="NEX134" s="64"/>
      <c r="NEY134" s="64"/>
      <c r="NEZ134" s="64"/>
      <c r="NFA134" s="64"/>
      <c r="NFB134" s="64"/>
      <c r="NFC134" s="64"/>
      <c r="NFD134" s="64"/>
      <c r="NFE134" s="64"/>
      <c r="NFF134" s="64"/>
      <c r="NFG134" s="64"/>
      <c r="NFH134" s="64"/>
      <c r="NFI134" s="64"/>
      <c r="NFJ134" s="64"/>
      <c r="NFK134" s="64"/>
      <c r="NFL134" s="64"/>
      <c r="NFM134" s="64"/>
      <c r="NFN134" s="64"/>
      <c r="NFO134" s="64"/>
      <c r="NFP134" s="64"/>
      <c r="NFQ134" s="64"/>
      <c r="NFR134" s="64"/>
      <c r="NFS134" s="64"/>
      <c r="NFT134" s="64"/>
      <c r="NFU134" s="64"/>
      <c r="NFV134" s="64"/>
      <c r="NFW134" s="64"/>
      <c r="NFX134" s="64"/>
      <c r="NFY134" s="64"/>
      <c r="NFZ134" s="64"/>
      <c r="NGA134" s="64"/>
      <c r="NGB134" s="64"/>
      <c r="NGC134" s="64"/>
      <c r="NGD134" s="64"/>
      <c r="NGE134" s="64"/>
      <c r="NGF134" s="64"/>
      <c r="NGG134" s="64"/>
      <c r="NGH134" s="64"/>
      <c r="NGI134" s="64"/>
      <c r="NGJ134" s="64"/>
      <c r="NGK134" s="64"/>
      <c r="NGL134" s="64"/>
      <c r="NGM134" s="64"/>
      <c r="NGN134" s="64"/>
      <c r="NGO134" s="64"/>
      <c r="NGP134" s="64"/>
      <c r="NGQ134" s="64"/>
      <c r="NGR134" s="64"/>
      <c r="NGS134" s="64"/>
      <c r="NGT134" s="64"/>
      <c r="NGU134" s="64"/>
      <c r="NGV134" s="64"/>
      <c r="NGW134" s="64"/>
      <c r="NGX134" s="64"/>
      <c r="NGY134" s="64"/>
      <c r="NGZ134" s="64"/>
      <c r="NHA134" s="64"/>
      <c r="NHB134" s="64"/>
      <c r="NHC134" s="64"/>
      <c r="NHD134" s="64"/>
      <c r="NHE134" s="64"/>
      <c r="NHF134" s="64"/>
      <c r="NHG134" s="64"/>
      <c r="NHH134" s="64"/>
      <c r="NHI134" s="64"/>
      <c r="NHJ134" s="64"/>
      <c r="NHK134" s="64"/>
      <c r="NHL134" s="64"/>
      <c r="NHM134" s="64"/>
      <c r="NHN134" s="64"/>
      <c r="NHO134" s="64"/>
      <c r="NHP134" s="64"/>
      <c r="NHQ134" s="64"/>
      <c r="NHR134" s="64"/>
      <c r="NHS134" s="64"/>
      <c r="NHT134" s="64"/>
      <c r="NHU134" s="64"/>
      <c r="NHV134" s="64"/>
      <c r="NHW134" s="64"/>
      <c r="NHX134" s="64"/>
      <c r="NHY134" s="64"/>
      <c r="NHZ134" s="64"/>
      <c r="NIA134" s="64"/>
      <c r="NIB134" s="64"/>
      <c r="NIC134" s="64"/>
      <c r="NID134" s="64"/>
      <c r="NIE134" s="64"/>
      <c r="NIF134" s="64"/>
      <c r="NIG134" s="64"/>
      <c r="NIH134" s="64"/>
      <c r="NII134" s="64"/>
      <c r="NIJ134" s="64"/>
      <c r="NIK134" s="64"/>
      <c r="NIL134" s="64"/>
      <c r="NIM134" s="64"/>
      <c r="NIN134" s="64"/>
      <c r="NIO134" s="64"/>
      <c r="NIP134" s="64"/>
      <c r="NIQ134" s="64"/>
      <c r="NIR134" s="64"/>
      <c r="NIS134" s="64"/>
      <c r="NIT134" s="64"/>
      <c r="NIU134" s="64"/>
      <c r="NIV134" s="64"/>
      <c r="NIW134" s="64"/>
      <c r="NIX134" s="64"/>
      <c r="NIY134" s="64"/>
      <c r="NIZ134" s="64"/>
      <c r="NJA134" s="64"/>
      <c r="NJB134" s="64"/>
      <c r="NJC134" s="64"/>
      <c r="NJD134" s="64"/>
      <c r="NJE134" s="64"/>
      <c r="NJF134" s="64"/>
      <c r="NJG134" s="64"/>
      <c r="NJH134" s="64"/>
      <c r="NJI134" s="64"/>
      <c r="NJJ134" s="64"/>
      <c r="NJK134" s="64"/>
      <c r="NJL134" s="64"/>
      <c r="NJM134" s="64"/>
      <c r="NJN134" s="64"/>
      <c r="NJO134" s="64"/>
      <c r="NJP134" s="64"/>
      <c r="NJQ134" s="64"/>
      <c r="NJR134" s="64"/>
      <c r="NJS134" s="64"/>
      <c r="NJT134" s="64"/>
      <c r="NJU134" s="64"/>
      <c r="NJV134" s="64"/>
      <c r="NJW134" s="64"/>
      <c r="NJX134" s="64"/>
      <c r="NJY134" s="64"/>
      <c r="NJZ134" s="64"/>
      <c r="NKA134" s="64"/>
      <c r="NKB134" s="64"/>
      <c r="NKC134" s="64"/>
      <c r="NKD134" s="64"/>
      <c r="NKE134" s="64"/>
      <c r="NKF134" s="64"/>
      <c r="NKG134" s="64"/>
      <c r="NKH134" s="64"/>
      <c r="NKI134" s="64"/>
      <c r="NKJ134" s="64"/>
      <c r="NKK134" s="64"/>
      <c r="NKL134" s="64"/>
      <c r="NKM134" s="64"/>
      <c r="NKN134" s="64"/>
      <c r="NKO134" s="64"/>
      <c r="NKP134" s="64"/>
      <c r="NKQ134" s="64"/>
      <c r="NKR134" s="64"/>
      <c r="NKS134" s="64"/>
      <c r="NKT134" s="64"/>
      <c r="NKU134" s="64"/>
      <c r="NKV134" s="64"/>
      <c r="NKW134" s="64"/>
      <c r="NKX134" s="64"/>
      <c r="NKY134" s="64"/>
      <c r="NKZ134" s="64"/>
      <c r="NLA134" s="64"/>
      <c r="NLB134" s="64"/>
      <c r="NLC134" s="64"/>
      <c r="NLD134" s="64"/>
      <c r="NLE134" s="64"/>
      <c r="NLF134" s="64"/>
      <c r="NLG134" s="64"/>
      <c r="NLH134" s="64"/>
      <c r="NLI134" s="64"/>
      <c r="NLJ134" s="64"/>
      <c r="NLK134" s="64"/>
      <c r="NLL134" s="64"/>
      <c r="NLM134" s="64"/>
      <c r="NLN134" s="64"/>
      <c r="NLO134" s="64"/>
      <c r="NLP134" s="64"/>
      <c r="NLQ134" s="64"/>
      <c r="NLR134" s="64"/>
      <c r="NLS134" s="64"/>
      <c r="NLT134" s="64"/>
      <c r="NLU134" s="64"/>
      <c r="NLV134" s="64"/>
      <c r="NLW134" s="64"/>
      <c r="NLX134" s="64"/>
      <c r="NLY134" s="64"/>
      <c r="NLZ134" s="64"/>
      <c r="NMA134" s="64"/>
      <c r="NMB134" s="64"/>
      <c r="NMC134" s="64"/>
      <c r="NMD134" s="64"/>
      <c r="NME134" s="64"/>
      <c r="NMF134" s="64"/>
      <c r="NMG134" s="64"/>
      <c r="NMH134" s="64"/>
      <c r="NMI134" s="64"/>
      <c r="NMJ134" s="64"/>
      <c r="NMK134" s="64"/>
      <c r="NML134" s="64"/>
      <c r="NMM134" s="64"/>
      <c r="NMN134" s="64"/>
      <c r="NMO134" s="64"/>
      <c r="NMP134" s="64"/>
      <c r="NMQ134" s="64"/>
      <c r="NMR134" s="64"/>
      <c r="NMS134" s="64"/>
      <c r="NMT134" s="64"/>
      <c r="NMU134" s="64"/>
      <c r="NMV134" s="64"/>
      <c r="NMW134" s="64"/>
      <c r="NMX134" s="64"/>
      <c r="NMY134" s="64"/>
      <c r="NMZ134" s="64"/>
      <c r="NNA134" s="64"/>
      <c r="NNB134" s="64"/>
      <c r="NNC134" s="64"/>
      <c r="NND134" s="64"/>
      <c r="NNE134" s="64"/>
      <c r="NNF134" s="64"/>
      <c r="NNG134" s="64"/>
      <c r="NNH134" s="64"/>
      <c r="NNI134" s="64"/>
      <c r="NNJ134" s="64"/>
      <c r="NNK134" s="64"/>
      <c r="NNL134" s="64"/>
      <c r="NNM134" s="64"/>
      <c r="NNN134" s="64"/>
      <c r="NNO134" s="64"/>
      <c r="NNP134" s="64"/>
      <c r="NNQ134" s="64"/>
      <c r="NNR134" s="64"/>
      <c r="NNS134" s="64"/>
      <c r="NNT134" s="64"/>
      <c r="NNU134" s="64"/>
      <c r="NNV134" s="64"/>
      <c r="NNW134" s="64"/>
      <c r="NNX134" s="64"/>
      <c r="NNY134" s="64"/>
      <c r="NNZ134" s="64"/>
      <c r="NOA134" s="64"/>
      <c r="NOB134" s="64"/>
      <c r="NOC134" s="64"/>
      <c r="NOD134" s="64"/>
      <c r="NOE134" s="64"/>
      <c r="NOF134" s="64"/>
      <c r="NOG134" s="64"/>
      <c r="NOH134" s="64"/>
      <c r="NOI134" s="64"/>
      <c r="NOJ134" s="64"/>
      <c r="NOK134" s="64"/>
      <c r="NOL134" s="64"/>
      <c r="NOM134" s="64"/>
      <c r="NON134" s="64"/>
      <c r="NOO134" s="64"/>
      <c r="NOP134" s="64"/>
      <c r="NOQ134" s="64"/>
      <c r="NOR134" s="64"/>
      <c r="NOS134" s="64"/>
      <c r="NOT134" s="64"/>
      <c r="NOU134" s="64"/>
      <c r="NOV134" s="64"/>
      <c r="NOW134" s="64"/>
      <c r="NOX134" s="64"/>
      <c r="NOY134" s="64"/>
      <c r="NOZ134" s="64"/>
      <c r="NPA134" s="64"/>
      <c r="NPB134" s="64"/>
      <c r="NPC134" s="64"/>
      <c r="NPD134" s="64"/>
      <c r="NPE134" s="64"/>
      <c r="NPF134" s="64"/>
      <c r="NPG134" s="64"/>
      <c r="NPH134" s="64"/>
      <c r="NPI134" s="64"/>
      <c r="NPJ134" s="64"/>
      <c r="NPK134" s="64"/>
      <c r="NPL134" s="64"/>
      <c r="NPM134" s="64"/>
      <c r="NPN134" s="64"/>
      <c r="NPO134" s="64"/>
      <c r="NPP134" s="64"/>
      <c r="NPQ134" s="64"/>
      <c r="NPR134" s="64"/>
      <c r="NPS134" s="64"/>
      <c r="NPT134" s="64"/>
      <c r="NPU134" s="64"/>
      <c r="NPV134" s="64"/>
      <c r="NPW134" s="64"/>
      <c r="NPX134" s="64"/>
      <c r="NPY134" s="64"/>
      <c r="NPZ134" s="64"/>
      <c r="NQA134" s="64"/>
      <c r="NQB134" s="64"/>
      <c r="NQC134" s="64"/>
      <c r="NQD134" s="64"/>
      <c r="NQE134" s="64"/>
      <c r="NQF134" s="64"/>
      <c r="NQG134" s="64"/>
      <c r="NQH134" s="64"/>
      <c r="NQI134" s="64"/>
      <c r="NQJ134" s="64"/>
      <c r="NQK134" s="64"/>
      <c r="NQL134" s="64"/>
      <c r="NQM134" s="64"/>
      <c r="NQN134" s="64"/>
      <c r="NQO134" s="64"/>
      <c r="NQP134" s="64"/>
      <c r="NQQ134" s="64"/>
      <c r="NQR134" s="64"/>
      <c r="NQS134" s="64"/>
      <c r="NQT134" s="64"/>
      <c r="NQU134" s="64"/>
      <c r="NQV134" s="64"/>
      <c r="NQW134" s="64"/>
      <c r="NQX134" s="64"/>
      <c r="NQY134" s="64"/>
      <c r="NQZ134" s="64"/>
      <c r="NRA134" s="64"/>
      <c r="NRB134" s="64"/>
      <c r="NRC134" s="64"/>
      <c r="NRD134" s="64"/>
      <c r="NRE134" s="64"/>
      <c r="NRF134" s="64"/>
      <c r="NRG134" s="64"/>
      <c r="NRH134" s="64"/>
      <c r="NRI134" s="64"/>
      <c r="NRJ134" s="64"/>
      <c r="NRK134" s="64"/>
      <c r="NRL134" s="64"/>
      <c r="NRM134" s="64"/>
      <c r="NRN134" s="64"/>
      <c r="NRO134" s="64"/>
      <c r="NRP134" s="64"/>
      <c r="NRQ134" s="64"/>
      <c r="NRR134" s="64"/>
      <c r="NRS134" s="64"/>
      <c r="NRT134" s="64"/>
      <c r="NRU134" s="64"/>
      <c r="NRV134" s="64"/>
      <c r="NRW134" s="64"/>
      <c r="NRX134" s="64"/>
      <c r="NRY134" s="64"/>
      <c r="NRZ134" s="64"/>
      <c r="NSA134" s="64"/>
      <c r="NSB134" s="64"/>
      <c r="NSC134" s="64"/>
      <c r="NSD134" s="64"/>
      <c r="NSE134" s="64"/>
      <c r="NSF134" s="64"/>
      <c r="NSG134" s="64"/>
      <c r="NSH134" s="64"/>
      <c r="NSI134" s="64"/>
      <c r="NSJ134" s="64"/>
      <c r="NSK134" s="64"/>
      <c r="NSL134" s="64"/>
      <c r="NSM134" s="64"/>
      <c r="NSN134" s="64"/>
      <c r="NSO134" s="64"/>
      <c r="NSP134" s="64"/>
      <c r="NSQ134" s="64"/>
      <c r="NSR134" s="64"/>
      <c r="NSS134" s="64"/>
      <c r="NST134" s="64"/>
      <c r="NSU134" s="64"/>
      <c r="NSV134" s="64"/>
      <c r="NSW134" s="64"/>
      <c r="NSX134" s="64"/>
      <c r="NSY134" s="64"/>
      <c r="NSZ134" s="64"/>
      <c r="NTA134" s="64"/>
      <c r="NTB134" s="64"/>
      <c r="NTC134" s="64"/>
      <c r="NTD134" s="64"/>
      <c r="NTE134" s="64"/>
      <c r="NTF134" s="64"/>
      <c r="NTG134" s="64"/>
      <c r="NTH134" s="64"/>
      <c r="NTI134" s="64"/>
      <c r="NTJ134" s="64"/>
      <c r="NTK134" s="64"/>
      <c r="NTL134" s="64"/>
      <c r="NTM134" s="64"/>
      <c r="NTN134" s="64"/>
      <c r="NTO134" s="64"/>
      <c r="NTP134" s="64"/>
      <c r="NTQ134" s="64"/>
      <c r="NTR134" s="64"/>
      <c r="NTS134" s="64"/>
      <c r="NTT134" s="64"/>
      <c r="NTU134" s="64"/>
      <c r="NTV134" s="64"/>
      <c r="NTW134" s="64"/>
      <c r="NTX134" s="64"/>
      <c r="NTY134" s="64"/>
      <c r="NTZ134" s="64"/>
      <c r="NUA134" s="64"/>
      <c r="NUB134" s="64"/>
      <c r="NUC134" s="64"/>
      <c r="NUD134" s="64"/>
      <c r="NUE134" s="64"/>
      <c r="NUF134" s="64"/>
      <c r="NUG134" s="64"/>
      <c r="NUH134" s="64"/>
      <c r="NUI134" s="64"/>
      <c r="NUJ134" s="64"/>
      <c r="NUK134" s="64"/>
      <c r="NUL134" s="64"/>
      <c r="NUM134" s="64"/>
      <c r="NUN134" s="64"/>
      <c r="NUO134" s="64"/>
      <c r="NUP134" s="64"/>
      <c r="NUQ134" s="64"/>
      <c r="NUR134" s="64"/>
      <c r="NUS134" s="64"/>
      <c r="NUT134" s="64"/>
      <c r="NUU134" s="64"/>
      <c r="NUV134" s="64"/>
      <c r="NUW134" s="64"/>
      <c r="NUX134" s="64"/>
      <c r="NUY134" s="64"/>
      <c r="NUZ134" s="64"/>
      <c r="NVA134" s="64"/>
      <c r="NVB134" s="64"/>
      <c r="NVC134" s="64"/>
      <c r="NVD134" s="64"/>
      <c r="NVE134" s="64"/>
      <c r="NVF134" s="64"/>
      <c r="NVG134" s="64"/>
      <c r="NVH134" s="64"/>
      <c r="NVI134" s="64"/>
      <c r="NVJ134" s="64"/>
      <c r="NVK134" s="64"/>
      <c r="NVL134" s="64"/>
      <c r="NVM134" s="64"/>
      <c r="NVN134" s="64"/>
      <c r="NVO134" s="64"/>
      <c r="NVP134" s="64"/>
      <c r="NVQ134" s="64"/>
      <c r="NVR134" s="64"/>
      <c r="NVS134" s="64"/>
      <c r="NVT134" s="64"/>
      <c r="NVU134" s="64"/>
      <c r="NVV134" s="64"/>
      <c r="NVW134" s="64"/>
      <c r="NVX134" s="64"/>
      <c r="NVY134" s="64"/>
      <c r="NVZ134" s="64"/>
      <c r="NWA134" s="64"/>
      <c r="NWB134" s="64"/>
      <c r="NWC134" s="64"/>
      <c r="NWD134" s="64"/>
      <c r="NWE134" s="64"/>
      <c r="NWF134" s="64"/>
      <c r="NWG134" s="64"/>
      <c r="NWH134" s="64"/>
      <c r="NWI134" s="64"/>
      <c r="NWJ134" s="64"/>
      <c r="NWK134" s="64"/>
      <c r="NWL134" s="64"/>
      <c r="NWM134" s="64"/>
      <c r="NWN134" s="64"/>
      <c r="NWO134" s="64"/>
      <c r="NWP134" s="64"/>
      <c r="NWQ134" s="64"/>
      <c r="NWR134" s="64"/>
      <c r="NWS134" s="64"/>
      <c r="NWT134" s="64"/>
      <c r="NWU134" s="64"/>
      <c r="NWV134" s="64"/>
      <c r="NWW134" s="64"/>
      <c r="NWX134" s="64"/>
      <c r="NWY134" s="64"/>
      <c r="NWZ134" s="64"/>
      <c r="NXA134" s="64"/>
      <c r="NXB134" s="64"/>
      <c r="NXC134" s="64"/>
      <c r="NXD134" s="64"/>
      <c r="NXE134" s="64"/>
      <c r="NXF134" s="64"/>
      <c r="NXG134" s="64"/>
      <c r="NXH134" s="64"/>
      <c r="NXI134" s="64"/>
      <c r="NXJ134" s="64"/>
      <c r="NXK134" s="64"/>
      <c r="NXL134" s="64"/>
      <c r="NXM134" s="64"/>
      <c r="NXN134" s="64"/>
      <c r="NXO134" s="64"/>
      <c r="NXP134" s="64"/>
      <c r="NXQ134" s="64"/>
      <c r="NXR134" s="64"/>
      <c r="NXS134" s="64"/>
      <c r="NXT134" s="64"/>
      <c r="NXU134" s="64"/>
      <c r="NXV134" s="64"/>
      <c r="NXW134" s="64"/>
      <c r="NXX134" s="64"/>
      <c r="NXY134" s="64"/>
      <c r="NXZ134" s="64"/>
      <c r="NYA134" s="64"/>
      <c r="NYB134" s="64"/>
      <c r="NYC134" s="64"/>
      <c r="NYD134" s="64"/>
      <c r="NYE134" s="64"/>
      <c r="NYF134" s="64"/>
      <c r="NYG134" s="64"/>
      <c r="NYH134" s="64"/>
      <c r="NYI134" s="64"/>
      <c r="NYJ134" s="64"/>
      <c r="NYK134" s="64"/>
      <c r="NYL134" s="64"/>
      <c r="NYM134" s="64"/>
      <c r="NYN134" s="64"/>
      <c r="NYO134" s="64"/>
      <c r="NYP134" s="64"/>
      <c r="NYQ134" s="64"/>
      <c r="NYR134" s="64"/>
      <c r="NYS134" s="64"/>
      <c r="NYT134" s="64"/>
      <c r="NYU134" s="64"/>
      <c r="NYV134" s="64"/>
      <c r="NYW134" s="64"/>
      <c r="NYX134" s="64"/>
      <c r="NYY134" s="64"/>
      <c r="NYZ134" s="64"/>
      <c r="NZA134" s="64"/>
      <c r="NZB134" s="64"/>
      <c r="NZC134" s="64"/>
      <c r="NZD134" s="64"/>
      <c r="NZE134" s="64"/>
      <c r="NZF134" s="64"/>
      <c r="NZG134" s="64"/>
      <c r="NZH134" s="64"/>
      <c r="NZI134" s="64"/>
      <c r="NZJ134" s="64"/>
      <c r="NZK134" s="64"/>
      <c r="NZL134" s="64"/>
      <c r="NZM134" s="64"/>
      <c r="NZN134" s="64"/>
      <c r="NZO134" s="64"/>
      <c r="NZP134" s="64"/>
      <c r="NZQ134" s="64"/>
      <c r="NZR134" s="64"/>
      <c r="NZS134" s="64"/>
      <c r="NZT134" s="64"/>
      <c r="NZU134" s="64"/>
      <c r="NZV134" s="64"/>
      <c r="NZW134" s="64"/>
      <c r="NZX134" s="64"/>
      <c r="NZY134" s="64"/>
      <c r="NZZ134" s="64"/>
      <c r="OAA134" s="64"/>
      <c r="OAB134" s="64"/>
      <c r="OAC134" s="64"/>
      <c r="OAD134" s="64"/>
      <c r="OAE134" s="64"/>
      <c r="OAF134" s="64"/>
      <c r="OAG134" s="64"/>
      <c r="OAH134" s="64"/>
      <c r="OAI134" s="64"/>
      <c r="OAJ134" s="64"/>
      <c r="OAK134" s="64"/>
      <c r="OAL134" s="64"/>
      <c r="OAM134" s="64"/>
      <c r="OAN134" s="64"/>
      <c r="OAO134" s="64"/>
      <c r="OAP134" s="64"/>
      <c r="OAQ134" s="64"/>
      <c r="OAR134" s="64"/>
      <c r="OAS134" s="64"/>
      <c r="OAT134" s="64"/>
      <c r="OAU134" s="64"/>
      <c r="OAV134" s="64"/>
      <c r="OAW134" s="64"/>
      <c r="OAX134" s="64"/>
      <c r="OAY134" s="64"/>
      <c r="OAZ134" s="64"/>
      <c r="OBA134" s="64"/>
      <c r="OBB134" s="64"/>
      <c r="OBC134" s="64"/>
      <c r="OBD134" s="64"/>
      <c r="OBE134" s="64"/>
      <c r="OBF134" s="64"/>
      <c r="OBG134" s="64"/>
      <c r="OBH134" s="64"/>
      <c r="OBI134" s="64"/>
      <c r="OBJ134" s="64"/>
      <c r="OBK134" s="64"/>
      <c r="OBL134" s="64"/>
      <c r="OBM134" s="64"/>
      <c r="OBN134" s="64"/>
      <c r="OBO134" s="64"/>
      <c r="OBP134" s="64"/>
      <c r="OBQ134" s="64"/>
      <c r="OBR134" s="64"/>
      <c r="OBS134" s="64"/>
      <c r="OBT134" s="64"/>
      <c r="OBU134" s="64"/>
      <c r="OBV134" s="64"/>
      <c r="OBW134" s="64"/>
      <c r="OBX134" s="64"/>
      <c r="OBY134" s="64"/>
      <c r="OBZ134" s="64"/>
      <c r="OCA134" s="64"/>
      <c r="OCB134" s="64"/>
      <c r="OCC134" s="64"/>
      <c r="OCD134" s="64"/>
      <c r="OCE134" s="64"/>
      <c r="OCF134" s="64"/>
      <c r="OCG134" s="64"/>
      <c r="OCH134" s="64"/>
      <c r="OCI134" s="64"/>
      <c r="OCJ134" s="64"/>
      <c r="OCK134" s="64"/>
      <c r="OCL134" s="64"/>
      <c r="OCM134" s="64"/>
      <c r="OCN134" s="64"/>
      <c r="OCO134" s="64"/>
      <c r="OCP134" s="64"/>
      <c r="OCQ134" s="64"/>
      <c r="OCR134" s="64"/>
      <c r="OCS134" s="64"/>
      <c r="OCT134" s="64"/>
      <c r="OCU134" s="64"/>
      <c r="OCV134" s="64"/>
      <c r="OCW134" s="64"/>
      <c r="OCX134" s="64"/>
      <c r="OCY134" s="64"/>
      <c r="OCZ134" s="64"/>
      <c r="ODA134" s="64"/>
      <c r="ODB134" s="64"/>
      <c r="ODC134" s="64"/>
      <c r="ODD134" s="64"/>
      <c r="ODE134" s="64"/>
      <c r="ODF134" s="64"/>
      <c r="ODG134" s="64"/>
      <c r="ODH134" s="64"/>
      <c r="ODI134" s="64"/>
      <c r="ODJ134" s="64"/>
      <c r="ODK134" s="64"/>
      <c r="ODL134" s="64"/>
      <c r="ODM134" s="64"/>
      <c r="ODN134" s="64"/>
      <c r="ODO134" s="64"/>
      <c r="ODP134" s="64"/>
      <c r="ODQ134" s="64"/>
      <c r="ODR134" s="64"/>
      <c r="ODS134" s="64"/>
      <c r="ODT134" s="64"/>
      <c r="ODU134" s="64"/>
      <c r="ODV134" s="64"/>
      <c r="ODW134" s="64"/>
      <c r="ODX134" s="64"/>
      <c r="ODY134" s="64"/>
      <c r="ODZ134" s="64"/>
      <c r="OEA134" s="64"/>
      <c r="OEB134" s="64"/>
      <c r="OEC134" s="64"/>
      <c r="OED134" s="64"/>
      <c r="OEE134" s="64"/>
      <c r="OEF134" s="64"/>
      <c r="OEG134" s="64"/>
      <c r="OEH134" s="64"/>
      <c r="OEI134" s="64"/>
      <c r="OEJ134" s="64"/>
      <c r="OEK134" s="64"/>
      <c r="OEL134" s="64"/>
      <c r="OEM134" s="64"/>
      <c r="OEN134" s="64"/>
      <c r="OEO134" s="64"/>
      <c r="OEP134" s="64"/>
      <c r="OEQ134" s="64"/>
      <c r="OER134" s="64"/>
      <c r="OES134" s="64"/>
      <c r="OET134" s="64"/>
      <c r="OEU134" s="64"/>
      <c r="OEV134" s="64"/>
      <c r="OEW134" s="64"/>
      <c r="OEX134" s="64"/>
      <c r="OEY134" s="64"/>
      <c r="OEZ134" s="64"/>
      <c r="OFA134" s="64"/>
      <c r="OFB134" s="64"/>
      <c r="OFC134" s="64"/>
      <c r="OFD134" s="64"/>
      <c r="OFE134" s="64"/>
      <c r="OFF134" s="64"/>
      <c r="OFG134" s="64"/>
      <c r="OFH134" s="64"/>
      <c r="OFI134" s="64"/>
      <c r="OFJ134" s="64"/>
      <c r="OFK134" s="64"/>
      <c r="OFL134" s="64"/>
      <c r="OFM134" s="64"/>
      <c r="OFN134" s="64"/>
      <c r="OFO134" s="64"/>
      <c r="OFP134" s="64"/>
      <c r="OFQ134" s="64"/>
      <c r="OFR134" s="64"/>
      <c r="OFS134" s="64"/>
      <c r="OFT134" s="64"/>
      <c r="OFU134" s="64"/>
      <c r="OFV134" s="64"/>
      <c r="OFW134" s="64"/>
      <c r="OFX134" s="64"/>
      <c r="OFY134" s="64"/>
      <c r="OFZ134" s="64"/>
      <c r="OGA134" s="64"/>
      <c r="OGB134" s="64"/>
      <c r="OGC134" s="64"/>
      <c r="OGD134" s="64"/>
      <c r="OGE134" s="64"/>
      <c r="OGF134" s="64"/>
      <c r="OGG134" s="64"/>
      <c r="OGH134" s="64"/>
      <c r="OGI134" s="64"/>
      <c r="OGJ134" s="64"/>
      <c r="OGK134" s="64"/>
      <c r="OGL134" s="64"/>
      <c r="OGM134" s="64"/>
      <c r="OGN134" s="64"/>
      <c r="OGO134" s="64"/>
      <c r="OGP134" s="64"/>
      <c r="OGQ134" s="64"/>
      <c r="OGR134" s="64"/>
      <c r="OGS134" s="64"/>
      <c r="OGT134" s="64"/>
      <c r="OGU134" s="64"/>
      <c r="OGV134" s="64"/>
      <c r="OGW134" s="64"/>
      <c r="OGX134" s="64"/>
      <c r="OGY134" s="64"/>
      <c r="OGZ134" s="64"/>
      <c r="OHA134" s="64"/>
      <c r="OHB134" s="64"/>
      <c r="OHC134" s="64"/>
      <c r="OHD134" s="64"/>
      <c r="OHE134" s="64"/>
      <c r="OHF134" s="64"/>
      <c r="OHG134" s="64"/>
      <c r="OHH134" s="64"/>
      <c r="OHI134" s="64"/>
      <c r="OHJ134" s="64"/>
      <c r="OHK134" s="64"/>
      <c r="OHL134" s="64"/>
      <c r="OHM134" s="64"/>
      <c r="OHN134" s="64"/>
      <c r="OHO134" s="64"/>
      <c r="OHP134" s="64"/>
      <c r="OHQ134" s="64"/>
      <c r="OHR134" s="64"/>
      <c r="OHS134" s="64"/>
      <c r="OHT134" s="64"/>
      <c r="OHU134" s="64"/>
      <c r="OHV134" s="64"/>
      <c r="OHW134" s="64"/>
      <c r="OHX134" s="64"/>
      <c r="OHY134" s="64"/>
      <c r="OHZ134" s="64"/>
      <c r="OIA134" s="64"/>
      <c r="OIB134" s="64"/>
      <c r="OIC134" s="64"/>
      <c r="OID134" s="64"/>
      <c r="OIE134" s="64"/>
      <c r="OIF134" s="64"/>
      <c r="OIG134" s="64"/>
      <c r="OIH134" s="64"/>
      <c r="OII134" s="64"/>
      <c r="OIJ134" s="64"/>
      <c r="OIK134" s="64"/>
      <c r="OIL134" s="64"/>
      <c r="OIM134" s="64"/>
      <c r="OIN134" s="64"/>
      <c r="OIO134" s="64"/>
      <c r="OIP134" s="64"/>
      <c r="OIQ134" s="64"/>
      <c r="OIR134" s="64"/>
      <c r="OIS134" s="64"/>
      <c r="OIT134" s="64"/>
      <c r="OIU134" s="64"/>
      <c r="OIV134" s="64"/>
      <c r="OIW134" s="64"/>
      <c r="OIX134" s="64"/>
      <c r="OIY134" s="64"/>
      <c r="OIZ134" s="64"/>
      <c r="OJA134" s="64"/>
      <c r="OJB134" s="64"/>
      <c r="OJC134" s="64"/>
      <c r="OJD134" s="64"/>
      <c r="OJE134" s="64"/>
      <c r="OJF134" s="64"/>
      <c r="OJG134" s="64"/>
      <c r="OJH134" s="64"/>
      <c r="OJI134" s="64"/>
      <c r="OJJ134" s="64"/>
      <c r="OJK134" s="64"/>
      <c r="OJL134" s="64"/>
      <c r="OJM134" s="64"/>
      <c r="OJN134" s="64"/>
      <c r="OJO134" s="64"/>
      <c r="OJP134" s="64"/>
      <c r="OJQ134" s="64"/>
      <c r="OJR134" s="64"/>
      <c r="OJS134" s="64"/>
      <c r="OJT134" s="64"/>
      <c r="OJU134" s="64"/>
      <c r="OJV134" s="64"/>
      <c r="OJW134" s="64"/>
      <c r="OJX134" s="64"/>
      <c r="OJY134" s="64"/>
      <c r="OJZ134" s="64"/>
      <c r="OKA134" s="64"/>
      <c r="OKB134" s="64"/>
      <c r="OKC134" s="64"/>
      <c r="OKD134" s="64"/>
      <c r="OKE134" s="64"/>
      <c r="OKF134" s="64"/>
      <c r="OKG134" s="64"/>
      <c r="OKH134" s="64"/>
      <c r="OKI134" s="64"/>
      <c r="OKJ134" s="64"/>
      <c r="OKK134" s="64"/>
      <c r="OKL134" s="64"/>
      <c r="OKM134" s="64"/>
      <c r="OKN134" s="64"/>
      <c r="OKO134" s="64"/>
      <c r="OKP134" s="64"/>
      <c r="OKQ134" s="64"/>
      <c r="OKR134" s="64"/>
      <c r="OKS134" s="64"/>
      <c r="OKT134" s="64"/>
      <c r="OKU134" s="64"/>
      <c r="OKV134" s="64"/>
      <c r="OKW134" s="64"/>
      <c r="OKX134" s="64"/>
      <c r="OKY134" s="64"/>
      <c r="OKZ134" s="64"/>
      <c r="OLA134" s="64"/>
      <c r="OLB134" s="64"/>
      <c r="OLC134" s="64"/>
      <c r="OLD134" s="64"/>
      <c r="OLE134" s="64"/>
      <c r="OLF134" s="64"/>
      <c r="OLG134" s="64"/>
      <c r="OLH134" s="64"/>
      <c r="OLI134" s="64"/>
      <c r="OLJ134" s="64"/>
      <c r="OLK134" s="64"/>
      <c r="OLL134" s="64"/>
      <c r="OLM134" s="64"/>
      <c r="OLN134" s="64"/>
      <c r="OLO134" s="64"/>
      <c r="OLP134" s="64"/>
      <c r="OLQ134" s="64"/>
      <c r="OLR134" s="64"/>
      <c r="OLS134" s="64"/>
      <c r="OLT134" s="64"/>
      <c r="OLU134" s="64"/>
      <c r="OLV134" s="64"/>
      <c r="OLW134" s="64"/>
      <c r="OLX134" s="64"/>
      <c r="OLY134" s="64"/>
      <c r="OLZ134" s="64"/>
      <c r="OMA134" s="64"/>
      <c r="OMB134" s="64"/>
      <c r="OMC134" s="64"/>
      <c r="OMD134" s="64"/>
      <c r="OME134" s="64"/>
      <c r="OMF134" s="64"/>
      <c r="OMG134" s="64"/>
      <c r="OMH134" s="64"/>
      <c r="OMI134" s="64"/>
      <c r="OMJ134" s="64"/>
      <c r="OMK134" s="64"/>
      <c r="OML134" s="64"/>
      <c r="OMM134" s="64"/>
      <c r="OMN134" s="64"/>
      <c r="OMO134" s="64"/>
      <c r="OMP134" s="64"/>
      <c r="OMQ134" s="64"/>
      <c r="OMR134" s="64"/>
      <c r="OMS134" s="64"/>
      <c r="OMT134" s="64"/>
      <c r="OMU134" s="64"/>
      <c r="OMV134" s="64"/>
      <c r="OMW134" s="64"/>
      <c r="OMX134" s="64"/>
      <c r="OMY134" s="64"/>
      <c r="OMZ134" s="64"/>
      <c r="ONA134" s="64"/>
      <c r="ONB134" s="64"/>
      <c r="ONC134" s="64"/>
      <c r="OND134" s="64"/>
      <c r="ONE134" s="64"/>
      <c r="ONF134" s="64"/>
      <c r="ONG134" s="64"/>
      <c r="ONH134" s="64"/>
      <c r="ONI134" s="64"/>
      <c r="ONJ134" s="64"/>
      <c r="ONK134" s="64"/>
      <c r="ONL134" s="64"/>
      <c r="ONM134" s="64"/>
      <c r="ONN134" s="64"/>
      <c r="ONO134" s="64"/>
      <c r="ONP134" s="64"/>
      <c r="ONQ134" s="64"/>
      <c r="ONR134" s="64"/>
      <c r="ONS134" s="64"/>
      <c r="ONT134" s="64"/>
      <c r="ONU134" s="64"/>
      <c r="ONV134" s="64"/>
      <c r="ONW134" s="64"/>
      <c r="ONX134" s="64"/>
      <c r="ONY134" s="64"/>
      <c r="ONZ134" s="64"/>
      <c r="OOA134" s="64"/>
      <c r="OOB134" s="64"/>
      <c r="OOC134" s="64"/>
      <c r="OOD134" s="64"/>
      <c r="OOE134" s="64"/>
      <c r="OOF134" s="64"/>
      <c r="OOG134" s="64"/>
      <c r="OOH134" s="64"/>
      <c r="OOI134" s="64"/>
      <c r="OOJ134" s="64"/>
      <c r="OOK134" s="64"/>
      <c r="OOL134" s="64"/>
      <c r="OOM134" s="64"/>
      <c r="OON134" s="64"/>
      <c r="OOO134" s="64"/>
      <c r="OOP134" s="64"/>
      <c r="OOQ134" s="64"/>
      <c r="OOR134" s="64"/>
      <c r="OOS134" s="64"/>
      <c r="OOT134" s="64"/>
      <c r="OOU134" s="64"/>
      <c r="OOV134" s="64"/>
      <c r="OOW134" s="64"/>
      <c r="OOX134" s="64"/>
      <c r="OOY134" s="64"/>
      <c r="OOZ134" s="64"/>
      <c r="OPA134" s="64"/>
      <c r="OPB134" s="64"/>
      <c r="OPC134" s="64"/>
      <c r="OPD134" s="64"/>
      <c r="OPE134" s="64"/>
      <c r="OPF134" s="64"/>
      <c r="OPG134" s="64"/>
      <c r="OPH134" s="64"/>
      <c r="OPI134" s="64"/>
      <c r="OPJ134" s="64"/>
      <c r="OPK134" s="64"/>
      <c r="OPL134" s="64"/>
      <c r="OPM134" s="64"/>
      <c r="OPN134" s="64"/>
      <c r="OPO134" s="64"/>
      <c r="OPP134" s="64"/>
      <c r="OPQ134" s="64"/>
      <c r="OPR134" s="64"/>
      <c r="OPS134" s="64"/>
      <c r="OPT134" s="64"/>
      <c r="OPU134" s="64"/>
      <c r="OPV134" s="64"/>
      <c r="OPW134" s="64"/>
      <c r="OPX134" s="64"/>
      <c r="OPY134" s="64"/>
      <c r="OPZ134" s="64"/>
      <c r="OQA134" s="64"/>
      <c r="OQB134" s="64"/>
      <c r="OQC134" s="64"/>
      <c r="OQD134" s="64"/>
      <c r="OQE134" s="64"/>
      <c r="OQF134" s="64"/>
      <c r="OQG134" s="64"/>
      <c r="OQH134" s="64"/>
      <c r="OQI134" s="64"/>
      <c r="OQJ134" s="64"/>
      <c r="OQK134" s="64"/>
      <c r="OQL134" s="64"/>
      <c r="OQM134" s="64"/>
      <c r="OQN134" s="64"/>
      <c r="OQO134" s="64"/>
      <c r="OQP134" s="64"/>
      <c r="OQQ134" s="64"/>
      <c r="OQR134" s="64"/>
      <c r="OQS134" s="64"/>
      <c r="OQT134" s="64"/>
      <c r="OQU134" s="64"/>
      <c r="OQV134" s="64"/>
      <c r="OQW134" s="64"/>
      <c r="OQX134" s="64"/>
      <c r="OQY134" s="64"/>
      <c r="OQZ134" s="64"/>
      <c r="ORA134" s="64"/>
      <c r="ORB134" s="64"/>
      <c r="ORC134" s="64"/>
      <c r="ORD134" s="64"/>
      <c r="ORE134" s="64"/>
      <c r="ORF134" s="64"/>
      <c r="ORG134" s="64"/>
      <c r="ORH134" s="64"/>
      <c r="ORI134" s="64"/>
      <c r="ORJ134" s="64"/>
      <c r="ORK134" s="64"/>
      <c r="ORL134" s="64"/>
      <c r="ORM134" s="64"/>
      <c r="ORN134" s="64"/>
      <c r="ORO134" s="64"/>
      <c r="ORP134" s="64"/>
      <c r="ORQ134" s="64"/>
      <c r="ORR134" s="64"/>
      <c r="ORS134" s="64"/>
      <c r="ORT134" s="64"/>
      <c r="ORU134" s="64"/>
      <c r="ORV134" s="64"/>
      <c r="ORW134" s="64"/>
      <c r="ORX134" s="64"/>
      <c r="ORY134" s="64"/>
      <c r="ORZ134" s="64"/>
      <c r="OSA134" s="64"/>
      <c r="OSB134" s="64"/>
      <c r="OSC134" s="64"/>
      <c r="OSD134" s="64"/>
      <c r="OSE134" s="64"/>
      <c r="OSF134" s="64"/>
      <c r="OSG134" s="64"/>
      <c r="OSH134" s="64"/>
      <c r="OSI134" s="64"/>
      <c r="OSJ134" s="64"/>
      <c r="OSK134" s="64"/>
      <c r="OSL134" s="64"/>
      <c r="OSM134" s="64"/>
      <c r="OSN134" s="64"/>
      <c r="OSO134" s="64"/>
      <c r="OSP134" s="64"/>
      <c r="OSQ134" s="64"/>
      <c r="OSR134" s="64"/>
      <c r="OSS134" s="64"/>
      <c r="OST134" s="64"/>
      <c r="OSU134" s="64"/>
      <c r="OSV134" s="64"/>
      <c r="OSW134" s="64"/>
      <c r="OSX134" s="64"/>
      <c r="OSY134" s="64"/>
      <c r="OSZ134" s="64"/>
      <c r="OTA134" s="64"/>
      <c r="OTB134" s="64"/>
      <c r="OTC134" s="64"/>
      <c r="OTD134" s="64"/>
      <c r="OTE134" s="64"/>
      <c r="OTF134" s="64"/>
      <c r="OTG134" s="64"/>
      <c r="OTH134" s="64"/>
      <c r="OTI134" s="64"/>
      <c r="OTJ134" s="64"/>
      <c r="OTK134" s="64"/>
      <c r="OTL134" s="64"/>
      <c r="OTM134" s="64"/>
      <c r="OTN134" s="64"/>
      <c r="OTO134" s="64"/>
      <c r="OTP134" s="64"/>
      <c r="OTQ134" s="64"/>
      <c r="OTR134" s="64"/>
      <c r="OTS134" s="64"/>
      <c r="OTT134" s="64"/>
      <c r="OTU134" s="64"/>
      <c r="OTV134" s="64"/>
      <c r="OTW134" s="64"/>
      <c r="OTX134" s="64"/>
      <c r="OTY134" s="64"/>
      <c r="OTZ134" s="64"/>
      <c r="OUA134" s="64"/>
      <c r="OUB134" s="64"/>
      <c r="OUC134" s="64"/>
      <c r="OUD134" s="64"/>
      <c r="OUE134" s="64"/>
      <c r="OUF134" s="64"/>
      <c r="OUG134" s="64"/>
      <c r="OUH134" s="64"/>
      <c r="OUI134" s="64"/>
      <c r="OUJ134" s="64"/>
      <c r="OUK134" s="64"/>
      <c r="OUL134" s="64"/>
      <c r="OUM134" s="64"/>
      <c r="OUN134" s="64"/>
      <c r="OUO134" s="64"/>
      <c r="OUP134" s="64"/>
      <c r="OUQ134" s="64"/>
      <c r="OUR134" s="64"/>
      <c r="OUS134" s="64"/>
      <c r="OUT134" s="64"/>
      <c r="OUU134" s="64"/>
      <c r="OUV134" s="64"/>
      <c r="OUW134" s="64"/>
      <c r="OUX134" s="64"/>
      <c r="OUY134" s="64"/>
      <c r="OUZ134" s="64"/>
      <c r="OVA134" s="64"/>
      <c r="OVB134" s="64"/>
      <c r="OVC134" s="64"/>
      <c r="OVD134" s="64"/>
      <c r="OVE134" s="64"/>
      <c r="OVF134" s="64"/>
      <c r="OVG134" s="64"/>
      <c r="OVH134" s="64"/>
      <c r="OVI134" s="64"/>
      <c r="OVJ134" s="64"/>
      <c r="OVK134" s="64"/>
      <c r="OVL134" s="64"/>
      <c r="OVM134" s="64"/>
      <c r="OVN134" s="64"/>
      <c r="OVO134" s="64"/>
      <c r="OVP134" s="64"/>
      <c r="OVQ134" s="64"/>
      <c r="OVR134" s="64"/>
      <c r="OVS134" s="64"/>
      <c r="OVT134" s="64"/>
      <c r="OVU134" s="64"/>
      <c r="OVV134" s="64"/>
      <c r="OVW134" s="64"/>
      <c r="OVX134" s="64"/>
      <c r="OVY134" s="64"/>
      <c r="OVZ134" s="64"/>
      <c r="OWA134" s="64"/>
      <c r="OWB134" s="64"/>
      <c r="OWC134" s="64"/>
      <c r="OWD134" s="64"/>
      <c r="OWE134" s="64"/>
      <c r="OWF134" s="64"/>
      <c r="OWG134" s="64"/>
      <c r="OWH134" s="64"/>
      <c r="OWI134" s="64"/>
      <c r="OWJ134" s="64"/>
      <c r="OWK134" s="64"/>
      <c r="OWL134" s="64"/>
      <c r="OWM134" s="64"/>
      <c r="OWN134" s="64"/>
      <c r="OWO134" s="64"/>
      <c r="OWP134" s="64"/>
      <c r="OWQ134" s="64"/>
      <c r="OWR134" s="64"/>
      <c r="OWS134" s="64"/>
      <c r="OWT134" s="64"/>
      <c r="OWU134" s="64"/>
      <c r="OWV134" s="64"/>
      <c r="OWW134" s="64"/>
      <c r="OWX134" s="64"/>
      <c r="OWY134" s="64"/>
      <c r="OWZ134" s="64"/>
      <c r="OXA134" s="64"/>
      <c r="OXB134" s="64"/>
      <c r="OXC134" s="64"/>
      <c r="OXD134" s="64"/>
      <c r="OXE134" s="64"/>
      <c r="OXF134" s="64"/>
      <c r="OXG134" s="64"/>
      <c r="OXH134" s="64"/>
      <c r="OXI134" s="64"/>
      <c r="OXJ134" s="64"/>
      <c r="OXK134" s="64"/>
      <c r="OXL134" s="64"/>
      <c r="OXM134" s="64"/>
      <c r="OXN134" s="64"/>
      <c r="OXO134" s="64"/>
      <c r="OXP134" s="64"/>
      <c r="OXQ134" s="64"/>
      <c r="OXR134" s="64"/>
      <c r="OXS134" s="64"/>
      <c r="OXT134" s="64"/>
      <c r="OXU134" s="64"/>
      <c r="OXV134" s="64"/>
      <c r="OXW134" s="64"/>
      <c r="OXX134" s="64"/>
      <c r="OXY134" s="64"/>
      <c r="OXZ134" s="64"/>
      <c r="OYA134" s="64"/>
      <c r="OYB134" s="64"/>
      <c r="OYC134" s="64"/>
      <c r="OYD134" s="64"/>
      <c r="OYE134" s="64"/>
      <c r="OYF134" s="64"/>
      <c r="OYG134" s="64"/>
      <c r="OYH134" s="64"/>
      <c r="OYI134" s="64"/>
      <c r="OYJ134" s="64"/>
      <c r="OYK134" s="64"/>
      <c r="OYL134" s="64"/>
      <c r="OYM134" s="64"/>
      <c r="OYN134" s="64"/>
      <c r="OYO134" s="64"/>
      <c r="OYP134" s="64"/>
      <c r="OYQ134" s="64"/>
      <c r="OYR134" s="64"/>
      <c r="OYS134" s="64"/>
      <c r="OYT134" s="64"/>
      <c r="OYU134" s="64"/>
      <c r="OYV134" s="64"/>
      <c r="OYW134" s="64"/>
      <c r="OYX134" s="64"/>
      <c r="OYY134" s="64"/>
      <c r="OYZ134" s="64"/>
      <c r="OZA134" s="64"/>
      <c r="OZB134" s="64"/>
      <c r="OZC134" s="64"/>
      <c r="OZD134" s="64"/>
      <c r="OZE134" s="64"/>
      <c r="OZF134" s="64"/>
      <c r="OZG134" s="64"/>
      <c r="OZH134" s="64"/>
      <c r="OZI134" s="64"/>
      <c r="OZJ134" s="64"/>
      <c r="OZK134" s="64"/>
      <c r="OZL134" s="64"/>
      <c r="OZM134" s="64"/>
      <c r="OZN134" s="64"/>
      <c r="OZO134" s="64"/>
      <c r="OZP134" s="64"/>
      <c r="OZQ134" s="64"/>
      <c r="OZR134" s="64"/>
      <c r="OZS134" s="64"/>
      <c r="OZT134" s="64"/>
      <c r="OZU134" s="64"/>
      <c r="OZV134" s="64"/>
      <c r="OZW134" s="64"/>
      <c r="OZX134" s="64"/>
      <c r="OZY134" s="64"/>
      <c r="OZZ134" s="64"/>
      <c r="PAA134" s="64"/>
      <c r="PAB134" s="64"/>
      <c r="PAC134" s="64"/>
      <c r="PAD134" s="64"/>
      <c r="PAE134" s="64"/>
      <c r="PAF134" s="64"/>
      <c r="PAG134" s="64"/>
      <c r="PAH134" s="64"/>
      <c r="PAI134" s="64"/>
      <c r="PAJ134" s="64"/>
      <c r="PAK134" s="64"/>
      <c r="PAL134" s="64"/>
      <c r="PAM134" s="64"/>
      <c r="PAN134" s="64"/>
      <c r="PAO134" s="64"/>
      <c r="PAP134" s="64"/>
      <c r="PAQ134" s="64"/>
      <c r="PAR134" s="64"/>
      <c r="PAS134" s="64"/>
      <c r="PAT134" s="64"/>
      <c r="PAU134" s="64"/>
      <c r="PAV134" s="64"/>
      <c r="PAW134" s="64"/>
      <c r="PAX134" s="64"/>
      <c r="PAY134" s="64"/>
      <c r="PAZ134" s="64"/>
      <c r="PBA134" s="64"/>
      <c r="PBB134" s="64"/>
      <c r="PBC134" s="64"/>
      <c r="PBD134" s="64"/>
      <c r="PBE134" s="64"/>
      <c r="PBF134" s="64"/>
      <c r="PBG134" s="64"/>
      <c r="PBH134" s="64"/>
      <c r="PBI134" s="64"/>
      <c r="PBJ134" s="64"/>
      <c r="PBK134" s="64"/>
      <c r="PBL134" s="64"/>
      <c r="PBM134" s="64"/>
      <c r="PBN134" s="64"/>
      <c r="PBO134" s="64"/>
      <c r="PBP134" s="64"/>
      <c r="PBQ134" s="64"/>
      <c r="PBR134" s="64"/>
      <c r="PBS134" s="64"/>
      <c r="PBT134" s="64"/>
      <c r="PBU134" s="64"/>
      <c r="PBV134" s="64"/>
      <c r="PBW134" s="64"/>
      <c r="PBX134" s="64"/>
      <c r="PBY134" s="64"/>
      <c r="PBZ134" s="64"/>
      <c r="PCA134" s="64"/>
      <c r="PCB134" s="64"/>
      <c r="PCC134" s="64"/>
      <c r="PCD134" s="64"/>
      <c r="PCE134" s="64"/>
      <c r="PCF134" s="64"/>
      <c r="PCG134" s="64"/>
      <c r="PCH134" s="64"/>
      <c r="PCI134" s="64"/>
      <c r="PCJ134" s="64"/>
      <c r="PCK134" s="64"/>
      <c r="PCL134" s="64"/>
      <c r="PCM134" s="64"/>
      <c r="PCN134" s="64"/>
      <c r="PCO134" s="64"/>
      <c r="PCP134" s="64"/>
      <c r="PCQ134" s="64"/>
      <c r="PCR134" s="64"/>
      <c r="PCS134" s="64"/>
      <c r="PCT134" s="64"/>
      <c r="PCU134" s="64"/>
      <c r="PCV134" s="64"/>
      <c r="PCW134" s="64"/>
      <c r="PCX134" s="64"/>
      <c r="PCY134" s="64"/>
      <c r="PCZ134" s="64"/>
      <c r="PDA134" s="64"/>
      <c r="PDB134" s="64"/>
      <c r="PDC134" s="64"/>
      <c r="PDD134" s="64"/>
      <c r="PDE134" s="64"/>
      <c r="PDF134" s="64"/>
      <c r="PDG134" s="64"/>
      <c r="PDH134" s="64"/>
      <c r="PDI134" s="64"/>
      <c r="PDJ134" s="64"/>
      <c r="PDK134" s="64"/>
      <c r="PDL134" s="64"/>
      <c r="PDM134" s="64"/>
      <c r="PDN134" s="64"/>
      <c r="PDO134" s="64"/>
      <c r="PDP134" s="64"/>
      <c r="PDQ134" s="64"/>
      <c r="PDR134" s="64"/>
      <c r="PDS134" s="64"/>
      <c r="PDT134" s="64"/>
      <c r="PDU134" s="64"/>
      <c r="PDV134" s="64"/>
      <c r="PDW134" s="64"/>
      <c r="PDX134" s="64"/>
      <c r="PDY134" s="64"/>
      <c r="PDZ134" s="64"/>
      <c r="PEA134" s="64"/>
      <c r="PEB134" s="64"/>
      <c r="PEC134" s="64"/>
      <c r="PED134" s="64"/>
      <c r="PEE134" s="64"/>
      <c r="PEF134" s="64"/>
      <c r="PEG134" s="64"/>
      <c r="PEH134" s="64"/>
      <c r="PEI134" s="64"/>
      <c r="PEJ134" s="64"/>
      <c r="PEK134" s="64"/>
      <c r="PEL134" s="64"/>
      <c r="PEM134" s="64"/>
      <c r="PEN134" s="64"/>
      <c r="PEO134" s="64"/>
      <c r="PEP134" s="64"/>
      <c r="PEQ134" s="64"/>
      <c r="PER134" s="64"/>
      <c r="PES134" s="64"/>
      <c r="PET134" s="64"/>
      <c r="PEU134" s="64"/>
      <c r="PEV134" s="64"/>
      <c r="PEW134" s="64"/>
      <c r="PEX134" s="64"/>
      <c r="PEY134" s="64"/>
      <c r="PEZ134" s="64"/>
      <c r="PFA134" s="64"/>
      <c r="PFB134" s="64"/>
      <c r="PFC134" s="64"/>
      <c r="PFD134" s="64"/>
      <c r="PFE134" s="64"/>
      <c r="PFF134" s="64"/>
      <c r="PFG134" s="64"/>
      <c r="PFH134" s="64"/>
      <c r="PFI134" s="64"/>
      <c r="PFJ134" s="64"/>
      <c r="PFK134" s="64"/>
      <c r="PFL134" s="64"/>
      <c r="PFM134" s="64"/>
      <c r="PFN134" s="64"/>
      <c r="PFO134" s="64"/>
      <c r="PFP134" s="64"/>
      <c r="PFQ134" s="64"/>
      <c r="PFR134" s="64"/>
      <c r="PFS134" s="64"/>
      <c r="PFT134" s="64"/>
      <c r="PFU134" s="64"/>
      <c r="PFV134" s="64"/>
      <c r="PFW134" s="64"/>
      <c r="PFX134" s="64"/>
      <c r="PFY134" s="64"/>
      <c r="PFZ134" s="64"/>
      <c r="PGA134" s="64"/>
      <c r="PGB134" s="64"/>
      <c r="PGC134" s="64"/>
      <c r="PGD134" s="64"/>
      <c r="PGE134" s="64"/>
      <c r="PGF134" s="64"/>
      <c r="PGG134" s="64"/>
      <c r="PGH134" s="64"/>
      <c r="PGI134" s="64"/>
      <c r="PGJ134" s="64"/>
      <c r="PGK134" s="64"/>
      <c r="PGL134" s="64"/>
      <c r="PGM134" s="64"/>
      <c r="PGN134" s="64"/>
      <c r="PGO134" s="64"/>
      <c r="PGP134" s="64"/>
      <c r="PGQ134" s="64"/>
      <c r="PGR134" s="64"/>
      <c r="PGS134" s="64"/>
      <c r="PGT134" s="64"/>
      <c r="PGU134" s="64"/>
      <c r="PGV134" s="64"/>
      <c r="PGW134" s="64"/>
      <c r="PGX134" s="64"/>
      <c r="PGY134" s="64"/>
      <c r="PGZ134" s="64"/>
      <c r="PHA134" s="64"/>
      <c r="PHB134" s="64"/>
      <c r="PHC134" s="64"/>
      <c r="PHD134" s="64"/>
      <c r="PHE134" s="64"/>
      <c r="PHF134" s="64"/>
      <c r="PHG134" s="64"/>
      <c r="PHH134" s="64"/>
      <c r="PHI134" s="64"/>
      <c r="PHJ134" s="64"/>
      <c r="PHK134" s="64"/>
      <c r="PHL134" s="64"/>
      <c r="PHM134" s="64"/>
      <c r="PHN134" s="64"/>
      <c r="PHO134" s="64"/>
      <c r="PHP134" s="64"/>
      <c r="PHQ134" s="64"/>
      <c r="PHR134" s="64"/>
      <c r="PHS134" s="64"/>
      <c r="PHT134" s="64"/>
      <c r="PHU134" s="64"/>
      <c r="PHV134" s="64"/>
      <c r="PHW134" s="64"/>
      <c r="PHX134" s="64"/>
      <c r="PHY134" s="64"/>
      <c r="PHZ134" s="64"/>
      <c r="PIA134" s="64"/>
      <c r="PIB134" s="64"/>
      <c r="PIC134" s="64"/>
      <c r="PID134" s="64"/>
      <c r="PIE134" s="64"/>
      <c r="PIF134" s="64"/>
      <c r="PIG134" s="64"/>
      <c r="PIH134" s="64"/>
      <c r="PII134" s="64"/>
      <c r="PIJ134" s="64"/>
      <c r="PIK134" s="64"/>
      <c r="PIL134" s="64"/>
      <c r="PIM134" s="64"/>
      <c r="PIN134" s="64"/>
      <c r="PIO134" s="64"/>
      <c r="PIP134" s="64"/>
      <c r="PIQ134" s="64"/>
      <c r="PIR134" s="64"/>
      <c r="PIS134" s="64"/>
      <c r="PIT134" s="64"/>
      <c r="PIU134" s="64"/>
      <c r="PIV134" s="64"/>
      <c r="PIW134" s="64"/>
      <c r="PIX134" s="64"/>
      <c r="PIY134" s="64"/>
      <c r="PIZ134" s="64"/>
      <c r="PJA134" s="64"/>
      <c r="PJB134" s="64"/>
      <c r="PJC134" s="64"/>
      <c r="PJD134" s="64"/>
      <c r="PJE134" s="64"/>
      <c r="PJF134" s="64"/>
      <c r="PJG134" s="64"/>
      <c r="PJH134" s="64"/>
      <c r="PJI134" s="64"/>
      <c r="PJJ134" s="64"/>
      <c r="PJK134" s="64"/>
      <c r="PJL134" s="64"/>
      <c r="PJM134" s="64"/>
      <c r="PJN134" s="64"/>
      <c r="PJO134" s="64"/>
      <c r="PJP134" s="64"/>
      <c r="PJQ134" s="64"/>
      <c r="PJR134" s="64"/>
      <c r="PJS134" s="64"/>
      <c r="PJT134" s="64"/>
      <c r="PJU134" s="64"/>
      <c r="PJV134" s="64"/>
      <c r="PJW134" s="64"/>
      <c r="PJX134" s="64"/>
      <c r="PJY134" s="64"/>
      <c r="PJZ134" s="64"/>
      <c r="PKA134" s="64"/>
      <c r="PKB134" s="64"/>
      <c r="PKC134" s="64"/>
      <c r="PKD134" s="64"/>
      <c r="PKE134" s="64"/>
      <c r="PKF134" s="64"/>
      <c r="PKG134" s="64"/>
      <c r="PKH134" s="64"/>
      <c r="PKI134" s="64"/>
      <c r="PKJ134" s="64"/>
      <c r="PKK134" s="64"/>
      <c r="PKL134" s="64"/>
      <c r="PKM134" s="64"/>
      <c r="PKN134" s="64"/>
      <c r="PKO134" s="64"/>
      <c r="PKP134" s="64"/>
      <c r="PKQ134" s="64"/>
      <c r="PKR134" s="64"/>
      <c r="PKS134" s="64"/>
      <c r="PKT134" s="64"/>
      <c r="PKU134" s="64"/>
      <c r="PKV134" s="64"/>
      <c r="PKW134" s="64"/>
      <c r="PKX134" s="64"/>
      <c r="PKY134" s="64"/>
      <c r="PKZ134" s="64"/>
      <c r="PLA134" s="64"/>
      <c r="PLB134" s="64"/>
      <c r="PLC134" s="64"/>
      <c r="PLD134" s="64"/>
      <c r="PLE134" s="64"/>
      <c r="PLF134" s="64"/>
      <c r="PLG134" s="64"/>
      <c r="PLH134" s="64"/>
      <c r="PLI134" s="64"/>
      <c r="PLJ134" s="64"/>
      <c r="PLK134" s="64"/>
      <c r="PLL134" s="64"/>
      <c r="PLM134" s="64"/>
      <c r="PLN134" s="64"/>
      <c r="PLO134" s="64"/>
      <c r="PLP134" s="64"/>
      <c r="PLQ134" s="64"/>
      <c r="PLR134" s="64"/>
      <c r="PLS134" s="64"/>
      <c r="PLT134" s="64"/>
      <c r="PLU134" s="64"/>
      <c r="PLV134" s="64"/>
      <c r="PLW134" s="64"/>
      <c r="PLX134" s="64"/>
      <c r="PLY134" s="64"/>
      <c r="PLZ134" s="64"/>
      <c r="PMA134" s="64"/>
      <c r="PMB134" s="64"/>
      <c r="PMC134" s="64"/>
      <c r="PMD134" s="64"/>
      <c r="PME134" s="64"/>
      <c r="PMF134" s="64"/>
      <c r="PMG134" s="64"/>
      <c r="PMH134" s="64"/>
      <c r="PMI134" s="64"/>
      <c r="PMJ134" s="64"/>
      <c r="PMK134" s="64"/>
      <c r="PML134" s="64"/>
      <c r="PMM134" s="64"/>
      <c r="PMN134" s="64"/>
      <c r="PMO134" s="64"/>
      <c r="PMP134" s="64"/>
      <c r="PMQ134" s="64"/>
      <c r="PMR134" s="64"/>
      <c r="PMS134" s="64"/>
      <c r="PMT134" s="64"/>
      <c r="PMU134" s="64"/>
      <c r="PMV134" s="64"/>
      <c r="PMW134" s="64"/>
      <c r="PMX134" s="64"/>
      <c r="PMY134" s="64"/>
      <c r="PMZ134" s="64"/>
      <c r="PNA134" s="64"/>
      <c r="PNB134" s="64"/>
      <c r="PNC134" s="64"/>
      <c r="PND134" s="64"/>
      <c r="PNE134" s="64"/>
      <c r="PNF134" s="64"/>
      <c r="PNG134" s="64"/>
      <c r="PNH134" s="64"/>
      <c r="PNI134" s="64"/>
      <c r="PNJ134" s="64"/>
      <c r="PNK134" s="64"/>
      <c r="PNL134" s="64"/>
      <c r="PNM134" s="64"/>
      <c r="PNN134" s="64"/>
      <c r="PNO134" s="64"/>
      <c r="PNP134" s="64"/>
      <c r="PNQ134" s="64"/>
      <c r="PNR134" s="64"/>
      <c r="PNS134" s="64"/>
      <c r="PNT134" s="64"/>
      <c r="PNU134" s="64"/>
      <c r="PNV134" s="64"/>
      <c r="PNW134" s="64"/>
      <c r="PNX134" s="64"/>
      <c r="PNY134" s="64"/>
      <c r="PNZ134" s="64"/>
      <c r="POA134" s="64"/>
      <c r="POB134" s="64"/>
      <c r="POC134" s="64"/>
      <c r="POD134" s="64"/>
      <c r="POE134" s="64"/>
      <c r="POF134" s="64"/>
      <c r="POG134" s="64"/>
      <c r="POH134" s="64"/>
      <c r="POI134" s="64"/>
      <c r="POJ134" s="64"/>
      <c r="POK134" s="64"/>
      <c r="POL134" s="64"/>
      <c r="POM134" s="64"/>
      <c r="PON134" s="64"/>
      <c r="POO134" s="64"/>
      <c r="POP134" s="64"/>
      <c r="POQ134" s="64"/>
      <c r="POR134" s="64"/>
      <c r="POS134" s="64"/>
      <c r="POT134" s="64"/>
      <c r="POU134" s="64"/>
      <c r="POV134" s="64"/>
      <c r="POW134" s="64"/>
      <c r="POX134" s="64"/>
      <c r="POY134" s="64"/>
      <c r="POZ134" s="64"/>
      <c r="PPA134" s="64"/>
      <c r="PPB134" s="64"/>
      <c r="PPC134" s="64"/>
      <c r="PPD134" s="64"/>
      <c r="PPE134" s="64"/>
      <c r="PPF134" s="64"/>
      <c r="PPG134" s="64"/>
      <c r="PPH134" s="64"/>
      <c r="PPI134" s="64"/>
      <c r="PPJ134" s="64"/>
      <c r="PPK134" s="64"/>
      <c r="PPL134" s="64"/>
      <c r="PPM134" s="64"/>
      <c r="PPN134" s="64"/>
      <c r="PPO134" s="64"/>
      <c r="PPP134" s="64"/>
      <c r="PPQ134" s="64"/>
      <c r="PPR134" s="64"/>
      <c r="PPS134" s="64"/>
      <c r="PPT134" s="64"/>
      <c r="PPU134" s="64"/>
      <c r="PPV134" s="64"/>
      <c r="PPW134" s="64"/>
      <c r="PPX134" s="64"/>
      <c r="PPY134" s="64"/>
      <c r="PPZ134" s="64"/>
      <c r="PQA134" s="64"/>
      <c r="PQB134" s="64"/>
      <c r="PQC134" s="64"/>
      <c r="PQD134" s="64"/>
      <c r="PQE134" s="64"/>
      <c r="PQF134" s="64"/>
      <c r="PQG134" s="64"/>
      <c r="PQH134" s="64"/>
      <c r="PQI134" s="64"/>
      <c r="PQJ134" s="64"/>
      <c r="PQK134" s="64"/>
      <c r="PQL134" s="64"/>
      <c r="PQM134" s="64"/>
      <c r="PQN134" s="64"/>
      <c r="PQO134" s="64"/>
      <c r="PQP134" s="64"/>
      <c r="PQQ134" s="64"/>
      <c r="PQR134" s="64"/>
      <c r="PQS134" s="64"/>
      <c r="PQT134" s="64"/>
      <c r="PQU134" s="64"/>
      <c r="PQV134" s="64"/>
      <c r="PQW134" s="64"/>
      <c r="PQX134" s="64"/>
      <c r="PQY134" s="64"/>
      <c r="PQZ134" s="64"/>
      <c r="PRA134" s="64"/>
      <c r="PRB134" s="64"/>
      <c r="PRC134" s="64"/>
      <c r="PRD134" s="64"/>
      <c r="PRE134" s="64"/>
      <c r="PRF134" s="64"/>
      <c r="PRG134" s="64"/>
      <c r="PRH134" s="64"/>
      <c r="PRI134" s="64"/>
      <c r="PRJ134" s="64"/>
      <c r="PRK134" s="64"/>
      <c r="PRL134" s="64"/>
      <c r="PRM134" s="64"/>
      <c r="PRN134" s="64"/>
      <c r="PRO134" s="64"/>
      <c r="PRP134" s="64"/>
      <c r="PRQ134" s="64"/>
      <c r="PRR134" s="64"/>
      <c r="PRS134" s="64"/>
      <c r="PRT134" s="64"/>
      <c r="PRU134" s="64"/>
      <c r="PRV134" s="64"/>
      <c r="PRW134" s="64"/>
      <c r="PRX134" s="64"/>
      <c r="PRY134" s="64"/>
      <c r="PRZ134" s="64"/>
      <c r="PSA134" s="64"/>
      <c r="PSB134" s="64"/>
      <c r="PSC134" s="64"/>
      <c r="PSD134" s="64"/>
      <c r="PSE134" s="64"/>
      <c r="PSF134" s="64"/>
      <c r="PSG134" s="64"/>
      <c r="PSH134" s="64"/>
      <c r="PSI134" s="64"/>
      <c r="PSJ134" s="64"/>
      <c r="PSK134" s="64"/>
      <c r="PSL134" s="64"/>
      <c r="PSM134" s="64"/>
      <c r="PSN134" s="64"/>
      <c r="PSO134" s="64"/>
      <c r="PSP134" s="64"/>
      <c r="PSQ134" s="64"/>
      <c r="PSR134" s="64"/>
      <c r="PSS134" s="64"/>
      <c r="PST134" s="64"/>
      <c r="PSU134" s="64"/>
      <c r="PSV134" s="64"/>
      <c r="PSW134" s="64"/>
      <c r="PSX134" s="64"/>
      <c r="PSY134" s="64"/>
      <c r="PSZ134" s="64"/>
      <c r="PTA134" s="64"/>
      <c r="PTB134" s="64"/>
      <c r="PTC134" s="64"/>
      <c r="PTD134" s="64"/>
      <c r="PTE134" s="64"/>
      <c r="PTF134" s="64"/>
      <c r="PTG134" s="64"/>
      <c r="PTH134" s="64"/>
      <c r="PTI134" s="64"/>
      <c r="PTJ134" s="64"/>
      <c r="PTK134" s="64"/>
      <c r="PTL134" s="64"/>
      <c r="PTM134" s="64"/>
      <c r="PTN134" s="64"/>
      <c r="PTO134" s="64"/>
      <c r="PTP134" s="64"/>
      <c r="PTQ134" s="64"/>
      <c r="PTR134" s="64"/>
      <c r="PTS134" s="64"/>
      <c r="PTT134" s="64"/>
      <c r="PTU134" s="64"/>
      <c r="PTV134" s="64"/>
      <c r="PTW134" s="64"/>
      <c r="PTX134" s="64"/>
      <c r="PTY134" s="64"/>
      <c r="PTZ134" s="64"/>
      <c r="PUA134" s="64"/>
      <c r="PUB134" s="64"/>
      <c r="PUC134" s="64"/>
      <c r="PUD134" s="64"/>
      <c r="PUE134" s="64"/>
      <c r="PUF134" s="64"/>
      <c r="PUG134" s="64"/>
      <c r="PUH134" s="64"/>
      <c r="PUI134" s="64"/>
      <c r="PUJ134" s="64"/>
      <c r="PUK134" s="64"/>
      <c r="PUL134" s="64"/>
      <c r="PUM134" s="64"/>
      <c r="PUN134" s="64"/>
      <c r="PUO134" s="64"/>
      <c r="PUP134" s="64"/>
      <c r="PUQ134" s="64"/>
      <c r="PUR134" s="64"/>
      <c r="PUS134" s="64"/>
      <c r="PUT134" s="64"/>
      <c r="PUU134" s="64"/>
      <c r="PUV134" s="64"/>
      <c r="PUW134" s="64"/>
      <c r="PUX134" s="64"/>
      <c r="PUY134" s="64"/>
      <c r="PUZ134" s="64"/>
      <c r="PVA134" s="64"/>
      <c r="PVB134" s="64"/>
      <c r="PVC134" s="64"/>
      <c r="PVD134" s="64"/>
      <c r="PVE134" s="64"/>
      <c r="PVF134" s="64"/>
      <c r="PVG134" s="64"/>
      <c r="PVH134" s="64"/>
      <c r="PVI134" s="64"/>
      <c r="PVJ134" s="64"/>
      <c r="PVK134" s="64"/>
      <c r="PVL134" s="64"/>
      <c r="PVM134" s="64"/>
      <c r="PVN134" s="64"/>
      <c r="PVO134" s="64"/>
      <c r="PVP134" s="64"/>
      <c r="PVQ134" s="64"/>
      <c r="PVR134" s="64"/>
      <c r="PVS134" s="64"/>
      <c r="PVT134" s="64"/>
      <c r="PVU134" s="64"/>
      <c r="PVV134" s="64"/>
      <c r="PVW134" s="64"/>
      <c r="PVX134" s="64"/>
      <c r="PVY134" s="64"/>
      <c r="PVZ134" s="64"/>
      <c r="PWA134" s="64"/>
      <c r="PWB134" s="64"/>
      <c r="PWC134" s="64"/>
      <c r="PWD134" s="64"/>
      <c r="PWE134" s="64"/>
      <c r="PWF134" s="64"/>
      <c r="PWG134" s="64"/>
      <c r="PWH134" s="64"/>
      <c r="PWI134" s="64"/>
      <c r="PWJ134" s="64"/>
      <c r="PWK134" s="64"/>
      <c r="PWL134" s="64"/>
      <c r="PWM134" s="64"/>
      <c r="PWN134" s="64"/>
      <c r="PWO134" s="64"/>
      <c r="PWP134" s="64"/>
      <c r="PWQ134" s="64"/>
      <c r="PWR134" s="64"/>
      <c r="PWS134" s="64"/>
      <c r="PWT134" s="64"/>
      <c r="PWU134" s="64"/>
      <c r="PWV134" s="64"/>
      <c r="PWW134" s="64"/>
      <c r="PWX134" s="64"/>
      <c r="PWY134" s="64"/>
      <c r="PWZ134" s="64"/>
      <c r="PXA134" s="64"/>
      <c r="PXB134" s="64"/>
      <c r="PXC134" s="64"/>
      <c r="PXD134" s="64"/>
      <c r="PXE134" s="64"/>
      <c r="PXF134" s="64"/>
      <c r="PXG134" s="64"/>
      <c r="PXH134" s="64"/>
      <c r="PXI134" s="64"/>
      <c r="PXJ134" s="64"/>
      <c r="PXK134" s="64"/>
      <c r="PXL134" s="64"/>
      <c r="PXM134" s="64"/>
      <c r="PXN134" s="64"/>
      <c r="PXO134" s="64"/>
      <c r="PXP134" s="64"/>
      <c r="PXQ134" s="64"/>
      <c r="PXR134" s="64"/>
      <c r="PXS134" s="64"/>
      <c r="PXT134" s="64"/>
      <c r="PXU134" s="64"/>
      <c r="PXV134" s="64"/>
      <c r="PXW134" s="64"/>
      <c r="PXX134" s="64"/>
      <c r="PXY134" s="64"/>
      <c r="PXZ134" s="64"/>
      <c r="PYA134" s="64"/>
      <c r="PYB134" s="64"/>
      <c r="PYC134" s="64"/>
      <c r="PYD134" s="64"/>
      <c r="PYE134" s="64"/>
      <c r="PYF134" s="64"/>
      <c r="PYG134" s="64"/>
      <c r="PYH134" s="64"/>
      <c r="PYI134" s="64"/>
      <c r="PYJ134" s="64"/>
      <c r="PYK134" s="64"/>
      <c r="PYL134" s="64"/>
      <c r="PYM134" s="64"/>
      <c r="PYN134" s="64"/>
      <c r="PYO134" s="64"/>
      <c r="PYP134" s="64"/>
      <c r="PYQ134" s="64"/>
      <c r="PYR134" s="64"/>
      <c r="PYS134" s="64"/>
      <c r="PYT134" s="64"/>
      <c r="PYU134" s="64"/>
      <c r="PYV134" s="64"/>
      <c r="PYW134" s="64"/>
      <c r="PYX134" s="64"/>
      <c r="PYY134" s="64"/>
      <c r="PYZ134" s="64"/>
      <c r="PZA134" s="64"/>
      <c r="PZB134" s="64"/>
      <c r="PZC134" s="64"/>
      <c r="PZD134" s="64"/>
      <c r="PZE134" s="64"/>
      <c r="PZF134" s="64"/>
      <c r="PZG134" s="64"/>
      <c r="PZH134" s="64"/>
      <c r="PZI134" s="64"/>
      <c r="PZJ134" s="64"/>
      <c r="PZK134" s="64"/>
      <c r="PZL134" s="64"/>
      <c r="PZM134" s="64"/>
      <c r="PZN134" s="64"/>
      <c r="PZO134" s="64"/>
      <c r="PZP134" s="64"/>
      <c r="PZQ134" s="64"/>
      <c r="PZR134" s="64"/>
      <c r="PZS134" s="64"/>
      <c r="PZT134" s="64"/>
      <c r="PZU134" s="64"/>
      <c r="PZV134" s="64"/>
      <c r="PZW134" s="64"/>
      <c r="PZX134" s="64"/>
      <c r="PZY134" s="64"/>
      <c r="PZZ134" s="64"/>
      <c r="QAA134" s="64"/>
      <c r="QAB134" s="64"/>
      <c r="QAC134" s="64"/>
      <c r="QAD134" s="64"/>
      <c r="QAE134" s="64"/>
      <c r="QAF134" s="64"/>
      <c r="QAG134" s="64"/>
      <c r="QAH134" s="64"/>
      <c r="QAI134" s="64"/>
      <c r="QAJ134" s="64"/>
      <c r="QAK134" s="64"/>
      <c r="QAL134" s="64"/>
      <c r="QAM134" s="64"/>
      <c r="QAN134" s="64"/>
      <c r="QAO134" s="64"/>
      <c r="QAP134" s="64"/>
      <c r="QAQ134" s="64"/>
      <c r="QAR134" s="64"/>
      <c r="QAS134" s="64"/>
      <c r="QAT134" s="64"/>
      <c r="QAU134" s="64"/>
      <c r="QAV134" s="64"/>
      <c r="QAW134" s="64"/>
      <c r="QAX134" s="64"/>
      <c r="QAY134" s="64"/>
      <c r="QAZ134" s="64"/>
      <c r="QBA134" s="64"/>
      <c r="QBB134" s="64"/>
      <c r="QBC134" s="64"/>
      <c r="QBD134" s="64"/>
      <c r="QBE134" s="64"/>
      <c r="QBF134" s="64"/>
      <c r="QBG134" s="64"/>
      <c r="QBH134" s="64"/>
      <c r="QBI134" s="64"/>
      <c r="QBJ134" s="64"/>
      <c r="QBK134" s="64"/>
      <c r="QBL134" s="64"/>
      <c r="QBM134" s="64"/>
      <c r="QBN134" s="64"/>
      <c r="QBO134" s="64"/>
      <c r="QBP134" s="64"/>
      <c r="QBQ134" s="64"/>
      <c r="QBR134" s="64"/>
      <c r="QBS134" s="64"/>
      <c r="QBT134" s="64"/>
      <c r="QBU134" s="64"/>
      <c r="QBV134" s="64"/>
      <c r="QBW134" s="64"/>
      <c r="QBX134" s="64"/>
      <c r="QBY134" s="64"/>
      <c r="QBZ134" s="64"/>
      <c r="QCA134" s="64"/>
      <c r="QCB134" s="64"/>
      <c r="QCC134" s="64"/>
      <c r="QCD134" s="64"/>
      <c r="QCE134" s="64"/>
      <c r="QCF134" s="64"/>
      <c r="QCG134" s="64"/>
      <c r="QCH134" s="64"/>
      <c r="QCI134" s="64"/>
      <c r="QCJ134" s="64"/>
      <c r="QCK134" s="64"/>
      <c r="QCL134" s="64"/>
      <c r="QCM134" s="64"/>
      <c r="QCN134" s="64"/>
      <c r="QCO134" s="64"/>
      <c r="QCP134" s="64"/>
      <c r="QCQ134" s="64"/>
      <c r="QCR134" s="64"/>
      <c r="QCS134" s="64"/>
      <c r="QCT134" s="64"/>
      <c r="QCU134" s="64"/>
      <c r="QCV134" s="64"/>
      <c r="QCW134" s="64"/>
      <c r="QCX134" s="64"/>
      <c r="QCY134" s="64"/>
      <c r="QCZ134" s="64"/>
      <c r="QDA134" s="64"/>
      <c r="QDB134" s="64"/>
      <c r="QDC134" s="64"/>
      <c r="QDD134" s="64"/>
      <c r="QDE134" s="64"/>
      <c r="QDF134" s="64"/>
      <c r="QDG134" s="64"/>
      <c r="QDH134" s="64"/>
      <c r="QDI134" s="64"/>
      <c r="QDJ134" s="64"/>
      <c r="QDK134" s="64"/>
      <c r="QDL134" s="64"/>
      <c r="QDM134" s="64"/>
      <c r="QDN134" s="64"/>
      <c r="QDO134" s="64"/>
      <c r="QDP134" s="64"/>
      <c r="QDQ134" s="64"/>
      <c r="QDR134" s="64"/>
      <c r="QDS134" s="64"/>
      <c r="QDT134" s="64"/>
      <c r="QDU134" s="64"/>
      <c r="QDV134" s="64"/>
      <c r="QDW134" s="64"/>
      <c r="QDX134" s="64"/>
      <c r="QDY134" s="64"/>
      <c r="QDZ134" s="64"/>
      <c r="QEA134" s="64"/>
      <c r="QEB134" s="64"/>
      <c r="QEC134" s="64"/>
      <c r="QED134" s="64"/>
      <c r="QEE134" s="64"/>
      <c r="QEF134" s="64"/>
      <c r="QEG134" s="64"/>
      <c r="QEH134" s="64"/>
      <c r="QEI134" s="64"/>
      <c r="QEJ134" s="64"/>
      <c r="QEK134" s="64"/>
      <c r="QEL134" s="64"/>
      <c r="QEM134" s="64"/>
      <c r="QEN134" s="64"/>
      <c r="QEO134" s="64"/>
      <c r="QEP134" s="64"/>
      <c r="QEQ134" s="64"/>
      <c r="QER134" s="64"/>
      <c r="QES134" s="64"/>
      <c r="QET134" s="64"/>
      <c r="QEU134" s="64"/>
      <c r="QEV134" s="64"/>
      <c r="QEW134" s="64"/>
      <c r="QEX134" s="64"/>
      <c r="QEY134" s="64"/>
      <c r="QEZ134" s="64"/>
      <c r="QFA134" s="64"/>
      <c r="QFB134" s="64"/>
      <c r="QFC134" s="64"/>
      <c r="QFD134" s="64"/>
      <c r="QFE134" s="64"/>
      <c r="QFF134" s="64"/>
      <c r="QFG134" s="64"/>
      <c r="QFH134" s="64"/>
      <c r="QFI134" s="64"/>
      <c r="QFJ134" s="64"/>
      <c r="QFK134" s="64"/>
      <c r="QFL134" s="64"/>
      <c r="QFM134" s="64"/>
      <c r="QFN134" s="64"/>
      <c r="QFO134" s="64"/>
      <c r="QFP134" s="64"/>
      <c r="QFQ134" s="64"/>
      <c r="QFR134" s="64"/>
      <c r="QFS134" s="64"/>
      <c r="QFT134" s="64"/>
      <c r="QFU134" s="64"/>
      <c r="QFV134" s="64"/>
      <c r="QFW134" s="64"/>
      <c r="QFX134" s="64"/>
      <c r="QFY134" s="64"/>
      <c r="QFZ134" s="64"/>
      <c r="QGA134" s="64"/>
      <c r="QGB134" s="64"/>
      <c r="QGC134" s="64"/>
      <c r="QGD134" s="64"/>
      <c r="QGE134" s="64"/>
      <c r="QGF134" s="64"/>
      <c r="QGG134" s="64"/>
      <c r="QGH134" s="64"/>
      <c r="QGI134" s="64"/>
      <c r="QGJ134" s="64"/>
      <c r="QGK134" s="64"/>
      <c r="QGL134" s="64"/>
      <c r="QGM134" s="64"/>
      <c r="QGN134" s="64"/>
      <c r="QGO134" s="64"/>
      <c r="QGP134" s="64"/>
      <c r="QGQ134" s="64"/>
      <c r="QGR134" s="64"/>
      <c r="QGS134" s="64"/>
      <c r="QGT134" s="64"/>
      <c r="QGU134" s="64"/>
      <c r="QGV134" s="64"/>
      <c r="QGW134" s="64"/>
      <c r="QGX134" s="64"/>
      <c r="QGY134" s="64"/>
      <c r="QGZ134" s="64"/>
      <c r="QHA134" s="64"/>
      <c r="QHB134" s="64"/>
      <c r="QHC134" s="64"/>
      <c r="QHD134" s="64"/>
      <c r="QHE134" s="64"/>
      <c r="QHF134" s="64"/>
      <c r="QHG134" s="64"/>
      <c r="QHH134" s="64"/>
      <c r="QHI134" s="64"/>
      <c r="QHJ134" s="64"/>
      <c r="QHK134" s="64"/>
      <c r="QHL134" s="64"/>
      <c r="QHM134" s="64"/>
      <c r="QHN134" s="64"/>
      <c r="QHO134" s="64"/>
      <c r="QHP134" s="64"/>
      <c r="QHQ134" s="64"/>
      <c r="QHR134" s="64"/>
      <c r="QHS134" s="64"/>
      <c r="QHT134" s="64"/>
      <c r="QHU134" s="64"/>
      <c r="QHV134" s="64"/>
      <c r="QHW134" s="64"/>
      <c r="QHX134" s="64"/>
      <c r="QHY134" s="64"/>
      <c r="QHZ134" s="64"/>
      <c r="QIA134" s="64"/>
      <c r="QIB134" s="64"/>
      <c r="QIC134" s="64"/>
      <c r="QID134" s="64"/>
      <c r="QIE134" s="64"/>
      <c r="QIF134" s="64"/>
      <c r="QIG134" s="64"/>
      <c r="QIH134" s="64"/>
      <c r="QII134" s="64"/>
      <c r="QIJ134" s="64"/>
      <c r="QIK134" s="64"/>
      <c r="QIL134" s="64"/>
      <c r="QIM134" s="64"/>
      <c r="QIN134" s="64"/>
      <c r="QIO134" s="64"/>
      <c r="QIP134" s="64"/>
      <c r="QIQ134" s="64"/>
      <c r="QIR134" s="64"/>
      <c r="QIS134" s="64"/>
      <c r="QIT134" s="64"/>
      <c r="QIU134" s="64"/>
      <c r="QIV134" s="64"/>
      <c r="QIW134" s="64"/>
      <c r="QIX134" s="64"/>
      <c r="QIY134" s="64"/>
      <c r="QIZ134" s="64"/>
      <c r="QJA134" s="64"/>
      <c r="QJB134" s="64"/>
      <c r="QJC134" s="64"/>
      <c r="QJD134" s="64"/>
      <c r="QJE134" s="64"/>
      <c r="QJF134" s="64"/>
      <c r="QJG134" s="64"/>
      <c r="QJH134" s="64"/>
      <c r="QJI134" s="64"/>
      <c r="QJJ134" s="64"/>
      <c r="QJK134" s="64"/>
      <c r="QJL134" s="64"/>
      <c r="QJM134" s="64"/>
      <c r="QJN134" s="64"/>
      <c r="QJO134" s="64"/>
      <c r="QJP134" s="64"/>
      <c r="QJQ134" s="64"/>
      <c r="QJR134" s="64"/>
      <c r="QJS134" s="64"/>
      <c r="QJT134" s="64"/>
      <c r="QJU134" s="64"/>
      <c r="QJV134" s="64"/>
      <c r="QJW134" s="64"/>
      <c r="QJX134" s="64"/>
      <c r="QJY134" s="64"/>
      <c r="QJZ134" s="64"/>
      <c r="QKA134" s="64"/>
      <c r="QKB134" s="64"/>
      <c r="QKC134" s="64"/>
      <c r="QKD134" s="64"/>
      <c r="QKE134" s="64"/>
      <c r="QKF134" s="64"/>
      <c r="QKG134" s="64"/>
      <c r="QKH134" s="64"/>
      <c r="QKI134" s="64"/>
      <c r="QKJ134" s="64"/>
      <c r="QKK134" s="64"/>
      <c r="QKL134" s="64"/>
      <c r="QKM134" s="64"/>
      <c r="QKN134" s="64"/>
      <c r="QKO134" s="64"/>
      <c r="QKP134" s="64"/>
      <c r="QKQ134" s="64"/>
      <c r="QKR134" s="64"/>
      <c r="QKS134" s="64"/>
      <c r="QKT134" s="64"/>
      <c r="QKU134" s="64"/>
      <c r="QKV134" s="64"/>
      <c r="QKW134" s="64"/>
      <c r="QKX134" s="64"/>
      <c r="QKY134" s="64"/>
      <c r="QKZ134" s="64"/>
      <c r="QLA134" s="64"/>
      <c r="QLB134" s="64"/>
      <c r="QLC134" s="64"/>
      <c r="QLD134" s="64"/>
      <c r="QLE134" s="64"/>
      <c r="QLF134" s="64"/>
      <c r="QLG134" s="64"/>
      <c r="QLH134" s="64"/>
      <c r="QLI134" s="64"/>
      <c r="QLJ134" s="64"/>
      <c r="QLK134" s="64"/>
      <c r="QLL134" s="64"/>
      <c r="QLM134" s="64"/>
      <c r="QLN134" s="64"/>
      <c r="QLO134" s="64"/>
      <c r="QLP134" s="64"/>
      <c r="QLQ134" s="64"/>
      <c r="QLR134" s="64"/>
      <c r="QLS134" s="64"/>
      <c r="QLT134" s="64"/>
      <c r="QLU134" s="64"/>
      <c r="QLV134" s="64"/>
      <c r="QLW134" s="64"/>
      <c r="QLX134" s="64"/>
      <c r="QLY134" s="64"/>
      <c r="QLZ134" s="64"/>
      <c r="QMA134" s="64"/>
      <c r="QMB134" s="64"/>
      <c r="QMC134" s="64"/>
      <c r="QMD134" s="64"/>
      <c r="QME134" s="64"/>
      <c r="QMF134" s="64"/>
      <c r="QMG134" s="64"/>
      <c r="QMH134" s="64"/>
      <c r="QMI134" s="64"/>
      <c r="QMJ134" s="64"/>
      <c r="QMK134" s="64"/>
      <c r="QML134" s="64"/>
      <c r="QMM134" s="64"/>
      <c r="QMN134" s="64"/>
      <c r="QMO134" s="64"/>
      <c r="QMP134" s="64"/>
      <c r="QMQ134" s="64"/>
      <c r="QMR134" s="64"/>
      <c r="QMS134" s="64"/>
      <c r="QMT134" s="64"/>
      <c r="QMU134" s="64"/>
      <c r="QMV134" s="64"/>
      <c r="QMW134" s="64"/>
      <c r="QMX134" s="64"/>
      <c r="QMY134" s="64"/>
      <c r="QMZ134" s="64"/>
      <c r="QNA134" s="64"/>
      <c r="QNB134" s="64"/>
      <c r="QNC134" s="64"/>
      <c r="QND134" s="64"/>
      <c r="QNE134" s="64"/>
      <c r="QNF134" s="64"/>
      <c r="QNG134" s="64"/>
      <c r="QNH134" s="64"/>
      <c r="QNI134" s="64"/>
      <c r="QNJ134" s="64"/>
      <c r="QNK134" s="64"/>
      <c r="QNL134" s="64"/>
      <c r="QNM134" s="64"/>
      <c r="QNN134" s="64"/>
      <c r="QNO134" s="64"/>
      <c r="QNP134" s="64"/>
      <c r="QNQ134" s="64"/>
      <c r="QNR134" s="64"/>
      <c r="QNS134" s="64"/>
      <c r="QNT134" s="64"/>
      <c r="QNU134" s="64"/>
      <c r="QNV134" s="64"/>
      <c r="QNW134" s="64"/>
      <c r="QNX134" s="64"/>
      <c r="QNY134" s="64"/>
      <c r="QNZ134" s="64"/>
      <c r="QOA134" s="64"/>
      <c r="QOB134" s="64"/>
      <c r="QOC134" s="64"/>
      <c r="QOD134" s="64"/>
      <c r="QOE134" s="64"/>
      <c r="QOF134" s="64"/>
      <c r="QOG134" s="64"/>
      <c r="QOH134" s="64"/>
      <c r="QOI134" s="64"/>
      <c r="QOJ134" s="64"/>
      <c r="QOK134" s="64"/>
      <c r="QOL134" s="64"/>
      <c r="QOM134" s="64"/>
      <c r="QON134" s="64"/>
      <c r="QOO134" s="64"/>
      <c r="QOP134" s="64"/>
      <c r="QOQ134" s="64"/>
      <c r="QOR134" s="64"/>
      <c r="QOS134" s="64"/>
      <c r="QOT134" s="64"/>
      <c r="QOU134" s="64"/>
      <c r="QOV134" s="64"/>
      <c r="QOW134" s="64"/>
      <c r="QOX134" s="64"/>
      <c r="QOY134" s="64"/>
      <c r="QOZ134" s="64"/>
      <c r="QPA134" s="64"/>
      <c r="QPB134" s="64"/>
      <c r="QPC134" s="64"/>
      <c r="QPD134" s="64"/>
      <c r="QPE134" s="64"/>
      <c r="QPF134" s="64"/>
      <c r="QPG134" s="64"/>
      <c r="QPH134" s="64"/>
      <c r="QPI134" s="64"/>
      <c r="QPJ134" s="64"/>
      <c r="QPK134" s="64"/>
      <c r="QPL134" s="64"/>
      <c r="QPM134" s="64"/>
      <c r="QPN134" s="64"/>
      <c r="QPO134" s="64"/>
      <c r="QPP134" s="64"/>
      <c r="QPQ134" s="64"/>
      <c r="QPR134" s="64"/>
      <c r="QPS134" s="64"/>
      <c r="QPT134" s="64"/>
      <c r="QPU134" s="64"/>
      <c r="QPV134" s="64"/>
      <c r="QPW134" s="64"/>
      <c r="QPX134" s="64"/>
      <c r="QPY134" s="64"/>
      <c r="QPZ134" s="64"/>
      <c r="QQA134" s="64"/>
      <c r="QQB134" s="64"/>
      <c r="QQC134" s="64"/>
      <c r="QQD134" s="64"/>
      <c r="QQE134" s="64"/>
      <c r="QQF134" s="64"/>
      <c r="QQG134" s="64"/>
      <c r="QQH134" s="64"/>
      <c r="QQI134" s="64"/>
      <c r="QQJ134" s="64"/>
      <c r="QQK134" s="64"/>
      <c r="QQL134" s="64"/>
      <c r="QQM134" s="64"/>
      <c r="QQN134" s="64"/>
      <c r="QQO134" s="64"/>
      <c r="QQP134" s="64"/>
      <c r="QQQ134" s="64"/>
      <c r="QQR134" s="64"/>
      <c r="QQS134" s="64"/>
      <c r="QQT134" s="64"/>
      <c r="QQU134" s="64"/>
      <c r="QQV134" s="64"/>
      <c r="QQW134" s="64"/>
      <c r="QQX134" s="64"/>
      <c r="QQY134" s="64"/>
      <c r="QQZ134" s="64"/>
      <c r="QRA134" s="64"/>
      <c r="QRB134" s="64"/>
      <c r="QRC134" s="64"/>
      <c r="QRD134" s="64"/>
      <c r="QRE134" s="64"/>
      <c r="QRF134" s="64"/>
      <c r="QRG134" s="64"/>
      <c r="QRH134" s="64"/>
      <c r="QRI134" s="64"/>
      <c r="QRJ134" s="64"/>
      <c r="QRK134" s="64"/>
      <c r="QRL134" s="64"/>
      <c r="QRM134" s="64"/>
      <c r="QRN134" s="64"/>
      <c r="QRO134" s="64"/>
      <c r="QRP134" s="64"/>
      <c r="QRQ134" s="64"/>
      <c r="QRR134" s="64"/>
      <c r="QRS134" s="64"/>
      <c r="QRT134" s="64"/>
      <c r="QRU134" s="64"/>
      <c r="QRV134" s="64"/>
      <c r="QRW134" s="64"/>
      <c r="QRX134" s="64"/>
      <c r="QRY134" s="64"/>
      <c r="QRZ134" s="64"/>
      <c r="QSA134" s="64"/>
      <c r="QSB134" s="64"/>
      <c r="QSC134" s="64"/>
      <c r="QSD134" s="64"/>
      <c r="QSE134" s="64"/>
      <c r="QSF134" s="64"/>
      <c r="QSG134" s="64"/>
      <c r="QSH134" s="64"/>
      <c r="QSI134" s="64"/>
      <c r="QSJ134" s="64"/>
      <c r="QSK134" s="64"/>
      <c r="QSL134" s="64"/>
      <c r="QSM134" s="64"/>
      <c r="QSN134" s="64"/>
      <c r="QSO134" s="64"/>
      <c r="QSP134" s="64"/>
      <c r="QSQ134" s="64"/>
      <c r="QSR134" s="64"/>
      <c r="QSS134" s="64"/>
      <c r="QST134" s="64"/>
      <c r="QSU134" s="64"/>
      <c r="QSV134" s="64"/>
      <c r="QSW134" s="64"/>
      <c r="QSX134" s="64"/>
      <c r="QSY134" s="64"/>
      <c r="QSZ134" s="64"/>
      <c r="QTA134" s="64"/>
      <c r="QTB134" s="64"/>
      <c r="QTC134" s="64"/>
      <c r="QTD134" s="64"/>
      <c r="QTE134" s="64"/>
      <c r="QTF134" s="64"/>
      <c r="QTG134" s="64"/>
      <c r="QTH134" s="64"/>
      <c r="QTI134" s="64"/>
      <c r="QTJ134" s="64"/>
      <c r="QTK134" s="64"/>
      <c r="QTL134" s="64"/>
      <c r="QTM134" s="64"/>
      <c r="QTN134" s="64"/>
      <c r="QTO134" s="64"/>
      <c r="QTP134" s="64"/>
      <c r="QTQ134" s="64"/>
      <c r="QTR134" s="64"/>
      <c r="QTS134" s="64"/>
      <c r="QTT134" s="64"/>
      <c r="QTU134" s="64"/>
      <c r="QTV134" s="64"/>
      <c r="QTW134" s="64"/>
      <c r="QTX134" s="64"/>
      <c r="QTY134" s="64"/>
      <c r="QTZ134" s="64"/>
      <c r="QUA134" s="64"/>
      <c r="QUB134" s="64"/>
      <c r="QUC134" s="64"/>
      <c r="QUD134" s="64"/>
      <c r="QUE134" s="64"/>
      <c r="QUF134" s="64"/>
      <c r="QUG134" s="64"/>
      <c r="QUH134" s="64"/>
      <c r="QUI134" s="64"/>
      <c r="QUJ134" s="64"/>
      <c r="QUK134" s="64"/>
      <c r="QUL134" s="64"/>
      <c r="QUM134" s="64"/>
      <c r="QUN134" s="64"/>
      <c r="QUO134" s="64"/>
      <c r="QUP134" s="64"/>
      <c r="QUQ134" s="64"/>
      <c r="QUR134" s="64"/>
      <c r="QUS134" s="64"/>
      <c r="QUT134" s="64"/>
      <c r="QUU134" s="64"/>
      <c r="QUV134" s="64"/>
      <c r="QUW134" s="64"/>
      <c r="QUX134" s="64"/>
      <c r="QUY134" s="64"/>
      <c r="QUZ134" s="64"/>
      <c r="QVA134" s="64"/>
      <c r="QVB134" s="64"/>
      <c r="QVC134" s="64"/>
      <c r="QVD134" s="64"/>
      <c r="QVE134" s="64"/>
      <c r="QVF134" s="64"/>
      <c r="QVG134" s="64"/>
      <c r="QVH134" s="64"/>
      <c r="QVI134" s="64"/>
      <c r="QVJ134" s="64"/>
      <c r="QVK134" s="64"/>
      <c r="QVL134" s="64"/>
      <c r="QVM134" s="64"/>
      <c r="QVN134" s="64"/>
      <c r="QVO134" s="64"/>
      <c r="QVP134" s="64"/>
      <c r="QVQ134" s="64"/>
      <c r="QVR134" s="64"/>
      <c r="QVS134" s="64"/>
      <c r="QVT134" s="64"/>
      <c r="QVU134" s="64"/>
      <c r="QVV134" s="64"/>
      <c r="QVW134" s="64"/>
      <c r="QVX134" s="64"/>
      <c r="QVY134" s="64"/>
      <c r="QVZ134" s="64"/>
      <c r="QWA134" s="64"/>
      <c r="QWB134" s="64"/>
      <c r="QWC134" s="64"/>
      <c r="QWD134" s="64"/>
      <c r="QWE134" s="64"/>
      <c r="QWF134" s="64"/>
      <c r="QWG134" s="64"/>
      <c r="QWH134" s="64"/>
      <c r="QWI134" s="64"/>
      <c r="QWJ134" s="64"/>
      <c r="QWK134" s="64"/>
      <c r="QWL134" s="64"/>
      <c r="QWM134" s="64"/>
      <c r="QWN134" s="64"/>
      <c r="QWO134" s="64"/>
      <c r="QWP134" s="64"/>
      <c r="QWQ134" s="64"/>
      <c r="QWR134" s="64"/>
      <c r="QWS134" s="64"/>
      <c r="QWT134" s="64"/>
      <c r="QWU134" s="64"/>
      <c r="QWV134" s="64"/>
      <c r="QWW134" s="64"/>
      <c r="QWX134" s="64"/>
      <c r="QWY134" s="64"/>
      <c r="QWZ134" s="64"/>
      <c r="QXA134" s="64"/>
      <c r="QXB134" s="64"/>
      <c r="QXC134" s="64"/>
      <c r="QXD134" s="64"/>
      <c r="QXE134" s="64"/>
      <c r="QXF134" s="64"/>
      <c r="QXG134" s="64"/>
      <c r="QXH134" s="64"/>
      <c r="QXI134" s="64"/>
      <c r="QXJ134" s="64"/>
      <c r="QXK134" s="64"/>
      <c r="QXL134" s="64"/>
      <c r="QXM134" s="64"/>
      <c r="QXN134" s="64"/>
      <c r="QXO134" s="64"/>
      <c r="QXP134" s="64"/>
      <c r="QXQ134" s="64"/>
      <c r="QXR134" s="64"/>
      <c r="QXS134" s="64"/>
      <c r="QXT134" s="64"/>
      <c r="QXU134" s="64"/>
      <c r="QXV134" s="64"/>
      <c r="QXW134" s="64"/>
      <c r="QXX134" s="64"/>
      <c r="QXY134" s="64"/>
      <c r="QXZ134" s="64"/>
      <c r="QYA134" s="64"/>
      <c r="QYB134" s="64"/>
      <c r="QYC134" s="64"/>
      <c r="QYD134" s="64"/>
      <c r="QYE134" s="64"/>
      <c r="QYF134" s="64"/>
      <c r="QYG134" s="64"/>
      <c r="QYH134" s="64"/>
      <c r="QYI134" s="64"/>
      <c r="QYJ134" s="64"/>
      <c r="QYK134" s="64"/>
      <c r="QYL134" s="64"/>
      <c r="QYM134" s="64"/>
      <c r="QYN134" s="64"/>
      <c r="QYO134" s="64"/>
      <c r="QYP134" s="64"/>
      <c r="QYQ134" s="64"/>
      <c r="QYR134" s="64"/>
      <c r="QYS134" s="64"/>
      <c r="QYT134" s="64"/>
      <c r="QYU134" s="64"/>
      <c r="QYV134" s="64"/>
      <c r="QYW134" s="64"/>
      <c r="QYX134" s="64"/>
      <c r="QYY134" s="64"/>
      <c r="QYZ134" s="64"/>
      <c r="QZA134" s="64"/>
      <c r="QZB134" s="64"/>
      <c r="QZC134" s="64"/>
      <c r="QZD134" s="64"/>
      <c r="QZE134" s="64"/>
      <c r="QZF134" s="64"/>
      <c r="QZG134" s="64"/>
      <c r="QZH134" s="64"/>
      <c r="QZI134" s="64"/>
      <c r="QZJ134" s="64"/>
      <c r="QZK134" s="64"/>
      <c r="QZL134" s="64"/>
      <c r="QZM134" s="64"/>
      <c r="QZN134" s="64"/>
      <c r="QZO134" s="64"/>
      <c r="QZP134" s="64"/>
      <c r="QZQ134" s="64"/>
      <c r="QZR134" s="64"/>
      <c r="QZS134" s="64"/>
      <c r="QZT134" s="64"/>
      <c r="QZU134" s="64"/>
      <c r="QZV134" s="64"/>
      <c r="QZW134" s="64"/>
      <c r="QZX134" s="64"/>
      <c r="QZY134" s="64"/>
      <c r="QZZ134" s="64"/>
      <c r="RAA134" s="64"/>
      <c r="RAB134" s="64"/>
      <c r="RAC134" s="64"/>
      <c r="RAD134" s="64"/>
      <c r="RAE134" s="64"/>
      <c r="RAF134" s="64"/>
      <c r="RAG134" s="64"/>
      <c r="RAH134" s="64"/>
      <c r="RAI134" s="64"/>
      <c r="RAJ134" s="64"/>
      <c r="RAK134" s="64"/>
      <c r="RAL134" s="64"/>
      <c r="RAM134" s="64"/>
      <c r="RAN134" s="64"/>
      <c r="RAO134" s="64"/>
      <c r="RAP134" s="64"/>
      <c r="RAQ134" s="64"/>
      <c r="RAR134" s="64"/>
      <c r="RAS134" s="64"/>
      <c r="RAT134" s="64"/>
      <c r="RAU134" s="64"/>
      <c r="RAV134" s="64"/>
      <c r="RAW134" s="64"/>
      <c r="RAX134" s="64"/>
      <c r="RAY134" s="64"/>
      <c r="RAZ134" s="64"/>
      <c r="RBA134" s="64"/>
      <c r="RBB134" s="64"/>
      <c r="RBC134" s="64"/>
      <c r="RBD134" s="64"/>
      <c r="RBE134" s="64"/>
      <c r="RBF134" s="64"/>
      <c r="RBG134" s="64"/>
      <c r="RBH134" s="64"/>
      <c r="RBI134" s="64"/>
      <c r="RBJ134" s="64"/>
      <c r="RBK134" s="64"/>
      <c r="RBL134" s="64"/>
      <c r="RBM134" s="64"/>
      <c r="RBN134" s="64"/>
      <c r="RBO134" s="64"/>
      <c r="RBP134" s="64"/>
      <c r="RBQ134" s="64"/>
      <c r="RBR134" s="64"/>
      <c r="RBS134" s="64"/>
      <c r="RBT134" s="64"/>
      <c r="RBU134" s="64"/>
      <c r="RBV134" s="64"/>
      <c r="RBW134" s="64"/>
      <c r="RBX134" s="64"/>
      <c r="RBY134" s="64"/>
      <c r="RBZ134" s="64"/>
      <c r="RCA134" s="64"/>
      <c r="RCB134" s="64"/>
      <c r="RCC134" s="64"/>
      <c r="RCD134" s="64"/>
      <c r="RCE134" s="64"/>
      <c r="RCF134" s="64"/>
      <c r="RCG134" s="64"/>
      <c r="RCH134" s="64"/>
      <c r="RCI134" s="64"/>
      <c r="RCJ134" s="64"/>
      <c r="RCK134" s="64"/>
      <c r="RCL134" s="64"/>
      <c r="RCM134" s="64"/>
      <c r="RCN134" s="64"/>
      <c r="RCO134" s="64"/>
      <c r="RCP134" s="64"/>
      <c r="RCQ134" s="64"/>
      <c r="RCR134" s="64"/>
      <c r="RCS134" s="64"/>
      <c r="RCT134" s="64"/>
      <c r="RCU134" s="64"/>
      <c r="RCV134" s="64"/>
      <c r="RCW134" s="64"/>
      <c r="RCX134" s="64"/>
      <c r="RCY134" s="64"/>
      <c r="RCZ134" s="64"/>
      <c r="RDA134" s="64"/>
      <c r="RDB134" s="64"/>
      <c r="RDC134" s="64"/>
      <c r="RDD134" s="64"/>
      <c r="RDE134" s="64"/>
      <c r="RDF134" s="64"/>
      <c r="RDG134" s="64"/>
      <c r="RDH134" s="64"/>
      <c r="RDI134" s="64"/>
      <c r="RDJ134" s="64"/>
      <c r="RDK134" s="64"/>
      <c r="RDL134" s="64"/>
      <c r="RDM134" s="64"/>
      <c r="RDN134" s="64"/>
      <c r="RDO134" s="64"/>
      <c r="RDP134" s="64"/>
      <c r="RDQ134" s="64"/>
      <c r="RDR134" s="64"/>
      <c r="RDS134" s="64"/>
      <c r="RDT134" s="64"/>
      <c r="RDU134" s="64"/>
      <c r="RDV134" s="64"/>
      <c r="RDW134" s="64"/>
      <c r="RDX134" s="64"/>
      <c r="RDY134" s="64"/>
      <c r="RDZ134" s="64"/>
      <c r="REA134" s="64"/>
      <c r="REB134" s="64"/>
      <c r="REC134" s="64"/>
      <c r="RED134" s="64"/>
      <c r="REE134" s="64"/>
      <c r="REF134" s="64"/>
      <c r="REG134" s="64"/>
      <c r="REH134" s="64"/>
      <c r="REI134" s="64"/>
      <c r="REJ134" s="64"/>
      <c r="REK134" s="64"/>
      <c r="REL134" s="64"/>
      <c r="REM134" s="64"/>
      <c r="REN134" s="64"/>
      <c r="REO134" s="64"/>
      <c r="REP134" s="64"/>
      <c r="REQ134" s="64"/>
      <c r="RER134" s="64"/>
      <c r="RES134" s="64"/>
      <c r="RET134" s="64"/>
      <c r="REU134" s="64"/>
      <c r="REV134" s="64"/>
      <c r="REW134" s="64"/>
      <c r="REX134" s="64"/>
      <c r="REY134" s="64"/>
      <c r="REZ134" s="64"/>
      <c r="RFA134" s="64"/>
      <c r="RFB134" s="64"/>
      <c r="RFC134" s="64"/>
      <c r="RFD134" s="64"/>
      <c r="RFE134" s="64"/>
      <c r="RFF134" s="64"/>
      <c r="RFG134" s="64"/>
      <c r="RFH134" s="64"/>
      <c r="RFI134" s="64"/>
      <c r="RFJ134" s="64"/>
      <c r="RFK134" s="64"/>
      <c r="RFL134" s="64"/>
      <c r="RFM134" s="64"/>
      <c r="RFN134" s="64"/>
      <c r="RFO134" s="64"/>
      <c r="RFP134" s="64"/>
      <c r="RFQ134" s="64"/>
      <c r="RFR134" s="64"/>
      <c r="RFS134" s="64"/>
      <c r="RFT134" s="64"/>
      <c r="RFU134" s="64"/>
      <c r="RFV134" s="64"/>
      <c r="RFW134" s="64"/>
      <c r="RFX134" s="64"/>
      <c r="RFY134" s="64"/>
      <c r="RFZ134" s="64"/>
      <c r="RGA134" s="64"/>
      <c r="RGB134" s="64"/>
      <c r="RGC134" s="64"/>
      <c r="RGD134" s="64"/>
      <c r="RGE134" s="64"/>
      <c r="RGF134" s="64"/>
      <c r="RGG134" s="64"/>
      <c r="RGH134" s="64"/>
      <c r="RGI134" s="64"/>
      <c r="RGJ134" s="64"/>
      <c r="RGK134" s="64"/>
      <c r="RGL134" s="64"/>
      <c r="RGM134" s="64"/>
      <c r="RGN134" s="64"/>
      <c r="RGO134" s="64"/>
      <c r="RGP134" s="64"/>
      <c r="RGQ134" s="64"/>
      <c r="RGR134" s="64"/>
      <c r="RGS134" s="64"/>
      <c r="RGT134" s="64"/>
      <c r="RGU134" s="64"/>
      <c r="RGV134" s="64"/>
      <c r="RGW134" s="64"/>
      <c r="RGX134" s="64"/>
      <c r="RGY134" s="64"/>
      <c r="RGZ134" s="64"/>
      <c r="RHA134" s="64"/>
      <c r="RHB134" s="64"/>
      <c r="RHC134" s="64"/>
      <c r="RHD134" s="64"/>
      <c r="RHE134" s="64"/>
      <c r="RHF134" s="64"/>
      <c r="RHG134" s="64"/>
      <c r="RHH134" s="64"/>
      <c r="RHI134" s="64"/>
      <c r="RHJ134" s="64"/>
      <c r="RHK134" s="64"/>
      <c r="RHL134" s="64"/>
      <c r="RHM134" s="64"/>
      <c r="RHN134" s="64"/>
      <c r="RHO134" s="64"/>
      <c r="RHP134" s="64"/>
      <c r="RHQ134" s="64"/>
      <c r="RHR134" s="64"/>
      <c r="RHS134" s="64"/>
      <c r="RHT134" s="64"/>
      <c r="RHU134" s="64"/>
      <c r="RHV134" s="64"/>
      <c r="RHW134" s="64"/>
      <c r="RHX134" s="64"/>
      <c r="RHY134" s="64"/>
      <c r="RHZ134" s="64"/>
      <c r="RIA134" s="64"/>
      <c r="RIB134" s="64"/>
      <c r="RIC134" s="64"/>
      <c r="RID134" s="64"/>
      <c r="RIE134" s="64"/>
      <c r="RIF134" s="64"/>
      <c r="RIG134" s="64"/>
      <c r="RIH134" s="64"/>
      <c r="RII134" s="64"/>
      <c r="RIJ134" s="64"/>
      <c r="RIK134" s="64"/>
      <c r="RIL134" s="64"/>
      <c r="RIM134" s="64"/>
      <c r="RIN134" s="64"/>
      <c r="RIO134" s="64"/>
      <c r="RIP134" s="64"/>
      <c r="RIQ134" s="64"/>
      <c r="RIR134" s="64"/>
      <c r="RIS134" s="64"/>
      <c r="RIT134" s="64"/>
      <c r="RIU134" s="64"/>
      <c r="RIV134" s="64"/>
      <c r="RIW134" s="64"/>
      <c r="RIX134" s="64"/>
      <c r="RIY134" s="64"/>
      <c r="RIZ134" s="64"/>
      <c r="RJA134" s="64"/>
      <c r="RJB134" s="64"/>
      <c r="RJC134" s="64"/>
      <c r="RJD134" s="64"/>
      <c r="RJE134" s="64"/>
      <c r="RJF134" s="64"/>
      <c r="RJG134" s="64"/>
      <c r="RJH134" s="64"/>
      <c r="RJI134" s="64"/>
      <c r="RJJ134" s="64"/>
      <c r="RJK134" s="64"/>
      <c r="RJL134" s="64"/>
      <c r="RJM134" s="64"/>
      <c r="RJN134" s="64"/>
      <c r="RJO134" s="64"/>
      <c r="RJP134" s="64"/>
      <c r="RJQ134" s="64"/>
      <c r="RJR134" s="64"/>
      <c r="RJS134" s="64"/>
      <c r="RJT134" s="64"/>
      <c r="RJU134" s="64"/>
      <c r="RJV134" s="64"/>
      <c r="RJW134" s="64"/>
      <c r="RJX134" s="64"/>
      <c r="RJY134" s="64"/>
      <c r="RJZ134" s="64"/>
      <c r="RKA134" s="64"/>
      <c r="RKB134" s="64"/>
      <c r="RKC134" s="64"/>
      <c r="RKD134" s="64"/>
      <c r="RKE134" s="64"/>
      <c r="RKF134" s="64"/>
      <c r="RKG134" s="64"/>
      <c r="RKH134" s="64"/>
      <c r="RKI134" s="64"/>
      <c r="RKJ134" s="64"/>
      <c r="RKK134" s="64"/>
      <c r="RKL134" s="64"/>
      <c r="RKM134" s="64"/>
      <c r="RKN134" s="64"/>
      <c r="RKO134" s="64"/>
      <c r="RKP134" s="64"/>
      <c r="RKQ134" s="64"/>
      <c r="RKR134" s="64"/>
      <c r="RKS134" s="64"/>
      <c r="RKT134" s="64"/>
      <c r="RKU134" s="64"/>
      <c r="RKV134" s="64"/>
      <c r="RKW134" s="64"/>
      <c r="RKX134" s="64"/>
      <c r="RKY134" s="64"/>
      <c r="RKZ134" s="64"/>
      <c r="RLA134" s="64"/>
      <c r="RLB134" s="64"/>
      <c r="RLC134" s="64"/>
      <c r="RLD134" s="64"/>
      <c r="RLE134" s="64"/>
      <c r="RLF134" s="64"/>
      <c r="RLG134" s="64"/>
      <c r="RLH134" s="64"/>
      <c r="RLI134" s="64"/>
      <c r="RLJ134" s="64"/>
      <c r="RLK134" s="64"/>
      <c r="RLL134" s="64"/>
      <c r="RLM134" s="64"/>
      <c r="RLN134" s="64"/>
      <c r="RLO134" s="64"/>
      <c r="RLP134" s="64"/>
      <c r="RLQ134" s="64"/>
      <c r="RLR134" s="64"/>
      <c r="RLS134" s="64"/>
      <c r="RLT134" s="64"/>
      <c r="RLU134" s="64"/>
      <c r="RLV134" s="64"/>
      <c r="RLW134" s="64"/>
      <c r="RLX134" s="64"/>
      <c r="RLY134" s="64"/>
      <c r="RLZ134" s="64"/>
      <c r="RMA134" s="64"/>
      <c r="RMB134" s="64"/>
      <c r="RMC134" s="64"/>
      <c r="RMD134" s="64"/>
      <c r="RME134" s="64"/>
      <c r="RMF134" s="64"/>
      <c r="RMG134" s="64"/>
      <c r="RMH134" s="64"/>
      <c r="RMI134" s="64"/>
      <c r="RMJ134" s="64"/>
      <c r="RMK134" s="64"/>
      <c r="RML134" s="64"/>
      <c r="RMM134" s="64"/>
      <c r="RMN134" s="64"/>
      <c r="RMO134" s="64"/>
      <c r="RMP134" s="64"/>
      <c r="RMQ134" s="64"/>
      <c r="RMR134" s="64"/>
      <c r="RMS134" s="64"/>
      <c r="RMT134" s="64"/>
      <c r="RMU134" s="64"/>
      <c r="RMV134" s="64"/>
      <c r="RMW134" s="64"/>
      <c r="RMX134" s="64"/>
      <c r="RMY134" s="64"/>
      <c r="RMZ134" s="64"/>
      <c r="RNA134" s="64"/>
      <c r="RNB134" s="64"/>
      <c r="RNC134" s="64"/>
      <c r="RND134" s="64"/>
      <c r="RNE134" s="64"/>
      <c r="RNF134" s="64"/>
      <c r="RNG134" s="64"/>
      <c r="RNH134" s="64"/>
      <c r="RNI134" s="64"/>
      <c r="RNJ134" s="64"/>
      <c r="RNK134" s="64"/>
      <c r="RNL134" s="64"/>
      <c r="RNM134" s="64"/>
      <c r="RNN134" s="64"/>
      <c r="RNO134" s="64"/>
      <c r="RNP134" s="64"/>
      <c r="RNQ134" s="64"/>
      <c r="RNR134" s="64"/>
      <c r="RNS134" s="64"/>
      <c r="RNT134" s="64"/>
      <c r="RNU134" s="64"/>
      <c r="RNV134" s="64"/>
      <c r="RNW134" s="64"/>
      <c r="RNX134" s="64"/>
      <c r="RNY134" s="64"/>
      <c r="RNZ134" s="64"/>
      <c r="ROA134" s="64"/>
      <c r="ROB134" s="64"/>
      <c r="ROC134" s="64"/>
      <c r="ROD134" s="64"/>
      <c r="ROE134" s="64"/>
      <c r="ROF134" s="64"/>
      <c r="ROG134" s="64"/>
      <c r="ROH134" s="64"/>
      <c r="ROI134" s="64"/>
      <c r="ROJ134" s="64"/>
      <c r="ROK134" s="64"/>
      <c r="ROL134" s="64"/>
      <c r="ROM134" s="64"/>
      <c r="RON134" s="64"/>
      <c r="ROO134" s="64"/>
      <c r="ROP134" s="64"/>
      <c r="ROQ134" s="64"/>
      <c r="ROR134" s="64"/>
      <c r="ROS134" s="64"/>
      <c r="ROT134" s="64"/>
      <c r="ROU134" s="64"/>
      <c r="ROV134" s="64"/>
      <c r="ROW134" s="64"/>
      <c r="ROX134" s="64"/>
      <c r="ROY134" s="64"/>
      <c r="ROZ134" s="64"/>
      <c r="RPA134" s="64"/>
      <c r="RPB134" s="64"/>
      <c r="RPC134" s="64"/>
      <c r="RPD134" s="64"/>
      <c r="RPE134" s="64"/>
      <c r="RPF134" s="64"/>
      <c r="RPG134" s="64"/>
      <c r="RPH134" s="64"/>
      <c r="RPI134" s="64"/>
      <c r="RPJ134" s="64"/>
      <c r="RPK134" s="64"/>
      <c r="RPL134" s="64"/>
      <c r="RPM134" s="64"/>
      <c r="RPN134" s="64"/>
      <c r="RPO134" s="64"/>
      <c r="RPP134" s="64"/>
      <c r="RPQ134" s="64"/>
      <c r="RPR134" s="64"/>
      <c r="RPS134" s="64"/>
      <c r="RPT134" s="64"/>
      <c r="RPU134" s="64"/>
      <c r="RPV134" s="64"/>
      <c r="RPW134" s="64"/>
      <c r="RPX134" s="64"/>
      <c r="RPY134" s="64"/>
      <c r="RPZ134" s="64"/>
      <c r="RQA134" s="64"/>
      <c r="RQB134" s="64"/>
      <c r="RQC134" s="64"/>
      <c r="RQD134" s="64"/>
      <c r="RQE134" s="64"/>
      <c r="RQF134" s="64"/>
      <c r="RQG134" s="64"/>
      <c r="RQH134" s="64"/>
      <c r="RQI134" s="64"/>
      <c r="RQJ134" s="64"/>
      <c r="RQK134" s="64"/>
      <c r="RQL134" s="64"/>
      <c r="RQM134" s="64"/>
      <c r="RQN134" s="64"/>
      <c r="RQO134" s="64"/>
      <c r="RQP134" s="64"/>
      <c r="RQQ134" s="64"/>
      <c r="RQR134" s="64"/>
      <c r="RQS134" s="64"/>
      <c r="RQT134" s="64"/>
      <c r="RQU134" s="64"/>
      <c r="RQV134" s="64"/>
      <c r="RQW134" s="64"/>
      <c r="RQX134" s="64"/>
      <c r="RQY134" s="64"/>
      <c r="RQZ134" s="64"/>
      <c r="RRA134" s="64"/>
      <c r="RRB134" s="64"/>
      <c r="RRC134" s="64"/>
      <c r="RRD134" s="64"/>
      <c r="RRE134" s="64"/>
      <c r="RRF134" s="64"/>
      <c r="RRG134" s="64"/>
      <c r="RRH134" s="64"/>
      <c r="RRI134" s="64"/>
      <c r="RRJ134" s="64"/>
      <c r="RRK134" s="64"/>
      <c r="RRL134" s="64"/>
      <c r="RRM134" s="64"/>
      <c r="RRN134" s="64"/>
      <c r="RRO134" s="64"/>
      <c r="RRP134" s="64"/>
      <c r="RRQ134" s="64"/>
      <c r="RRR134" s="64"/>
      <c r="RRS134" s="64"/>
      <c r="RRT134" s="64"/>
      <c r="RRU134" s="64"/>
      <c r="RRV134" s="64"/>
      <c r="RRW134" s="64"/>
      <c r="RRX134" s="64"/>
      <c r="RRY134" s="64"/>
      <c r="RRZ134" s="64"/>
      <c r="RSA134" s="64"/>
      <c r="RSB134" s="64"/>
      <c r="RSC134" s="64"/>
      <c r="RSD134" s="64"/>
      <c r="RSE134" s="64"/>
      <c r="RSF134" s="64"/>
      <c r="RSG134" s="64"/>
      <c r="RSH134" s="64"/>
      <c r="RSI134" s="64"/>
      <c r="RSJ134" s="64"/>
      <c r="RSK134" s="64"/>
      <c r="RSL134" s="64"/>
      <c r="RSM134" s="64"/>
      <c r="RSN134" s="64"/>
      <c r="RSO134" s="64"/>
      <c r="RSP134" s="64"/>
      <c r="RSQ134" s="64"/>
      <c r="RSR134" s="64"/>
      <c r="RSS134" s="64"/>
      <c r="RST134" s="64"/>
      <c r="RSU134" s="64"/>
      <c r="RSV134" s="64"/>
      <c r="RSW134" s="64"/>
      <c r="RSX134" s="64"/>
      <c r="RSY134" s="64"/>
      <c r="RSZ134" s="64"/>
      <c r="RTA134" s="64"/>
      <c r="RTB134" s="64"/>
      <c r="RTC134" s="64"/>
      <c r="RTD134" s="64"/>
      <c r="RTE134" s="64"/>
      <c r="RTF134" s="64"/>
      <c r="RTG134" s="64"/>
      <c r="RTH134" s="64"/>
      <c r="RTI134" s="64"/>
      <c r="RTJ134" s="64"/>
      <c r="RTK134" s="64"/>
      <c r="RTL134" s="64"/>
      <c r="RTM134" s="64"/>
      <c r="RTN134" s="64"/>
      <c r="RTO134" s="64"/>
      <c r="RTP134" s="64"/>
      <c r="RTQ134" s="64"/>
      <c r="RTR134" s="64"/>
      <c r="RTS134" s="64"/>
      <c r="RTT134" s="64"/>
      <c r="RTU134" s="64"/>
      <c r="RTV134" s="64"/>
      <c r="RTW134" s="64"/>
      <c r="RTX134" s="64"/>
      <c r="RTY134" s="64"/>
      <c r="RTZ134" s="64"/>
      <c r="RUA134" s="64"/>
      <c r="RUB134" s="64"/>
      <c r="RUC134" s="64"/>
      <c r="RUD134" s="64"/>
      <c r="RUE134" s="64"/>
      <c r="RUF134" s="64"/>
      <c r="RUG134" s="64"/>
      <c r="RUH134" s="64"/>
      <c r="RUI134" s="64"/>
      <c r="RUJ134" s="64"/>
      <c r="RUK134" s="64"/>
      <c r="RUL134" s="64"/>
      <c r="RUM134" s="64"/>
      <c r="RUN134" s="64"/>
      <c r="RUO134" s="64"/>
      <c r="RUP134" s="64"/>
      <c r="RUQ134" s="64"/>
      <c r="RUR134" s="64"/>
      <c r="RUS134" s="64"/>
      <c r="RUT134" s="64"/>
      <c r="RUU134" s="64"/>
      <c r="RUV134" s="64"/>
      <c r="RUW134" s="64"/>
      <c r="RUX134" s="64"/>
      <c r="RUY134" s="64"/>
      <c r="RUZ134" s="64"/>
      <c r="RVA134" s="64"/>
      <c r="RVB134" s="64"/>
      <c r="RVC134" s="64"/>
      <c r="RVD134" s="64"/>
      <c r="RVE134" s="64"/>
      <c r="RVF134" s="64"/>
      <c r="RVG134" s="64"/>
      <c r="RVH134" s="64"/>
      <c r="RVI134" s="64"/>
      <c r="RVJ134" s="64"/>
      <c r="RVK134" s="64"/>
      <c r="RVL134" s="64"/>
      <c r="RVM134" s="64"/>
      <c r="RVN134" s="64"/>
      <c r="RVO134" s="64"/>
      <c r="RVP134" s="64"/>
      <c r="RVQ134" s="64"/>
      <c r="RVR134" s="64"/>
      <c r="RVS134" s="64"/>
      <c r="RVT134" s="64"/>
      <c r="RVU134" s="64"/>
      <c r="RVV134" s="64"/>
      <c r="RVW134" s="64"/>
      <c r="RVX134" s="64"/>
      <c r="RVY134" s="64"/>
      <c r="RVZ134" s="64"/>
      <c r="RWA134" s="64"/>
      <c r="RWB134" s="64"/>
      <c r="RWC134" s="64"/>
      <c r="RWD134" s="64"/>
      <c r="RWE134" s="64"/>
      <c r="RWF134" s="64"/>
      <c r="RWG134" s="64"/>
      <c r="RWH134" s="64"/>
      <c r="RWI134" s="64"/>
      <c r="RWJ134" s="64"/>
      <c r="RWK134" s="64"/>
      <c r="RWL134" s="64"/>
      <c r="RWM134" s="64"/>
      <c r="RWN134" s="64"/>
      <c r="RWO134" s="64"/>
      <c r="RWP134" s="64"/>
      <c r="RWQ134" s="64"/>
      <c r="RWR134" s="64"/>
      <c r="RWS134" s="64"/>
      <c r="RWT134" s="64"/>
      <c r="RWU134" s="64"/>
      <c r="RWV134" s="64"/>
      <c r="RWW134" s="64"/>
      <c r="RWX134" s="64"/>
      <c r="RWY134" s="64"/>
      <c r="RWZ134" s="64"/>
      <c r="RXA134" s="64"/>
      <c r="RXB134" s="64"/>
      <c r="RXC134" s="64"/>
      <c r="RXD134" s="64"/>
      <c r="RXE134" s="64"/>
      <c r="RXF134" s="64"/>
      <c r="RXG134" s="64"/>
      <c r="RXH134" s="64"/>
      <c r="RXI134" s="64"/>
      <c r="RXJ134" s="64"/>
      <c r="RXK134" s="64"/>
      <c r="RXL134" s="64"/>
      <c r="RXM134" s="64"/>
      <c r="RXN134" s="64"/>
      <c r="RXO134" s="64"/>
      <c r="RXP134" s="64"/>
      <c r="RXQ134" s="64"/>
      <c r="RXR134" s="64"/>
      <c r="RXS134" s="64"/>
      <c r="RXT134" s="64"/>
      <c r="RXU134" s="64"/>
      <c r="RXV134" s="64"/>
      <c r="RXW134" s="64"/>
      <c r="RXX134" s="64"/>
      <c r="RXY134" s="64"/>
      <c r="RXZ134" s="64"/>
      <c r="RYA134" s="64"/>
      <c r="RYB134" s="64"/>
      <c r="RYC134" s="64"/>
      <c r="RYD134" s="64"/>
      <c r="RYE134" s="64"/>
      <c r="RYF134" s="64"/>
      <c r="RYG134" s="64"/>
      <c r="RYH134" s="64"/>
      <c r="RYI134" s="64"/>
      <c r="RYJ134" s="64"/>
      <c r="RYK134" s="64"/>
      <c r="RYL134" s="64"/>
      <c r="RYM134" s="64"/>
      <c r="RYN134" s="64"/>
      <c r="RYO134" s="64"/>
      <c r="RYP134" s="64"/>
      <c r="RYQ134" s="64"/>
      <c r="RYR134" s="64"/>
      <c r="RYS134" s="64"/>
      <c r="RYT134" s="64"/>
      <c r="RYU134" s="64"/>
      <c r="RYV134" s="64"/>
      <c r="RYW134" s="64"/>
      <c r="RYX134" s="64"/>
      <c r="RYY134" s="64"/>
      <c r="RYZ134" s="64"/>
      <c r="RZA134" s="64"/>
      <c r="RZB134" s="64"/>
      <c r="RZC134" s="64"/>
      <c r="RZD134" s="64"/>
      <c r="RZE134" s="64"/>
      <c r="RZF134" s="64"/>
      <c r="RZG134" s="64"/>
      <c r="RZH134" s="64"/>
      <c r="RZI134" s="64"/>
      <c r="RZJ134" s="64"/>
      <c r="RZK134" s="64"/>
      <c r="RZL134" s="64"/>
      <c r="RZM134" s="64"/>
      <c r="RZN134" s="64"/>
      <c r="RZO134" s="64"/>
      <c r="RZP134" s="64"/>
      <c r="RZQ134" s="64"/>
      <c r="RZR134" s="64"/>
      <c r="RZS134" s="64"/>
      <c r="RZT134" s="64"/>
      <c r="RZU134" s="64"/>
      <c r="RZV134" s="64"/>
      <c r="RZW134" s="64"/>
      <c r="RZX134" s="64"/>
      <c r="RZY134" s="64"/>
      <c r="RZZ134" s="64"/>
      <c r="SAA134" s="64"/>
      <c r="SAB134" s="64"/>
      <c r="SAC134" s="64"/>
      <c r="SAD134" s="64"/>
      <c r="SAE134" s="64"/>
      <c r="SAF134" s="64"/>
      <c r="SAG134" s="64"/>
      <c r="SAH134" s="64"/>
      <c r="SAI134" s="64"/>
      <c r="SAJ134" s="64"/>
      <c r="SAK134" s="64"/>
      <c r="SAL134" s="64"/>
      <c r="SAM134" s="64"/>
      <c r="SAN134" s="64"/>
      <c r="SAO134" s="64"/>
      <c r="SAP134" s="64"/>
      <c r="SAQ134" s="64"/>
      <c r="SAR134" s="64"/>
      <c r="SAS134" s="64"/>
      <c r="SAT134" s="64"/>
      <c r="SAU134" s="64"/>
      <c r="SAV134" s="64"/>
      <c r="SAW134" s="64"/>
      <c r="SAX134" s="64"/>
      <c r="SAY134" s="64"/>
      <c r="SAZ134" s="64"/>
      <c r="SBA134" s="64"/>
      <c r="SBB134" s="64"/>
      <c r="SBC134" s="64"/>
      <c r="SBD134" s="64"/>
      <c r="SBE134" s="64"/>
      <c r="SBF134" s="64"/>
      <c r="SBG134" s="64"/>
      <c r="SBH134" s="64"/>
      <c r="SBI134" s="64"/>
      <c r="SBJ134" s="64"/>
      <c r="SBK134" s="64"/>
      <c r="SBL134" s="64"/>
      <c r="SBM134" s="64"/>
      <c r="SBN134" s="64"/>
      <c r="SBO134" s="64"/>
      <c r="SBP134" s="64"/>
      <c r="SBQ134" s="64"/>
      <c r="SBR134" s="64"/>
      <c r="SBS134" s="64"/>
      <c r="SBT134" s="64"/>
      <c r="SBU134" s="64"/>
      <c r="SBV134" s="64"/>
      <c r="SBW134" s="64"/>
      <c r="SBX134" s="64"/>
      <c r="SBY134" s="64"/>
      <c r="SBZ134" s="64"/>
      <c r="SCA134" s="64"/>
      <c r="SCB134" s="64"/>
      <c r="SCC134" s="64"/>
      <c r="SCD134" s="64"/>
      <c r="SCE134" s="64"/>
      <c r="SCF134" s="64"/>
      <c r="SCG134" s="64"/>
      <c r="SCH134" s="64"/>
      <c r="SCI134" s="64"/>
      <c r="SCJ134" s="64"/>
      <c r="SCK134" s="64"/>
      <c r="SCL134" s="64"/>
      <c r="SCM134" s="64"/>
      <c r="SCN134" s="64"/>
      <c r="SCO134" s="64"/>
      <c r="SCP134" s="64"/>
      <c r="SCQ134" s="64"/>
      <c r="SCR134" s="64"/>
      <c r="SCS134" s="64"/>
      <c r="SCT134" s="64"/>
      <c r="SCU134" s="64"/>
      <c r="SCV134" s="64"/>
      <c r="SCW134" s="64"/>
      <c r="SCX134" s="64"/>
      <c r="SCY134" s="64"/>
      <c r="SCZ134" s="64"/>
      <c r="SDA134" s="64"/>
      <c r="SDB134" s="64"/>
      <c r="SDC134" s="64"/>
      <c r="SDD134" s="64"/>
      <c r="SDE134" s="64"/>
      <c r="SDF134" s="64"/>
      <c r="SDG134" s="64"/>
      <c r="SDH134" s="64"/>
      <c r="SDI134" s="64"/>
      <c r="SDJ134" s="64"/>
      <c r="SDK134" s="64"/>
      <c r="SDL134" s="64"/>
      <c r="SDM134" s="64"/>
      <c r="SDN134" s="64"/>
      <c r="SDO134" s="64"/>
      <c r="SDP134" s="64"/>
      <c r="SDQ134" s="64"/>
      <c r="SDR134" s="64"/>
      <c r="SDS134" s="64"/>
      <c r="SDT134" s="64"/>
      <c r="SDU134" s="64"/>
      <c r="SDV134" s="64"/>
      <c r="SDW134" s="64"/>
      <c r="SDX134" s="64"/>
      <c r="SDY134" s="64"/>
      <c r="SDZ134" s="64"/>
      <c r="SEA134" s="64"/>
      <c r="SEB134" s="64"/>
      <c r="SEC134" s="64"/>
      <c r="SED134" s="64"/>
      <c r="SEE134" s="64"/>
      <c r="SEF134" s="64"/>
      <c r="SEG134" s="64"/>
      <c r="SEH134" s="64"/>
      <c r="SEI134" s="64"/>
      <c r="SEJ134" s="64"/>
      <c r="SEK134" s="64"/>
      <c r="SEL134" s="64"/>
      <c r="SEM134" s="64"/>
      <c r="SEN134" s="64"/>
      <c r="SEO134" s="64"/>
      <c r="SEP134" s="64"/>
      <c r="SEQ134" s="64"/>
      <c r="SER134" s="64"/>
      <c r="SES134" s="64"/>
      <c r="SET134" s="64"/>
      <c r="SEU134" s="64"/>
      <c r="SEV134" s="64"/>
      <c r="SEW134" s="64"/>
      <c r="SEX134" s="64"/>
      <c r="SEY134" s="64"/>
      <c r="SEZ134" s="64"/>
      <c r="SFA134" s="64"/>
      <c r="SFB134" s="64"/>
      <c r="SFC134" s="64"/>
      <c r="SFD134" s="64"/>
      <c r="SFE134" s="64"/>
      <c r="SFF134" s="64"/>
      <c r="SFG134" s="64"/>
      <c r="SFH134" s="64"/>
      <c r="SFI134" s="64"/>
      <c r="SFJ134" s="64"/>
      <c r="SFK134" s="64"/>
      <c r="SFL134" s="64"/>
      <c r="SFM134" s="64"/>
      <c r="SFN134" s="64"/>
      <c r="SFO134" s="64"/>
      <c r="SFP134" s="64"/>
      <c r="SFQ134" s="64"/>
      <c r="SFR134" s="64"/>
      <c r="SFS134" s="64"/>
      <c r="SFT134" s="64"/>
      <c r="SFU134" s="64"/>
      <c r="SFV134" s="64"/>
      <c r="SFW134" s="64"/>
      <c r="SFX134" s="64"/>
      <c r="SFY134" s="64"/>
      <c r="SFZ134" s="64"/>
      <c r="SGA134" s="64"/>
      <c r="SGB134" s="64"/>
      <c r="SGC134" s="64"/>
      <c r="SGD134" s="64"/>
      <c r="SGE134" s="64"/>
      <c r="SGF134" s="64"/>
      <c r="SGG134" s="64"/>
      <c r="SGH134" s="64"/>
      <c r="SGI134" s="64"/>
      <c r="SGJ134" s="64"/>
      <c r="SGK134" s="64"/>
      <c r="SGL134" s="64"/>
      <c r="SGM134" s="64"/>
      <c r="SGN134" s="64"/>
      <c r="SGO134" s="64"/>
      <c r="SGP134" s="64"/>
      <c r="SGQ134" s="64"/>
      <c r="SGR134" s="64"/>
      <c r="SGS134" s="64"/>
      <c r="SGT134" s="64"/>
      <c r="SGU134" s="64"/>
      <c r="SGV134" s="64"/>
      <c r="SGW134" s="64"/>
      <c r="SGX134" s="64"/>
      <c r="SGY134" s="64"/>
      <c r="SGZ134" s="64"/>
      <c r="SHA134" s="64"/>
      <c r="SHB134" s="64"/>
      <c r="SHC134" s="64"/>
      <c r="SHD134" s="64"/>
      <c r="SHE134" s="64"/>
      <c r="SHF134" s="64"/>
      <c r="SHG134" s="64"/>
      <c r="SHH134" s="64"/>
      <c r="SHI134" s="64"/>
      <c r="SHJ134" s="64"/>
      <c r="SHK134" s="64"/>
      <c r="SHL134" s="64"/>
      <c r="SHM134" s="64"/>
      <c r="SHN134" s="64"/>
      <c r="SHO134" s="64"/>
      <c r="SHP134" s="64"/>
      <c r="SHQ134" s="64"/>
      <c r="SHR134" s="64"/>
      <c r="SHS134" s="64"/>
      <c r="SHT134" s="64"/>
      <c r="SHU134" s="64"/>
      <c r="SHV134" s="64"/>
      <c r="SHW134" s="64"/>
      <c r="SHX134" s="64"/>
      <c r="SHY134" s="64"/>
      <c r="SHZ134" s="64"/>
      <c r="SIA134" s="64"/>
      <c r="SIB134" s="64"/>
      <c r="SIC134" s="64"/>
      <c r="SID134" s="64"/>
      <c r="SIE134" s="64"/>
      <c r="SIF134" s="64"/>
      <c r="SIG134" s="64"/>
      <c r="SIH134" s="64"/>
      <c r="SII134" s="64"/>
      <c r="SIJ134" s="64"/>
      <c r="SIK134" s="64"/>
      <c r="SIL134" s="64"/>
      <c r="SIM134" s="64"/>
      <c r="SIN134" s="64"/>
      <c r="SIO134" s="64"/>
      <c r="SIP134" s="64"/>
      <c r="SIQ134" s="64"/>
      <c r="SIR134" s="64"/>
      <c r="SIS134" s="64"/>
      <c r="SIT134" s="64"/>
      <c r="SIU134" s="64"/>
      <c r="SIV134" s="64"/>
      <c r="SIW134" s="64"/>
      <c r="SIX134" s="64"/>
      <c r="SIY134" s="64"/>
      <c r="SIZ134" s="64"/>
      <c r="SJA134" s="64"/>
      <c r="SJB134" s="64"/>
      <c r="SJC134" s="64"/>
      <c r="SJD134" s="64"/>
      <c r="SJE134" s="64"/>
      <c r="SJF134" s="64"/>
      <c r="SJG134" s="64"/>
      <c r="SJH134" s="64"/>
      <c r="SJI134" s="64"/>
      <c r="SJJ134" s="64"/>
      <c r="SJK134" s="64"/>
      <c r="SJL134" s="64"/>
      <c r="SJM134" s="64"/>
      <c r="SJN134" s="64"/>
      <c r="SJO134" s="64"/>
      <c r="SJP134" s="64"/>
      <c r="SJQ134" s="64"/>
      <c r="SJR134" s="64"/>
      <c r="SJS134" s="64"/>
      <c r="SJT134" s="64"/>
      <c r="SJU134" s="64"/>
      <c r="SJV134" s="64"/>
      <c r="SJW134" s="64"/>
      <c r="SJX134" s="64"/>
      <c r="SJY134" s="64"/>
      <c r="SJZ134" s="64"/>
      <c r="SKA134" s="64"/>
      <c r="SKB134" s="64"/>
      <c r="SKC134" s="64"/>
      <c r="SKD134" s="64"/>
      <c r="SKE134" s="64"/>
      <c r="SKF134" s="64"/>
      <c r="SKG134" s="64"/>
      <c r="SKH134" s="64"/>
      <c r="SKI134" s="64"/>
      <c r="SKJ134" s="64"/>
      <c r="SKK134" s="64"/>
      <c r="SKL134" s="64"/>
      <c r="SKM134" s="64"/>
      <c r="SKN134" s="64"/>
      <c r="SKO134" s="64"/>
      <c r="SKP134" s="64"/>
      <c r="SKQ134" s="64"/>
      <c r="SKR134" s="64"/>
      <c r="SKS134" s="64"/>
      <c r="SKT134" s="64"/>
      <c r="SKU134" s="64"/>
      <c r="SKV134" s="64"/>
      <c r="SKW134" s="64"/>
      <c r="SKX134" s="64"/>
      <c r="SKY134" s="64"/>
      <c r="SKZ134" s="64"/>
      <c r="SLA134" s="64"/>
      <c r="SLB134" s="64"/>
      <c r="SLC134" s="64"/>
      <c r="SLD134" s="64"/>
      <c r="SLE134" s="64"/>
      <c r="SLF134" s="64"/>
      <c r="SLG134" s="64"/>
      <c r="SLH134" s="64"/>
      <c r="SLI134" s="64"/>
      <c r="SLJ134" s="64"/>
      <c r="SLK134" s="64"/>
      <c r="SLL134" s="64"/>
      <c r="SLM134" s="64"/>
      <c r="SLN134" s="64"/>
      <c r="SLO134" s="64"/>
      <c r="SLP134" s="64"/>
      <c r="SLQ134" s="64"/>
      <c r="SLR134" s="64"/>
      <c r="SLS134" s="64"/>
      <c r="SLT134" s="64"/>
      <c r="SLU134" s="64"/>
      <c r="SLV134" s="64"/>
      <c r="SLW134" s="64"/>
      <c r="SLX134" s="64"/>
      <c r="SLY134" s="64"/>
      <c r="SLZ134" s="64"/>
      <c r="SMA134" s="64"/>
      <c r="SMB134" s="64"/>
      <c r="SMC134" s="64"/>
      <c r="SMD134" s="64"/>
      <c r="SME134" s="64"/>
      <c r="SMF134" s="64"/>
      <c r="SMG134" s="64"/>
      <c r="SMH134" s="64"/>
      <c r="SMI134" s="64"/>
      <c r="SMJ134" s="64"/>
      <c r="SMK134" s="64"/>
      <c r="SML134" s="64"/>
      <c r="SMM134" s="64"/>
      <c r="SMN134" s="64"/>
      <c r="SMO134" s="64"/>
      <c r="SMP134" s="64"/>
      <c r="SMQ134" s="64"/>
      <c r="SMR134" s="64"/>
      <c r="SMS134" s="64"/>
      <c r="SMT134" s="64"/>
      <c r="SMU134" s="64"/>
      <c r="SMV134" s="64"/>
      <c r="SMW134" s="64"/>
      <c r="SMX134" s="64"/>
      <c r="SMY134" s="64"/>
      <c r="SMZ134" s="64"/>
      <c r="SNA134" s="64"/>
      <c r="SNB134" s="64"/>
      <c r="SNC134" s="64"/>
      <c r="SND134" s="64"/>
      <c r="SNE134" s="64"/>
      <c r="SNF134" s="64"/>
      <c r="SNG134" s="64"/>
      <c r="SNH134" s="64"/>
      <c r="SNI134" s="64"/>
      <c r="SNJ134" s="64"/>
      <c r="SNK134" s="64"/>
      <c r="SNL134" s="64"/>
      <c r="SNM134" s="64"/>
      <c r="SNN134" s="64"/>
      <c r="SNO134" s="64"/>
      <c r="SNP134" s="64"/>
      <c r="SNQ134" s="64"/>
      <c r="SNR134" s="64"/>
      <c r="SNS134" s="64"/>
      <c r="SNT134" s="64"/>
      <c r="SNU134" s="64"/>
      <c r="SNV134" s="64"/>
      <c r="SNW134" s="64"/>
      <c r="SNX134" s="64"/>
      <c r="SNY134" s="64"/>
      <c r="SNZ134" s="64"/>
      <c r="SOA134" s="64"/>
      <c r="SOB134" s="64"/>
      <c r="SOC134" s="64"/>
      <c r="SOD134" s="64"/>
      <c r="SOE134" s="64"/>
      <c r="SOF134" s="64"/>
      <c r="SOG134" s="64"/>
      <c r="SOH134" s="64"/>
      <c r="SOI134" s="64"/>
      <c r="SOJ134" s="64"/>
      <c r="SOK134" s="64"/>
      <c r="SOL134" s="64"/>
      <c r="SOM134" s="64"/>
      <c r="SON134" s="64"/>
      <c r="SOO134" s="64"/>
      <c r="SOP134" s="64"/>
      <c r="SOQ134" s="64"/>
      <c r="SOR134" s="64"/>
      <c r="SOS134" s="64"/>
      <c r="SOT134" s="64"/>
      <c r="SOU134" s="64"/>
      <c r="SOV134" s="64"/>
      <c r="SOW134" s="64"/>
      <c r="SOX134" s="64"/>
      <c r="SOY134" s="64"/>
      <c r="SOZ134" s="64"/>
      <c r="SPA134" s="64"/>
      <c r="SPB134" s="64"/>
      <c r="SPC134" s="64"/>
      <c r="SPD134" s="64"/>
      <c r="SPE134" s="64"/>
      <c r="SPF134" s="64"/>
      <c r="SPG134" s="64"/>
      <c r="SPH134" s="64"/>
      <c r="SPI134" s="64"/>
      <c r="SPJ134" s="64"/>
      <c r="SPK134" s="64"/>
      <c r="SPL134" s="64"/>
      <c r="SPM134" s="64"/>
      <c r="SPN134" s="64"/>
      <c r="SPO134" s="64"/>
      <c r="SPP134" s="64"/>
      <c r="SPQ134" s="64"/>
      <c r="SPR134" s="64"/>
      <c r="SPS134" s="64"/>
      <c r="SPT134" s="64"/>
      <c r="SPU134" s="64"/>
      <c r="SPV134" s="64"/>
      <c r="SPW134" s="64"/>
      <c r="SPX134" s="64"/>
      <c r="SPY134" s="64"/>
      <c r="SPZ134" s="64"/>
      <c r="SQA134" s="64"/>
      <c r="SQB134" s="64"/>
      <c r="SQC134" s="64"/>
      <c r="SQD134" s="64"/>
      <c r="SQE134" s="64"/>
      <c r="SQF134" s="64"/>
      <c r="SQG134" s="64"/>
      <c r="SQH134" s="64"/>
      <c r="SQI134" s="64"/>
      <c r="SQJ134" s="64"/>
      <c r="SQK134" s="64"/>
      <c r="SQL134" s="64"/>
      <c r="SQM134" s="64"/>
      <c r="SQN134" s="64"/>
      <c r="SQO134" s="64"/>
      <c r="SQP134" s="64"/>
      <c r="SQQ134" s="64"/>
      <c r="SQR134" s="64"/>
      <c r="SQS134" s="64"/>
      <c r="SQT134" s="64"/>
      <c r="SQU134" s="64"/>
      <c r="SQV134" s="64"/>
      <c r="SQW134" s="64"/>
      <c r="SQX134" s="64"/>
      <c r="SQY134" s="64"/>
      <c r="SQZ134" s="64"/>
      <c r="SRA134" s="64"/>
      <c r="SRB134" s="64"/>
      <c r="SRC134" s="64"/>
      <c r="SRD134" s="64"/>
      <c r="SRE134" s="64"/>
      <c r="SRF134" s="64"/>
      <c r="SRG134" s="64"/>
      <c r="SRH134" s="64"/>
      <c r="SRI134" s="64"/>
      <c r="SRJ134" s="64"/>
      <c r="SRK134" s="64"/>
      <c r="SRL134" s="64"/>
      <c r="SRM134" s="64"/>
      <c r="SRN134" s="64"/>
      <c r="SRO134" s="64"/>
      <c r="SRP134" s="64"/>
      <c r="SRQ134" s="64"/>
      <c r="SRR134" s="64"/>
      <c r="SRS134" s="64"/>
      <c r="SRT134" s="64"/>
      <c r="SRU134" s="64"/>
      <c r="SRV134" s="64"/>
      <c r="SRW134" s="64"/>
      <c r="SRX134" s="64"/>
      <c r="SRY134" s="64"/>
      <c r="SRZ134" s="64"/>
      <c r="SSA134" s="64"/>
      <c r="SSB134" s="64"/>
      <c r="SSC134" s="64"/>
      <c r="SSD134" s="64"/>
      <c r="SSE134" s="64"/>
      <c r="SSF134" s="64"/>
      <c r="SSG134" s="64"/>
      <c r="SSH134" s="64"/>
      <c r="SSI134" s="64"/>
      <c r="SSJ134" s="64"/>
      <c r="SSK134" s="64"/>
      <c r="SSL134" s="64"/>
      <c r="SSM134" s="64"/>
      <c r="SSN134" s="64"/>
      <c r="SSO134" s="64"/>
      <c r="SSP134" s="64"/>
      <c r="SSQ134" s="64"/>
      <c r="SSR134" s="64"/>
      <c r="SSS134" s="64"/>
      <c r="SST134" s="64"/>
      <c r="SSU134" s="64"/>
      <c r="SSV134" s="64"/>
      <c r="SSW134" s="64"/>
      <c r="SSX134" s="64"/>
      <c r="SSY134" s="64"/>
      <c r="SSZ134" s="64"/>
      <c r="STA134" s="64"/>
      <c r="STB134" s="64"/>
      <c r="STC134" s="64"/>
      <c r="STD134" s="64"/>
      <c r="STE134" s="64"/>
      <c r="STF134" s="64"/>
      <c r="STG134" s="64"/>
      <c r="STH134" s="64"/>
      <c r="STI134" s="64"/>
      <c r="STJ134" s="64"/>
      <c r="STK134" s="64"/>
      <c r="STL134" s="64"/>
      <c r="STM134" s="64"/>
      <c r="STN134" s="64"/>
      <c r="STO134" s="64"/>
      <c r="STP134" s="64"/>
      <c r="STQ134" s="64"/>
      <c r="STR134" s="64"/>
      <c r="STS134" s="64"/>
      <c r="STT134" s="64"/>
      <c r="STU134" s="64"/>
      <c r="STV134" s="64"/>
      <c r="STW134" s="64"/>
      <c r="STX134" s="64"/>
      <c r="STY134" s="64"/>
      <c r="STZ134" s="64"/>
      <c r="SUA134" s="64"/>
      <c r="SUB134" s="64"/>
      <c r="SUC134" s="64"/>
      <c r="SUD134" s="64"/>
      <c r="SUE134" s="64"/>
      <c r="SUF134" s="64"/>
      <c r="SUG134" s="64"/>
      <c r="SUH134" s="64"/>
      <c r="SUI134" s="64"/>
      <c r="SUJ134" s="64"/>
      <c r="SUK134" s="64"/>
      <c r="SUL134" s="64"/>
      <c r="SUM134" s="64"/>
      <c r="SUN134" s="64"/>
      <c r="SUO134" s="64"/>
      <c r="SUP134" s="64"/>
      <c r="SUQ134" s="64"/>
      <c r="SUR134" s="64"/>
      <c r="SUS134" s="64"/>
      <c r="SUT134" s="64"/>
      <c r="SUU134" s="64"/>
      <c r="SUV134" s="64"/>
      <c r="SUW134" s="64"/>
      <c r="SUX134" s="64"/>
      <c r="SUY134" s="64"/>
      <c r="SUZ134" s="64"/>
      <c r="SVA134" s="64"/>
      <c r="SVB134" s="64"/>
      <c r="SVC134" s="64"/>
      <c r="SVD134" s="64"/>
      <c r="SVE134" s="64"/>
      <c r="SVF134" s="64"/>
      <c r="SVG134" s="64"/>
      <c r="SVH134" s="64"/>
      <c r="SVI134" s="64"/>
      <c r="SVJ134" s="64"/>
      <c r="SVK134" s="64"/>
      <c r="SVL134" s="64"/>
      <c r="SVM134" s="64"/>
      <c r="SVN134" s="64"/>
      <c r="SVO134" s="64"/>
      <c r="SVP134" s="64"/>
      <c r="SVQ134" s="64"/>
      <c r="SVR134" s="64"/>
      <c r="SVS134" s="64"/>
      <c r="SVT134" s="64"/>
      <c r="SVU134" s="64"/>
      <c r="SVV134" s="64"/>
      <c r="SVW134" s="64"/>
      <c r="SVX134" s="64"/>
      <c r="SVY134" s="64"/>
      <c r="SVZ134" s="64"/>
      <c r="SWA134" s="64"/>
      <c r="SWB134" s="64"/>
      <c r="SWC134" s="64"/>
      <c r="SWD134" s="64"/>
      <c r="SWE134" s="64"/>
      <c r="SWF134" s="64"/>
      <c r="SWG134" s="64"/>
      <c r="SWH134" s="64"/>
      <c r="SWI134" s="64"/>
      <c r="SWJ134" s="64"/>
      <c r="SWK134" s="64"/>
      <c r="SWL134" s="64"/>
      <c r="SWM134" s="64"/>
      <c r="SWN134" s="64"/>
      <c r="SWO134" s="64"/>
      <c r="SWP134" s="64"/>
      <c r="SWQ134" s="64"/>
      <c r="SWR134" s="64"/>
      <c r="SWS134" s="64"/>
      <c r="SWT134" s="64"/>
      <c r="SWU134" s="64"/>
      <c r="SWV134" s="64"/>
      <c r="SWW134" s="64"/>
      <c r="SWX134" s="64"/>
      <c r="SWY134" s="64"/>
      <c r="SWZ134" s="64"/>
      <c r="SXA134" s="64"/>
      <c r="SXB134" s="64"/>
      <c r="SXC134" s="64"/>
      <c r="SXD134" s="64"/>
      <c r="SXE134" s="64"/>
      <c r="SXF134" s="64"/>
      <c r="SXG134" s="64"/>
      <c r="SXH134" s="64"/>
      <c r="SXI134" s="64"/>
      <c r="SXJ134" s="64"/>
      <c r="SXK134" s="64"/>
      <c r="SXL134" s="64"/>
      <c r="SXM134" s="64"/>
      <c r="SXN134" s="64"/>
      <c r="SXO134" s="64"/>
      <c r="SXP134" s="64"/>
      <c r="SXQ134" s="64"/>
      <c r="SXR134" s="64"/>
      <c r="SXS134" s="64"/>
      <c r="SXT134" s="64"/>
      <c r="SXU134" s="64"/>
      <c r="SXV134" s="64"/>
      <c r="SXW134" s="64"/>
      <c r="SXX134" s="64"/>
      <c r="SXY134" s="64"/>
      <c r="SXZ134" s="64"/>
      <c r="SYA134" s="64"/>
      <c r="SYB134" s="64"/>
      <c r="SYC134" s="64"/>
      <c r="SYD134" s="64"/>
      <c r="SYE134" s="64"/>
      <c r="SYF134" s="64"/>
      <c r="SYG134" s="64"/>
      <c r="SYH134" s="64"/>
      <c r="SYI134" s="64"/>
      <c r="SYJ134" s="64"/>
      <c r="SYK134" s="64"/>
      <c r="SYL134" s="64"/>
      <c r="SYM134" s="64"/>
      <c r="SYN134" s="64"/>
      <c r="SYO134" s="64"/>
      <c r="SYP134" s="64"/>
      <c r="SYQ134" s="64"/>
      <c r="SYR134" s="64"/>
      <c r="SYS134" s="64"/>
      <c r="SYT134" s="64"/>
      <c r="SYU134" s="64"/>
      <c r="SYV134" s="64"/>
      <c r="SYW134" s="64"/>
      <c r="SYX134" s="64"/>
      <c r="SYY134" s="64"/>
      <c r="SYZ134" s="64"/>
      <c r="SZA134" s="64"/>
      <c r="SZB134" s="64"/>
      <c r="SZC134" s="64"/>
      <c r="SZD134" s="64"/>
      <c r="SZE134" s="64"/>
      <c r="SZF134" s="64"/>
      <c r="SZG134" s="64"/>
      <c r="SZH134" s="64"/>
      <c r="SZI134" s="64"/>
      <c r="SZJ134" s="64"/>
      <c r="SZK134" s="64"/>
      <c r="SZL134" s="64"/>
      <c r="SZM134" s="64"/>
      <c r="SZN134" s="64"/>
      <c r="SZO134" s="64"/>
      <c r="SZP134" s="64"/>
      <c r="SZQ134" s="64"/>
      <c r="SZR134" s="64"/>
      <c r="SZS134" s="64"/>
      <c r="SZT134" s="64"/>
      <c r="SZU134" s="64"/>
      <c r="SZV134" s="64"/>
      <c r="SZW134" s="64"/>
      <c r="SZX134" s="64"/>
      <c r="SZY134" s="64"/>
      <c r="SZZ134" s="64"/>
      <c r="TAA134" s="64"/>
      <c r="TAB134" s="64"/>
      <c r="TAC134" s="64"/>
      <c r="TAD134" s="64"/>
      <c r="TAE134" s="64"/>
      <c r="TAF134" s="64"/>
      <c r="TAG134" s="64"/>
      <c r="TAH134" s="64"/>
      <c r="TAI134" s="64"/>
      <c r="TAJ134" s="64"/>
      <c r="TAK134" s="64"/>
      <c r="TAL134" s="64"/>
      <c r="TAM134" s="64"/>
      <c r="TAN134" s="64"/>
      <c r="TAO134" s="64"/>
      <c r="TAP134" s="64"/>
      <c r="TAQ134" s="64"/>
      <c r="TAR134" s="64"/>
      <c r="TAS134" s="64"/>
      <c r="TAT134" s="64"/>
      <c r="TAU134" s="64"/>
      <c r="TAV134" s="64"/>
      <c r="TAW134" s="64"/>
      <c r="TAX134" s="64"/>
      <c r="TAY134" s="64"/>
      <c r="TAZ134" s="64"/>
      <c r="TBA134" s="64"/>
      <c r="TBB134" s="64"/>
      <c r="TBC134" s="64"/>
      <c r="TBD134" s="64"/>
      <c r="TBE134" s="64"/>
      <c r="TBF134" s="64"/>
      <c r="TBG134" s="64"/>
      <c r="TBH134" s="64"/>
      <c r="TBI134" s="64"/>
      <c r="TBJ134" s="64"/>
      <c r="TBK134" s="64"/>
      <c r="TBL134" s="64"/>
      <c r="TBM134" s="64"/>
      <c r="TBN134" s="64"/>
      <c r="TBO134" s="64"/>
      <c r="TBP134" s="64"/>
      <c r="TBQ134" s="64"/>
      <c r="TBR134" s="64"/>
      <c r="TBS134" s="64"/>
      <c r="TBT134" s="64"/>
      <c r="TBU134" s="64"/>
      <c r="TBV134" s="64"/>
      <c r="TBW134" s="64"/>
      <c r="TBX134" s="64"/>
      <c r="TBY134" s="64"/>
      <c r="TBZ134" s="64"/>
      <c r="TCA134" s="64"/>
      <c r="TCB134" s="64"/>
      <c r="TCC134" s="64"/>
      <c r="TCD134" s="64"/>
      <c r="TCE134" s="64"/>
      <c r="TCF134" s="64"/>
      <c r="TCG134" s="64"/>
      <c r="TCH134" s="64"/>
      <c r="TCI134" s="64"/>
      <c r="TCJ134" s="64"/>
      <c r="TCK134" s="64"/>
      <c r="TCL134" s="64"/>
      <c r="TCM134" s="64"/>
      <c r="TCN134" s="64"/>
      <c r="TCO134" s="64"/>
      <c r="TCP134" s="64"/>
      <c r="TCQ134" s="64"/>
      <c r="TCR134" s="64"/>
      <c r="TCS134" s="64"/>
      <c r="TCT134" s="64"/>
      <c r="TCU134" s="64"/>
      <c r="TCV134" s="64"/>
      <c r="TCW134" s="64"/>
      <c r="TCX134" s="64"/>
      <c r="TCY134" s="64"/>
      <c r="TCZ134" s="64"/>
      <c r="TDA134" s="64"/>
      <c r="TDB134" s="64"/>
      <c r="TDC134" s="64"/>
      <c r="TDD134" s="64"/>
      <c r="TDE134" s="64"/>
      <c r="TDF134" s="64"/>
      <c r="TDG134" s="64"/>
      <c r="TDH134" s="64"/>
      <c r="TDI134" s="64"/>
      <c r="TDJ134" s="64"/>
      <c r="TDK134" s="64"/>
      <c r="TDL134" s="64"/>
      <c r="TDM134" s="64"/>
      <c r="TDN134" s="64"/>
      <c r="TDO134" s="64"/>
      <c r="TDP134" s="64"/>
      <c r="TDQ134" s="64"/>
      <c r="TDR134" s="64"/>
      <c r="TDS134" s="64"/>
      <c r="TDT134" s="64"/>
      <c r="TDU134" s="64"/>
      <c r="TDV134" s="64"/>
      <c r="TDW134" s="64"/>
      <c r="TDX134" s="64"/>
      <c r="TDY134" s="64"/>
      <c r="TDZ134" s="64"/>
      <c r="TEA134" s="64"/>
      <c r="TEB134" s="64"/>
      <c r="TEC134" s="64"/>
      <c r="TED134" s="64"/>
      <c r="TEE134" s="64"/>
      <c r="TEF134" s="64"/>
      <c r="TEG134" s="64"/>
      <c r="TEH134" s="64"/>
      <c r="TEI134" s="64"/>
      <c r="TEJ134" s="64"/>
      <c r="TEK134" s="64"/>
      <c r="TEL134" s="64"/>
      <c r="TEM134" s="64"/>
      <c r="TEN134" s="64"/>
      <c r="TEO134" s="64"/>
      <c r="TEP134" s="64"/>
      <c r="TEQ134" s="64"/>
      <c r="TER134" s="64"/>
      <c r="TES134" s="64"/>
      <c r="TET134" s="64"/>
      <c r="TEU134" s="64"/>
      <c r="TEV134" s="64"/>
      <c r="TEW134" s="64"/>
      <c r="TEX134" s="64"/>
      <c r="TEY134" s="64"/>
      <c r="TEZ134" s="64"/>
      <c r="TFA134" s="64"/>
      <c r="TFB134" s="64"/>
      <c r="TFC134" s="64"/>
      <c r="TFD134" s="64"/>
      <c r="TFE134" s="64"/>
      <c r="TFF134" s="64"/>
      <c r="TFG134" s="64"/>
      <c r="TFH134" s="64"/>
      <c r="TFI134" s="64"/>
      <c r="TFJ134" s="64"/>
      <c r="TFK134" s="64"/>
      <c r="TFL134" s="64"/>
      <c r="TFM134" s="64"/>
      <c r="TFN134" s="64"/>
      <c r="TFO134" s="64"/>
      <c r="TFP134" s="64"/>
      <c r="TFQ134" s="64"/>
      <c r="TFR134" s="64"/>
      <c r="TFS134" s="64"/>
      <c r="TFT134" s="64"/>
      <c r="TFU134" s="64"/>
      <c r="TFV134" s="64"/>
      <c r="TFW134" s="64"/>
      <c r="TFX134" s="64"/>
      <c r="TFY134" s="64"/>
      <c r="TFZ134" s="64"/>
      <c r="TGA134" s="64"/>
      <c r="TGB134" s="64"/>
      <c r="TGC134" s="64"/>
      <c r="TGD134" s="64"/>
      <c r="TGE134" s="64"/>
      <c r="TGF134" s="64"/>
      <c r="TGG134" s="64"/>
      <c r="TGH134" s="64"/>
      <c r="TGI134" s="64"/>
      <c r="TGJ134" s="64"/>
      <c r="TGK134" s="64"/>
      <c r="TGL134" s="64"/>
      <c r="TGM134" s="64"/>
      <c r="TGN134" s="64"/>
      <c r="TGO134" s="64"/>
      <c r="TGP134" s="64"/>
      <c r="TGQ134" s="64"/>
      <c r="TGR134" s="64"/>
      <c r="TGS134" s="64"/>
      <c r="TGT134" s="64"/>
      <c r="TGU134" s="64"/>
      <c r="TGV134" s="64"/>
      <c r="TGW134" s="64"/>
      <c r="TGX134" s="64"/>
      <c r="TGY134" s="64"/>
      <c r="TGZ134" s="64"/>
      <c r="THA134" s="64"/>
      <c r="THB134" s="64"/>
      <c r="THC134" s="64"/>
      <c r="THD134" s="64"/>
      <c r="THE134" s="64"/>
      <c r="THF134" s="64"/>
      <c r="THG134" s="64"/>
      <c r="THH134" s="64"/>
      <c r="THI134" s="64"/>
      <c r="THJ134" s="64"/>
      <c r="THK134" s="64"/>
      <c r="THL134" s="64"/>
      <c r="THM134" s="64"/>
      <c r="THN134" s="64"/>
      <c r="THO134" s="64"/>
      <c r="THP134" s="64"/>
      <c r="THQ134" s="64"/>
      <c r="THR134" s="64"/>
      <c r="THS134" s="64"/>
      <c r="THT134" s="64"/>
      <c r="THU134" s="64"/>
      <c r="THV134" s="64"/>
      <c r="THW134" s="64"/>
      <c r="THX134" s="64"/>
      <c r="THY134" s="64"/>
      <c r="THZ134" s="64"/>
      <c r="TIA134" s="64"/>
      <c r="TIB134" s="64"/>
      <c r="TIC134" s="64"/>
      <c r="TID134" s="64"/>
      <c r="TIE134" s="64"/>
      <c r="TIF134" s="64"/>
      <c r="TIG134" s="64"/>
      <c r="TIH134" s="64"/>
      <c r="TII134" s="64"/>
      <c r="TIJ134" s="64"/>
      <c r="TIK134" s="64"/>
      <c r="TIL134" s="64"/>
      <c r="TIM134" s="64"/>
      <c r="TIN134" s="64"/>
      <c r="TIO134" s="64"/>
      <c r="TIP134" s="64"/>
      <c r="TIQ134" s="64"/>
      <c r="TIR134" s="64"/>
      <c r="TIS134" s="64"/>
      <c r="TIT134" s="64"/>
      <c r="TIU134" s="64"/>
      <c r="TIV134" s="64"/>
      <c r="TIW134" s="64"/>
      <c r="TIX134" s="64"/>
      <c r="TIY134" s="64"/>
      <c r="TIZ134" s="64"/>
      <c r="TJA134" s="64"/>
      <c r="TJB134" s="64"/>
      <c r="TJC134" s="64"/>
      <c r="TJD134" s="64"/>
      <c r="TJE134" s="64"/>
      <c r="TJF134" s="64"/>
      <c r="TJG134" s="64"/>
      <c r="TJH134" s="64"/>
      <c r="TJI134" s="64"/>
      <c r="TJJ134" s="64"/>
      <c r="TJK134" s="64"/>
      <c r="TJL134" s="64"/>
      <c r="TJM134" s="64"/>
      <c r="TJN134" s="64"/>
      <c r="TJO134" s="64"/>
      <c r="TJP134" s="64"/>
      <c r="TJQ134" s="64"/>
      <c r="TJR134" s="64"/>
      <c r="TJS134" s="64"/>
      <c r="TJT134" s="64"/>
      <c r="TJU134" s="64"/>
      <c r="TJV134" s="64"/>
      <c r="TJW134" s="64"/>
      <c r="TJX134" s="64"/>
      <c r="TJY134" s="64"/>
      <c r="TJZ134" s="64"/>
      <c r="TKA134" s="64"/>
      <c r="TKB134" s="64"/>
      <c r="TKC134" s="64"/>
      <c r="TKD134" s="64"/>
      <c r="TKE134" s="64"/>
      <c r="TKF134" s="64"/>
      <c r="TKG134" s="64"/>
      <c r="TKH134" s="64"/>
      <c r="TKI134" s="64"/>
      <c r="TKJ134" s="64"/>
      <c r="TKK134" s="64"/>
      <c r="TKL134" s="64"/>
      <c r="TKM134" s="64"/>
      <c r="TKN134" s="64"/>
      <c r="TKO134" s="64"/>
      <c r="TKP134" s="64"/>
      <c r="TKQ134" s="64"/>
      <c r="TKR134" s="64"/>
      <c r="TKS134" s="64"/>
      <c r="TKT134" s="64"/>
      <c r="TKU134" s="64"/>
      <c r="TKV134" s="64"/>
      <c r="TKW134" s="64"/>
      <c r="TKX134" s="64"/>
      <c r="TKY134" s="64"/>
      <c r="TKZ134" s="64"/>
      <c r="TLA134" s="64"/>
      <c r="TLB134" s="64"/>
      <c r="TLC134" s="64"/>
      <c r="TLD134" s="64"/>
      <c r="TLE134" s="64"/>
      <c r="TLF134" s="64"/>
      <c r="TLG134" s="64"/>
      <c r="TLH134" s="64"/>
      <c r="TLI134" s="64"/>
      <c r="TLJ134" s="64"/>
      <c r="TLK134" s="64"/>
      <c r="TLL134" s="64"/>
      <c r="TLM134" s="64"/>
      <c r="TLN134" s="64"/>
      <c r="TLO134" s="64"/>
      <c r="TLP134" s="64"/>
      <c r="TLQ134" s="64"/>
      <c r="TLR134" s="64"/>
      <c r="TLS134" s="64"/>
      <c r="TLT134" s="64"/>
      <c r="TLU134" s="64"/>
      <c r="TLV134" s="64"/>
      <c r="TLW134" s="64"/>
      <c r="TLX134" s="64"/>
      <c r="TLY134" s="64"/>
      <c r="TLZ134" s="64"/>
      <c r="TMA134" s="64"/>
      <c r="TMB134" s="64"/>
      <c r="TMC134" s="64"/>
      <c r="TMD134" s="64"/>
      <c r="TME134" s="64"/>
      <c r="TMF134" s="64"/>
      <c r="TMG134" s="64"/>
      <c r="TMH134" s="64"/>
      <c r="TMI134" s="64"/>
      <c r="TMJ134" s="64"/>
      <c r="TMK134" s="64"/>
      <c r="TML134" s="64"/>
      <c r="TMM134" s="64"/>
      <c r="TMN134" s="64"/>
      <c r="TMO134" s="64"/>
      <c r="TMP134" s="64"/>
      <c r="TMQ134" s="64"/>
      <c r="TMR134" s="64"/>
      <c r="TMS134" s="64"/>
      <c r="TMT134" s="64"/>
      <c r="TMU134" s="64"/>
      <c r="TMV134" s="64"/>
      <c r="TMW134" s="64"/>
      <c r="TMX134" s="64"/>
      <c r="TMY134" s="64"/>
      <c r="TMZ134" s="64"/>
      <c r="TNA134" s="64"/>
      <c r="TNB134" s="64"/>
      <c r="TNC134" s="64"/>
      <c r="TND134" s="64"/>
      <c r="TNE134" s="64"/>
      <c r="TNF134" s="64"/>
      <c r="TNG134" s="64"/>
      <c r="TNH134" s="64"/>
      <c r="TNI134" s="64"/>
      <c r="TNJ134" s="64"/>
      <c r="TNK134" s="64"/>
      <c r="TNL134" s="64"/>
      <c r="TNM134" s="64"/>
      <c r="TNN134" s="64"/>
      <c r="TNO134" s="64"/>
      <c r="TNP134" s="64"/>
      <c r="TNQ134" s="64"/>
      <c r="TNR134" s="64"/>
      <c r="TNS134" s="64"/>
      <c r="TNT134" s="64"/>
      <c r="TNU134" s="64"/>
      <c r="TNV134" s="64"/>
      <c r="TNW134" s="64"/>
      <c r="TNX134" s="64"/>
      <c r="TNY134" s="64"/>
      <c r="TNZ134" s="64"/>
      <c r="TOA134" s="64"/>
      <c r="TOB134" s="64"/>
      <c r="TOC134" s="64"/>
      <c r="TOD134" s="64"/>
      <c r="TOE134" s="64"/>
      <c r="TOF134" s="64"/>
      <c r="TOG134" s="64"/>
      <c r="TOH134" s="64"/>
      <c r="TOI134" s="64"/>
      <c r="TOJ134" s="64"/>
      <c r="TOK134" s="64"/>
      <c r="TOL134" s="64"/>
      <c r="TOM134" s="64"/>
      <c r="TON134" s="64"/>
      <c r="TOO134" s="64"/>
      <c r="TOP134" s="64"/>
      <c r="TOQ134" s="64"/>
      <c r="TOR134" s="64"/>
      <c r="TOS134" s="64"/>
      <c r="TOT134" s="64"/>
      <c r="TOU134" s="64"/>
      <c r="TOV134" s="64"/>
      <c r="TOW134" s="64"/>
      <c r="TOX134" s="64"/>
      <c r="TOY134" s="64"/>
      <c r="TOZ134" s="64"/>
      <c r="TPA134" s="64"/>
      <c r="TPB134" s="64"/>
      <c r="TPC134" s="64"/>
      <c r="TPD134" s="64"/>
      <c r="TPE134" s="64"/>
      <c r="TPF134" s="64"/>
      <c r="TPG134" s="64"/>
      <c r="TPH134" s="64"/>
      <c r="TPI134" s="64"/>
      <c r="TPJ134" s="64"/>
      <c r="TPK134" s="64"/>
      <c r="TPL134" s="64"/>
      <c r="TPM134" s="64"/>
      <c r="TPN134" s="64"/>
      <c r="TPO134" s="64"/>
      <c r="TPP134" s="64"/>
      <c r="TPQ134" s="64"/>
      <c r="TPR134" s="64"/>
      <c r="TPS134" s="64"/>
      <c r="TPT134" s="64"/>
      <c r="TPU134" s="64"/>
      <c r="TPV134" s="64"/>
      <c r="TPW134" s="64"/>
      <c r="TPX134" s="64"/>
      <c r="TPY134" s="64"/>
      <c r="TPZ134" s="64"/>
      <c r="TQA134" s="64"/>
      <c r="TQB134" s="64"/>
      <c r="TQC134" s="64"/>
      <c r="TQD134" s="64"/>
      <c r="TQE134" s="64"/>
      <c r="TQF134" s="64"/>
      <c r="TQG134" s="64"/>
      <c r="TQH134" s="64"/>
      <c r="TQI134" s="64"/>
      <c r="TQJ134" s="64"/>
      <c r="TQK134" s="64"/>
      <c r="TQL134" s="64"/>
      <c r="TQM134" s="64"/>
      <c r="TQN134" s="64"/>
      <c r="TQO134" s="64"/>
      <c r="TQP134" s="64"/>
      <c r="TQQ134" s="64"/>
      <c r="TQR134" s="64"/>
      <c r="TQS134" s="64"/>
      <c r="TQT134" s="64"/>
      <c r="TQU134" s="64"/>
      <c r="TQV134" s="64"/>
      <c r="TQW134" s="64"/>
      <c r="TQX134" s="64"/>
      <c r="TQY134" s="64"/>
      <c r="TQZ134" s="64"/>
      <c r="TRA134" s="64"/>
      <c r="TRB134" s="64"/>
      <c r="TRC134" s="64"/>
      <c r="TRD134" s="64"/>
      <c r="TRE134" s="64"/>
      <c r="TRF134" s="64"/>
      <c r="TRG134" s="64"/>
      <c r="TRH134" s="64"/>
      <c r="TRI134" s="64"/>
      <c r="TRJ134" s="64"/>
      <c r="TRK134" s="64"/>
      <c r="TRL134" s="64"/>
      <c r="TRM134" s="64"/>
      <c r="TRN134" s="64"/>
      <c r="TRO134" s="64"/>
      <c r="TRP134" s="64"/>
      <c r="TRQ134" s="64"/>
      <c r="TRR134" s="64"/>
      <c r="TRS134" s="64"/>
      <c r="TRT134" s="64"/>
      <c r="TRU134" s="64"/>
      <c r="TRV134" s="64"/>
      <c r="TRW134" s="64"/>
      <c r="TRX134" s="64"/>
      <c r="TRY134" s="64"/>
      <c r="TRZ134" s="64"/>
      <c r="TSA134" s="64"/>
      <c r="TSB134" s="64"/>
      <c r="TSC134" s="64"/>
      <c r="TSD134" s="64"/>
      <c r="TSE134" s="64"/>
      <c r="TSF134" s="64"/>
      <c r="TSG134" s="64"/>
      <c r="TSH134" s="64"/>
      <c r="TSI134" s="64"/>
      <c r="TSJ134" s="64"/>
      <c r="TSK134" s="64"/>
      <c r="TSL134" s="64"/>
      <c r="TSM134" s="64"/>
      <c r="TSN134" s="64"/>
      <c r="TSO134" s="64"/>
      <c r="TSP134" s="64"/>
      <c r="TSQ134" s="64"/>
      <c r="TSR134" s="64"/>
      <c r="TSS134" s="64"/>
      <c r="TST134" s="64"/>
      <c r="TSU134" s="64"/>
      <c r="TSV134" s="64"/>
      <c r="TSW134" s="64"/>
      <c r="TSX134" s="64"/>
      <c r="TSY134" s="64"/>
      <c r="TSZ134" s="64"/>
      <c r="TTA134" s="64"/>
      <c r="TTB134" s="64"/>
      <c r="TTC134" s="64"/>
      <c r="TTD134" s="64"/>
      <c r="TTE134" s="64"/>
      <c r="TTF134" s="64"/>
      <c r="TTG134" s="64"/>
      <c r="TTH134" s="64"/>
      <c r="TTI134" s="64"/>
      <c r="TTJ134" s="64"/>
      <c r="TTK134" s="64"/>
      <c r="TTL134" s="64"/>
      <c r="TTM134" s="64"/>
      <c r="TTN134" s="64"/>
      <c r="TTO134" s="64"/>
      <c r="TTP134" s="64"/>
      <c r="TTQ134" s="64"/>
      <c r="TTR134" s="64"/>
      <c r="TTS134" s="64"/>
      <c r="TTT134" s="64"/>
      <c r="TTU134" s="64"/>
      <c r="TTV134" s="64"/>
      <c r="TTW134" s="64"/>
      <c r="TTX134" s="64"/>
      <c r="TTY134" s="64"/>
      <c r="TTZ134" s="64"/>
      <c r="TUA134" s="64"/>
      <c r="TUB134" s="64"/>
      <c r="TUC134" s="64"/>
      <c r="TUD134" s="64"/>
      <c r="TUE134" s="64"/>
      <c r="TUF134" s="64"/>
      <c r="TUG134" s="64"/>
      <c r="TUH134" s="64"/>
      <c r="TUI134" s="64"/>
      <c r="TUJ134" s="64"/>
      <c r="TUK134" s="64"/>
      <c r="TUL134" s="64"/>
      <c r="TUM134" s="64"/>
      <c r="TUN134" s="64"/>
      <c r="TUO134" s="64"/>
      <c r="TUP134" s="64"/>
      <c r="TUQ134" s="64"/>
      <c r="TUR134" s="64"/>
      <c r="TUS134" s="64"/>
      <c r="TUT134" s="64"/>
      <c r="TUU134" s="64"/>
      <c r="TUV134" s="64"/>
      <c r="TUW134" s="64"/>
      <c r="TUX134" s="64"/>
      <c r="TUY134" s="64"/>
      <c r="TUZ134" s="64"/>
      <c r="TVA134" s="64"/>
      <c r="TVB134" s="64"/>
      <c r="TVC134" s="64"/>
      <c r="TVD134" s="64"/>
      <c r="TVE134" s="64"/>
      <c r="TVF134" s="64"/>
      <c r="TVG134" s="64"/>
      <c r="TVH134" s="64"/>
      <c r="TVI134" s="64"/>
      <c r="TVJ134" s="64"/>
      <c r="TVK134" s="64"/>
      <c r="TVL134" s="64"/>
      <c r="TVM134" s="64"/>
      <c r="TVN134" s="64"/>
      <c r="TVO134" s="64"/>
      <c r="TVP134" s="64"/>
      <c r="TVQ134" s="64"/>
      <c r="TVR134" s="64"/>
      <c r="TVS134" s="64"/>
      <c r="TVT134" s="64"/>
      <c r="TVU134" s="64"/>
      <c r="TVV134" s="64"/>
      <c r="TVW134" s="64"/>
      <c r="TVX134" s="64"/>
      <c r="TVY134" s="64"/>
      <c r="TVZ134" s="64"/>
      <c r="TWA134" s="64"/>
      <c r="TWB134" s="64"/>
      <c r="TWC134" s="64"/>
      <c r="TWD134" s="64"/>
      <c r="TWE134" s="64"/>
      <c r="TWF134" s="64"/>
      <c r="TWG134" s="64"/>
      <c r="TWH134" s="64"/>
      <c r="TWI134" s="64"/>
      <c r="TWJ134" s="64"/>
      <c r="TWK134" s="64"/>
      <c r="TWL134" s="64"/>
      <c r="TWM134" s="64"/>
      <c r="TWN134" s="64"/>
      <c r="TWO134" s="64"/>
      <c r="TWP134" s="64"/>
      <c r="TWQ134" s="64"/>
      <c r="TWR134" s="64"/>
      <c r="TWS134" s="64"/>
      <c r="TWT134" s="64"/>
      <c r="TWU134" s="64"/>
      <c r="TWV134" s="64"/>
      <c r="TWW134" s="64"/>
      <c r="TWX134" s="64"/>
      <c r="TWY134" s="64"/>
      <c r="TWZ134" s="64"/>
      <c r="TXA134" s="64"/>
      <c r="TXB134" s="64"/>
      <c r="TXC134" s="64"/>
      <c r="TXD134" s="64"/>
      <c r="TXE134" s="64"/>
      <c r="TXF134" s="64"/>
      <c r="TXG134" s="64"/>
      <c r="TXH134" s="64"/>
      <c r="TXI134" s="64"/>
      <c r="TXJ134" s="64"/>
      <c r="TXK134" s="64"/>
      <c r="TXL134" s="64"/>
      <c r="TXM134" s="64"/>
      <c r="TXN134" s="64"/>
      <c r="TXO134" s="64"/>
      <c r="TXP134" s="64"/>
      <c r="TXQ134" s="64"/>
      <c r="TXR134" s="64"/>
      <c r="TXS134" s="64"/>
      <c r="TXT134" s="64"/>
      <c r="TXU134" s="64"/>
      <c r="TXV134" s="64"/>
      <c r="TXW134" s="64"/>
      <c r="TXX134" s="64"/>
      <c r="TXY134" s="64"/>
      <c r="TXZ134" s="64"/>
      <c r="TYA134" s="64"/>
      <c r="TYB134" s="64"/>
      <c r="TYC134" s="64"/>
      <c r="TYD134" s="64"/>
      <c r="TYE134" s="64"/>
      <c r="TYF134" s="64"/>
      <c r="TYG134" s="64"/>
      <c r="TYH134" s="64"/>
      <c r="TYI134" s="64"/>
      <c r="TYJ134" s="64"/>
      <c r="TYK134" s="64"/>
      <c r="TYL134" s="64"/>
      <c r="TYM134" s="64"/>
      <c r="TYN134" s="64"/>
      <c r="TYO134" s="64"/>
      <c r="TYP134" s="64"/>
      <c r="TYQ134" s="64"/>
      <c r="TYR134" s="64"/>
      <c r="TYS134" s="64"/>
      <c r="TYT134" s="64"/>
      <c r="TYU134" s="64"/>
      <c r="TYV134" s="64"/>
      <c r="TYW134" s="64"/>
      <c r="TYX134" s="64"/>
      <c r="TYY134" s="64"/>
      <c r="TYZ134" s="64"/>
      <c r="TZA134" s="64"/>
      <c r="TZB134" s="64"/>
      <c r="TZC134" s="64"/>
      <c r="TZD134" s="64"/>
      <c r="TZE134" s="64"/>
      <c r="TZF134" s="64"/>
      <c r="TZG134" s="64"/>
      <c r="TZH134" s="64"/>
      <c r="TZI134" s="64"/>
      <c r="TZJ134" s="64"/>
      <c r="TZK134" s="64"/>
      <c r="TZL134" s="64"/>
      <c r="TZM134" s="64"/>
      <c r="TZN134" s="64"/>
      <c r="TZO134" s="64"/>
      <c r="TZP134" s="64"/>
      <c r="TZQ134" s="64"/>
      <c r="TZR134" s="64"/>
      <c r="TZS134" s="64"/>
      <c r="TZT134" s="64"/>
      <c r="TZU134" s="64"/>
      <c r="TZV134" s="64"/>
      <c r="TZW134" s="64"/>
      <c r="TZX134" s="64"/>
      <c r="TZY134" s="64"/>
      <c r="TZZ134" s="64"/>
      <c r="UAA134" s="64"/>
      <c r="UAB134" s="64"/>
      <c r="UAC134" s="64"/>
      <c r="UAD134" s="64"/>
      <c r="UAE134" s="64"/>
      <c r="UAF134" s="64"/>
      <c r="UAG134" s="64"/>
      <c r="UAH134" s="64"/>
      <c r="UAI134" s="64"/>
      <c r="UAJ134" s="64"/>
      <c r="UAK134" s="64"/>
      <c r="UAL134" s="64"/>
      <c r="UAM134" s="64"/>
      <c r="UAN134" s="64"/>
      <c r="UAO134" s="64"/>
      <c r="UAP134" s="64"/>
      <c r="UAQ134" s="64"/>
      <c r="UAR134" s="64"/>
      <c r="UAS134" s="64"/>
      <c r="UAT134" s="64"/>
      <c r="UAU134" s="64"/>
      <c r="UAV134" s="64"/>
      <c r="UAW134" s="64"/>
      <c r="UAX134" s="64"/>
      <c r="UAY134" s="64"/>
      <c r="UAZ134" s="64"/>
      <c r="UBA134" s="64"/>
      <c r="UBB134" s="64"/>
      <c r="UBC134" s="64"/>
      <c r="UBD134" s="64"/>
      <c r="UBE134" s="64"/>
      <c r="UBF134" s="64"/>
      <c r="UBG134" s="64"/>
      <c r="UBH134" s="64"/>
      <c r="UBI134" s="64"/>
      <c r="UBJ134" s="64"/>
      <c r="UBK134" s="64"/>
      <c r="UBL134" s="64"/>
      <c r="UBM134" s="64"/>
      <c r="UBN134" s="64"/>
      <c r="UBO134" s="64"/>
      <c r="UBP134" s="64"/>
      <c r="UBQ134" s="64"/>
      <c r="UBR134" s="64"/>
      <c r="UBS134" s="64"/>
      <c r="UBT134" s="64"/>
      <c r="UBU134" s="64"/>
      <c r="UBV134" s="64"/>
      <c r="UBW134" s="64"/>
      <c r="UBX134" s="64"/>
      <c r="UBY134" s="64"/>
      <c r="UBZ134" s="64"/>
      <c r="UCA134" s="64"/>
      <c r="UCB134" s="64"/>
      <c r="UCC134" s="64"/>
      <c r="UCD134" s="64"/>
      <c r="UCE134" s="64"/>
      <c r="UCF134" s="64"/>
      <c r="UCG134" s="64"/>
      <c r="UCH134" s="64"/>
      <c r="UCI134" s="64"/>
      <c r="UCJ134" s="64"/>
      <c r="UCK134" s="64"/>
      <c r="UCL134" s="64"/>
      <c r="UCM134" s="64"/>
      <c r="UCN134" s="64"/>
      <c r="UCO134" s="64"/>
      <c r="UCP134" s="64"/>
      <c r="UCQ134" s="64"/>
      <c r="UCR134" s="64"/>
      <c r="UCS134" s="64"/>
      <c r="UCT134" s="64"/>
      <c r="UCU134" s="64"/>
      <c r="UCV134" s="64"/>
      <c r="UCW134" s="64"/>
      <c r="UCX134" s="64"/>
      <c r="UCY134" s="64"/>
      <c r="UCZ134" s="64"/>
      <c r="UDA134" s="64"/>
      <c r="UDB134" s="64"/>
      <c r="UDC134" s="64"/>
      <c r="UDD134" s="64"/>
      <c r="UDE134" s="64"/>
      <c r="UDF134" s="64"/>
      <c r="UDG134" s="64"/>
      <c r="UDH134" s="64"/>
      <c r="UDI134" s="64"/>
      <c r="UDJ134" s="64"/>
      <c r="UDK134" s="64"/>
      <c r="UDL134" s="64"/>
      <c r="UDM134" s="64"/>
      <c r="UDN134" s="64"/>
      <c r="UDO134" s="64"/>
      <c r="UDP134" s="64"/>
      <c r="UDQ134" s="64"/>
      <c r="UDR134" s="64"/>
      <c r="UDS134" s="64"/>
      <c r="UDT134" s="64"/>
      <c r="UDU134" s="64"/>
      <c r="UDV134" s="64"/>
      <c r="UDW134" s="64"/>
      <c r="UDX134" s="64"/>
      <c r="UDY134" s="64"/>
      <c r="UDZ134" s="64"/>
      <c r="UEA134" s="64"/>
      <c r="UEB134" s="64"/>
      <c r="UEC134" s="64"/>
      <c r="UED134" s="64"/>
      <c r="UEE134" s="64"/>
      <c r="UEF134" s="64"/>
      <c r="UEG134" s="64"/>
      <c r="UEH134" s="64"/>
      <c r="UEI134" s="64"/>
      <c r="UEJ134" s="64"/>
      <c r="UEK134" s="64"/>
      <c r="UEL134" s="64"/>
      <c r="UEM134" s="64"/>
      <c r="UEN134" s="64"/>
      <c r="UEO134" s="64"/>
      <c r="UEP134" s="64"/>
      <c r="UEQ134" s="64"/>
      <c r="UER134" s="64"/>
      <c r="UES134" s="64"/>
      <c r="UET134" s="64"/>
      <c r="UEU134" s="64"/>
      <c r="UEV134" s="64"/>
      <c r="UEW134" s="64"/>
      <c r="UEX134" s="64"/>
      <c r="UEY134" s="64"/>
      <c r="UEZ134" s="64"/>
      <c r="UFA134" s="64"/>
      <c r="UFB134" s="64"/>
      <c r="UFC134" s="64"/>
      <c r="UFD134" s="64"/>
      <c r="UFE134" s="64"/>
      <c r="UFF134" s="64"/>
      <c r="UFG134" s="64"/>
      <c r="UFH134" s="64"/>
      <c r="UFI134" s="64"/>
      <c r="UFJ134" s="64"/>
      <c r="UFK134" s="64"/>
      <c r="UFL134" s="64"/>
      <c r="UFM134" s="64"/>
      <c r="UFN134" s="64"/>
      <c r="UFO134" s="64"/>
      <c r="UFP134" s="64"/>
      <c r="UFQ134" s="64"/>
      <c r="UFR134" s="64"/>
      <c r="UFS134" s="64"/>
      <c r="UFT134" s="64"/>
      <c r="UFU134" s="64"/>
      <c r="UFV134" s="64"/>
      <c r="UFW134" s="64"/>
      <c r="UFX134" s="64"/>
      <c r="UFY134" s="64"/>
      <c r="UFZ134" s="64"/>
      <c r="UGA134" s="64"/>
      <c r="UGB134" s="64"/>
      <c r="UGC134" s="64"/>
      <c r="UGD134" s="64"/>
      <c r="UGE134" s="64"/>
      <c r="UGF134" s="64"/>
      <c r="UGG134" s="64"/>
      <c r="UGH134" s="64"/>
      <c r="UGI134" s="64"/>
      <c r="UGJ134" s="64"/>
      <c r="UGK134" s="64"/>
      <c r="UGL134" s="64"/>
      <c r="UGM134" s="64"/>
      <c r="UGN134" s="64"/>
      <c r="UGO134" s="64"/>
      <c r="UGP134" s="64"/>
      <c r="UGQ134" s="64"/>
      <c r="UGR134" s="64"/>
      <c r="UGS134" s="64"/>
      <c r="UGT134" s="64"/>
      <c r="UGU134" s="64"/>
      <c r="UGV134" s="64"/>
      <c r="UGW134" s="64"/>
      <c r="UGX134" s="64"/>
      <c r="UGY134" s="64"/>
      <c r="UGZ134" s="64"/>
      <c r="UHA134" s="64"/>
      <c r="UHB134" s="64"/>
      <c r="UHC134" s="64"/>
      <c r="UHD134" s="64"/>
      <c r="UHE134" s="64"/>
      <c r="UHF134" s="64"/>
      <c r="UHG134" s="64"/>
      <c r="UHH134" s="64"/>
      <c r="UHI134" s="64"/>
      <c r="UHJ134" s="64"/>
      <c r="UHK134" s="64"/>
      <c r="UHL134" s="64"/>
      <c r="UHM134" s="64"/>
      <c r="UHN134" s="64"/>
      <c r="UHO134" s="64"/>
      <c r="UHP134" s="64"/>
      <c r="UHQ134" s="64"/>
      <c r="UHR134" s="64"/>
      <c r="UHS134" s="64"/>
      <c r="UHT134" s="64"/>
      <c r="UHU134" s="64"/>
      <c r="UHV134" s="64"/>
      <c r="UHW134" s="64"/>
      <c r="UHX134" s="64"/>
      <c r="UHY134" s="64"/>
      <c r="UHZ134" s="64"/>
      <c r="UIA134" s="64"/>
      <c r="UIB134" s="64"/>
      <c r="UIC134" s="64"/>
      <c r="UID134" s="64"/>
      <c r="UIE134" s="64"/>
      <c r="UIF134" s="64"/>
      <c r="UIG134" s="64"/>
      <c r="UIH134" s="64"/>
      <c r="UII134" s="64"/>
      <c r="UIJ134" s="64"/>
      <c r="UIK134" s="64"/>
      <c r="UIL134" s="64"/>
      <c r="UIM134" s="64"/>
      <c r="UIN134" s="64"/>
      <c r="UIO134" s="64"/>
      <c r="UIP134" s="64"/>
      <c r="UIQ134" s="64"/>
      <c r="UIR134" s="64"/>
      <c r="UIS134" s="64"/>
      <c r="UIT134" s="64"/>
      <c r="UIU134" s="64"/>
      <c r="UIV134" s="64"/>
      <c r="UIW134" s="64"/>
      <c r="UIX134" s="64"/>
      <c r="UIY134" s="64"/>
      <c r="UIZ134" s="64"/>
      <c r="UJA134" s="64"/>
      <c r="UJB134" s="64"/>
      <c r="UJC134" s="64"/>
      <c r="UJD134" s="64"/>
      <c r="UJE134" s="64"/>
      <c r="UJF134" s="64"/>
      <c r="UJG134" s="64"/>
      <c r="UJH134" s="64"/>
      <c r="UJI134" s="64"/>
      <c r="UJJ134" s="64"/>
      <c r="UJK134" s="64"/>
      <c r="UJL134" s="64"/>
      <c r="UJM134" s="64"/>
      <c r="UJN134" s="64"/>
      <c r="UJO134" s="64"/>
      <c r="UJP134" s="64"/>
      <c r="UJQ134" s="64"/>
      <c r="UJR134" s="64"/>
      <c r="UJS134" s="64"/>
      <c r="UJT134" s="64"/>
      <c r="UJU134" s="64"/>
      <c r="UJV134" s="64"/>
      <c r="UJW134" s="64"/>
      <c r="UJX134" s="64"/>
      <c r="UJY134" s="64"/>
      <c r="UJZ134" s="64"/>
      <c r="UKA134" s="64"/>
      <c r="UKB134" s="64"/>
      <c r="UKC134" s="64"/>
      <c r="UKD134" s="64"/>
      <c r="UKE134" s="64"/>
      <c r="UKF134" s="64"/>
      <c r="UKG134" s="64"/>
      <c r="UKH134" s="64"/>
      <c r="UKI134" s="64"/>
      <c r="UKJ134" s="64"/>
      <c r="UKK134" s="64"/>
      <c r="UKL134" s="64"/>
      <c r="UKM134" s="64"/>
      <c r="UKN134" s="64"/>
      <c r="UKO134" s="64"/>
      <c r="UKP134" s="64"/>
      <c r="UKQ134" s="64"/>
      <c r="UKR134" s="64"/>
      <c r="UKS134" s="64"/>
      <c r="UKT134" s="64"/>
      <c r="UKU134" s="64"/>
      <c r="UKV134" s="64"/>
      <c r="UKW134" s="64"/>
      <c r="UKX134" s="64"/>
      <c r="UKY134" s="64"/>
      <c r="UKZ134" s="64"/>
      <c r="ULA134" s="64"/>
      <c r="ULB134" s="64"/>
      <c r="ULC134" s="64"/>
      <c r="ULD134" s="64"/>
      <c r="ULE134" s="64"/>
      <c r="ULF134" s="64"/>
      <c r="ULG134" s="64"/>
      <c r="ULH134" s="64"/>
      <c r="ULI134" s="64"/>
      <c r="ULJ134" s="64"/>
      <c r="ULK134" s="64"/>
      <c r="ULL134" s="64"/>
      <c r="ULM134" s="64"/>
      <c r="ULN134" s="64"/>
      <c r="ULO134" s="64"/>
      <c r="ULP134" s="64"/>
      <c r="ULQ134" s="64"/>
      <c r="ULR134" s="64"/>
      <c r="ULS134" s="64"/>
      <c r="ULT134" s="64"/>
      <c r="ULU134" s="64"/>
      <c r="ULV134" s="64"/>
      <c r="ULW134" s="64"/>
      <c r="ULX134" s="64"/>
      <c r="ULY134" s="64"/>
      <c r="ULZ134" s="64"/>
      <c r="UMA134" s="64"/>
      <c r="UMB134" s="64"/>
      <c r="UMC134" s="64"/>
      <c r="UMD134" s="64"/>
      <c r="UME134" s="64"/>
      <c r="UMF134" s="64"/>
      <c r="UMG134" s="64"/>
      <c r="UMH134" s="64"/>
      <c r="UMI134" s="64"/>
      <c r="UMJ134" s="64"/>
      <c r="UMK134" s="64"/>
      <c r="UML134" s="64"/>
      <c r="UMM134" s="64"/>
      <c r="UMN134" s="64"/>
      <c r="UMO134" s="64"/>
      <c r="UMP134" s="64"/>
      <c r="UMQ134" s="64"/>
      <c r="UMR134" s="64"/>
      <c r="UMS134" s="64"/>
      <c r="UMT134" s="64"/>
      <c r="UMU134" s="64"/>
      <c r="UMV134" s="64"/>
      <c r="UMW134" s="64"/>
      <c r="UMX134" s="64"/>
      <c r="UMY134" s="64"/>
      <c r="UMZ134" s="64"/>
      <c r="UNA134" s="64"/>
      <c r="UNB134" s="64"/>
      <c r="UNC134" s="64"/>
      <c r="UND134" s="64"/>
      <c r="UNE134" s="64"/>
      <c r="UNF134" s="64"/>
      <c r="UNG134" s="64"/>
      <c r="UNH134" s="64"/>
      <c r="UNI134" s="64"/>
      <c r="UNJ134" s="64"/>
      <c r="UNK134" s="64"/>
      <c r="UNL134" s="64"/>
      <c r="UNM134" s="64"/>
      <c r="UNN134" s="64"/>
      <c r="UNO134" s="64"/>
      <c r="UNP134" s="64"/>
      <c r="UNQ134" s="64"/>
      <c r="UNR134" s="64"/>
      <c r="UNS134" s="64"/>
      <c r="UNT134" s="64"/>
      <c r="UNU134" s="64"/>
      <c r="UNV134" s="64"/>
      <c r="UNW134" s="64"/>
      <c r="UNX134" s="64"/>
      <c r="UNY134" s="64"/>
      <c r="UNZ134" s="64"/>
      <c r="UOA134" s="64"/>
      <c r="UOB134" s="64"/>
      <c r="UOC134" s="64"/>
      <c r="UOD134" s="64"/>
      <c r="UOE134" s="64"/>
      <c r="UOF134" s="64"/>
      <c r="UOG134" s="64"/>
      <c r="UOH134" s="64"/>
      <c r="UOI134" s="64"/>
      <c r="UOJ134" s="64"/>
      <c r="UOK134" s="64"/>
      <c r="UOL134" s="64"/>
      <c r="UOM134" s="64"/>
      <c r="UON134" s="64"/>
      <c r="UOO134" s="64"/>
      <c r="UOP134" s="64"/>
      <c r="UOQ134" s="64"/>
      <c r="UOR134" s="64"/>
      <c r="UOS134" s="64"/>
      <c r="UOT134" s="64"/>
      <c r="UOU134" s="64"/>
      <c r="UOV134" s="64"/>
      <c r="UOW134" s="64"/>
      <c r="UOX134" s="64"/>
      <c r="UOY134" s="64"/>
      <c r="UOZ134" s="64"/>
      <c r="UPA134" s="64"/>
      <c r="UPB134" s="64"/>
      <c r="UPC134" s="64"/>
      <c r="UPD134" s="64"/>
      <c r="UPE134" s="64"/>
      <c r="UPF134" s="64"/>
      <c r="UPG134" s="64"/>
      <c r="UPH134" s="64"/>
      <c r="UPI134" s="64"/>
      <c r="UPJ134" s="64"/>
      <c r="UPK134" s="64"/>
      <c r="UPL134" s="64"/>
      <c r="UPM134" s="64"/>
      <c r="UPN134" s="64"/>
      <c r="UPO134" s="64"/>
      <c r="UPP134" s="64"/>
      <c r="UPQ134" s="64"/>
      <c r="UPR134" s="64"/>
      <c r="UPS134" s="64"/>
      <c r="UPT134" s="64"/>
      <c r="UPU134" s="64"/>
      <c r="UPV134" s="64"/>
      <c r="UPW134" s="64"/>
      <c r="UPX134" s="64"/>
      <c r="UPY134" s="64"/>
      <c r="UPZ134" s="64"/>
      <c r="UQA134" s="64"/>
      <c r="UQB134" s="64"/>
      <c r="UQC134" s="64"/>
      <c r="UQD134" s="64"/>
      <c r="UQE134" s="64"/>
      <c r="UQF134" s="64"/>
      <c r="UQG134" s="64"/>
      <c r="UQH134" s="64"/>
      <c r="UQI134" s="64"/>
      <c r="UQJ134" s="64"/>
      <c r="UQK134" s="64"/>
      <c r="UQL134" s="64"/>
      <c r="UQM134" s="64"/>
      <c r="UQN134" s="64"/>
      <c r="UQO134" s="64"/>
      <c r="UQP134" s="64"/>
      <c r="UQQ134" s="64"/>
      <c r="UQR134" s="64"/>
      <c r="UQS134" s="64"/>
      <c r="UQT134" s="64"/>
      <c r="UQU134" s="64"/>
      <c r="UQV134" s="64"/>
      <c r="UQW134" s="64"/>
      <c r="UQX134" s="64"/>
      <c r="UQY134" s="64"/>
      <c r="UQZ134" s="64"/>
      <c r="URA134" s="64"/>
      <c r="URB134" s="64"/>
      <c r="URC134" s="64"/>
      <c r="URD134" s="64"/>
      <c r="URE134" s="64"/>
      <c r="URF134" s="64"/>
      <c r="URG134" s="64"/>
      <c r="URH134" s="64"/>
      <c r="URI134" s="64"/>
      <c r="URJ134" s="64"/>
      <c r="URK134" s="64"/>
      <c r="URL134" s="64"/>
      <c r="URM134" s="64"/>
      <c r="URN134" s="64"/>
      <c r="URO134" s="64"/>
      <c r="URP134" s="64"/>
      <c r="URQ134" s="64"/>
      <c r="URR134" s="64"/>
      <c r="URS134" s="64"/>
      <c r="URT134" s="64"/>
      <c r="URU134" s="64"/>
      <c r="URV134" s="64"/>
      <c r="URW134" s="64"/>
      <c r="URX134" s="64"/>
      <c r="URY134" s="64"/>
      <c r="URZ134" s="64"/>
      <c r="USA134" s="64"/>
      <c r="USB134" s="64"/>
      <c r="USC134" s="64"/>
      <c r="USD134" s="64"/>
      <c r="USE134" s="64"/>
      <c r="USF134" s="64"/>
      <c r="USG134" s="64"/>
      <c r="USH134" s="64"/>
      <c r="USI134" s="64"/>
      <c r="USJ134" s="64"/>
      <c r="USK134" s="64"/>
      <c r="USL134" s="64"/>
      <c r="USM134" s="64"/>
      <c r="USN134" s="64"/>
      <c r="USO134" s="64"/>
      <c r="USP134" s="64"/>
      <c r="USQ134" s="64"/>
      <c r="USR134" s="64"/>
      <c r="USS134" s="64"/>
      <c r="UST134" s="64"/>
      <c r="USU134" s="64"/>
      <c r="USV134" s="64"/>
      <c r="USW134" s="64"/>
      <c r="USX134" s="64"/>
      <c r="USY134" s="64"/>
      <c r="USZ134" s="64"/>
      <c r="UTA134" s="64"/>
      <c r="UTB134" s="64"/>
      <c r="UTC134" s="64"/>
      <c r="UTD134" s="64"/>
      <c r="UTE134" s="64"/>
      <c r="UTF134" s="64"/>
      <c r="UTG134" s="64"/>
      <c r="UTH134" s="64"/>
      <c r="UTI134" s="64"/>
      <c r="UTJ134" s="64"/>
      <c r="UTK134" s="64"/>
      <c r="UTL134" s="64"/>
      <c r="UTM134" s="64"/>
      <c r="UTN134" s="64"/>
      <c r="UTO134" s="64"/>
      <c r="UTP134" s="64"/>
      <c r="UTQ134" s="64"/>
      <c r="UTR134" s="64"/>
      <c r="UTS134" s="64"/>
      <c r="UTT134" s="64"/>
      <c r="UTU134" s="64"/>
      <c r="UTV134" s="64"/>
      <c r="UTW134" s="64"/>
      <c r="UTX134" s="64"/>
      <c r="UTY134" s="64"/>
      <c r="UTZ134" s="64"/>
      <c r="UUA134" s="64"/>
      <c r="UUB134" s="64"/>
      <c r="UUC134" s="64"/>
      <c r="UUD134" s="64"/>
      <c r="UUE134" s="64"/>
      <c r="UUF134" s="64"/>
      <c r="UUG134" s="64"/>
      <c r="UUH134" s="64"/>
      <c r="UUI134" s="64"/>
      <c r="UUJ134" s="64"/>
      <c r="UUK134" s="64"/>
      <c r="UUL134" s="64"/>
      <c r="UUM134" s="64"/>
      <c r="UUN134" s="64"/>
      <c r="UUO134" s="64"/>
      <c r="UUP134" s="64"/>
      <c r="UUQ134" s="64"/>
      <c r="UUR134" s="64"/>
      <c r="UUS134" s="64"/>
      <c r="UUT134" s="64"/>
      <c r="UUU134" s="64"/>
      <c r="UUV134" s="64"/>
      <c r="UUW134" s="64"/>
      <c r="UUX134" s="64"/>
      <c r="UUY134" s="64"/>
      <c r="UUZ134" s="64"/>
      <c r="UVA134" s="64"/>
      <c r="UVB134" s="64"/>
      <c r="UVC134" s="64"/>
      <c r="UVD134" s="64"/>
      <c r="UVE134" s="64"/>
      <c r="UVF134" s="64"/>
      <c r="UVG134" s="64"/>
      <c r="UVH134" s="64"/>
      <c r="UVI134" s="64"/>
      <c r="UVJ134" s="64"/>
      <c r="UVK134" s="64"/>
      <c r="UVL134" s="64"/>
      <c r="UVM134" s="64"/>
      <c r="UVN134" s="64"/>
      <c r="UVO134" s="64"/>
      <c r="UVP134" s="64"/>
      <c r="UVQ134" s="64"/>
      <c r="UVR134" s="64"/>
      <c r="UVS134" s="64"/>
      <c r="UVT134" s="64"/>
      <c r="UVU134" s="64"/>
      <c r="UVV134" s="64"/>
      <c r="UVW134" s="64"/>
      <c r="UVX134" s="64"/>
      <c r="UVY134" s="64"/>
      <c r="UVZ134" s="64"/>
      <c r="UWA134" s="64"/>
      <c r="UWB134" s="64"/>
      <c r="UWC134" s="64"/>
      <c r="UWD134" s="64"/>
      <c r="UWE134" s="64"/>
      <c r="UWF134" s="64"/>
      <c r="UWG134" s="64"/>
      <c r="UWH134" s="64"/>
      <c r="UWI134" s="64"/>
      <c r="UWJ134" s="64"/>
      <c r="UWK134" s="64"/>
      <c r="UWL134" s="64"/>
      <c r="UWM134" s="64"/>
      <c r="UWN134" s="64"/>
      <c r="UWO134" s="64"/>
      <c r="UWP134" s="64"/>
      <c r="UWQ134" s="64"/>
      <c r="UWR134" s="64"/>
      <c r="UWS134" s="64"/>
      <c r="UWT134" s="64"/>
      <c r="UWU134" s="64"/>
      <c r="UWV134" s="64"/>
      <c r="UWW134" s="64"/>
      <c r="UWX134" s="64"/>
      <c r="UWY134" s="64"/>
      <c r="UWZ134" s="64"/>
      <c r="UXA134" s="64"/>
      <c r="UXB134" s="64"/>
      <c r="UXC134" s="64"/>
      <c r="UXD134" s="64"/>
      <c r="UXE134" s="64"/>
      <c r="UXF134" s="64"/>
      <c r="UXG134" s="64"/>
      <c r="UXH134" s="64"/>
      <c r="UXI134" s="64"/>
      <c r="UXJ134" s="64"/>
      <c r="UXK134" s="64"/>
      <c r="UXL134" s="64"/>
      <c r="UXM134" s="64"/>
      <c r="UXN134" s="64"/>
      <c r="UXO134" s="64"/>
      <c r="UXP134" s="64"/>
      <c r="UXQ134" s="64"/>
      <c r="UXR134" s="64"/>
      <c r="UXS134" s="64"/>
      <c r="UXT134" s="64"/>
      <c r="UXU134" s="64"/>
      <c r="UXV134" s="64"/>
      <c r="UXW134" s="64"/>
      <c r="UXX134" s="64"/>
      <c r="UXY134" s="64"/>
      <c r="UXZ134" s="64"/>
      <c r="UYA134" s="64"/>
      <c r="UYB134" s="64"/>
      <c r="UYC134" s="64"/>
      <c r="UYD134" s="64"/>
      <c r="UYE134" s="64"/>
      <c r="UYF134" s="64"/>
      <c r="UYG134" s="64"/>
      <c r="UYH134" s="64"/>
      <c r="UYI134" s="64"/>
      <c r="UYJ134" s="64"/>
      <c r="UYK134" s="64"/>
      <c r="UYL134" s="64"/>
      <c r="UYM134" s="64"/>
      <c r="UYN134" s="64"/>
      <c r="UYO134" s="64"/>
      <c r="UYP134" s="64"/>
      <c r="UYQ134" s="64"/>
      <c r="UYR134" s="64"/>
      <c r="UYS134" s="64"/>
      <c r="UYT134" s="64"/>
      <c r="UYU134" s="64"/>
      <c r="UYV134" s="64"/>
      <c r="UYW134" s="64"/>
      <c r="UYX134" s="64"/>
      <c r="UYY134" s="64"/>
      <c r="UYZ134" s="64"/>
      <c r="UZA134" s="64"/>
      <c r="UZB134" s="64"/>
      <c r="UZC134" s="64"/>
      <c r="UZD134" s="64"/>
      <c r="UZE134" s="64"/>
      <c r="UZF134" s="64"/>
      <c r="UZG134" s="64"/>
      <c r="UZH134" s="64"/>
      <c r="UZI134" s="64"/>
      <c r="UZJ134" s="64"/>
      <c r="UZK134" s="64"/>
      <c r="UZL134" s="64"/>
      <c r="UZM134" s="64"/>
      <c r="UZN134" s="64"/>
      <c r="UZO134" s="64"/>
      <c r="UZP134" s="64"/>
      <c r="UZQ134" s="64"/>
      <c r="UZR134" s="64"/>
      <c r="UZS134" s="64"/>
      <c r="UZT134" s="64"/>
      <c r="UZU134" s="64"/>
      <c r="UZV134" s="64"/>
      <c r="UZW134" s="64"/>
      <c r="UZX134" s="64"/>
      <c r="UZY134" s="64"/>
      <c r="UZZ134" s="64"/>
      <c r="VAA134" s="64"/>
      <c r="VAB134" s="64"/>
      <c r="VAC134" s="64"/>
      <c r="VAD134" s="64"/>
      <c r="VAE134" s="64"/>
      <c r="VAF134" s="64"/>
      <c r="VAG134" s="64"/>
      <c r="VAH134" s="64"/>
      <c r="VAI134" s="64"/>
      <c r="VAJ134" s="64"/>
      <c r="VAK134" s="64"/>
      <c r="VAL134" s="64"/>
      <c r="VAM134" s="64"/>
      <c r="VAN134" s="64"/>
      <c r="VAO134" s="64"/>
      <c r="VAP134" s="64"/>
      <c r="VAQ134" s="64"/>
      <c r="VAR134" s="64"/>
      <c r="VAS134" s="64"/>
      <c r="VAT134" s="64"/>
      <c r="VAU134" s="64"/>
      <c r="VAV134" s="64"/>
      <c r="VAW134" s="64"/>
      <c r="VAX134" s="64"/>
      <c r="VAY134" s="64"/>
      <c r="VAZ134" s="64"/>
      <c r="VBA134" s="64"/>
      <c r="VBB134" s="64"/>
      <c r="VBC134" s="64"/>
      <c r="VBD134" s="64"/>
      <c r="VBE134" s="64"/>
      <c r="VBF134" s="64"/>
      <c r="VBG134" s="64"/>
      <c r="VBH134" s="64"/>
      <c r="VBI134" s="64"/>
      <c r="VBJ134" s="64"/>
      <c r="VBK134" s="64"/>
      <c r="VBL134" s="64"/>
      <c r="VBM134" s="64"/>
      <c r="VBN134" s="64"/>
      <c r="VBO134" s="64"/>
      <c r="VBP134" s="64"/>
      <c r="VBQ134" s="64"/>
      <c r="VBR134" s="64"/>
      <c r="VBS134" s="64"/>
      <c r="VBT134" s="64"/>
      <c r="VBU134" s="64"/>
      <c r="VBV134" s="64"/>
      <c r="VBW134" s="64"/>
      <c r="VBX134" s="64"/>
      <c r="VBY134" s="64"/>
      <c r="VBZ134" s="64"/>
      <c r="VCA134" s="64"/>
      <c r="VCB134" s="64"/>
      <c r="VCC134" s="64"/>
      <c r="VCD134" s="64"/>
      <c r="VCE134" s="64"/>
      <c r="VCF134" s="64"/>
      <c r="VCG134" s="64"/>
      <c r="VCH134" s="64"/>
      <c r="VCI134" s="64"/>
      <c r="VCJ134" s="64"/>
      <c r="VCK134" s="64"/>
      <c r="VCL134" s="64"/>
      <c r="VCM134" s="64"/>
      <c r="VCN134" s="64"/>
      <c r="VCO134" s="64"/>
      <c r="VCP134" s="64"/>
      <c r="VCQ134" s="64"/>
      <c r="VCR134" s="64"/>
      <c r="VCS134" s="64"/>
      <c r="VCT134" s="64"/>
      <c r="VCU134" s="64"/>
      <c r="VCV134" s="64"/>
      <c r="VCW134" s="64"/>
      <c r="VCX134" s="64"/>
      <c r="VCY134" s="64"/>
      <c r="VCZ134" s="64"/>
      <c r="VDA134" s="64"/>
      <c r="VDB134" s="64"/>
      <c r="VDC134" s="64"/>
      <c r="VDD134" s="64"/>
      <c r="VDE134" s="64"/>
      <c r="VDF134" s="64"/>
      <c r="VDG134" s="64"/>
      <c r="VDH134" s="64"/>
      <c r="VDI134" s="64"/>
      <c r="VDJ134" s="64"/>
      <c r="VDK134" s="64"/>
      <c r="VDL134" s="64"/>
      <c r="VDM134" s="64"/>
      <c r="VDN134" s="64"/>
      <c r="VDO134" s="64"/>
      <c r="VDP134" s="64"/>
      <c r="VDQ134" s="64"/>
      <c r="VDR134" s="64"/>
      <c r="VDS134" s="64"/>
      <c r="VDT134" s="64"/>
      <c r="VDU134" s="64"/>
      <c r="VDV134" s="64"/>
      <c r="VDW134" s="64"/>
      <c r="VDX134" s="64"/>
      <c r="VDY134" s="64"/>
      <c r="VDZ134" s="64"/>
      <c r="VEA134" s="64"/>
      <c r="VEB134" s="64"/>
      <c r="VEC134" s="64"/>
      <c r="VED134" s="64"/>
      <c r="VEE134" s="64"/>
      <c r="VEF134" s="64"/>
      <c r="VEG134" s="64"/>
      <c r="VEH134" s="64"/>
      <c r="VEI134" s="64"/>
      <c r="VEJ134" s="64"/>
      <c r="VEK134" s="64"/>
      <c r="VEL134" s="64"/>
      <c r="VEM134" s="64"/>
      <c r="VEN134" s="64"/>
      <c r="VEO134" s="64"/>
      <c r="VEP134" s="64"/>
      <c r="VEQ134" s="64"/>
      <c r="VER134" s="64"/>
      <c r="VES134" s="64"/>
      <c r="VET134" s="64"/>
      <c r="VEU134" s="64"/>
      <c r="VEV134" s="64"/>
      <c r="VEW134" s="64"/>
      <c r="VEX134" s="64"/>
      <c r="VEY134" s="64"/>
      <c r="VEZ134" s="64"/>
      <c r="VFA134" s="64"/>
      <c r="VFB134" s="64"/>
      <c r="VFC134" s="64"/>
      <c r="VFD134" s="64"/>
      <c r="VFE134" s="64"/>
      <c r="VFF134" s="64"/>
      <c r="VFG134" s="64"/>
      <c r="VFH134" s="64"/>
      <c r="VFI134" s="64"/>
      <c r="VFJ134" s="64"/>
      <c r="VFK134" s="64"/>
      <c r="VFL134" s="64"/>
      <c r="VFM134" s="64"/>
      <c r="VFN134" s="64"/>
      <c r="VFO134" s="64"/>
      <c r="VFP134" s="64"/>
      <c r="VFQ134" s="64"/>
      <c r="VFR134" s="64"/>
      <c r="VFS134" s="64"/>
      <c r="VFT134" s="64"/>
      <c r="VFU134" s="64"/>
      <c r="VFV134" s="64"/>
      <c r="VFW134" s="64"/>
      <c r="VFX134" s="64"/>
      <c r="VFY134" s="64"/>
      <c r="VFZ134" s="64"/>
      <c r="VGA134" s="64"/>
      <c r="VGB134" s="64"/>
      <c r="VGC134" s="64"/>
      <c r="VGD134" s="64"/>
      <c r="VGE134" s="64"/>
      <c r="VGF134" s="64"/>
      <c r="VGG134" s="64"/>
      <c r="VGH134" s="64"/>
      <c r="VGI134" s="64"/>
      <c r="VGJ134" s="64"/>
      <c r="VGK134" s="64"/>
      <c r="VGL134" s="64"/>
      <c r="VGM134" s="64"/>
      <c r="VGN134" s="64"/>
      <c r="VGO134" s="64"/>
      <c r="VGP134" s="64"/>
      <c r="VGQ134" s="64"/>
      <c r="VGR134" s="64"/>
      <c r="VGS134" s="64"/>
      <c r="VGT134" s="64"/>
      <c r="VGU134" s="64"/>
      <c r="VGV134" s="64"/>
      <c r="VGW134" s="64"/>
      <c r="VGX134" s="64"/>
      <c r="VGY134" s="64"/>
      <c r="VGZ134" s="64"/>
      <c r="VHA134" s="64"/>
      <c r="VHB134" s="64"/>
      <c r="VHC134" s="64"/>
      <c r="VHD134" s="64"/>
      <c r="VHE134" s="64"/>
      <c r="VHF134" s="64"/>
      <c r="VHG134" s="64"/>
      <c r="VHH134" s="64"/>
      <c r="VHI134" s="64"/>
      <c r="VHJ134" s="64"/>
      <c r="VHK134" s="64"/>
      <c r="VHL134" s="64"/>
      <c r="VHM134" s="64"/>
      <c r="VHN134" s="64"/>
      <c r="VHO134" s="64"/>
      <c r="VHP134" s="64"/>
      <c r="VHQ134" s="64"/>
      <c r="VHR134" s="64"/>
      <c r="VHS134" s="64"/>
      <c r="VHT134" s="64"/>
      <c r="VHU134" s="64"/>
      <c r="VHV134" s="64"/>
      <c r="VHW134" s="64"/>
      <c r="VHX134" s="64"/>
      <c r="VHY134" s="64"/>
      <c r="VHZ134" s="64"/>
      <c r="VIA134" s="64"/>
      <c r="VIB134" s="64"/>
      <c r="VIC134" s="64"/>
      <c r="VID134" s="64"/>
      <c r="VIE134" s="64"/>
      <c r="VIF134" s="64"/>
      <c r="VIG134" s="64"/>
      <c r="VIH134" s="64"/>
      <c r="VII134" s="64"/>
      <c r="VIJ134" s="64"/>
      <c r="VIK134" s="64"/>
      <c r="VIL134" s="64"/>
      <c r="VIM134" s="64"/>
      <c r="VIN134" s="64"/>
      <c r="VIO134" s="64"/>
      <c r="VIP134" s="64"/>
      <c r="VIQ134" s="64"/>
      <c r="VIR134" s="64"/>
      <c r="VIS134" s="64"/>
      <c r="VIT134" s="64"/>
      <c r="VIU134" s="64"/>
      <c r="VIV134" s="64"/>
      <c r="VIW134" s="64"/>
      <c r="VIX134" s="64"/>
      <c r="VIY134" s="64"/>
      <c r="VIZ134" s="64"/>
      <c r="VJA134" s="64"/>
      <c r="VJB134" s="64"/>
      <c r="VJC134" s="64"/>
      <c r="VJD134" s="64"/>
      <c r="VJE134" s="64"/>
      <c r="VJF134" s="64"/>
      <c r="VJG134" s="64"/>
      <c r="VJH134" s="64"/>
      <c r="VJI134" s="64"/>
      <c r="VJJ134" s="64"/>
      <c r="VJK134" s="64"/>
      <c r="VJL134" s="64"/>
      <c r="VJM134" s="64"/>
      <c r="VJN134" s="64"/>
      <c r="VJO134" s="64"/>
      <c r="VJP134" s="64"/>
      <c r="VJQ134" s="64"/>
      <c r="VJR134" s="64"/>
      <c r="VJS134" s="64"/>
      <c r="VJT134" s="64"/>
      <c r="VJU134" s="64"/>
      <c r="VJV134" s="64"/>
      <c r="VJW134" s="64"/>
      <c r="VJX134" s="64"/>
      <c r="VJY134" s="64"/>
      <c r="VJZ134" s="64"/>
      <c r="VKA134" s="64"/>
      <c r="VKB134" s="64"/>
      <c r="VKC134" s="64"/>
      <c r="VKD134" s="64"/>
      <c r="VKE134" s="64"/>
      <c r="VKF134" s="64"/>
      <c r="VKG134" s="64"/>
      <c r="VKH134" s="64"/>
      <c r="VKI134" s="64"/>
      <c r="VKJ134" s="64"/>
      <c r="VKK134" s="64"/>
      <c r="VKL134" s="64"/>
      <c r="VKM134" s="64"/>
      <c r="VKN134" s="64"/>
      <c r="VKO134" s="64"/>
      <c r="VKP134" s="64"/>
      <c r="VKQ134" s="64"/>
      <c r="VKR134" s="64"/>
      <c r="VKS134" s="64"/>
      <c r="VKT134" s="64"/>
      <c r="VKU134" s="64"/>
      <c r="VKV134" s="64"/>
      <c r="VKW134" s="64"/>
      <c r="VKX134" s="64"/>
      <c r="VKY134" s="64"/>
      <c r="VKZ134" s="64"/>
      <c r="VLA134" s="64"/>
      <c r="VLB134" s="64"/>
      <c r="VLC134" s="64"/>
      <c r="VLD134" s="64"/>
      <c r="VLE134" s="64"/>
      <c r="VLF134" s="64"/>
      <c r="VLG134" s="64"/>
      <c r="VLH134" s="64"/>
      <c r="VLI134" s="64"/>
      <c r="VLJ134" s="64"/>
      <c r="VLK134" s="64"/>
      <c r="VLL134" s="64"/>
      <c r="VLM134" s="64"/>
      <c r="VLN134" s="64"/>
      <c r="VLO134" s="64"/>
      <c r="VLP134" s="64"/>
      <c r="VLQ134" s="64"/>
      <c r="VLR134" s="64"/>
      <c r="VLS134" s="64"/>
      <c r="VLT134" s="64"/>
      <c r="VLU134" s="64"/>
      <c r="VLV134" s="64"/>
      <c r="VLW134" s="64"/>
      <c r="VLX134" s="64"/>
      <c r="VLY134" s="64"/>
      <c r="VLZ134" s="64"/>
      <c r="VMA134" s="64"/>
      <c r="VMB134" s="64"/>
      <c r="VMC134" s="64"/>
      <c r="VMD134" s="64"/>
      <c r="VME134" s="64"/>
      <c r="VMF134" s="64"/>
      <c r="VMG134" s="64"/>
      <c r="VMH134" s="64"/>
      <c r="VMI134" s="64"/>
      <c r="VMJ134" s="64"/>
      <c r="VMK134" s="64"/>
      <c r="VML134" s="64"/>
      <c r="VMM134" s="64"/>
      <c r="VMN134" s="64"/>
      <c r="VMO134" s="64"/>
      <c r="VMP134" s="64"/>
      <c r="VMQ134" s="64"/>
      <c r="VMR134" s="64"/>
      <c r="VMS134" s="64"/>
      <c r="VMT134" s="64"/>
      <c r="VMU134" s="64"/>
      <c r="VMV134" s="64"/>
      <c r="VMW134" s="64"/>
      <c r="VMX134" s="64"/>
      <c r="VMY134" s="64"/>
      <c r="VMZ134" s="64"/>
      <c r="VNA134" s="64"/>
      <c r="VNB134" s="64"/>
      <c r="VNC134" s="64"/>
      <c r="VND134" s="64"/>
      <c r="VNE134" s="64"/>
      <c r="VNF134" s="64"/>
      <c r="VNG134" s="64"/>
      <c r="VNH134" s="64"/>
      <c r="VNI134" s="64"/>
      <c r="VNJ134" s="64"/>
      <c r="VNK134" s="64"/>
      <c r="VNL134" s="64"/>
      <c r="VNM134" s="64"/>
      <c r="VNN134" s="64"/>
      <c r="VNO134" s="64"/>
      <c r="VNP134" s="64"/>
      <c r="VNQ134" s="64"/>
      <c r="VNR134" s="64"/>
      <c r="VNS134" s="64"/>
      <c r="VNT134" s="64"/>
      <c r="VNU134" s="64"/>
      <c r="VNV134" s="64"/>
      <c r="VNW134" s="64"/>
      <c r="VNX134" s="64"/>
      <c r="VNY134" s="64"/>
      <c r="VNZ134" s="64"/>
      <c r="VOA134" s="64"/>
      <c r="VOB134" s="64"/>
      <c r="VOC134" s="64"/>
      <c r="VOD134" s="64"/>
      <c r="VOE134" s="64"/>
      <c r="VOF134" s="64"/>
      <c r="VOG134" s="64"/>
      <c r="VOH134" s="64"/>
      <c r="VOI134" s="64"/>
      <c r="VOJ134" s="64"/>
      <c r="VOK134" s="64"/>
      <c r="VOL134" s="64"/>
      <c r="VOM134" s="64"/>
      <c r="VON134" s="64"/>
      <c r="VOO134" s="64"/>
      <c r="VOP134" s="64"/>
      <c r="VOQ134" s="64"/>
      <c r="VOR134" s="64"/>
      <c r="VOS134" s="64"/>
      <c r="VOT134" s="64"/>
      <c r="VOU134" s="64"/>
      <c r="VOV134" s="64"/>
      <c r="VOW134" s="64"/>
      <c r="VOX134" s="64"/>
      <c r="VOY134" s="64"/>
      <c r="VOZ134" s="64"/>
      <c r="VPA134" s="64"/>
      <c r="VPB134" s="64"/>
      <c r="VPC134" s="64"/>
      <c r="VPD134" s="64"/>
      <c r="VPE134" s="64"/>
      <c r="VPF134" s="64"/>
      <c r="VPG134" s="64"/>
      <c r="VPH134" s="64"/>
      <c r="VPI134" s="64"/>
      <c r="VPJ134" s="64"/>
      <c r="VPK134" s="64"/>
      <c r="VPL134" s="64"/>
      <c r="VPM134" s="64"/>
      <c r="VPN134" s="64"/>
      <c r="VPO134" s="64"/>
      <c r="VPP134" s="64"/>
      <c r="VPQ134" s="64"/>
      <c r="VPR134" s="64"/>
      <c r="VPS134" s="64"/>
      <c r="VPT134" s="64"/>
      <c r="VPU134" s="64"/>
      <c r="VPV134" s="64"/>
      <c r="VPW134" s="64"/>
      <c r="VPX134" s="64"/>
      <c r="VPY134" s="64"/>
      <c r="VPZ134" s="64"/>
      <c r="VQA134" s="64"/>
      <c r="VQB134" s="64"/>
      <c r="VQC134" s="64"/>
      <c r="VQD134" s="64"/>
      <c r="VQE134" s="64"/>
      <c r="VQF134" s="64"/>
      <c r="VQG134" s="64"/>
      <c r="VQH134" s="64"/>
      <c r="VQI134" s="64"/>
      <c r="VQJ134" s="64"/>
      <c r="VQK134" s="64"/>
      <c r="VQL134" s="64"/>
      <c r="VQM134" s="64"/>
      <c r="VQN134" s="64"/>
      <c r="VQO134" s="64"/>
      <c r="VQP134" s="64"/>
      <c r="VQQ134" s="64"/>
      <c r="VQR134" s="64"/>
      <c r="VQS134" s="64"/>
      <c r="VQT134" s="64"/>
      <c r="VQU134" s="64"/>
      <c r="VQV134" s="64"/>
      <c r="VQW134" s="64"/>
      <c r="VQX134" s="64"/>
      <c r="VQY134" s="64"/>
      <c r="VQZ134" s="64"/>
      <c r="VRA134" s="64"/>
      <c r="VRB134" s="64"/>
      <c r="VRC134" s="64"/>
      <c r="VRD134" s="64"/>
      <c r="VRE134" s="64"/>
      <c r="VRF134" s="64"/>
      <c r="VRG134" s="64"/>
      <c r="VRH134" s="64"/>
      <c r="VRI134" s="64"/>
      <c r="VRJ134" s="64"/>
      <c r="VRK134" s="64"/>
      <c r="VRL134" s="64"/>
      <c r="VRM134" s="64"/>
      <c r="VRN134" s="64"/>
      <c r="VRO134" s="64"/>
      <c r="VRP134" s="64"/>
      <c r="VRQ134" s="64"/>
      <c r="VRR134" s="64"/>
      <c r="VRS134" s="64"/>
      <c r="VRT134" s="64"/>
      <c r="VRU134" s="64"/>
      <c r="VRV134" s="64"/>
      <c r="VRW134" s="64"/>
      <c r="VRX134" s="64"/>
      <c r="VRY134" s="64"/>
      <c r="VRZ134" s="64"/>
      <c r="VSA134" s="64"/>
      <c r="VSB134" s="64"/>
      <c r="VSC134" s="64"/>
      <c r="VSD134" s="64"/>
      <c r="VSE134" s="64"/>
      <c r="VSF134" s="64"/>
      <c r="VSG134" s="64"/>
      <c r="VSH134" s="64"/>
      <c r="VSI134" s="64"/>
      <c r="VSJ134" s="64"/>
      <c r="VSK134" s="64"/>
      <c r="VSL134" s="64"/>
      <c r="VSM134" s="64"/>
      <c r="VSN134" s="64"/>
      <c r="VSO134" s="64"/>
      <c r="VSP134" s="64"/>
      <c r="VSQ134" s="64"/>
      <c r="VSR134" s="64"/>
      <c r="VSS134" s="64"/>
      <c r="VST134" s="64"/>
      <c r="VSU134" s="64"/>
      <c r="VSV134" s="64"/>
      <c r="VSW134" s="64"/>
      <c r="VSX134" s="64"/>
      <c r="VSY134" s="64"/>
      <c r="VSZ134" s="64"/>
      <c r="VTA134" s="64"/>
      <c r="VTB134" s="64"/>
      <c r="VTC134" s="64"/>
      <c r="VTD134" s="64"/>
      <c r="VTE134" s="64"/>
      <c r="VTF134" s="64"/>
      <c r="VTG134" s="64"/>
      <c r="VTH134" s="64"/>
      <c r="VTI134" s="64"/>
      <c r="VTJ134" s="64"/>
      <c r="VTK134" s="64"/>
      <c r="VTL134" s="64"/>
      <c r="VTM134" s="64"/>
      <c r="VTN134" s="64"/>
      <c r="VTO134" s="64"/>
      <c r="VTP134" s="64"/>
      <c r="VTQ134" s="64"/>
      <c r="VTR134" s="64"/>
      <c r="VTS134" s="64"/>
      <c r="VTT134" s="64"/>
      <c r="VTU134" s="64"/>
      <c r="VTV134" s="64"/>
      <c r="VTW134" s="64"/>
      <c r="VTX134" s="64"/>
      <c r="VTY134" s="64"/>
      <c r="VTZ134" s="64"/>
      <c r="VUA134" s="64"/>
      <c r="VUB134" s="64"/>
      <c r="VUC134" s="64"/>
      <c r="VUD134" s="64"/>
      <c r="VUE134" s="64"/>
      <c r="VUF134" s="64"/>
      <c r="VUG134" s="64"/>
      <c r="VUH134" s="64"/>
      <c r="VUI134" s="64"/>
      <c r="VUJ134" s="64"/>
      <c r="VUK134" s="64"/>
      <c r="VUL134" s="64"/>
      <c r="VUM134" s="64"/>
      <c r="VUN134" s="64"/>
      <c r="VUO134" s="64"/>
      <c r="VUP134" s="64"/>
      <c r="VUQ134" s="64"/>
      <c r="VUR134" s="64"/>
      <c r="VUS134" s="64"/>
      <c r="VUT134" s="64"/>
      <c r="VUU134" s="64"/>
      <c r="VUV134" s="64"/>
      <c r="VUW134" s="64"/>
      <c r="VUX134" s="64"/>
      <c r="VUY134" s="64"/>
      <c r="VUZ134" s="64"/>
      <c r="VVA134" s="64"/>
      <c r="VVB134" s="64"/>
      <c r="VVC134" s="64"/>
      <c r="VVD134" s="64"/>
      <c r="VVE134" s="64"/>
      <c r="VVF134" s="64"/>
      <c r="VVG134" s="64"/>
      <c r="VVH134" s="64"/>
      <c r="VVI134" s="64"/>
      <c r="VVJ134" s="64"/>
      <c r="VVK134" s="64"/>
      <c r="VVL134" s="64"/>
      <c r="VVM134" s="64"/>
      <c r="VVN134" s="64"/>
      <c r="VVO134" s="64"/>
      <c r="VVP134" s="64"/>
      <c r="VVQ134" s="64"/>
      <c r="VVR134" s="64"/>
      <c r="VVS134" s="64"/>
      <c r="VVT134" s="64"/>
      <c r="VVU134" s="64"/>
      <c r="VVV134" s="64"/>
      <c r="VVW134" s="64"/>
      <c r="VVX134" s="64"/>
      <c r="VVY134" s="64"/>
      <c r="VVZ134" s="64"/>
      <c r="VWA134" s="64"/>
      <c r="VWB134" s="64"/>
      <c r="VWC134" s="64"/>
      <c r="VWD134" s="64"/>
      <c r="VWE134" s="64"/>
      <c r="VWF134" s="64"/>
      <c r="VWG134" s="64"/>
      <c r="VWH134" s="64"/>
      <c r="VWI134" s="64"/>
      <c r="VWJ134" s="64"/>
      <c r="VWK134" s="64"/>
      <c r="VWL134" s="64"/>
      <c r="VWM134" s="64"/>
      <c r="VWN134" s="64"/>
      <c r="VWO134" s="64"/>
      <c r="VWP134" s="64"/>
      <c r="VWQ134" s="64"/>
      <c r="VWR134" s="64"/>
      <c r="VWS134" s="64"/>
      <c r="VWT134" s="64"/>
      <c r="VWU134" s="64"/>
      <c r="VWV134" s="64"/>
      <c r="VWW134" s="64"/>
      <c r="VWX134" s="64"/>
      <c r="VWY134" s="64"/>
      <c r="VWZ134" s="64"/>
      <c r="VXA134" s="64"/>
      <c r="VXB134" s="64"/>
      <c r="VXC134" s="64"/>
      <c r="VXD134" s="64"/>
      <c r="VXE134" s="64"/>
      <c r="VXF134" s="64"/>
      <c r="VXG134" s="64"/>
      <c r="VXH134" s="64"/>
      <c r="VXI134" s="64"/>
      <c r="VXJ134" s="64"/>
      <c r="VXK134" s="64"/>
      <c r="VXL134" s="64"/>
      <c r="VXM134" s="64"/>
      <c r="VXN134" s="64"/>
      <c r="VXO134" s="64"/>
      <c r="VXP134" s="64"/>
      <c r="VXQ134" s="64"/>
      <c r="VXR134" s="64"/>
      <c r="VXS134" s="64"/>
      <c r="VXT134" s="64"/>
      <c r="VXU134" s="64"/>
      <c r="VXV134" s="64"/>
      <c r="VXW134" s="64"/>
      <c r="VXX134" s="64"/>
      <c r="VXY134" s="64"/>
      <c r="VXZ134" s="64"/>
      <c r="VYA134" s="64"/>
      <c r="VYB134" s="64"/>
      <c r="VYC134" s="64"/>
      <c r="VYD134" s="64"/>
      <c r="VYE134" s="64"/>
      <c r="VYF134" s="64"/>
      <c r="VYG134" s="64"/>
      <c r="VYH134" s="64"/>
      <c r="VYI134" s="64"/>
      <c r="VYJ134" s="64"/>
      <c r="VYK134" s="64"/>
      <c r="VYL134" s="64"/>
      <c r="VYM134" s="64"/>
      <c r="VYN134" s="64"/>
      <c r="VYO134" s="64"/>
      <c r="VYP134" s="64"/>
      <c r="VYQ134" s="64"/>
      <c r="VYR134" s="64"/>
      <c r="VYS134" s="64"/>
      <c r="VYT134" s="64"/>
      <c r="VYU134" s="64"/>
      <c r="VYV134" s="64"/>
      <c r="VYW134" s="64"/>
      <c r="VYX134" s="64"/>
      <c r="VYY134" s="64"/>
      <c r="VYZ134" s="64"/>
      <c r="VZA134" s="64"/>
      <c r="VZB134" s="64"/>
      <c r="VZC134" s="64"/>
      <c r="VZD134" s="64"/>
      <c r="VZE134" s="64"/>
      <c r="VZF134" s="64"/>
      <c r="VZG134" s="64"/>
      <c r="VZH134" s="64"/>
      <c r="VZI134" s="64"/>
      <c r="VZJ134" s="64"/>
      <c r="VZK134" s="64"/>
      <c r="VZL134" s="64"/>
      <c r="VZM134" s="64"/>
      <c r="VZN134" s="64"/>
      <c r="VZO134" s="64"/>
      <c r="VZP134" s="64"/>
      <c r="VZQ134" s="64"/>
      <c r="VZR134" s="64"/>
      <c r="VZS134" s="64"/>
      <c r="VZT134" s="64"/>
      <c r="VZU134" s="64"/>
      <c r="VZV134" s="64"/>
      <c r="VZW134" s="64"/>
      <c r="VZX134" s="64"/>
      <c r="VZY134" s="64"/>
      <c r="VZZ134" s="64"/>
      <c r="WAA134" s="64"/>
      <c r="WAB134" s="64"/>
      <c r="WAC134" s="64"/>
      <c r="WAD134" s="64"/>
      <c r="WAE134" s="64"/>
      <c r="WAF134" s="64"/>
      <c r="WAG134" s="64"/>
      <c r="WAH134" s="64"/>
      <c r="WAI134" s="64"/>
      <c r="WAJ134" s="64"/>
      <c r="WAK134" s="64"/>
      <c r="WAL134" s="64"/>
      <c r="WAM134" s="64"/>
      <c r="WAN134" s="64"/>
      <c r="WAO134" s="64"/>
      <c r="WAP134" s="64"/>
      <c r="WAQ134" s="64"/>
      <c r="WAR134" s="64"/>
      <c r="WAS134" s="64"/>
      <c r="WAT134" s="64"/>
      <c r="WAU134" s="64"/>
      <c r="WAV134" s="64"/>
      <c r="WAW134" s="64"/>
      <c r="WAX134" s="64"/>
      <c r="WAY134" s="64"/>
      <c r="WAZ134" s="64"/>
      <c r="WBA134" s="64"/>
      <c r="WBB134" s="64"/>
      <c r="WBC134" s="64"/>
      <c r="WBD134" s="64"/>
      <c r="WBE134" s="64"/>
      <c r="WBF134" s="64"/>
      <c r="WBG134" s="64"/>
      <c r="WBH134" s="64"/>
      <c r="WBI134" s="64"/>
      <c r="WBJ134" s="64"/>
      <c r="WBK134" s="64"/>
      <c r="WBL134" s="64"/>
      <c r="WBM134" s="64"/>
      <c r="WBN134" s="64"/>
      <c r="WBO134" s="64"/>
      <c r="WBP134" s="64"/>
      <c r="WBQ134" s="64"/>
      <c r="WBR134" s="64"/>
      <c r="WBS134" s="64"/>
      <c r="WBT134" s="64"/>
      <c r="WBU134" s="64"/>
      <c r="WBV134" s="64"/>
      <c r="WBW134" s="64"/>
      <c r="WBX134" s="64"/>
      <c r="WBY134" s="64"/>
      <c r="WBZ134" s="64"/>
      <c r="WCA134" s="64"/>
      <c r="WCB134" s="64"/>
      <c r="WCC134" s="64"/>
      <c r="WCD134" s="64"/>
      <c r="WCE134" s="64"/>
      <c r="WCF134" s="64"/>
      <c r="WCG134" s="64"/>
      <c r="WCH134" s="64"/>
      <c r="WCI134" s="64"/>
      <c r="WCJ134" s="64"/>
      <c r="WCK134" s="64"/>
      <c r="WCL134" s="64"/>
      <c r="WCM134" s="64"/>
      <c r="WCN134" s="64"/>
      <c r="WCO134" s="64"/>
      <c r="WCP134" s="64"/>
      <c r="WCQ134" s="64"/>
      <c r="WCR134" s="64"/>
      <c r="WCS134" s="64"/>
      <c r="WCT134" s="64"/>
      <c r="WCU134" s="64"/>
      <c r="WCV134" s="64"/>
      <c r="WCW134" s="64"/>
      <c r="WCX134" s="64"/>
      <c r="WCY134" s="64"/>
      <c r="WCZ134" s="64"/>
      <c r="WDA134" s="64"/>
      <c r="WDB134" s="64"/>
      <c r="WDC134" s="64"/>
      <c r="WDD134" s="64"/>
      <c r="WDE134" s="64"/>
      <c r="WDF134" s="64"/>
      <c r="WDG134" s="64"/>
      <c r="WDH134" s="64"/>
      <c r="WDI134" s="64"/>
      <c r="WDJ134" s="64"/>
      <c r="WDK134" s="64"/>
      <c r="WDL134" s="64"/>
      <c r="WDM134" s="64"/>
      <c r="WDN134" s="64"/>
      <c r="WDO134" s="64"/>
      <c r="WDP134" s="64"/>
      <c r="WDQ134" s="64"/>
      <c r="WDR134" s="64"/>
      <c r="WDS134" s="64"/>
      <c r="WDT134" s="64"/>
      <c r="WDU134" s="64"/>
      <c r="WDV134" s="64"/>
      <c r="WDW134" s="64"/>
      <c r="WDX134" s="64"/>
      <c r="WDY134" s="64"/>
      <c r="WDZ134" s="64"/>
      <c r="WEA134" s="64"/>
      <c r="WEB134" s="64"/>
      <c r="WEC134" s="64"/>
      <c r="WED134" s="64"/>
      <c r="WEE134" s="64"/>
      <c r="WEF134" s="64"/>
      <c r="WEG134" s="64"/>
      <c r="WEH134" s="64"/>
      <c r="WEI134" s="64"/>
      <c r="WEJ134" s="64"/>
      <c r="WEK134" s="64"/>
      <c r="WEL134" s="64"/>
      <c r="WEM134" s="64"/>
      <c r="WEN134" s="64"/>
      <c r="WEO134" s="64"/>
      <c r="WEP134" s="64"/>
      <c r="WEQ134" s="64"/>
      <c r="WER134" s="64"/>
      <c r="WES134" s="64"/>
      <c r="WET134" s="64"/>
      <c r="WEU134" s="64"/>
      <c r="WEV134" s="64"/>
      <c r="WEW134" s="64"/>
      <c r="WEX134" s="64"/>
      <c r="WEY134" s="64"/>
      <c r="WEZ134" s="64"/>
      <c r="WFA134" s="64"/>
      <c r="WFB134" s="64"/>
      <c r="WFC134" s="64"/>
      <c r="WFD134" s="64"/>
      <c r="WFE134" s="64"/>
      <c r="WFF134" s="64"/>
      <c r="WFG134" s="64"/>
      <c r="WFH134" s="64"/>
      <c r="WFI134" s="64"/>
      <c r="WFJ134" s="64"/>
      <c r="WFK134" s="64"/>
      <c r="WFL134" s="64"/>
      <c r="WFM134" s="64"/>
      <c r="WFN134" s="64"/>
      <c r="WFO134" s="64"/>
      <c r="WFP134" s="64"/>
      <c r="WFQ134" s="64"/>
      <c r="WFR134" s="64"/>
      <c r="WFS134" s="64"/>
      <c r="WFT134" s="64"/>
      <c r="WFU134" s="64"/>
      <c r="WFV134" s="64"/>
      <c r="WFW134" s="64"/>
      <c r="WFX134" s="64"/>
      <c r="WFY134" s="64"/>
      <c r="WFZ134" s="64"/>
      <c r="WGA134" s="64"/>
      <c r="WGB134" s="64"/>
      <c r="WGC134" s="64"/>
      <c r="WGD134" s="64"/>
      <c r="WGE134" s="64"/>
      <c r="WGF134" s="64"/>
      <c r="WGG134" s="64"/>
      <c r="WGH134" s="64"/>
      <c r="WGI134" s="64"/>
      <c r="WGJ134" s="64"/>
      <c r="WGK134" s="64"/>
      <c r="WGL134" s="64"/>
      <c r="WGM134" s="64"/>
      <c r="WGN134" s="64"/>
      <c r="WGO134" s="64"/>
      <c r="WGP134" s="64"/>
      <c r="WGQ134" s="64"/>
      <c r="WGR134" s="64"/>
      <c r="WGS134" s="64"/>
      <c r="WGT134" s="64"/>
      <c r="WGU134" s="64"/>
      <c r="WGV134" s="64"/>
      <c r="WGW134" s="64"/>
      <c r="WGX134" s="64"/>
      <c r="WGY134" s="64"/>
      <c r="WGZ134" s="64"/>
      <c r="WHA134" s="64"/>
      <c r="WHB134" s="64"/>
      <c r="WHC134" s="64"/>
      <c r="WHD134" s="64"/>
      <c r="WHE134" s="64"/>
      <c r="WHF134" s="64"/>
      <c r="WHG134" s="64"/>
      <c r="WHH134" s="64"/>
      <c r="WHI134" s="64"/>
      <c r="WHJ134" s="64"/>
      <c r="WHK134" s="64"/>
      <c r="WHL134" s="64"/>
      <c r="WHM134" s="64"/>
      <c r="WHN134" s="64"/>
      <c r="WHO134" s="64"/>
      <c r="WHP134" s="64"/>
      <c r="WHQ134" s="64"/>
      <c r="WHR134" s="64"/>
      <c r="WHS134" s="64"/>
      <c r="WHT134" s="64"/>
      <c r="WHU134" s="64"/>
      <c r="WHV134" s="64"/>
      <c r="WHW134" s="64"/>
      <c r="WHX134" s="64"/>
      <c r="WHY134" s="64"/>
      <c r="WHZ134" s="64"/>
      <c r="WIA134" s="64"/>
      <c r="WIB134" s="64"/>
      <c r="WIC134" s="64"/>
      <c r="WID134" s="64"/>
      <c r="WIE134" s="64"/>
      <c r="WIF134" s="64"/>
      <c r="WIG134" s="64"/>
      <c r="WIH134" s="64"/>
      <c r="WII134" s="64"/>
      <c r="WIJ134" s="64"/>
      <c r="WIK134" s="64"/>
      <c r="WIL134" s="64"/>
      <c r="WIM134" s="64"/>
      <c r="WIN134" s="64"/>
      <c r="WIO134" s="64"/>
      <c r="WIP134" s="64"/>
      <c r="WIQ134" s="64"/>
      <c r="WIR134" s="64"/>
      <c r="WIS134" s="64"/>
      <c r="WIT134" s="64"/>
      <c r="WIU134" s="64"/>
      <c r="WIV134" s="64"/>
      <c r="WIW134" s="64"/>
      <c r="WIX134" s="64"/>
      <c r="WIY134" s="64"/>
      <c r="WIZ134" s="64"/>
      <c r="WJA134" s="64"/>
      <c r="WJB134" s="64"/>
      <c r="WJC134" s="64"/>
      <c r="WJD134" s="64"/>
      <c r="WJE134" s="64"/>
      <c r="WJF134" s="64"/>
      <c r="WJG134" s="64"/>
      <c r="WJH134" s="64"/>
      <c r="WJI134" s="64"/>
      <c r="WJJ134" s="64"/>
      <c r="WJK134" s="64"/>
      <c r="WJL134" s="64"/>
      <c r="WJM134" s="64"/>
      <c r="WJN134" s="64"/>
      <c r="WJO134" s="64"/>
      <c r="WJP134" s="64"/>
      <c r="WJQ134" s="64"/>
      <c r="WJR134" s="64"/>
      <c r="WJS134" s="64"/>
      <c r="WJT134" s="64"/>
      <c r="WJU134" s="64"/>
      <c r="WJV134" s="64"/>
      <c r="WJW134" s="64"/>
      <c r="WJX134" s="64"/>
      <c r="WJY134" s="64"/>
      <c r="WJZ134" s="64"/>
      <c r="WKA134" s="64"/>
      <c r="WKB134" s="64"/>
      <c r="WKC134" s="64"/>
      <c r="WKD134" s="64"/>
      <c r="WKE134" s="64"/>
      <c r="WKF134" s="64"/>
      <c r="WKG134" s="64"/>
      <c r="WKH134" s="64"/>
      <c r="WKI134" s="64"/>
      <c r="WKJ134" s="64"/>
      <c r="WKK134" s="64"/>
      <c r="WKL134" s="64"/>
      <c r="WKM134" s="64"/>
      <c r="WKN134" s="64"/>
      <c r="WKO134" s="64"/>
      <c r="WKP134" s="64"/>
      <c r="WKQ134" s="64"/>
      <c r="WKR134" s="64"/>
      <c r="WKS134" s="64"/>
      <c r="WKT134" s="64"/>
      <c r="WKU134" s="64"/>
      <c r="WKV134" s="64"/>
      <c r="WKW134" s="64"/>
      <c r="WKX134" s="64"/>
      <c r="WKY134" s="64"/>
      <c r="WKZ134" s="64"/>
      <c r="WLA134" s="64"/>
      <c r="WLB134" s="64"/>
      <c r="WLC134" s="64"/>
      <c r="WLD134" s="64"/>
      <c r="WLE134" s="64"/>
      <c r="WLF134" s="64"/>
      <c r="WLG134" s="64"/>
      <c r="WLH134" s="64"/>
      <c r="WLI134" s="64"/>
      <c r="WLJ134" s="64"/>
      <c r="WLK134" s="64"/>
      <c r="WLL134" s="64"/>
      <c r="WLM134" s="64"/>
      <c r="WLN134" s="64"/>
      <c r="WLO134" s="64"/>
      <c r="WLP134" s="64"/>
      <c r="WLQ134" s="64"/>
      <c r="WLR134" s="64"/>
      <c r="WLS134" s="64"/>
      <c r="WLT134" s="64"/>
      <c r="WLU134" s="64"/>
      <c r="WLV134" s="64"/>
      <c r="WLW134" s="64"/>
      <c r="WLX134" s="64"/>
      <c r="WLY134" s="64"/>
      <c r="WLZ134" s="64"/>
      <c r="WMA134" s="64"/>
      <c r="WMB134" s="64"/>
      <c r="WMC134" s="64"/>
      <c r="WMD134" s="64"/>
      <c r="WME134" s="64"/>
      <c r="WMF134" s="64"/>
      <c r="WMG134" s="64"/>
      <c r="WMH134" s="64"/>
      <c r="WMI134" s="64"/>
      <c r="WMJ134" s="64"/>
      <c r="WMK134" s="64"/>
      <c r="WML134" s="64"/>
      <c r="WMM134" s="64"/>
      <c r="WMN134" s="64"/>
      <c r="WMO134" s="64"/>
      <c r="WMP134" s="64"/>
      <c r="WMQ134" s="64"/>
      <c r="WMR134" s="64"/>
      <c r="WMS134" s="64"/>
      <c r="WMT134" s="64"/>
      <c r="WMU134" s="64"/>
      <c r="WMV134" s="64"/>
      <c r="WMW134" s="64"/>
      <c r="WMX134" s="64"/>
      <c r="WMY134" s="64"/>
      <c r="WMZ134" s="64"/>
      <c r="WNA134" s="64"/>
      <c r="WNB134" s="64"/>
      <c r="WNC134" s="64"/>
      <c r="WND134" s="64"/>
      <c r="WNE134" s="64"/>
      <c r="WNF134" s="64"/>
      <c r="WNG134" s="64"/>
      <c r="WNH134" s="64"/>
      <c r="WNI134" s="64"/>
      <c r="WNJ134" s="64"/>
      <c r="WNK134" s="64"/>
      <c r="WNL134" s="64"/>
      <c r="WNM134" s="64"/>
      <c r="WNN134" s="64"/>
      <c r="WNO134" s="64"/>
      <c r="WNP134" s="64"/>
      <c r="WNQ134" s="64"/>
      <c r="WNR134" s="64"/>
      <c r="WNS134" s="64"/>
      <c r="WNT134" s="64"/>
      <c r="WNU134" s="64"/>
      <c r="WNV134" s="64"/>
      <c r="WNW134" s="64"/>
      <c r="WNX134" s="64"/>
      <c r="WNY134" s="64"/>
      <c r="WNZ134" s="64"/>
      <c r="WOA134" s="64"/>
      <c r="WOB134" s="64"/>
      <c r="WOC134" s="64"/>
      <c r="WOD134" s="64"/>
      <c r="WOE134" s="64"/>
      <c r="WOF134" s="64"/>
      <c r="WOG134" s="64"/>
      <c r="WOH134" s="64"/>
      <c r="WOI134" s="64"/>
      <c r="WOJ134" s="64"/>
      <c r="WOK134" s="64"/>
      <c r="WOL134" s="64"/>
      <c r="WOM134" s="64"/>
      <c r="WON134" s="64"/>
      <c r="WOO134" s="64"/>
      <c r="WOP134" s="64"/>
      <c r="WOQ134" s="64"/>
      <c r="WOR134" s="64"/>
      <c r="WOS134" s="64"/>
      <c r="WOT134" s="64"/>
      <c r="WOU134" s="64"/>
      <c r="WOV134" s="64"/>
      <c r="WOW134" s="64"/>
      <c r="WOX134" s="64"/>
      <c r="WOY134" s="64"/>
      <c r="WOZ134" s="64"/>
      <c r="WPA134" s="64"/>
      <c r="WPB134" s="64"/>
      <c r="WPC134" s="64"/>
      <c r="WPD134" s="64"/>
      <c r="WPE134" s="64"/>
      <c r="WPF134" s="64"/>
      <c r="WPG134" s="64"/>
      <c r="WPH134" s="64"/>
      <c r="WPI134" s="64"/>
      <c r="WPJ134" s="64"/>
      <c r="WPK134" s="64"/>
      <c r="WPL134" s="64"/>
      <c r="WPM134" s="64"/>
      <c r="WPN134" s="64"/>
      <c r="WPO134" s="64"/>
      <c r="WPP134" s="64"/>
      <c r="WPQ134" s="64"/>
      <c r="WPR134" s="64"/>
      <c r="WPS134" s="64"/>
      <c r="WPT134" s="64"/>
      <c r="WPU134" s="64"/>
      <c r="WPV134" s="64"/>
      <c r="WPW134" s="64"/>
      <c r="WPX134" s="64"/>
      <c r="WPY134" s="64"/>
      <c r="WPZ134" s="64"/>
      <c r="WQA134" s="64"/>
      <c r="WQB134" s="64"/>
      <c r="WQC134" s="64"/>
      <c r="WQD134" s="64"/>
      <c r="WQE134" s="64"/>
      <c r="WQF134" s="64"/>
      <c r="WQG134" s="64"/>
      <c r="WQH134" s="64"/>
      <c r="WQI134" s="64"/>
      <c r="WQJ134" s="64"/>
      <c r="WQK134" s="64"/>
      <c r="WQL134" s="64"/>
      <c r="WQM134" s="64"/>
      <c r="WQN134" s="64"/>
      <c r="WQO134" s="64"/>
      <c r="WQP134" s="64"/>
      <c r="WQQ134" s="64"/>
      <c r="WQR134" s="64"/>
      <c r="WQS134" s="64"/>
      <c r="WQT134" s="64"/>
      <c r="WQU134" s="64"/>
      <c r="WQV134" s="64"/>
      <c r="WQW134" s="64"/>
      <c r="WQX134" s="64"/>
      <c r="WQY134" s="64"/>
      <c r="WQZ134" s="64"/>
      <c r="WRA134" s="64"/>
      <c r="WRB134" s="64"/>
      <c r="WRC134" s="64"/>
      <c r="WRD134" s="64"/>
      <c r="WRE134" s="64"/>
      <c r="WRF134" s="64"/>
      <c r="WRG134" s="64"/>
      <c r="WRH134" s="64"/>
      <c r="WRI134" s="64"/>
      <c r="WRJ134" s="64"/>
      <c r="WRK134" s="64"/>
      <c r="WRL134" s="64"/>
      <c r="WRM134" s="64"/>
      <c r="WRN134" s="64"/>
      <c r="WRO134" s="64"/>
      <c r="WRP134" s="64"/>
      <c r="WRQ134" s="64"/>
      <c r="WRR134" s="64"/>
      <c r="WRS134" s="64"/>
      <c r="WRT134" s="64"/>
      <c r="WRU134" s="64"/>
      <c r="WRV134" s="64"/>
      <c r="WRW134" s="64"/>
      <c r="WRX134" s="64"/>
      <c r="WRY134" s="64"/>
      <c r="WRZ134" s="64"/>
      <c r="WSA134" s="64"/>
      <c r="WSB134" s="64"/>
      <c r="WSC134" s="64"/>
      <c r="WSD134" s="64"/>
      <c r="WSE134" s="64"/>
      <c r="WSF134" s="64"/>
      <c r="WSG134" s="64"/>
      <c r="WSH134" s="64"/>
      <c r="WSI134" s="64"/>
      <c r="WSJ134" s="64"/>
      <c r="WSK134" s="64"/>
      <c r="WSL134" s="64"/>
      <c r="WSM134" s="64"/>
      <c r="WSN134" s="64"/>
      <c r="WSO134" s="64"/>
      <c r="WSP134" s="64"/>
      <c r="WSQ134" s="64"/>
      <c r="WSR134" s="64"/>
      <c r="WSS134" s="64"/>
      <c r="WST134" s="64"/>
      <c r="WSU134" s="64"/>
      <c r="WSV134" s="64"/>
      <c r="WSW134" s="64"/>
      <c r="WSX134" s="64"/>
      <c r="WSY134" s="64"/>
      <c r="WSZ134" s="64"/>
      <c r="WTA134" s="64"/>
      <c r="WTB134" s="64"/>
      <c r="WTC134" s="64"/>
      <c r="WTD134" s="64"/>
      <c r="WTE134" s="64"/>
      <c r="WTF134" s="64"/>
      <c r="WTG134" s="64"/>
      <c r="WTH134" s="64"/>
      <c r="WTI134" s="64"/>
      <c r="WTJ134" s="64"/>
      <c r="WTK134" s="64"/>
      <c r="WTL134" s="64"/>
      <c r="WTM134" s="64"/>
      <c r="WTN134" s="64"/>
      <c r="WTO134" s="64"/>
      <c r="WTP134" s="64"/>
      <c r="WTQ134" s="64"/>
      <c r="WTR134" s="64"/>
      <c r="WTS134" s="64"/>
      <c r="WTT134" s="64"/>
      <c r="WTU134" s="64"/>
      <c r="WTV134" s="64"/>
      <c r="WTW134" s="64"/>
      <c r="WTX134" s="64"/>
      <c r="WTY134" s="64"/>
      <c r="WTZ134" s="64"/>
      <c r="WUA134" s="64"/>
      <c r="WUB134" s="64"/>
      <c r="WUC134" s="64"/>
      <c r="WUD134" s="64"/>
      <c r="WUE134" s="64"/>
      <c r="WUF134" s="64"/>
      <c r="WUG134" s="64"/>
      <c r="WUH134" s="64"/>
      <c r="WUI134" s="64"/>
      <c r="WUJ134" s="64"/>
      <c r="WUK134" s="64"/>
      <c r="WUL134" s="64"/>
      <c r="WUM134" s="64"/>
      <c r="WUN134" s="64"/>
      <c r="WUO134" s="64"/>
      <c r="WUP134" s="64"/>
      <c r="WUQ134" s="64"/>
      <c r="WUR134" s="64"/>
      <c r="WUS134" s="64"/>
      <c r="WUT134" s="64"/>
      <c r="WUU134" s="64"/>
      <c r="WUV134" s="64"/>
      <c r="WUW134" s="64"/>
      <c r="WUX134" s="64"/>
      <c r="WUY134" s="64"/>
      <c r="WUZ134" s="64"/>
      <c r="WVA134" s="64"/>
      <c r="WVB134" s="64"/>
      <c r="WVC134" s="64"/>
      <c r="WVD134" s="64"/>
      <c r="WVE134" s="64"/>
      <c r="WVF134" s="64"/>
      <c r="WVG134" s="64"/>
      <c r="WVH134" s="64"/>
      <c r="WVI134" s="64"/>
      <c r="WVJ134" s="64"/>
      <c r="WVK134" s="64"/>
      <c r="WVL134" s="64"/>
      <c r="WVM134" s="64"/>
      <c r="WVN134" s="64"/>
      <c r="WVO134" s="64"/>
      <c r="WVP134" s="64"/>
      <c r="WVQ134" s="64"/>
      <c r="WVR134" s="64"/>
      <c r="WVS134" s="64"/>
      <c r="WVT134" s="64"/>
      <c r="WVU134" s="64"/>
      <c r="WVV134" s="64"/>
      <c r="WVW134" s="64"/>
      <c r="WVX134" s="64"/>
      <c r="WVY134" s="64"/>
      <c r="WVZ134" s="64"/>
      <c r="WWA134" s="64"/>
      <c r="WWB134" s="64"/>
      <c r="WWC134" s="64"/>
      <c r="WWD134" s="64"/>
      <c r="WWE134" s="64"/>
      <c r="WWF134" s="64"/>
      <c r="WWG134" s="64"/>
      <c r="WWH134" s="64"/>
      <c r="WWI134" s="64"/>
      <c r="WWJ134" s="64"/>
      <c r="WWK134" s="64"/>
      <c r="WWL134" s="64"/>
      <c r="WWM134" s="64"/>
      <c r="WWN134" s="64"/>
      <c r="WWO134" s="64"/>
      <c r="WWP134" s="64"/>
      <c r="WWQ134" s="64"/>
      <c r="WWR134" s="64"/>
      <c r="WWS134" s="64"/>
      <c r="WWT134" s="64"/>
      <c r="WWU134" s="64"/>
      <c r="WWV134" s="64"/>
      <c r="WWW134" s="64"/>
      <c r="WWX134" s="64"/>
      <c r="WWY134" s="64"/>
      <c r="WWZ134" s="64"/>
      <c r="WXA134" s="64"/>
      <c r="WXB134" s="64"/>
      <c r="WXC134" s="64"/>
      <c r="WXD134" s="64"/>
      <c r="WXE134" s="64"/>
      <c r="WXF134" s="64"/>
      <c r="WXG134" s="64"/>
      <c r="WXH134" s="64"/>
      <c r="WXI134" s="64"/>
      <c r="WXJ134" s="64"/>
      <c r="WXK134" s="64"/>
      <c r="WXL134" s="64"/>
      <c r="WXM134" s="64"/>
      <c r="WXN134" s="64"/>
      <c r="WXO134" s="64"/>
      <c r="WXP134" s="64"/>
      <c r="WXQ134" s="64"/>
      <c r="WXR134" s="64"/>
      <c r="WXS134" s="64"/>
      <c r="WXT134" s="64"/>
      <c r="WXU134" s="64"/>
      <c r="WXV134" s="64"/>
      <c r="WXW134" s="64"/>
      <c r="WXX134" s="64"/>
      <c r="WXY134" s="64"/>
      <c r="WXZ134" s="64"/>
      <c r="WYA134" s="64"/>
      <c r="WYB134" s="64"/>
      <c r="WYC134" s="64"/>
      <c r="WYD134" s="64"/>
      <c r="WYE134" s="64"/>
      <c r="WYF134" s="64"/>
      <c r="WYG134" s="64"/>
      <c r="WYH134" s="64"/>
      <c r="WYI134" s="64"/>
      <c r="WYJ134" s="64"/>
      <c r="WYK134" s="64"/>
      <c r="WYL134" s="64"/>
      <c r="WYM134" s="64"/>
      <c r="WYN134" s="64"/>
      <c r="WYO134" s="64"/>
      <c r="WYP134" s="64"/>
      <c r="WYQ134" s="64"/>
      <c r="WYR134" s="64"/>
      <c r="WYS134" s="64"/>
      <c r="WYT134" s="64"/>
      <c r="WYU134" s="64"/>
      <c r="WYV134" s="64"/>
      <c r="WYW134" s="64"/>
      <c r="WYX134" s="64"/>
      <c r="WYY134" s="64"/>
      <c r="WYZ134" s="64"/>
      <c r="WZA134" s="64"/>
      <c r="WZB134" s="64"/>
      <c r="WZC134" s="64"/>
      <c r="WZD134" s="64"/>
      <c r="WZE134" s="64"/>
      <c r="WZF134" s="64"/>
      <c r="WZG134" s="64"/>
      <c r="WZH134" s="64"/>
      <c r="WZI134" s="64"/>
      <c r="WZJ134" s="64"/>
      <c r="WZK134" s="64"/>
      <c r="WZL134" s="64"/>
      <c r="WZM134" s="64"/>
      <c r="WZN134" s="64"/>
      <c r="WZO134" s="64"/>
      <c r="WZP134" s="64"/>
      <c r="WZQ134" s="64"/>
      <c r="WZR134" s="64"/>
      <c r="WZS134" s="64"/>
      <c r="WZT134" s="64"/>
      <c r="WZU134" s="64"/>
      <c r="WZV134" s="64"/>
      <c r="WZW134" s="64"/>
      <c r="WZX134" s="64"/>
      <c r="WZY134" s="64"/>
      <c r="WZZ134" s="64"/>
      <c r="XAA134" s="64"/>
      <c r="XAB134" s="64"/>
      <c r="XAC134" s="64"/>
      <c r="XAD134" s="64"/>
      <c r="XAE134" s="64"/>
      <c r="XAF134" s="64"/>
      <c r="XAG134" s="64"/>
      <c r="XAH134" s="64"/>
      <c r="XAI134" s="64"/>
      <c r="XAJ134" s="64"/>
      <c r="XAK134" s="64"/>
      <c r="XAL134" s="64"/>
      <c r="XAM134" s="64"/>
      <c r="XAN134" s="64"/>
      <c r="XAO134" s="64"/>
      <c r="XAP134" s="64"/>
      <c r="XAQ134" s="64"/>
      <c r="XAR134" s="64"/>
      <c r="XAS134" s="64"/>
      <c r="XAT134" s="64"/>
      <c r="XAU134" s="64"/>
      <c r="XAV134" s="64"/>
      <c r="XAW134" s="64"/>
      <c r="XAX134" s="64"/>
      <c r="XAY134" s="64"/>
      <c r="XAZ134" s="64"/>
      <c r="XBA134" s="64"/>
      <c r="XBB134" s="64"/>
      <c r="XBC134" s="64"/>
      <c r="XBD134" s="64"/>
      <c r="XBE134" s="64"/>
      <c r="XBF134" s="64"/>
      <c r="XBG134" s="64"/>
      <c r="XBH134" s="64"/>
      <c r="XBI134" s="64"/>
      <c r="XBJ134" s="64"/>
      <c r="XBK134" s="64"/>
      <c r="XBL134" s="64"/>
      <c r="XBM134" s="64"/>
      <c r="XBN134" s="64"/>
      <c r="XBO134" s="64"/>
      <c r="XBP134" s="64"/>
      <c r="XBQ134" s="64"/>
      <c r="XBR134" s="64"/>
      <c r="XBS134" s="64"/>
      <c r="XBT134" s="64"/>
      <c r="XBU134" s="64"/>
      <c r="XBV134" s="64"/>
      <c r="XBW134" s="64"/>
      <c r="XBX134" s="64"/>
      <c r="XBY134" s="64"/>
      <c r="XBZ134" s="64"/>
      <c r="XCA134" s="64"/>
      <c r="XCB134" s="64"/>
      <c r="XCC134" s="64"/>
      <c r="XCD134" s="64"/>
      <c r="XCE134" s="64"/>
      <c r="XCF134" s="64"/>
      <c r="XCG134" s="64"/>
      <c r="XCH134" s="64"/>
      <c r="XCI134" s="64"/>
      <c r="XCJ134" s="64"/>
      <c r="XCK134" s="64"/>
      <c r="XCL134" s="64"/>
      <c r="XCM134" s="64"/>
      <c r="XCN134" s="64"/>
      <c r="XCO134" s="64"/>
      <c r="XCP134" s="64"/>
      <c r="XCQ134" s="64"/>
      <c r="XCR134" s="64"/>
      <c r="XCS134" s="64"/>
      <c r="XCT134" s="64"/>
      <c r="XCU134" s="64"/>
      <c r="XCV134" s="64"/>
      <c r="XCW134" s="64"/>
      <c r="XCX134" s="64"/>
      <c r="XCY134" s="64"/>
      <c r="XCZ134" s="64"/>
      <c r="XDA134" s="64"/>
      <c r="XDB134" s="64"/>
      <c r="XDC134" s="64"/>
      <c r="XDD134" s="64"/>
      <c r="XDE134" s="64"/>
      <c r="XDF134" s="64"/>
      <c r="XDG134" s="64"/>
      <c r="XDH134" s="64"/>
      <c r="XDI134" s="64"/>
      <c r="XDJ134" s="64"/>
      <c r="XDK134" s="64"/>
      <c r="XDL134" s="64"/>
      <c r="XDM134" s="64"/>
      <c r="XDN134" s="64"/>
      <c r="XDO134" s="64"/>
      <c r="XDP134" s="64"/>
      <c r="XDQ134" s="64"/>
      <c r="XDR134" s="64"/>
      <c r="XDS134" s="64"/>
      <c r="XDT134" s="64"/>
      <c r="XDU134" s="64"/>
      <c r="XDV134" s="64"/>
      <c r="XDW134" s="64"/>
      <c r="XDX134" s="64"/>
      <c r="XDY134" s="64"/>
      <c r="XDZ134" s="64"/>
      <c r="XEA134" s="64"/>
      <c r="XEB134" s="64"/>
      <c r="XEC134" s="64"/>
      <c r="XED134" s="64"/>
      <c r="XEE134" s="64"/>
      <c r="XEF134" s="64"/>
      <c r="XEG134" s="64"/>
      <c r="XEH134" s="64"/>
      <c r="XEI134" s="64"/>
      <c r="XEJ134" s="64"/>
      <c r="XEK134" s="64"/>
      <c r="XEL134" s="64"/>
      <c r="XEM134" s="64"/>
      <c r="XEN134" s="64"/>
      <c r="XEO134" s="64"/>
      <c r="XEP134" s="64"/>
      <c r="XEQ134" s="64"/>
      <c r="XER134" s="64"/>
      <c r="XES134" s="64"/>
      <c r="XET134" s="64"/>
      <c r="XEU134" s="64"/>
      <c r="XEV134" s="64"/>
      <c r="XEW134" s="64"/>
      <c r="XEX134" s="64"/>
      <c r="XEY134" s="64"/>
      <c r="XEZ134" s="64"/>
      <c r="XFA134" s="64"/>
      <c r="XFB134" s="64"/>
      <c r="XFC134" s="64"/>
      <c r="XFD134" s="64"/>
    </row>
    <row r="135" spans="1:16384" hidden="1" x14ac:dyDescent="0.25">
      <c r="A135" s="51">
        <f t="shared" si="2"/>
        <v>65</v>
      </c>
      <c r="B135" s="52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4"/>
    </row>
    <row r="136" spans="1:16384" x14ac:dyDescent="0.25">
      <c r="A136" s="65"/>
      <c r="B136" s="66" t="s">
        <v>116</v>
      </c>
      <c r="C136" s="63">
        <f>COUNTA(C71:C135)</f>
        <v>0</v>
      </c>
      <c r="D136" s="63">
        <f t="shared" ref="D136:AG136" si="3">COUNTA(D71:D135)</f>
        <v>4</v>
      </c>
      <c r="E136" s="63">
        <f t="shared" si="3"/>
        <v>4</v>
      </c>
      <c r="F136" s="63">
        <f t="shared" si="3"/>
        <v>1</v>
      </c>
      <c r="G136" s="63">
        <f t="shared" si="3"/>
        <v>2</v>
      </c>
      <c r="H136" s="63">
        <f t="shared" si="3"/>
        <v>0</v>
      </c>
      <c r="I136" s="63">
        <f t="shared" si="3"/>
        <v>4</v>
      </c>
      <c r="J136" s="63">
        <f t="shared" si="3"/>
        <v>0</v>
      </c>
      <c r="K136" s="63">
        <f t="shared" si="3"/>
        <v>2</v>
      </c>
      <c r="L136" s="63">
        <f t="shared" si="3"/>
        <v>6</v>
      </c>
      <c r="M136" s="63">
        <f>COUNTA(M71:M135)</f>
        <v>4</v>
      </c>
      <c r="N136" s="63">
        <f t="shared" si="3"/>
        <v>4</v>
      </c>
      <c r="O136" s="63">
        <f t="shared" si="3"/>
        <v>11</v>
      </c>
      <c r="P136" s="63">
        <f t="shared" si="3"/>
        <v>3</v>
      </c>
      <c r="Q136" s="63">
        <f t="shared" si="3"/>
        <v>0</v>
      </c>
      <c r="R136" s="63">
        <f t="shared" si="3"/>
        <v>1</v>
      </c>
      <c r="S136" s="63">
        <f t="shared" si="3"/>
        <v>0</v>
      </c>
      <c r="T136" s="63">
        <f t="shared" si="3"/>
        <v>8</v>
      </c>
      <c r="U136" s="63">
        <f t="shared" si="3"/>
        <v>9</v>
      </c>
      <c r="V136" s="63">
        <f t="shared" si="3"/>
        <v>1</v>
      </c>
      <c r="W136" s="63">
        <f t="shared" si="3"/>
        <v>1</v>
      </c>
      <c r="X136" s="63">
        <f t="shared" si="3"/>
        <v>0</v>
      </c>
      <c r="Y136" s="63">
        <f t="shared" si="3"/>
        <v>1</v>
      </c>
      <c r="Z136" s="63">
        <f t="shared" si="3"/>
        <v>1</v>
      </c>
      <c r="AA136" s="63">
        <f t="shared" si="3"/>
        <v>6</v>
      </c>
      <c r="AB136" s="63">
        <f t="shared" si="3"/>
        <v>8</v>
      </c>
      <c r="AC136" s="63">
        <f t="shared" si="3"/>
        <v>9</v>
      </c>
      <c r="AD136" s="63">
        <f t="shared" si="3"/>
        <v>1</v>
      </c>
      <c r="AE136" s="63">
        <f t="shared" si="3"/>
        <v>0</v>
      </c>
      <c r="AF136" s="63">
        <f t="shared" si="3"/>
        <v>0</v>
      </c>
      <c r="AG136" s="63">
        <f t="shared" si="3"/>
        <v>0</v>
      </c>
      <c r="AH136" s="63"/>
    </row>
  </sheetData>
  <autoFilter ref="A70:XFD136"/>
  <mergeCells count="4">
    <mergeCell ref="A1:AG1"/>
    <mergeCell ref="A2:AF2"/>
    <mergeCell ref="AI7:AK7"/>
    <mergeCell ref="AM7:AO7"/>
  </mergeCells>
  <conditionalFormatting sqref="C7:AG7 C8:AD8 AF8:AH8 C9:AG21 C48:AG63">
    <cfRule type="containsText" dxfId="370" priority="169" operator="containsText" text="B">
      <formula>NOT(ISERROR(SEARCH("B",C7)))</formula>
    </cfRule>
    <cfRule type="containsText" dxfId="369" priority="170" operator="containsText" text="TB">
      <formula>NOT(ISERROR(SEARCH("TB",C7)))</formula>
    </cfRule>
    <cfRule type="containsText" dxfId="368" priority="171" operator="containsText" text="T">
      <formula>NOT(ISERROR(SEARCH("T",C7)))</formula>
    </cfRule>
  </conditionalFormatting>
  <conditionalFormatting sqref="C7:AG7 C8:AD8 AF8:AH8 C9:AG21 C48:AG63 AH64">
    <cfRule type="containsText" dxfId="367" priority="168" operator="containsText" text="TB">
      <formula>NOT(ISERROR(SEARCH("TB",C7)))</formula>
    </cfRule>
  </conditionalFormatting>
  <conditionalFormatting sqref="C47:AG47">
    <cfRule type="containsText" dxfId="366" priority="161" operator="containsText" text="B">
      <formula>NOT(ISERROR(SEARCH("B",C47)))</formula>
    </cfRule>
    <cfRule type="containsText" dxfId="365" priority="162" operator="containsText" text="TB">
      <formula>NOT(ISERROR(SEARCH("TB",C47)))</formula>
    </cfRule>
    <cfRule type="containsText" dxfId="364" priority="163" operator="containsText" text="T">
      <formula>NOT(ISERROR(SEARCH("T",C47)))</formula>
    </cfRule>
  </conditionalFormatting>
  <conditionalFormatting sqref="C47:AG47">
    <cfRule type="containsText" dxfId="363" priority="160" operator="containsText" text="TB">
      <formula>NOT(ISERROR(SEARCH("TB",C47)))</formula>
    </cfRule>
  </conditionalFormatting>
  <conditionalFormatting sqref="C22:AG46">
    <cfRule type="containsText" dxfId="362" priority="165" operator="containsText" text="B">
      <formula>NOT(ISERROR(SEARCH("B",C22)))</formula>
    </cfRule>
    <cfRule type="containsText" dxfId="361" priority="166" operator="containsText" text="TB">
      <formula>NOT(ISERROR(SEARCH("TB",C22)))</formula>
    </cfRule>
    <cfRule type="containsText" dxfId="360" priority="167" operator="containsText" text="T">
      <formula>NOT(ISERROR(SEARCH("T",C22)))</formula>
    </cfRule>
  </conditionalFormatting>
  <conditionalFormatting sqref="C22:AG46">
    <cfRule type="containsText" dxfId="359" priority="164" operator="containsText" text="TB">
      <formula>NOT(ISERROR(SEARCH("TB",C22)))</formula>
    </cfRule>
  </conditionalFormatting>
  <conditionalFormatting sqref="C71:AG71 C72:AD72 AF72:AH72 C73:AG78 C116:AG133 C80:AG89 C135:AG135">
    <cfRule type="containsText" dxfId="358" priority="157" operator="containsText" text="B">
      <formula>NOT(ISERROR(SEARCH("B",C71)))</formula>
    </cfRule>
    <cfRule type="containsText" dxfId="357" priority="158" operator="containsText" text="TB">
      <formula>NOT(ISERROR(SEARCH("TB",C71)))</formula>
    </cfRule>
    <cfRule type="containsText" dxfId="356" priority="159" operator="containsText" text="T">
      <formula>NOT(ISERROR(SEARCH("T",C71)))</formula>
    </cfRule>
  </conditionalFormatting>
  <conditionalFormatting sqref="C71:AG71 C72:AD72 AF72:AH72 C73:AG78 C116:AG133 C80:AG89 AH136 C135:AG135">
    <cfRule type="containsText" dxfId="355" priority="156" operator="containsText" text="TB">
      <formula>NOT(ISERROR(SEARCH("TB",C71)))</formula>
    </cfRule>
  </conditionalFormatting>
  <conditionalFormatting sqref="C115:AG115">
    <cfRule type="containsText" dxfId="354" priority="149" operator="containsText" text="B">
      <formula>NOT(ISERROR(SEARCH("B",C115)))</formula>
    </cfRule>
    <cfRule type="containsText" dxfId="353" priority="150" operator="containsText" text="TB">
      <formula>NOT(ISERROR(SEARCH("TB",C115)))</formula>
    </cfRule>
    <cfRule type="containsText" dxfId="352" priority="151" operator="containsText" text="T">
      <formula>NOT(ISERROR(SEARCH("T",C115)))</formula>
    </cfRule>
  </conditionalFormatting>
  <conditionalFormatting sqref="C115:AG115">
    <cfRule type="containsText" dxfId="351" priority="148" operator="containsText" text="TB">
      <formula>NOT(ISERROR(SEARCH("TB",C115)))</formula>
    </cfRule>
  </conditionalFormatting>
  <conditionalFormatting sqref="C90:AG114">
    <cfRule type="containsText" dxfId="350" priority="153" operator="containsText" text="B">
      <formula>NOT(ISERROR(SEARCH("B",C90)))</formula>
    </cfRule>
    <cfRule type="containsText" dxfId="349" priority="154" operator="containsText" text="TB">
      <formula>NOT(ISERROR(SEARCH("TB",C90)))</formula>
    </cfRule>
    <cfRule type="containsText" dxfId="348" priority="155" operator="containsText" text="T">
      <formula>NOT(ISERROR(SEARCH("T",C90)))</formula>
    </cfRule>
  </conditionalFormatting>
  <conditionalFormatting sqref="C90:AG114">
    <cfRule type="containsText" dxfId="347" priority="152" operator="containsText" text="TB">
      <formula>NOT(ISERROR(SEARCH("TB",C90)))</formula>
    </cfRule>
  </conditionalFormatting>
  <conditionalFormatting sqref="B71">
    <cfRule type="expression" dxfId="346" priority="145">
      <formula>AND($AK71&gt;0,$W71&gt;89)</formula>
    </cfRule>
    <cfRule type="expression" dxfId="345" priority="146">
      <formula>AND($AK71&gt;0,$W71&gt;59)</formula>
    </cfRule>
    <cfRule type="expression" dxfId="344" priority="147">
      <formula>AND($AK71&gt;0,$W71&gt;44)</formula>
    </cfRule>
  </conditionalFormatting>
  <conditionalFormatting sqref="B72">
    <cfRule type="expression" dxfId="343" priority="142">
      <formula>AND($AK72&gt;0,$W72&gt;89)</formula>
    </cfRule>
    <cfRule type="expression" dxfId="342" priority="143">
      <formula>AND($AK72&gt;0,$W72&gt;59)</formula>
    </cfRule>
    <cfRule type="expression" dxfId="341" priority="144">
      <formula>AND($AK72&gt;0,$W72&gt;44)</formula>
    </cfRule>
  </conditionalFormatting>
  <conditionalFormatting sqref="B73">
    <cfRule type="expression" dxfId="340" priority="139">
      <formula>AND($AK73&gt;0,$W73&gt;89)</formula>
    </cfRule>
    <cfRule type="expression" dxfId="339" priority="140">
      <formula>AND($AK73&gt;0,$W73&gt;59)</formula>
    </cfRule>
    <cfRule type="expression" dxfId="338" priority="141">
      <formula>AND($AK73&gt;0,$W73&gt;44)</formula>
    </cfRule>
  </conditionalFormatting>
  <conditionalFormatting sqref="B74">
    <cfRule type="expression" dxfId="337" priority="136">
      <formula>AND($AK74&gt;0,$W74&gt;89)</formula>
    </cfRule>
    <cfRule type="expression" dxfId="336" priority="137">
      <formula>AND($AK74&gt;0,$W74&gt;59)</formula>
    </cfRule>
    <cfRule type="expression" dxfId="335" priority="138">
      <formula>AND($AK74&gt;0,$W74&gt;44)</formula>
    </cfRule>
  </conditionalFormatting>
  <conditionalFormatting sqref="B75">
    <cfRule type="expression" dxfId="334" priority="133">
      <formula>AND($AK75&gt;0,$W75&gt;89)</formula>
    </cfRule>
    <cfRule type="expression" dxfId="333" priority="134">
      <formula>AND($AK75&gt;0,$W75&gt;59)</formula>
    </cfRule>
    <cfRule type="expression" dxfId="332" priority="135">
      <formula>AND($AK75&gt;0,$W75&gt;44)</formula>
    </cfRule>
  </conditionalFormatting>
  <conditionalFormatting sqref="C79:F79 H79:XFD79">
    <cfRule type="expression" dxfId="331" priority="130">
      <formula>AND($AK79&gt;0,$W79&gt;89)</formula>
    </cfRule>
    <cfRule type="expression" dxfId="330" priority="131">
      <formula>AND($AK79&gt;0,$W79&gt;59)</formula>
    </cfRule>
    <cfRule type="expression" dxfId="329" priority="132">
      <formula>AND($AK79&gt;0,$W79&gt;44)</formula>
    </cfRule>
  </conditionalFormatting>
  <conditionalFormatting sqref="B76">
    <cfRule type="expression" dxfId="328" priority="127">
      <formula>AND($AK76&gt;0,$W76&gt;89)</formula>
    </cfRule>
    <cfRule type="expression" dxfId="327" priority="128">
      <formula>AND($AK76&gt;0,$W76&gt;59)</formula>
    </cfRule>
    <cfRule type="expression" dxfId="326" priority="129">
      <formula>AND($AK76&gt;0,$W76&gt;44)</formula>
    </cfRule>
  </conditionalFormatting>
  <conditionalFormatting sqref="B77">
    <cfRule type="expression" dxfId="325" priority="124">
      <formula>AND($AK77&gt;0,$W77&gt;89)</formula>
    </cfRule>
    <cfRule type="expression" dxfId="324" priority="125">
      <formula>AND($AK77&gt;0,$W77&gt;59)</formula>
    </cfRule>
    <cfRule type="expression" dxfId="323" priority="126">
      <formula>AND($AK77&gt;0,$W77&gt;44)</formula>
    </cfRule>
  </conditionalFormatting>
  <conditionalFormatting sqref="B78">
    <cfRule type="expression" dxfId="322" priority="121">
      <formula>AND($AK78&gt;0,$W78&gt;89)</formula>
    </cfRule>
    <cfRule type="expression" dxfId="321" priority="122">
      <formula>AND($AK78&gt;0,$W78&gt;59)</formula>
    </cfRule>
    <cfRule type="expression" dxfId="320" priority="123">
      <formula>AND($AK78&gt;0,$W78&gt;44)</formula>
    </cfRule>
  </conditionalFormatting>
  <conditionalFormatting sqref="B79">
    <cfRule type="expression" dxfId="319" priority="118">
      <formula>AND($AK79&gt;0,$W79&gt;89)</formula>
    </cfRule>
    <cfRule type="expression" dxfId="318" priority="119">
      <formula>AND($AK79&gt;0,$W79&gt;59)</formula>
    </cfRule>
    <cfRule type="expression" dxfId="317" priority="120">
      <formula>AND($AK79&gt;0,$W79&gt;44)</formula>
    </cfRule>
  </conditionalFormatting>
  <conditionalFormatting sqref="G79">
    <cfRule type="containsText" dxfId="316" priority="115" operator="containsText" text="B">
      <formula>NOT(ISERROR(SEARCH("B",G79)))</formula>
    </cfRule>
    <cfRule type="containsText" dxfId="315" priority="116" operator="containsText" text="TB">
      <formula>NOT(ISERROR(SEARCH("TB",G79)))</formula>
    </cfRule>
    <cfRule type="containsText" dxfId="314" priority="117" operator="containsText" text="T">
      <formula>NOT(ISERROR(SEARCH("T",G79)))</formula>
    </cfRule>
  </conditionalFormatting>
  <conditionalFormatting sqref="G79">
    <cfRule type="containsText" dxfId="313" priority="114" operator="containsText" text="TB">
      <formula>NOT(ISERROR(SEARCH("TB",G79)))</formula>
    </cfRule>
  </conditionalFormatting>
  <conditionalFormatting sqref="B80">
    <cfRule type="expression" dxfId="312" priority="111">
      <formula>AND($AK80&gt;0,$W80&gt;89)</formula>
    </cfRule>
    <cfRule type="expression" dxfId="311" priority="112">
      <formula>AND($AK80&gt;0,$W80&gt;59)</formula>
    </cfRule>
    <cfRule type="expression" dxfId="310" priority="113">
      <formula>AND($AK80&gt;0,$W80&gt;44)</formula>
    </cfRule>
  </conditionalFormatting>
  <conditionalFormatting sqref="C64:AG64">
    <cfRule type="containsText" dxfId="309" priority="110" operator="containsText" text="TB">
      <formula>NOT(ISERROR(SEARCH("TB",C64)))</formula>
    </cfRule>
  </conditionalFormatting>
  <conditionalFormatting sqref="C136:AG136">
    <cfRule type="containsText" dxfId="308" priority="109" operator="containsText" text="TB">
      <formula>NOT(ISERROR(SEARCH("TB",C136)))</formula>
    </cfRule>
  </conditionalFormatting>
  <conditionalFormatting sqref="B81">
    <cfRule type="expression" dxfId="307" priority="106">
      <formula>AND($AK81&gt;0,$W81&gt;89)</formula>
    </cfRule>
    <cfRule type="expression" dxfId="306" priority="107">
      <formula>AND($AK81&gt;0,$W81&gt;59)</formula>
    </cfRule>
    <cfRule type="expression" dxfId="305" priority="108">
      <formula>AND($AK81&gt;0,$W81&gt;44)</formula>
    </cfRule>
  </conditionalFormatting>
  <conditionalFormatting sqref="B82">
    <cfRule type="expression" dxfId="304" priority="103">
      <formula>AND($AK82&gt;0,$W82&gt;89)</formula>
    </cfRule>
    <cfRule type="expression" dxfId="303" priority="104">
      <formula>AND($AK82&gt;0,$W82&gt;59)</formula>
    </cfRule>
    <cfRule type="expression" dxfId="302" priority="105">
      <formula>AND($AK82&gt;0,$W82&gt;44)</formula>
    </cfRule>
  </conditionalFormatting>
  <conditionalFormatting sqref="B83">
    <cfRule type="expression" dxfId="301" priority="100">
      <formula>AND($AK83&gt;0,$W83&gt;89)</formula>
    </cfRule>
    <cfRule type="expression" dxfId="300" priority="101">
      <formula>AND($AK83&gt;0,$W83&gt;59)</formula>
    </cfRule>
    <cfRule type="expression" dxfId="299" priority="102">
      <formula>AND($AK83&gt;0,$W83&gt;44)</formula>
    </cfRule>
  </conditionalFormatting>
  <conditionalFormatting sqref="B134:XFD134">
    <cfRule type="expression" dxfId="298" priority="97">
      <formula>AND($AK134&gt;0,$W134&gt;89)</formula>
    </cfRule>
    <cfRule type="expression" dxfId="297" priority="98">
      <formula>AND($AK134&gt;0,$W134&gt;59)</formula>
    </cfRule>
    <cfRule type="expression" dxfId="296" priority="99">
      <formula>AND($AK134&gt;0,$W134&gt;44)</formula>
    </cfRule>
  </conditionalFormatting>
  <conditionalFormatting sqref="B84">
    <cfRule type="expression" dxfId="295" priority="94">
      <formula>AND($AK84&gt;0,$W84&gt;89)</formula>
    </cfRule>
    <cfRule type="expression" dxfId="294" priority="95">
      <formula>AND($AK84&gt;0,$W84&gt;59)</formula>
    </cfRule>
    <cfRule type="expression" dxfId="293" priority="96">
      <formula>AND($AK84&gt;0,$W84&gt;44)</formula>
    </cfRule>
  </conditionalFormatting>
  <conditionalFormatting sqref="B85">
    <cfRule type="expression" dxfId="292" priority="91">
      <formula>AND($AK85&gt;0,$W85&gt;89)</formula>
    </cfRule>
    <cfRule type="expression" dxfId="291" priority="92">
      <formula>AND($AK85&gt;0,$W85&gt;59)</formula>
    </cfRule>
    <cfRule type="expression" dxfId="290" priority="93">
      <formula>AND($AK85&gt;0,$W85&gt;44)</formula>
    </cfRule>
  </conditionalFormatting>
  <conditionalFormatting sqref="B86">
    <cfRule type="expression" dxfId="289" priority="88">
      <formula>AND($AK86&gt;0,$W86&gt;89)</formula>
    </cfRule>
    <cfRule type="expression" dxfId="288" priority="89">
      <formula>AND($AK86&gt;0,$W86&gt;59)</formula>
    </cfRule>
    <cfRule type="expression" dxfId="287" priority="90">
      <formula>AND($AK86&gt;0,$W86&gt;44)</formula>
    </cfRule>
  </conditionalFormatting>
  <conditionalFormatting sqref="B87">
    <cfRule type="expression" dxfId="286" priority="85">
      <formula>AND($AK87&gt;0,$W87&gt;89)</formula>
    </cfRule>
    <cfRule type="expression" dxfId="285" priority="86">
      <formula>AND($AK87&gt;0,$W87&gt;59)</formula>
    </cfRule>
    <cfRule type="expression" dxfId="284" priority="87">
      <formula>AND($AK87&gt;0,$W87&gt;44)</formula>
    </cfRule>
  </conditionalFormatting>
  <conditionalFormatting sqref="B88">
    <cfRule type="expression" dxfId="283" priority="82">
      <formula>AND($AK88&gt;0,$W88&gt;89)</formula>
    </cfRule>
    <cfRule type="expression" dxfId="282" priority="83">
      <formula>AND($AK88&gt;0,$W88&gt;59)</formula>
    </cfRule>
    <cfRule type="expression" dxfId="281" priority="84">
      <formula>AND($AK88&gt;0,$W88&gt;44)</formula>
    </cfRule>
  </conditionalFormatting>
  <conditionalFormatting sqref="B89">
    <cfRule type="expression" dxfId="280" priority="79">
      <formula>AND($AK89&gt;0,$W89&gt;89)</formula>
    </cfRule>
    <cfRule type="expression" dxfId="279" priority="80">
      <formula>AND($AK89&gt;0,$W89&gt;59)</formula>
    </cfRule>
    <cfRule type="expression" dxfId="278" priority="81">
      <formula>AND($AK89&gt;0,$W89&gt;44)</formula>
    </cfRule>
  </conditionalFormatting>
  <conditionalFormatting sqref="B90">
    <cfRule type="expression" dxfId="277" priority="76">
      <formula>AND($AK90&gt;0,$W90&gt;89)</formula>
    </cfRule>
    <cfRule type="expression" dxfId="276" priority="77">
      <formula>AND($AK90&gt;0,$W90&gt;59)</formula>
    </cfRule>
    <cfRule type="expression" dxfId="275" priority="78">
      <formula>AND($AK90&gt;0,$W90&gt;44)</formula>
    </cfRule>
  </conditionalFormatting>
  <conditionalFormatting sqref="B91">
    <cfRule type="expression" dxfId="274" priority="73">
      <formula>AND($AK91&gt;0,$W91&gt;89)</formula>
    </cfRule>
    <cfRule type="expression" dxfId="273" priority="74">
      <formula>AND($AK91&gt;0,$W91&gt;59)</formula>
    </cfRule>
    <cfRule type="expression" dxfId="272" priority="75">
      <formula>AND($AK91&gt;0,$W91&gt;44)</formula>
    </cfRule>
  </conditionalFormatting>
  <conditionalFormatting sqref="B92">
    <cfRule type="expression" dxfId="271" priority="70">
      <formula>AND($AK92&gt;0,$W92&gt;89)</formula>
    </cfRule>
    <cfRule type="expression" dxfId="270" priority="71">
      <formula>AND($AK92&gt;0,$W92&gt;59)</formula>
    </cfRule>
    <cfRule type="expression" dxfId="269" priority="72">
      <formula>AND($AK92&gt;0,$W92&gt;44)</formula>
    </cfRule>
  </conditionalFormatting>
  <conditionalFormatting sqref="B93">
    <cfRule type="expression" dxfId="268" priority="67">
      <formula>AND($AK93&gt;0,$W93&gt;89)</formula>
    </cfRule>
    <cfRule type="expression" dxfId="267" priority="68">
      <formula>AND($AK93&gt;0,$W93&gt;59)</formula>
    </cfRule>
    <cfRule type="expression" dxfId="266" priority="69">
      <formula>AND($AK93&gt;0,$W93&gt;44)</formula>
    </cfRule>
  </conditionalFormatting>
  <conditionalFormatting sqref="B94">
    <cfRule type="expression" dxfId="265" priority="64">
      <formula>AND($AK94&gt;0,$W94&gt;89)</formula>
    </cfRule>
    <cfRule type="expression" dxfId="264" priority="65">
      <formula>AND($AK94&gt;0,$W94&gt;59)</formula>
    </cfRule>
    <cfRule type="expression" dxfId="263" priority="66">
      <formula>AND($AK94&gt;0,$W94&gt;44)</formula>
    </cfRule>
  </conditionalFormatting>
  <conditionalFormatting sqref="B95">
    <cfRule type="expression" dxfId="262" priority="61">
      <formula>AND($AK95&gt;0,$W95&gt;89)</formula>
    </cfRule>
    <cfRule type="expression" dxfId="261" priority="62">
      <formula>AND($AK95&gt;0,$W95&gt;59)</formula>
    </cfRule>
    <cfRule type="expression" dxfId="260" priority="63">
      <formula>AND($AK95&gt;0,$W95&gt;44)</formula>
    </cfRule>
  </conditionalFormatting>
  <conditionalFormatting sqref="B96">
    <cfRule type="expression" dxfId="259" priority="58">
      <formula>AND($AK96&gt;0,$W96&gt;89)</formula>
    </cfRule>
    <cfRule type="expression" dxfId="258" priority="59">
      <formula>AND($AK96&gt;0,$W96&gt;59)</formula>
    </cfRule>
    <cfRule type="expression" dxfId="257" priority="60">
      <formula>AND($AK96&gt;0,$W96&gt;44)</formula>
    </cfRule>
  </conditionalFormatting>
  <conditionalFormatting sqref="B97">
    <cfRule type="expression" dxfId="256" priority="55">
      <formula>AND($AK97&gt;0,$W97&gt;89)</formula>
    </cfRule>
    <cfRule type="expression" dxfId="255" priority="56">
      <formula>AND($AK97&gt;0,$W97&gt;59)</formula>
    </cfRule>
    <cfRule type="expression" dxfId="254" priority="57">
      <formula>AND($AK97&gt;0,$W97&gt;44)</formula>
    </cfRule>
  </conditionalFormatting>
  <conditionalFormatting sqref="B98">
    <cfRule type="expression" dxfId="253" priority="52">
      <formula>AND($AK98&gt;0,$W98&gt;89)</formula>
    </cfRule>
    <cfRule type="expression" dxfId="252" priority="53">
      <formula>AND($AK98&gt;0,$W98&gt;59)</formula>
    </cfRule>
    <cfRule type="expression" dxfId="251" priority="54">
      <formula>AND($AK98&gt;0,$W98&gt;44)</formula>
    </cfRule>
  </conditionalFormatting>
  <conditionalFormatting sqref="B99">
    <cfRule type="expression" dxfId="250" priority="49">
      <formula>AND($AK99&gt;0,$W99&gt;89)</formula>
    </cfRule>
    <cfRule type="expression" dxfId="249" priority="50">
      <formula>AND($AK99&gt;0,$W99&gt;59)</formula>
    </cfRule>
    <cfRule type="expression" dxfId="248" priority="51">
      <formula>AND($AK99&gt;0,$W99&gt;44)</formula>
    </cfRule>
  </conditionalFormatting>
  <conditionalFormatting sqref="B100">
    <cfRule type="expression" dxfId="247" priority="46">
      <formula>AND($AK100&gt;0,$W100&gt;89)</formula>
    </cfRule>
    <cfRule type="expression" dxfId="246" priority="47">
      <formula>AND($AK100&gt;0,$W100&gt;59)</formula>
    </cfRule>
    <cfRule type="expression" dxfId="245" priority="48">
      <formula>AND($AK100&gt;0,$W100&gt;44)</formula>
    </cfRule>
  </conditionalFormatting>
  <conditionalFormatting sqref="B101">
    <cfRule type="expression" dxfId="244" priority="43">
      <formula>AND($AK101&gt;0,$W101&gt;89)</formula>
    </cfRule>
    <cfRule type="expression" dxfId="243" priority="44">
      <formula>AND($AK101&gt;0,$W101&gt;59)</formula>
    </cfRule>
    <cfRule type="expression" dxfId="242" priority="45">
      <formula>AND($AK101&gt;0,$W101&gt;44)</formula>
    </cfRule>
  </conditionalFormatting>
  <conditionalFormatting sqref="B102">
    <cfRule type="expression" dxfId="241" priority="40">
      <formula>AND($AK102&gt;0,$W102&gt;89)</formula>
    </cfRule>
    <cfRule type="expression" dxfId="240" priority="41">
      <formula>AND($AK102&gt;0,$W102&gt;59)</formula>
    </cfRule>
    <cfRule type="expression" dxfId="239" priority="42">
      <formula>AND($AK102&gt;0,$W102&gt;44)</formula>
    </cfRule>
  </conditionalFormatting>
  <conditionalFormatting sqref="B103">
    <cfRule type="expression" dxfId="238" priority="37">
      <formula>AND($AK103&gt;0,$W103&gt;89)</formula>
    </cfRule>
    <cfRule type="expression" dxfId="237" priority="38">
      <formula>AND($AK103&gt;0,$W103&gt;59)</formula>
    </cfRule>
    <cfRule type="expression" dxfId="236" priority="39">
      <formula>AND($AK103&gt;0,$W103&gt;44)</formula>
    </cfRule>
  </conditionalFormatting>
  <conditionalFormatting sqref="B104">
    <cfRule type="expression" dxfId="235" priority="34">
      <formula>AND($AK104&gt;0,$W104&gt;89)</formula>
    </cfRule>
    <cfRule type="expression" dxfId="234" priority="35">
      <formula>AND($AK104&gt;0,$W104&gt;59)</formula>
    </cfRule>
    <cfRule type="expression" dxfId="233" priority="36">
      <formula>AND($AK104&gt;0,$W104&gt;44)</formula>
    </cfRule>
  </conditionalFormatting>
  <conditionalFormatting sqref="B105">
    <cfRule type="expression" dxfId="232" priority="31">
      <formula>AND($AK105&gt;0,$W105&gt;89)</formula>
    </cfRule>
    <cfRule type="expression" dxfId="231" priority="32">
      <formula>AND($AK105&gt;0,$W105&gt;59)</formula>
    </cfRule>
    <cfRule type="expression" dxfId="230" priority="33">
      <formula>AND($AK105&gt;0,$W105&gt;44)</formula>
    </cfRule>
  </conditionalFormatting>
  <conditionalFormatting sqref="B106">
    <cfRule type="expression" dxfId="229" priority="28">
      <formula>AND($AK106&gt;0,$W106&gt;89)</formula>
    </cfRule>
    <cfRule type="expression" dxfId="228" priority="29">
      <formula>AND($AK106&gt;0,$W106&gt;59)</formula>
    </cfRule>
    <cfRule type="expression" dxfId="227" priority="30">
      <formula>AND($AK106&gt;0,$W106&gt;44)</formula>
    </cfRule>
  </conditionalFormatting>
  <conditionalFormatting sqref="B107">
    <cfRule type="expression" dxfId="226" priority="25">
      <formula>AND($AK107&gt;0,$W107&gt;89)</formula>
    </cfRule>
    <cfRule type="expression" dxfId="225" priority="26">
      <formula>AND($AK107&gt;0,$W107&gt;59)</formula>
    </cfRule>
    <cfRule type="expression" dxfId="224" priority="27">
      <formula>AND($AK107&gt;0,$W107&gt;44)</formula>
    </cfRule>
  </conditionalFormatting>
  <conditionalFormatting sqref="B108">
    <cfRule type="expression" dxfId="223" priority="22">
      <formula>AND($AK108&gt;0,$W108&gt;89)</formula>
    </cfRule>
    <cfRule type="expression" dxfId="222" priority="23">
      <formula>AND($AK108&gt;0,$W108&gt;59)</formula>
    </cfRule>
    <cfRule type="expression" dxfId="221" priority="24">
      <formula>AND($AK108&gt;0,$W108&gt;44)</formula>
    </cfRule>
  </conditionalFormatting>
  <conditionalFormatting sqref="B109">
    <cfRule type="expression" dxfId="220" priority="19">
      <formula>AND($AK109&gt;0,$W109&gt;89)</formula>
    </cfRule>
    <cfRule type="expression" dxfId="219" priority="20">
      <formula>AND($AK109&gt;0,$W109&gt;59)</formula>
    </cfRule>
    <cfRule type="expression" dxfId="218" priority="21">
      <formula>AND($AK109&gt;0,$W109&gt;44)</formula>
    </cfRule>
  </conditionalFormatting>
  <conditionalFormatting sqref="B110">
    <cfRule type="expression" dxfId="217" priority="16">
      <formula>AND($AK110&gt;0,$W110&gt;89)</formula>
    </cfRule>
    <cfRule type="expression" dxfId="216" priority="17">
      <formula>AND($AK110&gt;0,$W110&gt;59)</formula>
    </cfRule>
    <cfRule type="expression" dxfId="215" priority="18">
      <formula>AND($AK110&gt;0,$W110&gt;44)</formula>
    </cfRule>
  </conditionalFormatting>
  <conditionalFormatting sqref="B111">
    <cfRule type="expression" dxfId="214" priority="13">
      <formula>AND($AK111&gt;0,$W111&gt;89)</formula>
    </cfRule>
    <cfRule type="expression" dxfId="213" priority="14">
      <formula>AND($AK111&gt;0,$W111&gt;59)</formula>
    </cfRule>
    <cfRule type="expression" dxfId="212" priority="15">
      <formula>AND($AK111&gt;0,$W111&gt;44)</formula>
    </cfRule>
  </conditionalFormatting>
  <conditionalFormatting sqref="B112">
    <cfRule type="expression" dxfId="211" priority="10">
      <formula>AND($AK112&gt;0,$W112&gt;89)</formula>
    </cfRule>
    <cfRule type="expression" dxfId="210" priority="11">
      <formula>AND($AK112&gt;0,$W112&gt;59)</formula>
    </cfRule>
    <cfRule type="expression" dxfId="209" priority="12">
      <formula>AND($AK112&gt;0,$W112&gt;44)</formula>
    </cfRule>
  </conditionalFormatting>
  <conditionalFormatting sqref="B113">
    <cfRule type="expression" dxfId="208" priority="7">
      <formula>AND($AK113&gt;0,$W113&gt;89)</formula>
    </cfRule>
    <cfRule type="expression" dxfId="207" priority="8">
      <formula>AND($AK113&gt;0,$W113&gt;59)</formula>
    </cfRule>
    <cfRule type="expression" dxfId="206" priority="9">
      <formula>AND($AK113&gt;0,$W113&gt;44)</formula>
    </cfRule>
  </conditionalFormatting>
  <conditionalFormatting sqref="B114">
    <cfRule type="expression" dxfId="205" priority="4">
      <formula>AND($AK114&gt;0,$W114&gt;89)</formula>
    </cfRule>
    <cfRule type="expression" dxfId="204" priority="5">
      <formula>AND($AK114&gt;0,$W114&gt;59)</formula>
    </cfRule>
    <cfRule type="expression" dxfId="203" priority="6">
      <formula>AND($AK114&gt;0,$W114&gt;44)</formula>
    </cfRule>
  </conditionalFormatting>
  <conditionalFormatting sqref="B115">
    <cfRule type="expression" dxfId="202" priority="1">
      <formula>AND($AK115&gt;0,$W115&gt;89)</formula>
    </cfRule>
    <cfRule type="expression" dxfId="201" priority="2">
      <formula>AND($AK115&gt;0,$W115&gt;59)</formula>
    </cfRule>
    <cfRule type="expression" dxfId="200" priority="3">
      <formula>AND($AK115&gt;0,$W115&gt;44)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224"/>
  <sheetViews>
    <sheetView showGridLines="0"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8" sqref="D8"/>
    </sheetView>
  </sheetViews>
  <sheetFormatPr defaultRowHeight="15" x14ac:dyDescent="0.25"/>
  <cols>
    <col min="1" max="1" width="4.7109375" customWidth="1"/>
    <col min="2" max="2" width="25.7109375" bestFit="1" customWidth="1"/>
    <col min="3" max="3" width="20.5703125" bestFit="1" customWidth="1"/>
    <col min="4" max="4" width="18.85546875" customWidth="1"/>
    <col min="5" max="5" width="19.5703125" customWidth="1"/>
    <col min="6" max="6" width="34.28515625" customWidth="1"/>
    <col min="7" max="7" width="15.28515625" bestFit="1" customWidth="1"/>
    <col min="8" max="8" width="15" bestFit="1" customWidth="1"/>
  </cols>
  <sheetData>
    <row r="1" spans="1:13" ht="20.25" thickTop="1" thickBot="1" x14ac:dyDescent="0.35">
      <c r="A1" s="128" t="s">
        <v>140</v>
      </c>
      <c r="B1" s="128"/>
      <c r="C1" s="128"/>
      <c r="D1" s="128"/>
      <c r="E1" s="128"/>
      <c r="F1" s="128"/>
      <c r="G1" s="128"/>
      <c r="H1" s="128"/>
      <c r="I1" s="128"/>
      <c r="J1" s="67"/>
      <c r="K1" s="67"/>
      <c r="L1" s="67"/>
      <c r="M1" s="67"/>
    </row>
    <row r="2" spans="1:13" ht="20.25" thickTop="1" thickBot="1" x14ac:dyDescent="0.35">
      <c r="A2" s="128" t="s">
        <v>141</v>
      </c>
      <c r="B2" s="128"/>
      <c r="C2" s="128"/>
      <c r="D2" s="128"/>
      <c r="E2" s="128"/>
      <c r="F2" s="128"/>
      <c r="G2" s="128"/>
      <c r="H2" s="128"/>
      <c r="I2" s="128"/>
      <c r="J2" s="67"/>
      <c r="K2" s="67"/>
      <c r="L2" s="67"/>
      <c r="M2" s="67"/>
    </row>
    <row r="3" spans="1:13" ht="16.5" thickTop="1" thickBot="1" x14ac:dyDescent="0.3">
      <c r="A3" s="68" t="s">
        <v>55</v>
      </c>
      <c r="B3" s="68" t="s">
        <v>56</v>
      </c>
      <c r="C3" s="68" t="s">
        <v>142</v>
      </c>
      <c r="D3" s="68" t="s">
        <v>143</v>
      </c>
      <c r="E3" s="68" t="s">
        <v>144</v>
      </c>
      <c r="F3" s="68" t="s">
        <v>145</v>
      </c>
      <c r="G3" s="68" t="s">
        <v>146</v>
      </c>
      <c r="H3" s="68" t="s">
        <v>147</v>
      </c>
      <c r="I3" s="68" t="s">
        <v>148</v>
      </c>
      <c r="J3" s="67"/>
      <c r="K3" s="67"/>
      <c r="L3" s="67"/>
      <c r="M3" s="67"/>
    </row>
    <row r="4" spans="1:13" ht="15.75" thickTop="1" x14ac:dyDescent="0.25">
      <c r="A4" s="69">
        <v>1</v>
      </c>
      <c r="B4" s="64" t="s">
        <v>185</v>
      </c>
      <c r="C4" s="70">
        <v>2869706000</v>
      </c>
      <c r="D4" s="70">
        <f>C4</f>
        <v>2869706000</v>
      </c>
      <c r="E4" s="71">
        <f>C4-D4</f>
        <v>0</v>
      </c>
      <c r="F4" s="72"/>
      <c r="G4" s="71"/>
      <c r="H4" s="71">
        <f t="shared" ref="H4:H49" si="0">E4-G4</f>
        <v>0</v>
      </c>
      <c r="I4" s="73"/>
      <c r="J4" s="67"/>
      <c r="K4" s="67"/>
      <c r="L4" s="67"/>
      <c r="M4" s="67"/>
    </row>
    <row r="5" spans="1:13" x14ac:dyDescent="0.25">
      <c r="A5" s="42">
        <f>1+A4</f>
        <v>2</v>
      </c>
      <c r="B5" s="64" t="s">
        <v>186</v>
      </c>
      <c r="C5" s="70">
        <v>2622569825</v>
      </c>
      <c r="D5" s="70">
        <f t="shared" ref="D5:D38" si="1">C5</f>
        <v>2622569825</v>
      </c>
      <c r="E5" s="71">
        <f t="shared" ref="E5:E68" si="2">C5-D5</f>
        <v>0</v>
      </c>
      <c r="F5" s="74"/>
      <c r="G5" s="71"/>
      <c r="H5" s="71">
        <f>E5-G5</f>
        <v>0</v>
      </c>
      <c r="I5" s="75"/>
      <c r="J5" s="67"/>
      <c r="K5" s="67"/>
      <c r="L5" s="67"/>
      <c r="M5" s="67"/>
    </row>
    <row r="6" spans="1:13" x14ac:dyDescent="0.25">
      <c r="A6" s="42">
        <f t="shared" ref="A6:A69" si="3">1+A5</f>
        <v>3</v>
      </c>
      <c r="B6" s="64" t="s">
        <v>187</v>
      </c>
      <c r="C6" s="70">
        <v>1453175000</v>
      </c>
      <c r="D6" s="70">
        <v>800000000</v>
      </c>
      <c r="E6" s="71">
        <f t="shared" si="2"/>
        <v>653175000</v>
      </c>
      <c r="F6" s="74" t="s">
        <v>188</v>
      </c>
      <c r="G6" s="71"/>
      <c r="H6" s="71">
        <f t="shared" si="0"/>
        <v>653175000</v>
      </c>
      <c r="I6" s="75"/>
      <c r="J6" s="67"/>
      <c r="K6" s="67" t="s">
        <v>189</v>
      </c>
      <c r="L6" s="67"/>
      <c r="M6" s="67"/>
    </row>
    <row r="7" spans="1:13" x14ac:dyDescent="0.25">
      <c r="A7" s="42">
        <f t="shared" si="3"/>
        <v>4</v>
      </c>
      <c r="B7" s="64" t="s">
        <v>190</v>
      </c>
      <c r="C7" s="70">
        <v>704175500</v>
      </c>
      <c r="D7" s="70">
        <v>500000000</v>
      </c>
      <c r="E7" s="71">
        <f t="shared" si="2"/>
        <v>204175500</v>
      </c>
      <c r="F7" s="74" t="s">
        <v>191</v>
      </c>
      <c r="G7" s="71"/>
      <c r="H7" s="71">
        <f t="shared" si="0"/>
        <v>204175500</v>
      </c>
      <c r="I7" s="75"/>
      <c r="J7" s="67"/>
      <c r="K7" s="67"/>
      <c r="L7" s="67"/>
      <c r="M7" s="67"/>
    </row>
    <row r="8" spans="1:13" x14ac:dyDescent="0.25">
      <c r="A8" s="42">
        <f t="shared" si="3"/>
        <v>5</v>
      </c>
      <c r="B8" s="64" t="s">
        <v>192</v>
      </c>
      <c r="C8" s="70">
        <v>538000000</v>
      </c>
      <c r="D8" s="70">
        <v>250000000</v>
      </c>
      <c r="E8" s="71">
        <f t="shared" si="2"/>
        <v>288000000</v>
      </c>
      <c r="F8" s="74" t="s">
        <v>193</v>
      </c>
      <c r="G8" s="71"/>
      <c r="H8" s="71">
        <f t="shared" si="0"/>
        <v>288000000</v>
      </c>
      <c r="I8" s="75"/>
      <c r="J8" s="67"/>
      <c r="K8" s="67"/>
      <c r="L8" s="67"/>
      <c r="M8" s="67"/>
    </row>
    <row r="9" spans="1:13" x14ac:dyDescent="0.25">
      <c r="A9" s="42">
        <f t="shared" si="3"/>
        <v>6</v>
      </c>
      <c r="B9" s="64" t="s">
        <v>194</v>
      </c>
      <c r="C9" s="70">
        <v>510000000</v>
      </c>
      <c r="D9" s="70">
        <f t="shared" si="1"/>
        <v>510000000</v>
      </c>
      <c r="E9" s="71">
        <f t="shared" si="2"/>
        <v>0</v>
      </c>
      <c r="F9" s="74"/>
      <c r="G9" s="71"/>
      <c r="H9" s="71">
        <f t="shared" si="0"/>
        <v>0</v>
      </c>
      <c r="I9" s="75"/>
      <c r="J9" s="67"/>
      <c r="K9" s="67"/>
      <c r="L9" s="67"/>
      <c r="M9" s="67"/>
    </row>
    <row r="10" spans="1:13" x14ac:dyDescent="0.25">
      <c r="A10" s="42">
        <f t="shared" si="3"/>
        <v>7</v>
      </c>
      <c r="B10" s="64" t="s">
        <v>195</v>
      </c>
      <c r="C10" s="70">
        <v>15845000</v>
      </c>
      <c r="D10" s="70">
        <f t="shared" si="1"/>
        <v>15845000</v>
      </c>
      <c r="E10" s="71">
        <f t="shared" si="2"/>
        <v>0</v>
      </c>
      <c r="F10" s="74"/>
      <c r="G10" s="71"/>
      <c r="H10" s="71">
        <f t="shared" si="0"/>
        <v>0</v>
      </c>
      <c r="I10" s="75"/>
      <c r="J10" s="67"/>
      <c r="K10" s="67"/>
      <c r="L10" s="67"/>
      <c r="M10" s="67"/>
    </row>
    <row r="11" spans="1:13" x14ac:dyDescent="0.25">
      <c r="A11" s="42">
        <f t="shared" si="3"/>
        <v>8</v>
      </c>
      <c r="B11" s="64" t="s">
        <v>196</v>
      </c>
      <c r="C11" s="70">
        <v>278770000</v>
      </c>
      <c r="D11" s="70">
        <f t="shared" si="1"/>
        <v>278770000</v>
      </c>
      <c r="E11" s="71">
        <f t="shared" si="2"/>
        <v>0</v>
      </c>
      <c r="F11" s="76"/>
      <c r="G11" s="77"/>
      <c r="H11" s="77">
        <f t="shared" si="0"/>
        <v>0</v>
      </c>
      <c r="I11" s="75"/>
      <c r="J11" s="67"/>
      <c r="K11" s="67"/>
      <c r="L11" s="67"/>
      <c r="M11" s="67"/>
    </row>
    <row r="12" spans="1:13" x14ac:dyDescent="0.25">
      <c r="A12" s="42">
        <f t="shared" si="3"/>
        <v>9</v>
      </c>
      <c r="B12" s="64" t="s">
        <v>197</v>
      </c>
      <c r="C12" s="70">
        <v>237000000</v>
      </c>
      <c r="D12" s="70">
        <f t="shared" si="1"/>
        <v>237000000</v>
      </c>
      <c r="E12" s="71">
        <f t="shared" si="2"/>
        <v>0</v>
      </c>
      <c r="F12" s="76"/>
      <c r="G12" s="77"/>
      <c r="H12" s="77">
        <f t="shared" si="0"/>
        <v>0</v>
      </c>
      <c r="I12" s="75"/>
      <c r="J12" s="67"/>
      <c r="K12" s="67"/>
      <c r="L12" s="67"/>
      <c r="M12" s="67"/>
    </row>
    <row r="13" spans="1:13" x14ac:dyDescent="0.25">
      <c r="A13" s="42">
        <f t="shared" si="3"/>
        <v>10</v>
      </c>
      <c r="B13" s="64" t="s">
        <v>198</v>
      </c>
      <c r="C13" s="70">
        <v>85395000</v>
      </c>
      <c r="D13" s="70">
        <v>50000000</v>
      </c>
      <c r="E13" s="71">
        <f t="shared" si="2"/>
        <v>35395000</v>
      </c>
      <c r="F13" s="74" t="s">
        <v>191</v>
      </c>
      <c r="G13" s="77"/>
      <c r="H13" s="77">
        <f t="shared" si="0"/>
        <v>35395000</v>
      </c>
      <c r="I13" s="75"/>
      <c r="J13" s="67"/>
      <c r="K13" s="67"/>
      <c r="L13" s="67"/>
      <c r="M13" s="67"/>
    </row>
    <row r="14" spans="1:13" x14ac:dyDescent="0.25">
      <c r="A14" s="42">
        <f t="shared" si="3"/>
        <v>11</v>
      </c>
      <c r="B14" s="64" t="s">
        <v>199</v>
      </c>
      <c r="C14" s="70">
        <v>81001000</v>
      </c>
      <c r="D14" s="70">
        <v>60000000</v>
      </c>
      <c r="E14" s="71">
        <f t="shared" si="2"/>
        <v>21001000</v>
      </c>
      <c r="F14" s="76" t="s">
        <v>200</v>
      </c>
      <c r="G14" s="77"/>
      <c r="H14" s="77">
        <f t="shared" si="0"/>
        <v>21001000</v>
      </c>
      <c r="I14" s="75"/>
      <c r="J14" s="67"/>
      <c r="K14" s="67"/>
      <c r="L14" s="67"/>
      <c r="M14" s="67"/>
    </row>
    <row r="15" spans="1:13" x14ac:dyDescent="0.25">
      <c r="A15" s="42">
        <f t="shared" si="3"/>
        <v>12</v>
      </c>
      <c r="B15" s="64" t="s">
        <v>201</v>
      </c>
      <c r="C15" s="70">
        <v>73880000</v>
      </c>
      <c r="D15" s="70">
        <f t="shared" si="1"/>
        <v>73880000</v>
      </c>
      <c r="E15" s="71">
        <f t="shared" si="2"/>
        <v>0</v>
      </c>
      <c r="F15" s="76"/>
      <c r="G15" s="77"/>
      <c r="H15" s="77">
        <f t="shared" si="0"/>
        <v>0</v>
      </c>
      <c r="I15" s="75"/>
      <c r="J15" s="67"/>
      <c r="K15" s="67"/>
      <c r="L15" s="67"/>
      <c r="M15" s="67"/>
    </row>
    <row r="16" spans="1:13" x14ac:dyDescent="0.25">
      <c r="A16" s="42">
        <f t="shared" si="3"/>
        <v>13</v>
      </c>
      <c r="B16" s="64" t="s">
        <v>202</v>
      </c>
      <c r="C16" s="70">
        <v>51630000</v>
      </c>
      <c r="D16" s="70">
        <v>40000000</v>
      </c>
      <c r="E16" s="71">
        <f t="shared" si="2"/>
        <v>11630000</v>
      </c>
      <c r="F16" s="76" t="s">
        <v>203</v>
      </c>
      <c r="G16" s="77"/>
      <c r="H16" s="77">
        <f t="shared" si="0"/>
        <v>11630000</v>
      </c>
      <c r="I16" s="75"/>
      <c r="J16" s="67"/>
      <c r="K16" s="67"/>
      <c r="L16" s="67"/>
      <c r="M16" s="67"/>
    </row>
    <row r="17" spans="1:13" x14ac:dyDescent="0.25">
      <c r="A17" s="42">
        <f t="shared" si="3"/>
        <v>14</v>
      </c>
      <c r="B17" s="64" t="s">
        <v>204</v>
      </c>
      <c r="C17" s="70">
        <v>49743000</v>
      </c>
      <c r="D17" s="70">
        <f t="shared" si="1"/>
        <v>49743000</v>
      </c>
      <c r="E17" s="71">
        <f t="shared" si="2"/>
        <v>0</v>
      </c>
      <c r="F17" s="76"/>
      <c r="G17" s="77"/>
      <c r="H17" s="77">
        <f t="shared" si="0"/>
        <v>0</v>
      </c>
      <c r="I17" s="75"/>
      <c r="J17" s="67"/>
      <c r="K17" s="67"/>
      <c r="L17" s="67"/>
      <c r="M17" s="67"/>
    </row>
    <row r="18" spans="1:13" x14ac:dyDescent="0.25">
      <c r="A18" s="42">
        <f t="shared" si="3"/>
        <v>15</v>
      </c>
      <c r="B18" s="64" t="s">
        <v>205</v>
      </c>
      <c r="C18" s="70">
        <v>32000000</v>
      </c>
      <c r="D18" s="70"/>
      <c r="E18" s="71">
        <f t="shared" si="2"/>
        <v>32000000</v>
      </c>
      <c r="F18" s="76" t="s">
        <v>206</v>
      </c>
      <c r="G18" s="77"/>
      <c r="H18" s="77">
        <f t="shared" si="0"/>
        <v>32000000</v>
      </c>
      <c r="I18" s="75"/>
      <c r="J18" s="67"/>
      <c r="K18" s="67"/>
      <c r="L18" s="67"/>
      <c r="M18" s="67"/>
    </row>
    <row r="19" spans="1:13" x14ac:dyDescent="0.25">
      <c r="A19" s="42">
        <f t="shared" si="3"/>
        <v>16</v>
      </c>
      <c r="B19" s="64" t="s">
        <v>207</v>
      </c>
      <c r="C19" s="70">
        <v>30375000</v>
      </c>
      <c r="D19" s="70">
        <f t="shared" si="1"/>
        <v>30375000</v>
      </c>
      <c r="E19" s="71">
        <f t="shared" si="2"/>
        <v>0</v>
      </c>
      <c r="F19" s="76" t="s">
        <v>208</v>
      </c>
      <c r="G19" s="77"/>
      <c r="H19" s="77">
        <f t="shared" si="0"/>
        <v>0</v>
      </c>
      <c r="I19" s="75"/>
      <c r="J19" s="67"/>
      <c r="K19" s="67"/>
      <c r="L19" s="67"/>
      <c r="M19" s="67"/>
    </row>
    <row r="20" spans="1:13" x14ac:dyDescent="0.25">
      <c r="A20" s="42">
        <f t="shared" si="3"/>
        <v>17</v>
      </c>
      <c r="B20" s="64" t="s">
        <v>209</v>
      </c>
      <c r="C20" s="78">
        <v>22450000</v>
      </c>
      <c r="D20" s="70"/>
      <c r="E20" s="71">
        <f t="shared" si="2"/>
        <v>22450000</v>
      </c>
      <c r="F20" s="76"/>
      <c r="G20" s="77"/>
      <c r="H20" s="77">
        <f t="shared" si="0"/>
        <v>22450000</v>
      </c>
      <c r="I20" s="75"/>
      <c r="J20" s="67"/>
      <c r="K20" s="67"/>
      <c r="L20" s="67"/>
      <c r="M20" s="67"/>
    </row>
    <row r="21" spans="1:13" x14ac:dyDescent="0.25">
      <c r="A21" s="42">
        <f t="shared" si="3"/>
        <v>18</v>
      </c>
      <c r="B21" s="64" t="s">
        <v>210</v>
      </c>
      <c r="C21" s="70">
        <v>21100000</v>
      </c>
      <c r="D21" s="70">
        <f t="shared" si="1"/>
        <v>21100000</v>
      </c>
      <c r="E21" s="71">
        <f t="shared" si="2"/>
        <v>0</v>
      </c>
      <c r="F21" s="76" t="s">
        <v>211</v>
      </c>
      <c r="G21" s="77"/>
      <c r="H21" s="77">
        <f t="shared" si="0"/>
        <v>0</v>
      </c>
      <c r="I21" s="75"/>
      <c r="J21" s="67"/>
      <c r="K21" s="67"/>
      <c r="L21" s="67"/>
      <c r="M21" s="67"/>
    </row>
    <row r="22" spans="1:13" x14ac:dyDescent="0.25">
      <c r="A22" s="42">
        <f t="shared" si="3"/>
        <v>19</v>
      </c>
      <c r="B22" s="64" t="s">
        <v>212</v>
      </c>
      <c r="C22" s="78">
        <v>19640000</v>
      </c>
      <c r="D22" s="70">
        <f t="shared" si="1"/>
        <v>19640000</v>
      </c>
      <c r="E22" s="71">
        <f t="shared" si="2"/>
        <v>0</v>
      </c>
      <c r="F22" s="76"/>
      <c r="G22" s="77"/>
      <c r="H22" s="77">
        <f t="shared" si="0"/>
        <v>0</v>
      </c>
      <c r="I22" s="75"/>
      <c r="J22" s="67"/>
      <c r="K22" s="67"/>
      <c r="L22" s="67"/>
      <c r="M22" s="67"/>
    </row>
    <row r="23" spans="1:13" x14ac:dyDescent="0.25">
      <c r="A23" s="42">
        <f t="shared" si="3"/>
        <v>20</v>
      </c>
      <c r="B23" s="64" t="s">
        <v>213</v>
      </c>
      <c r="C23" s="70">
        <v>18400000</v>
      </c>
      <c r="D23" s="70">
        <f t="shared" si="1"/>
        <v>18400000</v>
      </c>
      <c r="E23" s="71">
        <f t="shared" si="2"/>
        <v>0</v>
      </c>
      <c r="F23" s="76"/>
      <c r="G23" s="77"/>
      <c r="H23" s="77">
        <f t="shared" si="0"/>
        <v>0</v>
      </c>
      <c r="I23" s="75"/>
      <c r="J23" s="67"/>
      <c r="K23" s="67"/>
      <c r="L23" s="67"/>
      <c r="M23" s="67"/>
    </row>
    <row r="24" spans="1:13" x14ac:dyDescent="0.25">
      <c r="A24" s="42">
        <f t="shared" si="3"/>
        <v>21</v>
      </c>
      <c r="B24" s="64" t="s">
        <v>214</v>
      </c>
      <c r="C24" s="70">
        <v>17850000</v>
      </c>
      <c r="D24" s="70">
        <f t="shared" si="1"/>
        <v>17850000</v>
      </c>
      <c r="E24" s="71">
        <f t="shared" si="2"/>
        <v>0</v>
      </c>
      <c r="F24" s="76"/>
      <c r="G24" s="77"/>
      <c r="H24" s="77">
        <f t="shared" si="0"/>
        <v>0</v>
      </c>
      <c r="I24" s="75"/>
      <c r="J24" s="67"/>
      <c r="K24" s="67"/>
      <c r="L24" s="67"/>
      <c r="M24" s="67"/>
    </row>
    <row r="25" spans="1:13" x14ac:dyDescent="0.25">
      <c r="A25" s="42">
        <f t="shared" si="3"/>
        <v>22</v>
      </c>
      <c r="B25" s="64" t="s">
        <v>215</v>
      </c>
      <c r="C25" s="78">
        <v>17224000</v>
      </c>
      <c r="D25" s="70">
        <f t="shared" si="1"/>
        <v>17224000</v>
      </c>
      <c r="E25" s="71">
        <f t="shared" si="2"/>
        <v>0</v>
      </c>
      <c r="F25" s="76"/>
      <c r="G25" s="77"/>
      <c r="H25" s="77">
        <f t="shared" si="0"/>
        <v>0</v>
      </c>
      <c r="I25" s="75"/>
      <c r="J25" s="67"/>
      <c r="K25" s="67"/>
      <c r="L25" s="67"/>
      <c r="M25" s="67"/>
    </row>
    <row r="26" spans="1:13" x14ac:dyDescent="0.25">
      <c r="A26" s="42">
        <f t="shared" si="3"/>
        <v>23</v>
      </c>
      <c r="B26" s="64" t="s">
        <v>216</v>
      </c>
      <c r="C26" s="70">
        <v>14115000</v>
      </c>
      <c r="D26" s="70">
        <f t="shared" si="1"/>
        <v>14115000</v>
      </c>
      <c r="E26" s="71">
        <f t="shared" si="2"/>
        <v>0</v>
      </c>
      <c r="F26" s="76"/>
      <c r="G26" s="77"/>
      <c r="H26" s="77">
        <f t="shared" si="0"/>
        <v>0</v>
      </c>
      <c r="I26" s="75"/>
      <c r="J26" s="67"/>
      <c r="K26" s="67"/>
      <c r="L26" s="67"/>
      <c r="M26" s="67"/>
    </row>
    <row r="27" spans="1:13" x14ac:dyDescent="0.25">
      <c r="A27" s="42">
        <f t="shared" si="3"/>
        <v>24</v>
      </c>
      <c r="B27" s="64" t="s">
        <v>217</v>
      </c>
      <c r="C27" s="70">
        <v>12200000</v>
      </c>
      <c r="D27" s="70"/>
      <c r="E27" s="71">
        <f t="shared" si="2"/>
        <v>12200000</v>
      </c>
      <c r="F27" s="76" t="s">
        <v>218</v>
      </c>
      <c r="G27" s="77"/>
      <c r="H27" s="77">
        <f t="shared" si="0"/>
        <v>12200000</v>
      </c>
      <c r="I27" s="75"/>
      <c r="J27" s="67"/>
      <c r="K27" s="67"/>
      <c r="L27" s="67"/>
      <c r="M27" s="67"/>
    </row>
    <row r="28" spans="1:13" x14ac:dyDescent="0.25">
      <c r="A28" s="42">
        <f t="shared" si="3"/>
        <v>25</v>
      </c>
      <c r="B28" s="64" t="s">
        <v>219</v>
      </c>
      <c r="C28" s="70">
        <v>10775000</v>
      </c>
      <c r="D28" s="70">
        <f t="shared" si="1"/>
        <v>10775000</v>
      </c>
      <c r="E28" s="71">
        <f t="shared" si="2"/>
        <v>0</v>
      </c>
      <c r="F28" s="76"/>
      <c r="G28" s="77"/>
      <c r="H28" s="77">
        <f t="shared" si="0"/>
        <v>0</v>
      </c>
      <c r="I28" s="75"/>
      <c r="J28" s="67"/>
      <c r="K28" s="67"/>
      <c r="L28" s="67"/>
      <c r="M28" s="67"/>
    </row>
    <row r="29" spans="1:13" x14ac:dyDescent="0.25">
      <c r="A29" s="42">
        <f t="shared" si="3"/>
        <v>26</v>
      </c>
      <c r="B29" s="64" t="s">
        <v>220</v>
      </c>
      <c r="C29" s="70">
        <v>9800000</v>
      </c>
      <c r="D29" s="70">
        <f t="shared" si="1"/>
        <v>9800000</v>
      </c>
      <c r="E29" s="71">
        <f t="shared" si="2"/>
        <v>0</v>
      </c>
      <c r="F29" s="76"/>
      <c r="G29" s="77"/>
      <c r="H29" s="77">
        <f t="shared" si="0"/>
        <v>0</v>
      </c>
      <c r="I29" s="75"/>
      <c r="J29" s="67"/>
      <c r="K29" s="67"/>
      <c r="L29" s="67"/>
      <c r="M29" s="67"/>
    </row>
    <row r="30" spans="1:13" x14ac:dyDescent="0.25">
      <c r="A30" s="42">
        <f t="shared" si="3"/>
        <v>27</v>
      </c>
      <c r="B30" s="64" t="s">
        <v>221</v>
      </c>
      <c r="C30" s="70">
        <v>9650000</v>
      </c>
      <c r="D30" s="70">
        <f t="shared" si="1"/>
        <v>9650000</v>
      </c>
      <c r="E30" s="71">
        <f t="shared" si="2"/>
        <v>0</v>
      </c>
      <c r="F30" s="76"/>
      <c r="G30" s="77"/>
      <c r="H30" s="77">
        <f t="shared" si="0"/>
        <v>0</v>
      </c>
      <c r="I30" s="75"/>
      <c r="J30" s="67"/>
      <c r="K30" s="67"/>
      <c r="L30" s="67"/>
      <c r="M30" s="67"/>
    </row>
    <row r="31" spans="1:13" x14ac:dyDescent="0.25">
      <c r="A31" s="42">
        <f t="shared" si="3"/>
        <v>28</v>
      </c>
      <c r="B31" s="64" t="s">
        <v>222</v>
      </c>
      <c r="C31" s="70">
        <v>9568700</v>
      </c>
      <c r="D31" s="70">
        <f t="shared" si="1"/>
        <v>9568700</v>
      </c>
      <c r="E31" s="71">
        <f t="shared" si="2"/>
        <v>0</v>
      </c>
      <c r="F31" s="76" t="s">
        <v>223</v>
      </c>
      <c r="G31" s="77"/>
      <c r="H31" s="77">
        <f t="shared" si="0"/>
        <v>0</v>
      </c>
      <c r="I31" s="75"/>
      <c r="J31" s="67"/>
      <c r="K31" s="67"/>
      <c r="L31" s="67"/>
      <c r="M31" s="67"/>
    </row>
    <row r="32" spans="1:13" x14ac:dyDescent="0.25">
      <c r="A32" s="42">
        <f t="shared" si="3"/>
        <v>29</v>
      </c>
      <c r="B32" s="64" t="s">
        <v>224</v>
      </c>
      <c r="C32" s="70">
        <v>9000000</v>
      </c>
      <c r="D32" s="70">
        <f t="shared" si="1"/>
        <v>9000000</v>
      </c>
      <c r="E32" s="71">
        <f t="shared" si="2"/>
        <v>0</v>
      </c>
      <c r="F32" s="76"/>
      <c r="G32" s="77"/>
      <c r="H32" s="77">
        <f t="shared" si="0"/>
        <v>0</v>
      </c>
      <c r="I32" s="75"/>
      <c r="J32" s="67"/>
      <c r="K32" s="67"/>
      <c r="L32" s="67"/>
      <c r="M32" s="67"/>
    </row>
    <row r="33" spans="1:13" x14ac:dyDescent="0.25">
      <c r="A33" s="42">
        <f t="shared" si="3"/>
        <v>30</v>
      </c>
      <c r="B33" s="64" t="s">
        <v>225</v>
      </c>
      <c r="C33" s="78">
        <v>9000000</v>
      </c>
      <c r="D33" s="70">
        <f t="shared" si="1"/>
        <v>9000000</v>
      </c>
      <c r="E33" s="71">
        <f t="shared" si="2"/>
        <v>0</v>
      </c>
      <c r="F33" s="76"/>
      <c r="G33" s="77"/>
      <c r="H33" s="77">
        <f t="shared" si="0"/>
        <v>0</v>
      </c>
      <c r="I33" s="75"/>
      <c r="J33" s="67"/>
      <c r="K33" s="67"/>
      <c r="L33" s="67"/>
      <c r="M33" s="67"/>
    </row>
    <row r="34" spans="1:13" x14ac:dyDescent="0.25">
      <c r="A34" s="42">
        <f t="shared" si="3"/>
        <v>31</v>
      </c>
      <c r="B34" s="64" t="s">
        <v>226</v>
      </c>
      <c r="C34" s="70">
        <v>7710000</v>
      </c>
      <c r="D34" s="70">
        <f t="shared" si="1"/>
        <v>7710000</v>
      </c>
      <c r="E34" s="71">
        <f t="shared" si="2"/>
        <v>0</v>
      </c>
      <c r="F34" s="40"/>
      <c r="G34" s="77"/>
      <c r="H34" s="77">
        <f t="shared" si="0"/>
        <v>0</v>
      </c>
      <c r="I34" s="75"/>
      <c r="J34" s="67"/>
      <c r="K34" s="67"/>
      <c r="L34" s="67"/>
      <c r="M34" s="67"/>
    </row>
    <row r="35" spans="1:13" x14ac:dyDescent="0.25">
      <c r="A35" s="42">
        <f t="shared" si="3"/>
        <v>32</v>
      </c>
      <c r="B35" s="64" t="s">
        <v>227</v>
      </c>
      <c r="C35" s="78">
        <v>7605000</v>
      </c>
      <c r="D35" s="70">
        <f t="shared" si="1"/>
        <v>7605000</v>
      </c>
      <c r="E35" s="71">
        <f t="shared" si="2"/>
        <v>0</v>
      </c>
      <c r="F35" s="40"/>
      <c r="G35" s="77"/>
      <c r="H35" s="77">
        <f t="shared" si="0"/>
        <v>0</v>
      </c>
      <c r="I35" s="75"/>
      <c r="J35" s="67"/>
      <c r="K35" s="67"/>
      <c r="L35" s="67"/>
      <c r="M35" s="67"/>
    </row>
    <row r="36" spans="1:13" x14ac:dyDescent="0.25">
      <c r="A36" s="42">
        <f t="shared" si="3"/>
        <v>33</v>
      </c>
      <c r="B36" s="64" t="s">
        <v>228</v>
      </c>
      <c r="C36" s="70">
        <v>7555000</v>
      </c>
      <c r="D36" s="70">
        <f t="shared" si="1"/>
        <v>7555000</v>
      </c>
      <c r="E36" s="71">
        <f t="shared" si="2"/>
        <v>0</v>
      </c>
      <c r="F36" s="40" t="s">
        <v>229</v>
      </c>
      <c r="G36" s="77"/>
      <c r="H36" s="77">
        <f t="shared" si="0"/>
        <v>0</v>
      </c>
      <c r="I36" s="75"/>
      <c r="J36" s="67"/>
      <c r="K36" s="67"/>
      <c r="L36" s="67"/>
      <c r="M36" s="67"/>
    </row>
    <row r="37" spans="1:13" x14ac:dyDescent="0.25">
      <c r="A37" s="42">
        <f t="shared" si="3"/>
        <v>34</v>
      </c>
      <c r="B37" s="64" t="s">
        <v>230</v>
      </c>
      <c r="C37" s="70">
        <v>6240000</v>
      </c>
      <c r="D37" s="70">
        <f t="shared" si="1"/>
        <v>6240000</v>
      </c>
      <c r="E37" s="71">
        <f t="shared" si="2"/>
        <v>0</v>
      </c>
      <c r="F37" s="40"/>
      <c r="G37" s="77"/>
      <c r="H37" s="77">
        <f t="shared" si="0"/>
        <v>0</v>
      </c>
      <c r="I37" s="75"/>
      <c r="J37" s="67"/>
      <c r="K37" s="67"/>
      <c r="L37" s="67"/>
      <c r="M37" s="67"/>
    </row>
    <row r="38" spans="1:13" x14ac:dyDescent="0.25">
      <c r="A38" s="42">
        <f t="shared" si="3"/>
        <v>35</v>
      </c>
      <c r="B38" s="64" t="s">
        <v>231</v>
      </c>
      <c r="C38" s="70">
        <v>6080000</v>
      </c>
      <c r="D38" s="70">
        <f t="shared" si="1"/>
        <v>6080000</v>
      </c>
      <c r="E38" s="71">
        <f t="shared" si="2"/>
        <v>0</v>
      </c>
      <c r="F38" s="40"/>
      <c r="G38" s="77"/>
      <c r="H38" s="77">
        <f t="shared" si="0"/>
        <v>0</v>
      </c>
      <c r="I38" s="75"/>
      <c r="J38" s="67"/>
      <c r="K38" s="67"/>
      <c r="L38" s="67"/>
      <c r="M38" s="67"/>
    </row>
    <row r="39" spans="1:13" x14ac:dyDescent="0.25">
      <c r="A39" s="42">
        <f t="shared" si="3"/>
        <v>36</v>
      </c>
      <c r="B39" s="64" t="s">
        <v>232</v>
      </c>
      <c r="C39" s="70">
        <v>5850000</v>
      </c>
      <c r="D39" s="70">
        <v>5850000</v>
      </c>
      <c r="E39" s="71">
        <f t="shared" si="2"/>
        <v>0</v>
      </c>
      <c r="F39" s="40"/>
      <c r="G39" s="77"/>
      <c r="H39" s="77">
        <f t="shared" si="0"/>
        <v>0</v>
      </c>
      <c r="I39" s="75"/>
      <c r="J39" s="67"/>
      <c r="K39" s="67"/>
      <c r="L39" s="67"/>
      <c r="M39" s="67"/>
    </row>
    <row r="40" spans="1:13" x14ac:dyDescent="0.25">
      <c r="A40" s="42">
        <f t="shared" si="3"/>
        <v>37</v>
      </c>
      <c r="B40" s="64" t="s">
        <v>233</v>
      </c>
      <c r="C40" s="70">
        <v>5360000</v>
      </c>
      <c r="D40" s="70">
        <f>C40</f>
        <v>5360000</v>
      </c>
      <c r="E40" s="71">
        <f t="shared" si="2"/>
        <v>0</v>
      </c>
      <c r="F40" s="40"/>
      <c r="G40" s="77"/>
      <c r="H40" s="77">
        <f t="shared" si="0"/>
        <v>0</v>
      </c>
      <c r="I40" s="75"/>
      <c r="J40" s="67"/>
      <c r="K40" s="67"/>
      <c r="L40" s="67"/>
      <c r="M40" s="67"/>
    </row>
    <row r="41" spans="1:13" x14ac:dyDescent="0.25">
      <c r="A41" s="42">
        <f t="shared" si="3"/>
        <v>38</v>
      </c>
      <c r="B41" s="64" t="s">
        <v>234</v>
      </c>
      <c r="C41" s="70">
        <v>5000000</v>
      </c>
      <c r="D41" s="70">
        <f t="shared" ref="D41:D58" si="4">C41</f>
        <v>5000000</v>
      </c>
      <c r="E41" s="71">
        <f t="shared" si="2"/>
        <v>0</v>
      </c>
      <c r="F41" s="40"/>
      <c r="G41" s="77"/>
      <c r="H41" s="77">
        <f t="shared" si="0"/>
        <v>0</v>
      </c>
      <c r="I41" s="75"/>
      <c r="J41" s="67"/>
      <c r="K41" s="67"/>
      <c r="L41" s="67"/>
      <c r="M41" s="67"/>
    </row>
    <row r="42" spans="1:13" x14ac:dyDescent="0.25">
      <c r="A42" s="42">
        <f t="shared" si="3"/>
        <v>39</v>
      </c>
      <c r="B42" s="64" t="s">
        <v>235</v>
      </c>
      <c r="C42" s="78">
        <v>4902500</v>
      </c>
      <c r="D42" s="70">
        <f t="shared" si="4"/>
        <v>4902500</v>
      </c>
      <c r="E42" s="71">
        <f t="shared" si="2"/>
        <v>0</v>
      </c>
      <c r="F42" s="40"/>
      <c r="G42" s="77"/>
      <c r="H42" s="77">
        <f t="shared" si="0"/>
        <v>0</v>
      </c>
      <c r="I42" s="75"/>
      <c r="J42" s="67"/>
      <c r="K42" s="67"/>
      <c r="L42" s="67"/>
      <c r="M42" s="67"/>
    </row>
    <row r="43" spans="1:13" x14ac:dyDescent="0.25">
      <c r="A43" s="42">
        <f t="shared" si="3"/>
        <v>40</v>
      </c>
      <c r="B43" s="64" t="s">
        <v>236</v>
      </c>
      <c r="C43" s="78">
        <v>4900000</v>
      </c>
      <c r="D43" s="70">
        <f t="shared" si="4"/>
        <v>4900000</v>
      </c>
      <c r="E43" s="71">
        <f t="shared" si="2"/>
        <v>0</v>
      </c>
      <c r="F43" s="40"/>
      <c r="G43" s="77"/>
      <c r="H43" s="77">
        <f t="shared" si="0"/>
        <v>0</v>
      </c>
      <c r="I43" s="75"/>
      <c r="J43" s="67"/>
      <c r="K43" s="67"/>
      <c r="L43" s="67"/>
      <c r="M43" s="67"/>
    </row>
    <row r="44" spans="1:13" x14ac:dyDescent="0.25">
      <c r="A44" s="42">
        <f t="shared" si="3"/>
        <v>41</v>
      </c>
      <c r="B44" s="64" t="s">
        <v>237</v>
      </c>
      <c r="C44" s="70">
        <v>4820000</v>
      </c>
      <c r="D44" s="70">
        <f t="shared" si="4"/>
        <v>4820000</v>
      </c>
      <c r="E44" s="71">
        <f t="shared" si="2"/>
        <v>0</v>
      </c>
      <c r="F44" s="40"/>
      <c r="G44" s="77"/>
      <c r="H44" s="77">
        <f t="shared" si="0"/>
        <v>0</v>
      </c>
      <c r="I44" s="75"/>
      <c r="J44" s="67"/>
      <c r="K44" s="67"/>
      <c r="L44" s="67"/>
      <c r="M44" s="67"/>
    </row>
    <row r="45" spans="1:13" x14ac:dyDescent="0.25">
      <c r="A45" s="42">
        <f t="shared" si="3"/>
        <v>42</v>
      </c>
      <c r="B45" s="64" t="s">
        <v>238</v>
      </c>
      <c r="C45" s="70">
        <v>4600000</v>
      </c>
      <c r="D45" s="70">
        <f t="shared" si="4"/>
        <v>4600000</v>
      </c>
      <c r="E45" s="71">
        <f t="shared" si="2"/>
        <v>0</v>
      </c>
      <c r="F45" s="40"/>
      <c r="G45" s="77"/>
      <c r="H45" s="77">
        <f t="shared" si="0"/>
        <v>0</v>
      </c>
      <c r="I45" s="75"/>
      <c r="J45" s="67"/>
      <c r="K45" s="67"/>
      <c r="L45" s="67"/>
      <c r="M45" s="67"/>
    </row>
    <row r="46" spans="1:13" x14ac:dyDescent="0.25">
      <c r="A46" s="42">
        <f t="shared" si="3"/>
        <v>43</v>
      </c>
      <c r="B46" s="64" t="s">
        <v>239</v>
      </c>
      <c r="C46" s="70">
        <v>4500000</v>
      </c>
      <c r="D46" s="70">
        <f t="shared" si="4"/>
        <v>4500000</v>
      </c>
      <c r="E46" s="71">
        <f t="shared" si="2"/>
        <v>0</v>
      </c>
      <c r="F46" s="40"/>
      <c r="G46" s="77"/>
      <c r="H46" s="77">
        <f t="shared" si="0"/>
        <v>0</v>
      </c>
      <c r="I46" s="75"/>
      <c r="J46" s="67"/>
      <c r="K46" s="67"/>
      <c r="L46" s="67"/>
      <c r="M46" s="67"/>
    </row>
    <row r="47" spans="1:13" x14ac:dyDescent="0.25">
      <c r="A47" s="42">
        <f t="shared" si="3"/>
        <v>44</v>
      </c>
      <c r="B47" s="64" t="s">
        <v>240</v>
      </c>
      <c r="C47" s="70">
        <v>3836000</v>
      </c>
      <c r="D47" s="70">
        <f t="shared" si="4"/>
        <v>3836000</v>
      </c>
      <c r="E47" s="71">
        <f t="shared" si="2"/>
        <v>0</v>
      </c>
      <c r="F47" s="40"/>
      <c r="G47" s="77"/>
      <c r="H47" s="77">
        <f t="shared" si="0"/>
        <v>0</v>
      </c>
      <c r="I47" s="75"/>
      <c r="J47" s="67"/>
      <c r="K47" s="67"/>
      <c r="L47" s="67"/>
      <c r="M47" s="67"/>
    </row>
    <row r="48" spans="1:13" x14ac:dyDescent="0.25">
      <c r="A48" s="42">
        <f t="shared" si="3"/>
        <v>45</v>
      </c>
      <c r="B48" s="64" t="s">
        <v>241</v>
      </c>
      <c r="C48" s="78">
        <v>3400000</v>
      </c>
      <c r="D48" s="70">
        <f t="shared" si="4"/>
        <v>3400000</v>
      </c>
      <c r="E48" s="71">
        <f t="shared" si="2"/>
        <v>0</v>
      </c>
      <c r="F48" s="40"/>
      <c r="G48" s="77"/>
      <c r="H48" s="77">
        <f t="shared" si="0"/>
        <v>0</v>
      </c>
      <c r="I48" s="75"/>
      <c r="J48" s="67"/>
      <c r="K48" s="67"/>
      <c r="L48" s="67"/>
      <c r="M48" s="67"/>
    </row>
    <row r="49" spans="1:13" x14ac:dyDescent="0.25">
      <c r="A49" s="42">
        <f t="shared" si="3"/>
        <v>46</v>
      </c>
      <c r="B49" s="64" t="s">
        <v>242</v>
      </c>
      <c r="C49" s="70">
        <v>2865000</v>
      </c>
      <c r="D49" s="70">
        <f t="shared" si="4"/>
        <v>2865000</v>
      </c>
      <c r="E49" s="71">
        <f t="shared" si="2"/>
        <v>0</v>
      </c>
      <c r="F49" s="40" t="s">
        <v>243</v>
      </c>
      <c r="G49" s="77"/>
      <c r="H49" s="77">
        <f t="shared" si="0"/>
        <v>0</v>
      </c>
      <c r="I49" s="75"/>
      <c r="J49" s="67"/>
      <c r="K49" s="67"/>
      <c r="L49" s="67"/>
      <c r="M49" s="67"/>
    </row>
    <row r="50" spans="1:13" x14ac:dyDescent="0.25">
      <c r="A50" s="42">
        <f t="shared" si="3"/>
        <v>47</v>
      </c>
      <c r="B50" s="64" t="s">
        <v>244</v>
      </c>
      <c r="C50" s="70">
        <v>2600000</v>
      </c>
      <c r="D50" s="70">
        <f t="shared" si="4"/>
        <v>2600000</v>
      </c>
      <c r="E50" s="71">
        <f t="shared" si="2"/>
        <v>0</v>
      </c>
      <c r="F50" s="40"/>
      <c r="G50" s="77"/>
      <c r="H50" s="77">
        <f t="shared" ref="H50:H100" si="5">G50-D50</f>
        <v>-2600000</v>
      </c>
      <c r="I50" s="40"/>
      <c r="J50" s="67"/>
      <c r="K50" s="67"/>
      <c r="L50" s="67"/>
      <c r="M50" s="67"/>
    </row>
    <row r="51" spans="1:13" x14ac:dyDescent="0.25">
      <c r="A51" s="42">
        <f t="shared" si="3"/>
        <v>48</v>
      </c>
      <c r="B51" s="64" t="s">
        <v>245</v>
      </c>
      <c r="C51" s="78">
        <v>2442500</v>
      </c>
      <c r="D51" s="70">
        <f t="shared" si="4"/>
        <v>2442500</v>
      </c>
      <c r="E51" s="71">
        <f t="shared" si="2"/>
        <v>0</v>
      </c>
      <c r="F51" s="40" t="s">
        <v>229</v>
      </c>
      <c r="G51" s="77"/>
      <c r="H51" s="77">
        <f t="shared" si="5"/>
        <v>-2442500</v>
      </c>
      <c r="I51" s="40"/>
      <c r="J51" s="67"/>
      <c r="K51" s="67"/>
      <c r="L51" s="67"/>
      <c r="M51" s="67"/>
    </row>
    <row r="52" spans="1:13" x14ac:dyDescent="0.25">
      <c r="A52" s="42">
        <f t="shared" si="3"/>
        <v>49</v>
      </c>
      <c r="B52" s="64" t="s">
        <v>246</v>
      </c>
      <c r="C52" s="70">
        <v>2340000</v>
      </c>
      <c r="D52" s="70">
        <f t="shared" si="4"/>
        <v>2340000</v>
      </c>
      <c r="E52" s="71">
        <f t="shared" si="2"/>
        <v>0</v>
      </c>
      <c r="F52" s="40"/>
      <c r="G52" s="77"/>
      <c r="H52" s="77">
        <f t="shared" si="5"/>
        <v>-2340000</v>
      </c>
      <c r="I52" s="40"/>
      <c r="J52" s="67"/>
      <c r="K52" s="67"/>
      <c r="L52" s="67"/>
      <c r="M52" s="67"/>
    </row>
    <row r="53" spans="1:13" x14ac:dyDescent="0.25">
      <c r="A53" s="42">
        <f t="shared" si="3"/>
        <v>50</v>
      </c>
      <c r="B53" s="64" t="s">
        <v>247</v>
      </c>
      <c r="C53" s="70">
        <v>2200000</v>
      </c>
      <c r="D53" s="70">
        <f t="shared" si="4"/>
        <v>2200000</v>
      </c>
      <c r="E53" s="71">
        <f t="shared" si="2"/>
        <v>0</v>
      </c>
      <c r="F53" s="40"/>
      <c r="G53" s="77"/>
      <c r="H53" s="77">
        <f t="shared" si="5"/>
        <v>-2200000</v>
      </c>
      <c r="I53" s="40"/>
      <c r="J53" s="67"/>
      <c r="K53" s="67"/>
      <c r="L53" s="67"/>
      <c r="M53" s="67"/>
    </row>
    <row r="54" spans="1:13" x14ac:dyDescent="0.25">
      <c r="A54" s="42">
        <f t="shared" si="3"/>
        <v>51</v>
      </c>
      <c r="B54" s="64" t="s">
        <v>248</v>
      </c>
      <c r="C54" s="70">
        <v>1875000</v>
      </c>
      <c r="D54" s="70">
        <f>C54</f>
        <v>1875000</v>
      </c>
      <c r="E54" s="71">
        <f t="shared" si="2"/>
        <v>0</v>
      </c>
      <c r="F54" s="40"/>
      <c r="G54" s="77"/>
      <c r="H54" s="77">
        <f t="shared" si="5"/>
        <v>-1875000</v>
      </c>
      <c r="I54" s="40"/>
      <c r="J54" s="67"/>
      <c r="K54" s="67"/>
      <c r="L54" s="67"/>
      <c r="M54" s="67"/>
    </row>
    <row r="55" spans="1:13" x14ac:dyDescent="0.25">
      <c r="A55" s="42">
        <f t="shared" si="3"/>
        <v>52</v>
      </c>
      <c r="B55" s="64" t="s">
        <v>249</v>
      </c>
      <c r="C55" s="70">
        <v>1780000</v>
      </c>
      <c r="D55" s="70">
        <f t="shared" si="4"/>
        <v>1780000</v>
      </c>
      <c r="E55" s="71">
        <f t="shared" si="2"/>
        <v>0</v>
      </c>
      <c r="F55" s="40"/>
      <c r="G55" s="77"/>
      <c r="H55" s="77">
        <f t="shared" si="5"/>
        <v>-1780000</v>
      </c>
      <c r="I55" s="40"/>
      <c r="J55" s="67"/>
      <c r="K55" s="67"/>
      <c r="L55" s="67"/>
      <c r="M55" s="67"/>
    </row>
    <row r="56" spans="1:13" x14ac:dyDescent="0.25">
      <c r="A56" s="42">
        <f t="shared" si="3"/>
        <v>53</v>
      </c>
      <c r="B56" s="64" t="s">
        <v>250</v>
      </c>
      <c r="C56" s="78">
        <v>1510000</v>
      </c>
      <c r="D56" s="70">
        <f t="shared" si="4"/>
        <v>1510000</v>
      </c>
      <c r="E56" s="71">
        <f t="shared" si="2"/>
        <v>0</v>
      </c>
      <c r="F56" s="40"/>
      <c r="G56" s="77"/>
      <c r="H56" s="77">
        <f t="shared" si="5"/>
        <v>-1510000</v>
      </c>
      <c r="I56" s="40"/>
      <c r="J56" s="67"/>
      <c r="K56" s="67"/>
      <c r="L56" s="67"/>
      <c r="M56" s="67"/>
    </row>
    <row r="57" spans="1:13" x14ac:dyDescent="0.25">
      <c r="A57" s="42">
        <f t="shared" si="3"/>
        <v>54</v>
      </c>
      <c r="B57" s="64" t="s">
        <v>251</v>
      </c>
      <c r="C57" s="70">
        <v>1500000</v>
      </c>
      <c r="D57" s="70">
        <f t="shared" si="4"/>
        <v>1500000</v>
      </c>
      <c r="E57" s="71">
        <f t="shared" si="2"/>
        <v>0</v>
      </c>
      <c r="F57" s="40"/>
      <c r="G57" s="77"/>
      <c r="H57" s="77">
        <f t="shared" si="5"/>
        <v>-1500000</v>
      </c>
      <c r="I57" s="40"/>
      <c r="J57" s="67"/>
      <c r="K57" s="67"/>
      <c r="L57" s="67"/>
      <c r="M57" s="67"/>
    </row>
    <row r="58" spans="1:13" x14ac:dyDescent="0.25">
      <c r="A58" s="42">
        <f t="shared" si="3"/>
        <v>55</v>
      </c>
      <c r="B58" s="64" t="s">
        <v>252</v>
      </c>
      <c r="C58" s="70">
        <v>855000</v>
      </c>
      <c r="D58" s="70">
        <f t="shared" si="4"/>
        <v>855000</v>
      </c>
      <c r="E58" s="71">
        <f t="shared" si="2"/>
        <v>0</v>
      </c>
      <c r="F58" s="40"/>
      <c r="G58" s="77"/>
      <c r="H58" s="77">
        <f t="shared" si="5"/>
        <v>-855000</v>
      </c>
      <c r="I58" s="40"/>
      <c r="J58" s="67"/>
      <c r="K58" s="67"/>
      <c r="L58" s="67"/>
      <c r="M58" s="67"/>
    </row>
    <row r="59" spans="1:13" hidden="1" x14ac:dyDescent="0.25">
      <c r="A59" s="42">
        <f t="shared" si="3"/>
        <v>56</v>
      </c>
      <c r="B59" s="64"/>
      <c r="C59" s="70"/>
      <c r="D59" s="70"/>
      <c r="E59" s="71">
        <f t="shared" si="2"/>
        <v>0</v>
      </c>
      <c r="F59" s="40"/>
      <c r="G59" s="77"/>
      <c r="H59" s="77">
        <f t="shared" si="5"/>
        <v>0</v>
      </c>
      <c r="I59" s="40"/>
      <c r="J59" s="67"/>
      <c r="K59" s="67"/>
      <c r="L59" s="67"/>
      <c r="M59" s="67"/>
    </row>
    <row r="60" spans="1:13" hidden="1" x14ac:dyDescent="0.25">
      <c r="A60" s="42">
        <f t="shared" si="3"/>
        <v>57</v>
      </c>
      <c r="B60" s="64"/>
      <c r="C60" s="70"/>
      <c r="D60" s="70"/>
      <c r="E60" s="71">
        <f t="shared" si="2"/>
        <v>0</v>
      </c>
      <c r="F60" s="40"/>
      <c r="G60" s="77"/>
      <c r="H60" s="77">
        <f t="shared" si="5"/>
        <v>0</v>
      </c>
      <c r="I60" s="40"/>
      <c r="J60" s="67"/>
      <c r="K60" s="67"/>
      <c r="L60" s="67"/>
      <c r="M60" s="67"/>
    </row>
    <row r="61" spans="1:13" hidden="1" x14ac:dyDescent="0.25">
      <c r="A61" s="42">
        <f t="shared" si="3"/>
        <v>58</v>
      </c>
      <c r="B61" s="64"/>
      <c r="C61" s="70"/>
      <c r="D61" s="70"/>
      <c r="E61" s="71">
        <f t="shared" si="2"/>
        <v>0</v>
      </c>
      <c r="F61" s="40"/>
      <c r="G61" s="77"/>
      <c r="H61" s="77">
        <f t="shared" si="5"/>
        <v>0</v>
      </c>
      <c r="I61" s="40"/>
      <c r="J61" s="67"/>
      <c r="K61" s="67"/>
      <c r="L61" s="67"/>
      <c r="M61" s="67"/>
    </row>
    <row r="62" spans="1:13" hidden="1" x14ac:dyDescent="0.25">
      <c r="A62" s="42">
        <f t="shared" si="3"/>
        <v>59</v>
      </c>
      <c r="B62" s="64"/>
      <c r="C62" s="70"/>
      <c r="D62" s="70"/>
      <c r="E62" s="71">
        <f t="shared" si="2"/>
        <v>0</v>
      </c>
      <c r="F62" s="40"/>
      <c r="G62" s="77"/>
      <c r="H62" s="77">
        <f t="shared" si="5"/>
        <v>0</v>
      </c>
      <c r="I62" s="40"/>
      <c r="J62" s="67"/>
      <c r="K62" s="67"/>
      <c r="L62" s="67"/>
      <c r="M62" s="67"/>
    </row>
    <row r="63" spans="1:13" hidden="1" x14ac:dyDescent="0.25">
      <c r="A63" s="42">
        <f t="shared" si="3"/>
        <v>60</v>
      </c>
      <c r="B63" s="64"/>
      <c r="C63" s="70"/>
      <c r="D63" s="70"/>
      <c r="E63" s="71">
        <f t="shared" si="2"/>
        <v>0</v>
      </c>
      <c r="F63" s="40"/>
      <c r="G63" s="77"/>
      <c r="H63" s="77">
        <f t="shared" si="5"/>
        <v>0</v>
      </c>
      <c r="I63" s="40"/>
      <c r="J63" s="67"/>
      <c r="K63" s="67"/>
      <c r="L63" s="67"/>
      <c r="M63" s="67"/>
    </row>
    <row r="64" spans="1:13" hidden="1" x14ac:dyDescent="0.25">
      <c r="A64" s="42">
        <f t="shared" si="3"/>
        <v>61</v>
      </c>
      <c r="B64" s="64"/>
      <c r="C64" s="70"/>
      <c r="D64" s="70"/>
      <c r="E64" s="71">
        <f t="shared" si="2"/>
        <v>0</v>
      </c>
      <c r="F64" s="40"/>
      <c r="G64" s="77"/>
      <c r="H64" s="77">
        <f t="shared" si="5"/>
        <v>0</v>
      </c>
      <c r="I64" s="40"/>
      <c r="J64" s="67"/>
      <c r="K64" s="67"/>
      <c r="L64" s="67"/>
      <c r="M64" s="67"/>
    </row>
    <row r="65" spans="1:13" hidden="1" x14ac:dyDescent="0.25">
      <c r="A65" s="42">
        <f t="shared" si="3"/>
        <v>62</v>
      </c>
      <c r="B65" s="64"/>
      <c r="C65" s="78"/>
      <c r="D65" s="78"/>
      <c r="E65" s="71">
        <f t="shared" si="2"/>
        <v>0</v>
      </c>
      <c r="F65" s="40"/>
      <c r="G65" s="77"/>
      <c r="H65" s="77">
        <f t="shared" si="5"/>
        <v>0</v>
      </c>
      <c r="I65" s="40"/>
      <c r="J65" s="67"/>
      <c r="K65" s="67"/>
      <c r="L65" s="67"/>
      <c r="M65" s="67"/>
    </row>
    <row r="66" spans="1:13" hidden="1" x14ac:dyDescent="0.25">
      <c r="A66" s="42">
        <f t="shared" si="3"/>
        <v>63</v>
      </c>
      <c r="B66" s="64"/>
      <c r="C66" s="70"/>
      <c r="D66" s="70"/>
      <c r="E66" s="71">
        <f t="shared" si="2"/>
        <v>0</v>
      </c>
      <c r="F66" s="40"/>
      <c r="G66" s="77"/>
      <c r="H66" s="77">
        <f t="shared" si="5"/>
        <v>0</v>
      </c>
      <c r="I66" s="40"/>
      <c r="J66" s="67"/>
      <c r="K66" s="67"/>
      <c r="L66" s="67"/>
      <c r="M66" s="67"/>
    </row>
    <row r="67" spans="1:13" hidden="1" x14ac:dyDescent="0.25">
      <c r="A67" s="42">
        <f t="shared" si="3"/>
        <v>64</v>
      </c>
      <c r="B67" s="64"/>
      <c r="C67" s="70"/>
      <c r="D67" s="70"/>
      <c r="E67" s="71">
        <f t="shared" si="2"/>
        <v>0</v>
      </c>
      <c r="F67" s="40"/>
      <c r="G67" s="77"/>
      <c r="H67" s="77">
        <f t="shared" si="5"/>
        <v>0</v>
      </c>
      <c r="I67" s="40"/>
      <c r="J67" s="67"/>
      <c r="K67" s="67"/>
      <c r="L67" s="67"/>
      <c r="M67" s="67"/>
    </row>
    <row r="68" spans="1:13" hidden="1" x14ac:dyDescent="0.25">
      <c r="A68" s="42">
        <f t="shared" si="3"/>
        <v>65</v>
      </c>
      <c r="B68" s="64"/>
      <c r="C68" s="78"/>
      <c r="D68" s="78"/>
      <c r="E68" s="71">
        <f t="shared" si="2"/>
        <v>0</v>
      </c>
      <c r="F68" s="40"/>
      <c r="G68" s="77"/>
      <c r="H68" s="77">
        <f t="shared" si="5"/>
        <v>0</v>
      </c>
      <c r="I68" s="40"/>
      <c r="J68" s="67"/>
      <c r="K68" s="67"/>
      <c r="L68" s="67"/>
      <c r="M68" s="67"/>
    </row>
    <row r="69" spans="1:13" hidden="1" x14ac:dyDescent="0.25">
      <c r="A69" s="42">
        <f t="shared" si="3"/>
        <v>66</v>
      </c>
      <c r="B69" s="64"/>
      <c r="C69" s="70"/>
      <c r="D69" s="78"/>
      <c r="E69" s="71">
        <f t="shared" ref="E69:E76" si="6">C69-D69</f>
        <v>0</v>
      </c>
      <c r="F69" s="40"/>
      <c r="G69" s="77"/>
      <c r="H69" s="77">
        <f t="shared" si="5"/>
        <v>0</v>
      </c>
      <c r="I69" s="40"/>
      <c r="J69" s="67"/>
      <c r="K69" s="67"/>
      <c r="L69" s="67"/>
      <c r="M69" s="67"/>
    </row>
    <row r="70" spans="1:13" hidden="1" x14ac:dyDescent="0.25">
      <c r="A70" s="42">
        <f t="shared" ref="A70:A133" si="7">1+A69</f>
        <v>67</v>
      </c>
      <c r="B70" s="64"/>
      <c r="C70" s="70"/>
      <c r="D70" s="70"/>
      <c r="E70" s="71">
        <f t="shared" si="6"/>
        <v>0</v>
      </c>
      <c r="F70" s="40"/>
      <c r="G70" s="77"/>
      <c r="H70" s="77">
        <f t="shared" si="5"/>
        <v>0</v>
      </c>
      <c r="I70" s="40"/>
      <c r="J70" s="67"/>
      <c r="K70" s="67"/>
      <c r="L70" s="67"/>
      <c r="M70" s="67"/>
    </row>
    <row r="71" spans="1:13" hidden="1" x14ac:dyDescent="0.25">
      <c r="A71" s="42">
        <f t="shared" si="7"/>
        <v>68</v>
      </c>
      <c r="B71" s="64"/>
      <c r="C71" s="70"/>
      <c r="D71" s="70"/>
      <c r="E71" s="71">
        <f t="shared" si="6"/>
        <v>0</v>
      </c>
      <c r="F71" s="40"/>
      <c r="G71" s="77"/>
      <c r="H71" s="77">
        <f t="shared" si="5"/>
        <v>0</v>
      </c>
      <c r="I71" s="40"/>
      <c r="J71" s="67"/>
      <c r="K71" s="67"/>
      <c r="L71" s="67"/>
      <c r="M71" s="67"/>
    </row>
    <row r="72" spans="1:13" hidden="1" x14ac:dyDescent="0.25">
      <c r="A72" s="42">
        <f t="shared" si="7"/>
        <v>69</v>
      </c>
      <c r="B72" s="64"/>
      <c r="C72" s="70"/>
      <c r="D72" s="70"/>
      <c r="E72" s="71">
        <f t="shared" si="6"/>
        <v>0</v>
      </c>
      <c r="F72" s="40"/>
      <c r="G72" s="77"/>
      <c r="H72" s="77">
        <f t="shared" si="5"/>
        <v>0</v>
      </c>
      <c r="I72" s="40"/>
      <c r="J72" s="67"/>
      <c r="K72" s="67"/>
      <c r="L72" s="67"/>
      <c r="M72" s="67"/>
    </row>
    <row r="73" spans="1:13" hidden="1" x14ac:dyDescent="0.25">
      <c r="A73" s="42">
        <f t="shared" si="7"/>
        <v>70</v>
      </c>
      <c r="B73" s="64"/>
      <c r="C73" s="70"/>
      <c r="D73" s="70"/>
      <c r="E73" s="71">
        <f t="shared" si="6"/>
        <v>0</v>
      </c>
      <c r="F73" s="40"/>
      <c r="G73" s="77"/>
      <c r="H73" s="77">
        <f t="shared" si="5"/>
        <v>0</v>
      </c>
      <c r="I73" s="40"/>
      <c r="J73" s="67"/>
      <c r="K73" s="67"/>
      <c r="L73" s="67"/>
      <c r="M73" s="67"/>
    </row>
    <row r="74" spans="1:13" hidden="1" x14ac:dyDescent="0.25">
      <c r="A74" s="42">
        <f t="shared" si="7"/>
        <v>71</v>
      </c>
      <c r="B74" s="64"/>
      <c r="C74" s="70"/>
      <c r="D74" s="70"/>
      <c r="E74" s="71">
        <f t="shared" si="6"/>
        <v>0</v>
      </c>
      <c r="F74" s="40"/>
      <c r="G74" s="77"/>
      <c r="H74" s="77">
        <f t="shared" si="5"/>
        <v>0</v>
      </c>
      <c r="I74" s="40"/>
      <c r="J74" s="67"/>
      <c r="K74" s="67"/>
      <c r="L74" s="67"/>
      <c r="M74" s="67"/>
    </row>
    <row r="75" spans="1:13" hidden="1" x14ac:dyDescent="0.25">
      <c r="A75" s="42">
        <f t="shared" si="7"/>
        <v>72</v>
      </c>
      <c r="B75" s="64"/>
      <c r="C75" s="70"/>
      <c r="D75" s="78"/>
      <c r="E75" s="77">
        <f>C75-D75</f>
        <v>0</v>
      </c>
      <c r="F75" s="40"/>
      <c r="G75" s="77"/>
      <c r="H75" s="77">
        <f>G75-D75</f>
        <v>0</v>
      </c>
      <c r="I75" s="40"/>
      <c r="J75" s="67"/>
      <c r="K75" s="67"/>
      <c r="L75" s="67"/>
      <c r="M75" s="67"/>
    </row>
    <row r="76" spans="1:13" hidden="1" x14ac:dyDescent="0.25">
      <c r="A76" s="42">
        <f t="shared" si="7"/>
        <v>73</v>
      </c>
      <c r="B76" s="64"/>
      <c r="C76" s="78"/>
      <c r="D76" s="78"/>
      <c r="E76" s="77">
        <f>C76-D76</f>
        <v>0</v>
      </c>
      <c r="F76" s="40"/>
      <c r="G76" s="77"/>
      <c r="H76" s="77">
        <f>G76-D76</f>
        <v>0</v>
      </c>
      <c r="I76" s="40"/>
      <c r="J76" s="67"/>
      <c r="K76" s="67"/>
      <c r="L76" s="67"/>
      <c r="M76" s="67"/>
    </row>
    <row r="77" spans="1:13" hidden="1" x14ac:dyDescent="0.25">
      <c r="A77" s="42">
        <f t="shared" si="7"/>
        <v>74</v>
      </c>
      <c r="B77" s="64"/>
      <c r="C77" s="70"/>
      <c r="D77" s="78"/>
      <c r="E77" s="77">
        <f>C77-D77</f>
        <v>0</v>
      </c>
      <c r="F77" s="40"/>
      <c r="G77" s="77"/>
      <c r="H77" s="77">
        <f>G77-D77</f>
        <v>0</v>
      </c>
      <c r="I77" s="40"/>
      <c r="J77" s="67"/>
      <c r="K77" s="67"/>
      <c r="L77" s="67"/>
      <c r="M77" s="67"/>
    </row>
    <row r="78" spans="1:13" hidden="1" x14ac:dyDescent="0.25">
      <c r="A78" s="42">
        <f t="shared" si="7"/>
        <v>75</v>
      </c>
      <c r="B78" s="64"/>
      <c r="C78" s="70"/>
      <c r="D78" s="78"/>
      <c r="E78" s="77">
        <f t="shared" ref="E78:E100" si="8">C78-D78</f>
        <v>0</v>
      </c>
      <c r="F78" s="40"/>
      <c r="G78" s="77"/>
      <c r="H78" s="77">
        <f t="shared" ref="H78:H84" si="9">G78-D78</f>
        <v>0</v>
      </c>
      <c r="I78" s="40"/>
      <c r="J78" s="67"/>
      <c r="K78" s="67"/>
      <c r="L78" s="67"/>
      <c r="M78" s="67"/>
    </row>
    <row r="79" spans="1:13" hidden="1" x14ac:dyDescent="0.25">
      <c r="A79" s="42">
        <f t="shared" si="7"/>
        <v>76</v>
      </c>
      <c r="B79" s="64"/>
      <c r="C79" s="70"/>
      <c r="D79" s="78"/>
      <c r="E79" s="77">
        <f t="shared" si="8"/>
        <v>0</v>
      </c>
      <c r="F79" s="40"/>
      <c r="G79" s="77"/>
      <c r="H79" s="77">
        <f t="shared" si="9"/>
        <v>0</v>
      </c>
      <c r="I79" s="40"/>
      <c r="J79" s="67"/>
      <c r="K79" s="67"/>
      <c r="L79" s="67"/>
      <c r="M79" s="67"/>
    </row>
    <row r="80" spans="1:13" hidden="1" x14ac:dyDescent="0.25">
      <c r="A80" s="42">
        <f t="shared" si="7"/>
        <v>77</v>
      </c>
      <c r="B80" s="64"/>
      <c r="C80" s="70"/>
      <c r="D80" s="78"/>
      <c r="E80" s="77">
        <f t="shared" si="8"/>
        <v>0</v>
      </c>
      <c r="F80" s="40"/>
      <c r="G80" s="77"/>
      <c r="H80" s="77">
        <f t="shared" si="9"/>
        <v>0</v>
      </c>
      <c r="I80" s="40"/>
      <c r="J80" s="67"/>
      <c r="K80" s="67"/>
      <c r="L80" s="67"/>
      <c r="M80" s="67"/>
    </row>
    <row r="81" spans="1:13" hidden="1" x14ac:dyDescent="0.25">
      <c r="A81" s="42">
        <f t="shared" si="7"/>
        <v>78</v>
      </c>
      <c r="B81" s="64"/>
      <c r="C81" s="70"/>
      <c r="D81" s="78"/>
      <c r="E81" s="77">
        <f t="shared" si="8"/>
        <v>0</v>
      </c>
      <c r="F81" s="40"/>
      <c r="G81" s="77"/>
      <c r="H81" s="77">
        <f t="shared" si="9"/>
        <v>0</v>
      </c>
      <c r="I81" s="40"/>
      <c r="J81" s="67"/>
      <c r="K81" s="67"/>
      <c r="L81" s="67"/>
      <c r="M81" s="67"/>
    </row>
    <row r="82" spans="1:13" hidden="1" x14ac:dyDescent="0.25">
      <c r="A82" s="42">
        <f t="shared" si="7"/>
        <v>79</v>
      </c>
      <c r="B82" s="64"/>
      <c r="C82" s="70"/>
      <c r="D82" s="78"/>
      <c r="E82" s="77">
        <f t="shared" si="8"/>
        <v>0</v>
      </c>
      <c r="F82" s="40"/>
      <c r="G82" s="77"/>
      <c r="H82" s="77">
        <f t="shared" si="9"/>
        <v>0</v>
      </c>
      <c r="I82" s="40"/>
      <c r="J82" s="67"/>
      <c r="K82" s="67"/>
      <c r="L82" s="67"/>
      <c r="M82" s="67"/>
    </row>
    <row r="83" spans="1:13" hidden="1" x14ac:dyDescent="0.25">
      <c r="A83" s="42">
        <f t="shared" si="7"/>
        <v>80</v>
      </c>
      <c r="B83" s="64"/>
      <c r="C83" s="78"/>
      <c r="D83" s="78"/>
      <c r="E83" s="77">
        <f t="shared" si="8"/>
        <v>0</v>
      </c>
      <c r="F83" s="40"/>
      <c r="G83" s="77"/>
      <c r="H83" s="77">
        <f t="shared" si="9"/>
        <v>0</v>
      </c>
      <c r="I83" s="40"/>
      <c r="J83" s="67"/>
      <c r="K83" s="67"/>
      <c r="L83" s="67"/>
      <c r="M83" s="67"/>
    </row>
    <row r="84" spans="1:13" hidden="1" x14ac:dyDescent="0.25">
      <c r="A84" s="42">
        <f t="shared" si="7"/>
        <v>81</v>
      </c>
      <c r="B84" s="64"/>
      <c r="C84" s="70"/>
      <c r="D84" s="78"/>
      <c r="E84" s="77">
        <f t="shared" si="8"/>
        <v>0</v>
      </c>
      <c r="F84" s="40"/>
      <c r="G84" s="77"/>
      <c r="H84" s="77">
        <f t="shared" si="9"/>
        <v>0</v>
      </c>
      <c r="I84" s="40"/>
      <c r="J84" s="67"/>
      <c r="K84" s="67"/>
      <c r="L84" s="67"/>
      <c r="M84" s="67"/>
    </row>
    <row r="85" spans="1:13" hidden="1" x14ac:dyDescent="0.25">
      <c r="A85" s="42">
        <f t="shared" si="7"/>
        <v>82</v>
      </c>
      <c r="B85" s="64"/>
      <c r="C85" s="70"/>
      <c r="D85" s="78"/>
      <c r="E85" s="77">
        <f t="shared" si="8"/>
        <v>0</v>
      </c>
      <c r="F85" s="40"/>
      <c r="G85" s="77"/>
      <c r="H85" s="77">
        <f>E85-G85</f>
        <v>0</v>
      </c>
      <c r="I85" s="75"/>
      <c r="J85" s="67"/>
      <c r="K85" s="67"/>
      <c r="L85" s="67"/>
      <c r="M85" s="67"/>
    </row>
    <row r="86" spans="1:13" hidden="1" x14ac:dyDescent="0.25">
      <c r="A86" s="42">
        <f t="shared" si="7"/>
        <v>83</v>
      </c>
      <c r="B86" s="64"/>
      <c r="C86" s="70"/>
      <c r="D86" s="78"/>
      <c r="E86" s="77">
        <f t="shared" si="8"/>
        <v>0</v>
      </c>
      <c r="F86" s="40"/>
      <c r="G86" s="77"/>
      <c r="H86" s="77">
        <f>E86-G86</f>
        <v>0</v>
      </c>
      <c r="I86" s="75"/>
      <c r="J86" s="67"/>
      <c r="K86" s="67"/>
      <c r="L86" s="67"/>
      <c r="M86" s="67"/>
    </row>
    <row r="87" spans="1:13" hidden="1" x14ac:dyDescent="0.25">
      <c r="A87" s="42">
        <f t="shared" si="7"/>
        <v>84</v>
      </c>
      <c r="B87" s="64"/>
      <c r="C87" s="70"/>
      <c r="D87" s="78"/>
      <c r="E87" s="77">
        <f t="shared" si="8"/>
        <v>0</v>
      </c>
      <c r="F87" s="40"/>
      <c r="G87" s="77"/>
      <c r="H87" s="77">
        <f t="shared" ref="H87:H98" si="10">G87-D87</f>
        <v>0</v>
      </c>
      <c r="I87" s="40"/>
      <c r="J87" s="67"/>
      <c r="K87" s="67"/>
      <c r="L87" s="67"/>
      <c r="M87" s="67"/>
    </row>
    <row r="88" spans="1:13" hidden="1" x14ac:dyDescent="0.25">
      <c r="A88" s="42">
        <f t="shared" si="7"/>
        <v>85</v>
      </c>
      <c r="B88" s="64"/>
      <c r="C88" s="70"/>
      <c r="D88" s="78"/>
      <c r="E88" s="77">
        <f t="shared" si="8"/>
        <v>0</v>
      </c>
      <c r="F88" s="40"/>
      <c r="G88" s="77"/>
      <c r="H88" s="77">
        <f t="shared" si="10"/>
        <v>0</v>
      </c>
      <c r="I88" s="40"/>
      <c r="J88" s="67"/>
      <c r="K88" s="67"/>
      <c r="L88" s="67"/>
      <c r="M88" s="67"/>
    </row>
    <row r="89" spans="1:13" hidden="1" x14ac:dyDescent="0.25">
      <c r="A89" s="42">
        <f t="shared" si="7"/>
        <v>86</v>
      </c>
      <c r="B89" s="64"/>
      <c r="C89" s="70"/>
      <c r="D89" s="78"/>
      <c r="E89" s="77">
        <f t="shared" si="8"/>
        <v>0</v>
      </c>
      <c r="F89" s="40"/>
      <c r="G89" s="77"/>
      <c r="H89" s="77">
        <f t="shared" si="10"/>
        <v>0</v>
      </c>
      <c r="I89" s="40"/>
      <c r="J89" s="67"/>
      <c r="K89" s="67"/>
      <c r="L89" s="67"/>
      <c r="M89" s="67"/>
    </row>
    <row r="90" spans="1:13" hidden="1" x14ac:dyDescent="0.25">
      <c r="A90" s="42">
        <f t="shared" si="7"/>
        <v>87</v>
      </c>
      <c r="B90" s="64"/>
      <c r="C90" s="70"/>
      <c r="D90" s="78"/>
      <c r="E90" s="77">
        <f t="shared" si="8"/>
        <v>0</v>
      </c>
      <c r="F90" s="40"/>
      <c r="G90" s="77"/>
      <c r="H90" s="77">
        <f t="shared" si="10"/>
        <v>0</v>
      </c>
      <c r="I90" s="40"/>
      <c r="J90" s="67"/>
      <c r="K90" s="67"/>
      <c r="L90" s="67"/>
      <c r="M90" s="67"/>
    </row>
    <row r="91" spans="1:13" hidden="1" x14ac:dyDescent="0.25">
      <c r="A91" s="42">
        <f t="shared" si="7"/>
        <v>88</v>
      </c>
      <c r="B91" s="64"/>
      <c r="C91" s="70"/>
      <c r="D91" s="78"/>
      <c r="E91" s="77">
        <f t="shared" si="8"/>
        <v>0</v>
      </c>
      <c r="F91" s="40"/>
      <c r="G91" s="77"/>
      <c r="H91" s="77">
        <f t="shared" si="10"/>
        <v>0</v>
      </c>
      <c r="I91" s="40"/>
      <c r="J91" s="67"/>
      <c r="K91" s="67"/>
      <c r="L91" s="67"/>
      <c r="M91" s="67"/>
    </row>
    <row r="92" spans="1:13" hidden="1" x14ac:dyDescent="0.25">
      <c r="A92" s="42">
        <f t="shared" si="7"/>
        <v>89</v>
      </c>
      <c r="B92" s="64"/>
      <c r="C92" s="70"/>
      <c r="D92" s="78"/>
      <c r="E92" s="77">
        <f t="shared" si="8"/>
        <v>0</v>
      </c>
      <c r="F92" s="40"/>
      <c r="G92" s="77"/>
      <c r="H92" s="77">
        <f t="shared" si="10"/>
        <v>0</v>
      </c>
      <c r="I92" s="40"/>
      <c r="J92" s="67"/>
      <c r="K92" s="67"/>
      <c r="L92" s="67"/>
      <c r="M92" s="67"/>
    </row>
    <row r="93" spans="1:13" hidden="1" x14ac:dyDescent="0.25">
      <c r="A93" s="42">
        <f t="shared" si="7"/>
        <v>90</v>
      </c>
      <c r="B93" s="64"/>
      <c r="C93" s="70"/>
      <c r="D93" s="78"/>
      <c r="E93" s="77">
        <f t="shared" si="8"/>
        <v>0</v>
      </c>
      <c r="F93" s="40"/>
      <c r="G93" s="77"/>
      <c r="H93" s="77">
        <f t="shared" si="10"/>
        <v>0</v>
      </c>
      <c r="I93" s="40"/>
      <c r="J93" s="67"/>
      <c r="K93" s="67"/>
      <c r="L93" s="67"/>
      <c r="M93" s="67"/>
    </row>
    <row r="94" spans="1:13" hidden="1" x14ac:dyDescent="0.25">
      <c r="A94" s="42">
        <f t="shared" si="7"/>
        <v>91</v>
      </c>
      <c r="B94" s="64"/>
      <c r="C94" s="70"/>
      <c r="D94" s="70"/>
      <c r="E94" s="77">
        <f t="shared" si="8"/>
        <v>0</v>
      </c>
      <c r="F94" s="40"/>
      <c r="G94" s="77"/>
      <c r="H94" s="77">
        <f t="shared" si="10"/>
        <v>0</v>
      </c>
      <c r="I94" s="40"/>
      <c r="J94" s="67"/>
      <c r="K94" s="67"/>
      <c r="L94" s="67"/>
      <c r="M94" s="67"/>
    </row>
    <row r="95" spans="1:13" hidden="1" x14ac:dyDescent="0.25">
      <c r="A95" s="42">
        <f t="shared" si="7"/>
        <v>92</v>
      </c>
      <c r="B95" s="64"/>
      <c r="C95" s="70"/>
      <c r="D95" s="78"/>
      <c r="E95" s="77">
        <f t="shared" si="8"/>
        <v>0</v>
      </c>
      <c r="F95" s="40"/>
      <c r="G95" s="77"/>
      <c r="H95" s="77">
        <f t="shared" si="10"/>
        <v>0</v>
      </c>
      <c r="I95" s="40"/>
      <c r="J95" s="67"/>
      <c r="K95" s="67"/>
      <c r="L95" s="67"/>
      <c r="M95" s="67"/>
    </row>
    <row r="96" spans="1:13" hidden="1" x14ac:dyDescent="0.25">
      <c r="A96" s="42">
        <f t="shared" si="7"/>
        <v>93</v>
      </c>
      <c r="B96" s="64"/>
      <c r="C96" s="70"/>
      <c r="D96" s="78"/>
      <c r="E96" s="77">
        <f t="shared" si="8"/>
        <v>0</v>
      </c>
      <c r="F96" s="40"/>
      <c r="G96" s="77"/>
      <c r="H96" s="77">
        <f t="shared" si="10"/>
        <v>0</v>
      </c>
      <c r="I96" s="40"/>
      <c r="J96" s="67"/>
      <c r="K96" s="67"/>
      <c r="L96" s="67"/>
      <c r="M96" s="67"/>
    </row>
    <row r="97" spans="1:13" hidden="1" x14ac:dyDescent="0.25">
      <c r="A97" s="42">
        <f t="shared" si="7"/>
        <v>94</v>
      </c>
      <c r="B97" s="64"/>
      <c r="C97" s="70"/>
      <c r="D97" s="78"/>
      <c r="E97" s="77">
        <f t="shared" si="8"/>
        <v>0</v>
      </c>
      <c r="F97" s="40"/>
      <c r="G97" s="77"/>
      <c r="H97" s="77">
        <f t="shared" si="10"/>
        <v>0</v>
      </c>
      <c r="I97" s="40"/>
      <c r="J97" s="67"/>
      <c r="K97" s="67"/>
      <c r="L97" s="67"/>
      <c r="M97" s="67"/>
    </row>
    <row r="98" spans="1:13" hidden="1" x14ac:dyDescent="0.25">
      <c r="A98" s="42">
        <f t="shared" si="7"/>
        <v>95</v>
      </c>
      <c r="B98" s="64"/>
      <c r="C98" s="70"/>
      <c r="D98" s="78"/>
      <c r="E98" s="77">
        <f t="shared" si="8"/>
        <v>0</v>
      </c>
      <c r="F98" s="40"/>
      <c r="G98" s="77"/>
      <c r="H98" s="77">
        <f t="shared" si="10"/>
        <v>0</v>
      </c>
      <c r="I98" s="40"/>
      <c r="J98" s="67"/>
      <c r="K98" s="67"/>
      <c r="L98" s="67"/>
      <c r="M98" s="67"/>
    </row>
    <row r="99" spans="1:13" hidden="1" x14ac:dyDescent="0.25">
      <c r="A99" s="42">
        <f t="shared" si="7"/>
        <v>96</v>
      </c>
      <c r="B99" s="64"/>
      <c r="C99" s="70"/>
      <c r="D99" s="78"/>
      <c r="E99" s="77">
        <f t="shared" si="8"/>
        <v>0</v>
      </c>
      <c r="F99" s="40"/>
      <c r="G99" s="77"/>
      <c r="H99" s="77">
        <f t="shared" si="5"/>
        <v>0</v>
      </c>
      <c r="I99" s="40"/>
      <c r="J99" s="67"/>
      <c r="K99" s="67"/>
      <c r="L99" s="67"/>
      <c r="M99" s="67"/>
    </row>
    <row r="100" spans="1:13" hidden="1" x14ac:dyDescent="0.25">
      <c r="A100" s="42">
        <f t="shared" si="7"/>
        <v>97</v>
      </c>
      <c r="B100" s="64"/>
      <c r="C100" s="78"/>
      <c r="D100" s="78"/>
      <c r="E100" s="77">
        <f t="shared" si="8"/>
        <v>0</v>
      </c>
      <c r="F100" s="40"/>
      <c r="G100" s="77"/>
      <c r="H100" s="77">
        <f t="shared" si="5"/>
        <v>0</v>
      </c>
      <c r="I100" s="40"/>
      <c r="J100" s="67"/>
      <c r="K100" s="67"/>
      <c r="L100" s="67"/>
      <c r="M100" s="67"/>
    </row>
    <row r="101" spans="1:13" hidden="1" x14ac:dyDescent="0.25">
      <c r="A101" s="42">
        <f t="shared" si="7"/>
        <v>98</v>
      </c>
      <c r="B101" s="64"/>
      <c r="C101" s="70"/>
      <c r="D101" s="78"/>
      <c r="E101" s="77">
        <f>C101-D101</f>
        <v>0</v>
      </c>
      <c r="F101" s="40"/>
      <c r="G101" s="77"/>
      <c r="H101" s="77">
        <f>G101-D101</f>
        <v>0</v>
      </c>
      <c r="I101" s="40"/>
      <c r="J101" s="67"/>
      <c r="K101" s="67"/>
      <c r="L101" s="67"/>
      <c r="M101" s="67"/>
    </row>
    <row r="102" spans="1:13" hidden="1" x14ac:dyDescent="0.25">
      <c r="A102" s="42">
        <f t="shared" si="7"/>
        <v>99</v>
      </c>
      <c r="B102" s="64"/>
      <c r="C102" s="78"/>
      <c r="D102" s="78"/>
      <c r="E102" s="77">
        <f t="shared" ref="E102:E138" si="11">C102-D102</f>
        <v>0</v>
      </c>
      <c r="F102" s="40"/>
      <c r="G102" s="77"/>
      <c r="H102" s="77">
        <f t="shared" ref="H102:H108" si="12">G102-D102</f>
        <v>0</v>
      </c>
      <c r="I102" s="40"/>
      <c r="J102" s="67"/>
      <c r="K102" s="67"/>
      <c r="L102" s="67"/>
      <c r="M102" s="67"/>
    </row>
    <row r="103" spans="1:13" hidden="1" x14ac:dyDescent="0.25">
      <c r="A103" s="42">
        <f t="shared" si="7"/>
        <v>100</v>
      </c>
      <c r="B103" s="64"/>
      <c r="C103" s="78"/>
      <c r="D103" s="78"/>
      <c r="E103" s="77">
        <f t="shared" si="11"/>
        <v>0</v>
      </c>
      <c r="F103" s="40"/>
      <c r="G103" s="77"/>
      <c r="H103" s="77">
        <f t="shared" si="12"/>
        <v>0</v>
      </c>
      <c r="I103" s="40"/>
      <c r="J103" s="67"/>
      <c r="K103" s="67"/>
      <c r="L103" s="67"/>
      <c r="M103" s="67"/>
    </row>
    <row r="104" spans="1:13" hidden="1" x14ac:dyDescent="0.25">
      <c r="A104" s="42">
        <f t="shared" si="7"/>
        <v>101</v>
      </c>
      <c r="B104" s="64"/>
      <c r="C104" s="78"/>
      <c r="D104" s="78"/>
      <c r="E104" s="77">
        <f t="shared" si="11"/>
        <v>0</v>
      </c>
      <c r="F104" s="40"/>
      <c r="G104" s="77"/>
      <c r="H104" s="77">
        <f t="shared" si="12"/>
        <v>0</v>
      </c>
      <c r="I104" s="40"/>
      <c r="J104" s="67"/>
      <c r="K104" s="67"/>
      <c r="L104" s="67"/>
      <c r="M104" s="67"/>
    </row>
    <row r="105" spans="1:13" hidden="1" x14ac:dyDescent="0.25">
      <c r="A105" s="42">
        <f t="shared" si="7"/>
        <v>102</v>
      </c>
      <c r="B105" s="64"/>
      <c r="C105" s="70"/>
      <c r="D105" s="78"/>
      <c r="E105" s="77">
        <f t="shared" si="11"/>
        <v>0</v>
      </c>
      <c r="F105" s="40"/>
      <c r="G105" s="77"/>
      <c r="H105" s="77">
        <f t="shared" si="12"/>
        <v>0</v>
      </c>
      <c r="I105" s="40"/>
      <c r="J105" s="67"/>
      <c r="K105" s="67"/>
      <c r="L105" s="67"/>
      <c r="M105" s="67"/>
    </row>
    <row r="106" spans="1:13" hidden="1" x14ac:dyDescent="0.25">
      <c r="A106" s="42">
        <f t="shared" si="7"/>
        <v>103</v>
      </c>
      <c r="B106" s="64"/>
      <c r="C106" s="78"/>
      <c r="D106" s="78"/>
      <c r="E106" s="77">
        <f t="shared" si="11"/>
        <v>0</v>
      </c>
      <c r="F106" s="40"/>
      <c r="G106" s="77"/>
      <c r="H106" s="77">
        <f t="shared" si="12"/>
        <v>0</v>
      </c>
      <c r="I106" s="40"/>
      <c r="J106" s="67"/>
      <c r="K106" s="67"/>
      <c r="L106" s="67"/>
      <c r="M106" s="67"/>
    </row>
    <row r="107" spans="1:13" hidden="1" x14ac:dyDescent="0.25">
      <c r="A107" s="42">
        <f t="shared" si="7"/>
        <v>104</v>
      </c>
      <c r="B107" s="64" t="s">
        <v>158</v>
      </c>
      <c r="C107" s="70">
        <f t="shared" ref="C107:C112" si="13">SUMIFS(tballsa,tballnk,B107)</f>
        <v>0</v>
      </c>
      <c r="D107" s="78"/>
      <c r="E107" s="77">
        <f t="shared" si="11"/>
        <v>0</v>
      </c>
      <c r="F107" s="40"/>
      <c r="G107" s="77"/>
      <c r="H107" s="77">
        <f t="shared" si="12"/>
        <v>0</v>
      </c>
      <c r="I107" s="40"/>
      <c r="J107" s="67"/>
      <c r="K107" s="67"/>
      <c r="L107" s="67"/>
      <c r="M107" s="67"/>
    </row>
    <row r="108" spans="1:13" hidden="1" x14ac:dyDescent="0.25">
      <c r="A108" s="42">
        <f t="shared" si="7"/>
        <v>105</v>
      </c>
      <c r="B108" s="64" t="s">
        <v>159</v>
      </c>
      <c r="C108" s="70">
        <f t="shared" si="13"/>
        <v>0</v>
      </c>
      <c r="D108" s="78"/>
      <c r="E108" s="77">
        <f t="shared" si="11"/>
        <v>0</v>
      </c>
      <c r="F108" s="40"/>
      <c r="G108" s="77"/>
      <c r="H108" s="77">
        <f t="shared" si="12"/>
        <v>0</v>
      </c>
      <c r="I108" s="40"/>
      <c r="J108" s="67"/>
      <c r="K108" s="67"/>
      <c r="L108" s="67"/>
      <c r="M108" s="67"/>
    </row>
    <row r="109" spans="1:13" hidden="1" x14ac:dyDescent="0.25">
      <c r="A109" s="42">
        <f t="shared" si="7"/>
        <v>106</v>
      </c>
      <c r="B109" s="64" t="s">
        <v>160</v>
      </c>
      <c r="C109" s="70">
        <f t="shared" si="13"/>
        <v>0</v>
      </c>
      <c r="D109" s="78"/>
      <c r="E109" s="77">
        <f t="shared" si="11"/>
        <v>0</v>
      </c>
      <c r="F109" s="40"/>
      <c r="G109" s="77"/>
      <c r="H109" s="77">
        <f>E109-G109</f>
        <v>0</v>
      </c>
      <c r="I109" s="75"/>
      <c r="J109" s="67"/>
      <c r="K109" s="67"/>
      <c r="L109" s="67"/>
      <c r="M109" s="67"/>
    </row>
    <row r="110" spans="1:13" hidden="1" x14ac:dyDescent="0.25">
      <c r="A110" s="42">
        <f t="shared" si="7"/>
        <v>107</v>
      </c>
      <c r="B110" s="64" t="s">
        <v>161</v>
      </c>
      <c r="C110" s="78">
        <f t="shared" si="13"/>
        <v>0</v>
      </c>
      <c r="D110" s="78"/>
      <c r="E110" s="77">
        <f t="shared" si="11"/>
        <v>0</v>
      </c>
      <c r="F110" s="40"/>
      <c r="G110" s="77"/>
      <c r="H110" s="77">
        <f>E110-G110</f>
        <v>0</v>
      </c>
      <c r="I110" s="75"/>
      <c r="J110" s="67"/>
      <c r="K110" s="67"/>
      <c r="L110" s="67"/>
      <c r="M110" s="67"/>
    </row>
    <row r="111" spans="1:13" hidden="1" x14ac:dyDescent="0.25">
      <c r="A111" s="42">
        <f t="shared" si="7"/>
        <v>108</v>
      </c>
      <c r="B111" s="64" t="s">
        <v>162</v>
      </c>
      <c r="C111" s="78">
        <f t="shared" si="13"/>
        <v>0</v>
      </c>
      <c r="D111" s="78"/>
      <c r="E111" s="77">
        <f t="shared" si="11"/>
        <v>0</v>
      </c>
      <c r="F111" s="40"/>
      <c r="G111" s="77"/>
      <c r="H111" s="77">
        <f t="shared" ref="H111:H138" si="14">G111-D111</f>
        <v>0</v>
      </c>
      <c r="I111" s="40"/>
      <c r="J111" s="67"/>
      <c r="K111" s="67"/>
      <c r="L111" s="67"/>
      <c r="M111" s="67"/>
    </row>
    <row r="112" spans="1:13" hidden="1" x14ac:dyDescent="0.25">
      <c r="A112" s="42">
        <f t="shared" si="7"/>
        <v>109</v>
      </c>
      <c r="B112" s="64" t="s">
        <v>163</v>
      </c>
      <c r="C112" s="78">
        <f t="shared" si="13"/>
        <v>0</v>
      </c>
      <c r="D112" s="78"/>
      <c r="E112" s="77">
        <f t="shared" si="11"/>
        <v>0</v>
      </c>
      <c r="F112" s="40"/>
      <c r="G112" s="77"/>
      <c r="H112" s="77">
        <f t="shared" si="14"/>
        <v>0</v>
      </c>
      <c r="I112" s="40"/>
      <c r="J112" s="67"/>
      <c r="K112" s="67"/>
      <c r="L112" s="67"/>
      <c r="M112" s="67"/>
    </row>
    <row r="113" spans="1:13" hidden="1" x14ac:dyDescent="0.25">
      <c r="A113" s="42">
        <f t="shared" si="7"/>
        <v>110</v>
      </c>
      <c r="B113" s="64"/>
      <c r="C113" s="78"/>
      <c r="D113" s="78"/>
      <c r="E113" s="77">
        <f t="shared" si="11"/>
        <v>0</v>
      </c>
      <c r="F113" s="40"/>
      <c r="G113" s="77"/>
      <c r="H113" s="77">
        <f t="shared" si="14"/>
        <v>0</v>
      </c>
      <c r="I113" s="40"/>
      <c r="J113" s="67"/>
      <c r="K113" s="67"/>
      <c r="L113" s="67"/>
      <c r="M113" s="67"/>
    </row>
    <row r="114" spans="1:13" hidden="1" x14ac:dyDescent="0.25">
      <c r="A114" s="42">
        <f t="shared" si="7"/>
        <v>111</v>
      </c>
      <c r="B114" s="64"/>
      <c r="C114" s="78"/>
      <c r="D114" s="78"/>
      <c r="E114" s="77">
        <f t="shared" si="11"/>
        <v>0</v>
      </c>
      <c r="F114" s="40"/>
      <c r="G114" s="77"/>
      <c r="H114" s="77">
        <f t="shared" si="14"/>
        <v>0</v>
      </c>
      <c r="I114" s="40"/>
      <c r="J114" s="67"/>
      <c r="K114" s="67"/>
      <c r="L114" s="67"/>
      <c r="M114" s="67"/>
    </row>
    <row r="115" spans="1:13" hidden="1" x14ac:dyDescent="0.25">
      <c r="A115" s="42">
        <f t="shared" si="7"/>
        <v>112</v>
      </c>
      <c r="B115" s="64"/>
      <c r="C115" s="79"/>
      <c r="D115" s="70"/>
      <c r="E115" s="77">
        <f t="shared" si="11"/>
        <v>0</v>
      </c>
      <c r="F115" s="40"/>
      <c r="G115" s="77"/>
      <c r="H115" s="77">
        <f t="shared" si="14"/>
        <v>0</v>
      </c>
      <c r="I115" s="40"/>
      <c r="J115" s="67"/>
      <c r="K115" s="67"/>
      <c r="L115" s="67"/>
      <c r="M115" s="67"/>
    </row>
    <row r="116" spans="1:13" hidden="1" x14ac:dyDescent="0.25">
      <c r="A116" s="42">
        <f t="shared" si="7"/>
        <v>113</v>
      </c>
      <c r="B116" s="80"/>
      <c r="C116" s="78"/>
      <c r="D116" s="70"/>
      <c r="E116" s="77">
        <f t="shared" si="11"/>
        <v>0</v>
      </c>
      <c r="F116" s="40"/>
      <c r="G116" s="77"/>
      <c r="H116" s="77">
        <f t="shared" si="14"/>
        <v>0</v>
      </c>
      <c r="I116" s="40"/>
      <c r="J116" s="67"/>
      <c r="K116" s="67"/>
      <c r="L116" s="67"/>
      <c r="M116" s="67"/>
    </row>
    <row r="117" spans="1:13" hidden="1" x14ac:dyDescent="0.25">
      <c r="A117" s="42">
        <f t="shared" si="7"/>
        <v>114</v>
      </c>
      <c r="B117" s="80"/>
      <c r="C117" s="78"/>
      <c r="D117" s="70"/>
      <c r="E117" s="77">
        <f t="shared" si="11"/>
        <v>0</v>
      </c>
      <c r="F117" s="40"/>
      <c r="G117" s="77"/>
      <c r="H117" s="77">
        <f t="shared" si="14"/>
        <v>0</v>
      </c>
      <c r="I117" s="40"/>
      <c r="J117" s="67"/>
      <c r="K117" s="67"/>
      <c r="L117" s="67"/>
      <c r="M117" s="67"/>
    </row>
    <row r="118" spans="1:13" hidden="1" x14ac:dyDescent="0.25">
      <c r="A118" s="42">
        <f t="shared" si="7"/>
        <v>115</v>
      </c>
      <c r="B118" s="64"/>
      <c r="C118" s="78"/>
      <c r="D118" s="70"/>
      <c r="E118" s="77">
        <f t="shared" si="11"/>
        <v>0</v>
      </c>
      <c r="F118" s="40"/>
      <c r="G118" s="77"/>
      <c r="H118" s="77">
        <f t="shared" si="14"/>
        <v>0</v>
      </c>
      <c r="I118" s="40"/>
      <c r="J118" s="67"/>
      <c r="K118" s="67"/>
      <c r="L118" s="67"/>
      <c r="M118" s="67"/>
    </row>
    <row r="119" spans="1:13" hidden="1" x14ac:dyDescent="0.25">
      <c r="A119" s="42">
        <f t="shared" si="7"/>
        <v>116</v>
      </c>
      <c r="B119" s="64"/>
      <c r="C119" s="70"/>
      <c r="D119" s="70"/>
      <c r="E119" s="77">
        <f t="shared" si="11"/>
        <v>0</v>
      </c>
      <c r="F119" s="40"/>
      <c r="G119" s="77"/>
      <c r="H119" s="77">
        <f t="shared" si="14"/>
        <v>0</v>
      </c>
      <c r="I119" s="40"/>
      <c r="J119" s="67"/>
      <c r="K119" s="67"/>
      <c r="L119" s="67"/>
      <c r="M119" s="67"/>
    </row>
    <row r="120" spans="1:13" hidden="1" x14ac:dyDescent="0.25">
      <c r="A120" s="42">
        <f t="shared" si="7"/>
        <v>117</v>
      </c>
      <c r="B120" s="64"/>
      <c r="C120" s="70"/>
      <c r="D120" s="70"/>
      <c r="E120" s="77">
        <f t="shared" si="11"/>
        <v>0</v>
      </c>
      <c r="F120" s="40"/>
      <c r="G120" s="77"/>
      <c r="H120" s="77">
        <f t="shared" si="14"/>
        <v>0</v>
      </c>
      <c r="I120" s="40"/>
      <c r="J120" s="67"/>
      <c r="K120" s="67"/>
      <c r="L120" s="67"/>
      <c r="M120" s="67"/>
    </row>
    <row r="121" spans="1:13" hidden="1" x14ac:dyDescent="0.25">
      <c r="A121" s="42">
        <f t="shared" si="7"/>
        <v>118</v>
      </c>
      <c r="B121" s="64"/>
      <c r="C121" s="70"/>
      <c r="D121" s="70"/>
      <c r="E121" s="77">
        <f t="shared" si="11"/>
        <v>0</v>
      </c>
      <c r="F121" s="40"/>
      <c r="G121" s="77"/>
      <c r="H121" s="77">
        <f t="shared" si="14"/>
        <v>0</v>
      </c>
      <c r="I121" s="40"/>
      <c r="J121" s="67"/>
      <c r="K121" s="67"/>
      <c r="L121" s="67"/>
      <c r="M121" s="67"/>
    </row>
    <row r="122" spans="1:13" hidden="1" x14ac:dyDescent="0.25">
      <c r="A122" s="42">
        <f t="shared" si="7"/>
        <v>119</v>
      </c>
      <c r="B122" s="64"/>
      <c r="C122" s="70"/>
      <c r="D122" s="70"/>
      <c r="E122" s="77">
        <f t="shared" si="11"/>
        <v>0</v>
      </c>
      <c r="F122" s="40"/>
      <c r="G122" s="77"/>
      <c r="H122" s="77">
        <f t="shared" si="14"/>
        <v>0</v>
      </c>
      <c r="I122" s="40"/>
      <c r="J122" s="67"/>
      <c r="K122" s="67"/>
      <c r="L122" s="67"/>
      <c r="M122" s="67"/>
    </row>
    <row r="123" spans="1:13" hidden="1" x14ac:dyDescent="0.25">
      <c r="A123" s="42">
        <f t="shared" si="7"/>
        <v>120</v>
      </c>
      <c r="B123" s="64"/>
      <c r="C123" s="70"/>
      <c r="D123" s="70"/>
      <c r="E123" s="77">
        <f t="shared" si="11"/>
        <v>0</v>
      </c>
      <c r="F123" s="40"/>
      <c r="G123" s="77"/>
      <c r="H123" s="77">
        <f t="shared" si="14"/>
        <v>0</v>
      </c>
      <c r="I123" s="40"/>
      <c r="J123" s="67"/>
      <c r="K123" s="67"/>
      <c r="L123" s="67"/>
      <c r="M123" s="67"/>
    </row>
    <row r="124" spans="1:13" hidden="1" x14ac:dyDescent="0.25">
      <c r="A124" s="42">
        <f t="shared" si="7"/>
        <v>121</v>
      </c>
      <c r="B124" s="64"/>
      <c r="C124" s="70"/>
      <c r="D124" s="70"/>
      <c r="E124" s="77">
        <f t="shared" si="11"/>
        <v>0</v>
      </c>
      <c r="F124" s="40"/>
      <c r="G124" s="77"/>
      <c r="H124" s="77">
        <f t="shared" si="14"/>
        <v>0</v>
      </c>
      <c r="I124" s="40"/>
      <c r="J124" s="67"/>
      <c r="K124" s="67"/>
      <c r="L124" s="67"/>
      <c r="M124" s="67"/>
    </row>
    <row r="125" spans="1:13" hidden="1" x14ac:dyDescent="0.25">
      <c r="A125" s="42">
        <f t="shared" si="7"/>
        <v>122</v>
      </c>
      <c r="B125" s="64"/>
      <c r="C125" s="70"/>
      <c r="D125" s="70"/>
      <c r="E125" s="77">
        <f t="shared" si="11"/>
        <v>0</v>
      </c>
      <c r="F125" s="40"/>
      <c r="G125" s="77"/>
      <c r="H125" s="77">
        <f t="shared" si="14"/>
        <v>0</v>
      </c>
      <c r="I125" s="40"/>
      <c r="J125" s="67"/>
      <c r="K125" s="67"/>
      <c r="L125" s="67"/>
      <c r="M125" s="67"/>
    </row>
    <row r="126" spans="1:13" hidden="1" x14ac:dyDescent="0.25">
      <c r="A126" s="42">
        <f t="shared" si="7"/>
        <v>123</v>
      </c>
      <c r="B126" s="64"/>
      <c r="C126" s="70"/>
      <c r="D126" s="70"/>
      <c r="E126" s="77">
        <f t="shared" si="11"/>
        <v>0</v>
      </c>
      <c r="F126" s="40"/>
      <c r="G126" s="77"/>
      <c r="H126" s="77">
        <f t="shared" si="14"/>
        <v>0</v>
      </c>
      <c r="I126" s="40"/>
      <c r="J126" s="67"/>
      <c r="K126" s="67"/>
      <c r="L126" s="67"/>
      <c r="M126" s="67"/>
    </row>
    <row r="127" spans="1:13" hidden="1" x14ac:dyDescent="0.25">
      <c r="A127" s="42">
        <f t="shared" si="7"/>
        <v>124</v>
      </c>
      <c r="B127" s="64"/>
      <c r="C127" s="70"/>
      <c r="D127" s="70"/>
      <c r="E127" s="77">
        <f t="shared" si="11"/>
        <v>0</v>
      </c>
      <c r="F127" s="40"/>
      <c r="G127" s="77"/>
      <c r="H127" s="77">
        <f t="shared" si="14"/>
        <v>0</v>
      </c>
      <c r="I127" s="40"/>
      <c r="J127" s="67"/>
      <c r="K127" s="67"/>
      <c r="L127" s="67"/>
      <c r="M127" s="67"/>
    </row>
    <row r="128" spans="1:13" hidden="1" x14ac:dyDescent="0.25">
      <c r="A128" s="42">
        <f t="shared" si="7"/>
        <v>125</v>
      </c>
      <c r="B128" s="64"/>
      <c r="C128" s="70"/>
      <c r="D128" s="70"/>
      <c r="E128" s="77">
        <f t="shared" si="11"/>
        <v>0</v>
      </c>
      <c r="F128" s="40"/>
      <c r="G128" s="77"/>
      <c r="H128" s="77">
        <f t="shared" si="14"/>
        <v>0</v>
      </c>
      <c r="I128" s="40"/>
      <c r="J128" s="67"/>
      <c r="K128" s="67"/>
      <c r="L128" s="67"/>
      <c r="M128" s="67"/>
    </row>
    <row r="129" spans="1:13" hidden="1" x14ac:dyDescent="0.25">
      <c r="A129" s="42">
        <f t="shared" si="7"/>
        <v>126</v>
      </c>
      <c r="B129" s="64"/>
      <c r="C129" s="70"/>
      <c r="D129" s="70"/>
      <c r="E129" s="77">
        <f t="shared" si="11"/>
        <v>0</v>
      </c>
      <c r="F129" s="40"/>
      <c r="G129" s="77"/>
      <c r="H129" s="77">
        <f t="shared" si="14"/>
        <v>0</v>
      </c>
      <c r="I129" s="40"/>
      <c r="J129" s="67"/>
      <c r="K129" s="67"/>
      <c r="L129" s="67"/>
      <c r="M129" s="67"/>
    </row>
    <row r="130" spans="1:13" hidden="1" x14ac:dyDescent="0.25">
      <c r="A130" s="42">
        <f t="shared" si="7"/>
        <v>127</v>
      </c>
      <c r="B130" s="64"/>
      <c r="C130" s="70"/>
      <c r="D130" s="70"/>
      <c r="E130" s="77">
        <f t="shared" si="11"/>
        <v>0</v>
      </c>
      <c r="F130" s="40"/>
      <c r="G130" s="77"/>
      <c r="H130" s="77">
        <f t="shared" si="14"/>
        <v>0</v>
      </c>
      <c r="I130" s="40"/>
      <c r="J130" s="67"/>
      <c r="K130" s="67"/>
      <c r="L130" s="67"/>
      <c r="M130" s="67"/>
    </row>
    <row r="131" spans="1:13" hidden="1" x14ac:dyDescent="0.25">
      <c r="A131" s="42">
        <f t="shared" si="7"/>
        <v>128</v>
      </c>
      <c r="B131" s="64"/>
      <c r="C131" s="70"/>
      <c r="D131" s="70"/>
      <c r="E131" s="77">
        <f t="shared" si="11"/>
        <v>0</v>
      </c>
      <c r="F131" s="40"/>
      <c r="G131" s="77"/>
      <c r="H131" s="77">
        <f t="shared" si="14"/>
        <v>0</v>
      </c>
      <c r="I131" s="40"/>
      <c r="J131" s="67"/>
      <c r="K131" s="67"/>
      <c r="L131" s="67"/>
      <c r="M131" s="67"/>
    </row>
    <row r="132" spans="1:13" hidden="1" x14ac:dyDescent="0.25">
      <c r="A132" s="42">
        <f t="shared" si="7"/>
        <v>129</v>
      </c>
      <c r="B132" s="64"/>
      <c r="C132" s="70"/>
      <c r="D132" s="70"/>
      <c r="E132" s="77">
        <f t="shared" si="11"/>
        <v>0</v>
      </c>
      <c r="F132" s="40"/>
      <c r="G132" s="77"/>
      <c r="H132" s="77">
        <f t="shared" si="14"/>
        <v>0</v>
      </c>
      <c r="I132" s="40"/>
      <c r="J132" s="67"/>
      <c r="K132" s="67"/>
      <c r="L132" s="67"/>
      <c r="M132" s="67"/>
    </row>
    <row r="133" spans="1:13" hidden="1" x14ac:dyDescent="0.25">
      <c r="A133" s="42">
        <f t="shared" si="7"/>
        <v>130</v>
      </c>
      <c r="B133" s="64"/>
      <c r="C133" s="70"/>
      <c r="D133" s="70"/>
      <c r="E133" s="77">
        <f t="shared" si="11"/>
        <v>0</v>
      </c>
      <c r="F133" s="40"/>
      <c r="G133" s="77"/>
      <c r="H133" s="77">
        <f t="shared" si="14"/>
        <v>0</v>
      </c>
      <c r="I133" s="40"/>
      <c r="J133" s="67"/>
      <c r="K133" s="67"/>
      <c r="L133" s="67"/>
      <c r="M133" s="67"/>
    </row>
    <row r="134" spans="1:13" hidden="1" x14ac:dyDescent="0.25">
      <c r="A134" s="42">
        <f t="shared" ref="A134:A197" si="15">1+A133</f>
        <v>131</v>
      </c>
      <c r="B134" s="64"/>
      <c r="C134" s="70"/>
      <c r="D134" s="70"/>
      <c r="E134" s="77">
        <f t="shared" si="11"/>
        <v>0</v>
      </c>
      <c r="F134" s="40"/>
      <c r="G134" s="77"/>
      <c r="H134" s="77">
        <f t="shared" si="14"/>
        <v>0</v>
      </c>
      <c r="I134" s="40"/>
      <c r="J134" s="67"/>
      <c r="K134" s="67"/>
      <c r="L134" s="67"/>
      <c r="M134" s="67"/>
    </row>
    <row r="135" spans="1:13" hidden="1" x14ac:dyDescent="0.25">
      <c r="A135" s="42">
        <f t="shared" si="15"/>
        <v>132</v>
      </c>
      <c r="B135" s="64"/>
      <c r="C135" s="70"/>
      <c r="D135" s="70"/>
      <c r="E135" s="77">
        <f t="shared" si="11"/>
        <v>0</v>
      </c>
      <c r="F135" s="40"/>
      <c r="G135" s="77"/>
      <c r="H135" s="77">
        <f t="shared" si="14"/>
        <v>0</v>
      </c>
      <c r="I135" s="40"/>
      <c r="J135" s="67"/>
      <c r="K135" s="67"/>
      <c r="L135" s="67"/>
      <c r="M135" s="67"/>
    </row>
    <row r="136" spans="1:13" hidden="1" x14ac:dyDescent="0.25">
      <c r="A136" s="42">
        <f t="shared" si="15"/>
        <v>133</v>
      </c>
      <c r="B136" s="64"/>
      <c r="C136" s="70"/>
      <c r="D136" s="70"/>
      <c r="E136" s="77">
        <f t="shared" si="11"/>
        <v>0</v>
      </c>
      <c r="F136" s="40"/>
      <c r="G136" s="77"/>
      <c r="H136" s="77">
        <f t="shared" si="14"/>
        <v>0</v>
      </c>
      <c r="I136" s="40"/>
      <c r="J136" s="67"/>
      <c r="K136" s="67"/>
      <c r="L136" s="67"/>
      <c r="M136" s="67"/>
    </row>
    <row r="137" spans="1:13" hidden="1" x14ac:dyDescent="0.25">
      <c r="A137" s="42">
        <f t="shared" si="15"/>
        <v>134</v>
      </c>
      <c r="B137" s="64"/>
      <c r="C137" s="70"/>
      <c r="D137" s="70"/>
      <c r="E137" s="77">
        <f t="shared" si="11"/>
        <v>0</v>
      </c>
      <c r="F137" s="40"/>
      <c r="G137" s="77"/>
      <c r="H137" s="77">
        <f t="shared" si="14"/>
        <v>0</v>
      </c>
      <c r="I137" s="40"/>
      <c r="J137" s="67"/>
      <c r="K137" s="67"/>
      <c r="L137" s="67"/>
      <c r="M137" s="67"/>
    </row>
    <row r="138" spans="1:13" hidden="1" x14ac:dyDescent="0.25">
      <c r="A138" s="42">
        <f t="shared" si="15"/>
        <v>135</v>
      </c>
      <c r="B138" s="64"/>
      <c r="C138" s="70"/>
      <c r="D138" s="70"/>
      <c r="E138" s="77">
        <f t="shared" si="11"/>
        <v>0</v>
      </c>
      <c r="F138" s="40"/>
      <c r="G138" s="77"/>
      <c r="H138" s="77">
        <f t="shared" si="14"/>
        <v>0</v>
      </c>
      <c r="I138" s="40"/>
      <c r="J138" s="67"/>
      <c r="K138" s="67"/>
      <c r="L138" s="67"/>
      <c r="M138" s="67"/>
    </row>
    <row r="139" spans="1:13" hidden="1" x14ac:dyDescent="0.25">
      <c r="A139" s="42">
        <f t="shared" si="15"/>
        <v>136</v>
      </c>
      <c r="B139" s="64"/>
      <c r="C139" s="70"/>
      <c r="D139" s="70"/>
      <c r="E139" s="77">
        <f>C139-D139</f>
        <v>0</v>
      </c>
      <c r="F139" s="40"/>
      <c r="G139" s="77"/>
      <c r="H139" s="77">
        <f>G139-D139</f>
        <v>0</v>
      </c>
      <c r="I139" s="40"/>
      <c r="J139" s="67"/>
      <c r="K139" s="67"/>
      <c r="L139" s="67"/>
      <c r="M139" s="67"/>
    </row>
    <row r="140" spans="1:13" hidden="1" x14ac:dyDescent="0.25">
      <c r="A140" s="42">
        <f t="shared" si="15"/>
        <v>137</v>
      </c>
      <c r="B140" s="64"/>
      <c r="C140" s="70"/>
      <c r="D140" s="70"/>
      <c r="E140" s="77">
        <f t="shared" ref="E140:E167" si="16">C140-D140</f>
        <v>0</v>
      </c>
      <c r="F140" s="40"/>
      <c r="G140" s="77"/>
      <c r="H140" s="77">
        <f t="shared" ref="H140:H167" si="17">G140-D140</f>
        <v>0</v>
      </c>
      <c r="I140" s="40"/>
      <c r="J140" s="67"/>
      <c r="K140" s="67"/>
      <c r="L140" s="67"/>
      <c r="M140" s="67"/>
    </row>
    <row r="141" spans="1:13" hidden="1" x14ac:dyDescent="0.25">
      <c r="A141" s="42">
        <f t="shared" si="15"/>
        <v>138</v>
      </c>
      <c r="B141" s="64"/>
      <c r="C141" s="70"/>
      <c r="D141" s="70"/>
      <c r="E141" s="77">
        <f t="shared" si="16"/>
        <v>0</v>
      </c>
      <c r="F141" s="40"/>
      <c r="G141" s="77"/>
      <c r="H141" s="77">
        <f t="shared" si="17"/>
        <v>0</v>
      </c>
      <c r="I141" s="40"/>
      <c r="J141" s="67"/>
      <c r="K141" s="67"/>
      <c r="L141" s="67"/>
      <c r="M141" s="67"/>
    </row>
    <row r="142" spans="1:13" hidden="1" x14ac:dyDescent="0.25">
      <c r="A142" s="42">
        <f t="shared" si="15"/>
        <v>139</v>
      </c>
      <c r="B142" s="64"/>
      <c r="C142" s="70"/>
      <c r="D142" s="70"/>
      <c r="E142" s="77">
        <f t="shared" si="16"/>
        <v>0</v>
      </c>
      <c r="F142" s="40"/>
      <c r="G142" s="77"/>
      <c r="H142" s="77">
        <f t="shared" si="17"/>
        <v>0</v>
      </c>
      <c r="I142" s="40"/>
      <c r="J142" s="67"/>
      <c r="K142" s="67"/>
      <c r="L142" s="67"/>
      <c r="M142" s="67"/>
    </row>
    <row r="143" spans="1:13" hidden="1" x14ac:dyDescent="0.25">
      <c r="A143" s="42">
        <f t="shared" si="15"/>
        <v>140</v>
      </c>
      <c r="B143" s="64"/>
      <c r="C143" s="70"/>
      <c r="D143" s="70"/>
      <c r="E143" s="77">
        <f t="shared" si="16"/>
        <v>0</v>
      </c>
      <c r="F143" s="40"/>
      <c r="G143" s="77"/>
      <c r="H143" s="77">
        <f t="shared" si="17"/>
        <v>0</v>
      </c>
      <c r="I143" s="40"/>
      <c r="J143" s="67"/>
      <c r="K143" s="67"/>
      <c r="L143" s="67"/>
      <c r="M143" s="67"/>
    </row>
    <row r="144" spans="1:13" hidden="1" x14ac:dyDescent="0.25">
      <c r="A144" s="42">
        <f t="shared" si="15"/>
        <v>141</v>
      </c>
      <c r="B144" s="64"/>
      <c r="C144" s="70"/>
      <c r="D144" s="70"/>
      <c r="E144" s="77">
        <f t="shared" si="16"/>
        <v>0</v>
      </c>
      <c r="F144" s="40"/>
      <c r="G144" s="77"/>
      <c r="H144" s="77">
        <f t="shared" si="17"/>
        <v>0</v>
      </c>
      <c r="I144" s="40"/>
      <c r="J144" s="67"/>
      <c r="K144" s="67"/>
      <c r="L144" s="67"/>
      <c r="M144" s="67"/>
    </row>
    <row r="145" spans="1:13" hidden="1" x14ac:dyDescent="0.25">
      <c r="A145" s="42">
        <f t="shared" si="15"/>
        <v>142</v>
      </c>
      <c r="B145" s="64"/>
      <c r="C145" s="70"/>
      <c r="D145" s="70"/>
      <c r="E145" s="77">
        <f t="shared" si="16"/>
        <v>0</v>
      </c>
      <c r="F145" s="40"/>
      <c r="G145" s="77"/>
      <c r="H145" s="77">
        <f t="shared" si="17"/>
        <v>0</v>
      </c>
      <c r="I145" s="40"/>
      <c r="J145" s="67"/>
      <c r="K145" s="67"/>
      <c r="L145" s="67"/>
      <c r="M145" s="67"/>
    </row>
    <row r="146" spans="1:13" hidden="1" x14ac:dyDescent="0.25">
      <c r="A146" s="42">
        <f t="shared" si="15"/>
        <v>143</v>
      </c>
      <c r="B146" s="64"/>
      <c r="C146" s="70"/>
      <c r="D146" s="70"/>
      <c r="E146" s="77">
        <f t="shared" si="16"/>
        <v>0</v>
      </c>
      <c r="F146" s="40"/>
      <c r="G146" s="77"/>
      <c r="H146" s="77">
        <f t="shared" si="17"/>
        <v>0</v>
      </c>
      <c r="I146" s="40"/>
      <c r="J146" s="67"/>
      <c r="K146" s="67"/>
      <c r="L146" s="67"/>
      <c r="M146" s="67"/>
    </row>
    <row r="147" spans="1:13" hidden="1" x14ac:dyDescent="0.25">
      <c r="A147" s="42">
        <f t="shared" si="15"/>
        <v>144</v>
      </c>
      <c r="B147" s="64"/>
      <c r="C147" s="70"/>
      <c r="D147" s="70"/>
      <c r="E147" s="77">
        <f t="shared" si="16"/>
        <v>0</v>
      </c>
      <c r="F147" s="40"/>
      <c r="G147" s="77">
        <f t="shared" ref="G147:G161" si="18">C147-D147</f>
        <v>0</v>
      </c>
      <c r="H147" s="77">
        <f t="shared" si="17"/>
        <v>0</v>
      </c>
      <c r="I147" s="40"/>
      <c r="J147" s="67"/>
      <c r="K147" s="67"/>
      <c r="L147" s="67"/>
      <c r="M147" s="67"/>
    </row>
    <row r="148" spans="1:13" hidden="1" x14ac:dyDescent="0.25">
      <c r="A148" s="42">
        <f t="shared" si="15"/>
        <v>145</v>
      </c>
      <c r="B148" s="64"/>
      <c r="C148" s="70"/>
      <c r="D148" s="70"/>
      <c r="E148" s="77">
        <f t="shared" si="16"/>
        <v>0</v>
      </c>
      <c r="F148" s="40"/>
      <c r="G148" s="77">
        <f t="shared" si="18"/>
        <v>0</v>
      </c>
      <c r="H148" s="77">
        <f t="shared" si="17"/>
        <v>0</v>
      </c>
      <c r="I148" s="40"/>
      <c r="J148" s="67"/>
      <c r="K148" s="67"/>
      <c r="L148" s="67"/>
      <c r="M148" s="67"/>
    </row>
    <row r="149" spans="1:13" hidden="1" x14ac:dyDescent="0.25">
      <c r="A149" s="42">
        <f t="shared" si="15"/>
        <v>146</v>
      </c>
      <c r="B149" s="64"/>
      <c r="C149" s="70"/>
      <c r="D149" s="77"/>
      <c r="E149" s="77">
        <f t="shared" si="16"/>
        <v>0</v>
      </c>
      <c r="F149" s="40"/>
      <c r="G149" s="77">
        <f t="shared" si="18"/>
        <v>0</v>
      </c>
      <c r="H149" s="77">
        <f t="shared" si="17"/>
        <v>0</v>
      </c>
      <c r="I149" s="40"/>
      <c r="J149" s="67"/>
      <c r="K149" s="67"/>
      <c r="L149" s="67"/>
      <c r="M149" s="67"/>
    </row>
    <row r="150" spans="1:13" hidden="1" x14ac:dyDescent="0.25">
      <c r="A150" s="42">
        <f t="shared" si="15"/>
        <v>147</v>
      </c>
      <c r="B150" s="64"/>
      <c r="C150" s="70"/>
      <c r="D150" s="77"/>
      <c r="E150" s="77">
        <f t="shared" si="16"/>
        <v>0</v>
      </c>
      <c r="F150" s="40"/>
      <c r="G150" s="77">
        <f t="shared" si="18"/>
        <v>0</v>
      </c>
      <c r="H150" s="77">
        <f t="shared" si="17"/>
        <v>0</v>
      </c>
      <c r="I150" s="40"/>
      <c r="J150" s="67"/>
      <c r="K150" s="67"/>
      <c r="L150" s="67"/>
      <c r="M150" s="67"/>
    </row>
    <row r="151" spans="1:13" hidden="1" x14ac:dyDescent="0.25">
      <c r="A151" s="42">
        <f t="shared" si="15"/>
        <v>148</v>
      </c>
      <c r="B151" s="64"/>
      <c r="C151" s="70"/>
      <c r="D151" s="77"/>
      <c r="E151" s="77">
        <f t="shared" si="16"/>
        <v>0</v>
      </c>
      <c r="F151" s="40"/>
      <c r="G151" s="77">
        <f t="shared" si="18"/>
        <v>0</v>
      </c>
      <c r="H151" s="77">
        <f t="shared" si="17"/>
        <v>0</v>
      </c>
      <c r="I151" s="40"/>
      <c r="J151" s="67"/>
      <c r="K151" s="67"/>
      <c r="L151" s="67"/>
      <c r="M151" s="67"/>
    </row>
    <row r="152" spans="1:13" hidden="1" x14ac:dyDescent="0.25">
      <c r="A152" s="42">
        <f t="shared" si="15"/>
        <v>149</v>
      </c>
      <c r="B152" s="64"/>
      <c r="C152" s="70"/>
      <c r="D152" s="77"/>
      <c r="E152" s="77">
        <f t="shared" si="16"/>
        <v>0</v>
      </c>
      <c r="F152" s="40"/>
      <c r="G152" s="77">
        <f t="shared" si="18"/>
        <v>0</v>
      </c>
      <c r="H152" s="77">
        <f t="shared" si="17"/>
        <v>0</v>
      </c>
      <c r="I152" s="40"/>
      <c r="J152" s="67"/>
      <c r="K152" s="67"/>
      <c r="L152" s="67"/>
      <c r="M152" s="67"/>
    </row>
    <row r="153" spans="1:13" hidden="1" x14ac:dyDescent="0.25">
      <c r="A153" s="42">
        <f t="shared" si="15"/>
        <v>150</v>
      </c>
      <c r="B153" s="64"/>
      <c r="C153" s="70"/>
      <c r="D153" s="70"/>
      <c r="E153" s="77">
        <f t="shared" si="16"/>
        <v>0</v>
      </c>
      <c r="F153" s="40"/>
      <c r="G153" s="77">
        <f t="shared" si="18"/>
        <v>0</v>
      </c>
      <c r="H153" s="77">
        <f t="shared" si="17"/>
        <v>0</v>
      </c>
      <c r="I153" s="40"/>
      <c r="J153" s="67"/>
      <c r="K153" s="67"/>
      <c r="L153" s="67"/>
      <c r="M153" s="67"/>
    </row>
    <row r="154" spans="1:13" hidden="1" x14ac:dyDescent="0.25">
      <c r="A154" s="42">
        <f t="shared" si="15"/>
        <v>151</v>
      </c>
      <c r="B154" s="64"/>
      <c r="C154" s="70"/>
      <c r="D154" s="77"/>
      <c r="E154" s="77">
        <f t="shared" si="16"/>
        <v>0</v>
      </c>
      <c r="F154" s="40"/>
      <c r="G154" s="77">
        <f t="shared" si="18"/>
        <v>0</v>
      </c>
      <c r="H154" s="77">
        <f t="shared" si="17"/>
        <v>0</v>
      </c>
      <c r="I154" s="40"/>
      <c r="J154" s="67"/>
      <c r="K154" s="67"/>
      <c r="L154" s="67"/>
      <c r="M154" s="67"/>
    </row>
    <row r="155" spans="1:13" hidden="1" x14ac:dyDescent="0.25">
      <c r="A155" s="42">
        <f t="shared" si="15"/>
        <v>152</v>
      </c>
      <c r="B155" s="64"/>
      <c r="C155" s="70"/>
      <c r="D155" s="77"/>
      <c r="E155" s="77">
        <f t="shared" si="16"/>
        <v>0</v>
      </c>
      <c r="F155" s="40"/>
      <c r="G155" s="77">
        <f t="shared" si="18"/>
        <v>0</v>
      </c>
      <c r="H155" s="77">
        <f t="shared" si="17"/>
        <v>0</v>
      </c>
      <c r="I155" s="40"/>
      <c r="J155" s="67"/>
      <c r="K155" s="67"/>
      <c r="L155" s="67"/>
      <c r="M155" s="67"/>
    </row>
    <row r="156" spans="1:13" hidden="1" x14ac:dyDescent="0.25">
      <c r="A156" s="42">
        <f t="shared" si="15"/>
        <v>153</v>
      </c>
      <c r="B156" s="64"/>
      <c r="C156" s="70"/>
      <c r="D156" s="77"/>
      <c r="E156" s="77">
        <f t="shared" si="16"/>
        <v>0</v>
      </c>
      <c r="F156" s="40"/>
      <c r="G156" s="77">
        <f t="shared" si="18"/>
        <v>0</v>
      </c>
      <c r="H156" s="77">
        <f t="shared" si="17"/>
        <v>0</v>
      </c>
      <c r="I156" s="40"/>
      <c r="J156" s="67"/>
      <c r="K156" s="67"/>
      <c r="L156" s="67"/>
      <c r="M156" s="67"/>
    </row>
    <row r="157" spans="1:13" hidden="1" x14ac:dyDescent="0.25">
      <c r="A157" s="42">
        <f t="shared" si="15"/>
        <v>154</v>
      </c>
      <c r="B157" s="64"/>
      <c r="C157" s="70"/>
      <c r="D157" s="77"/>
      <c r="E157" s="77">
        <f t="shared" si="16"/>
        <v>0</v>
      </c>
      <c r="F157" s="40"/>
      <c r="G157" s="77">
        <f t="shared" si="18"/>
        <v>0</v>
      </c>
      <c r="H157" s="77">
        <f t="shared" si="17"/>
        <v>0</v>
      </c>
      <c r="I157" s="40"/>
      <c r="J157" s="67"/>
      <c r="K157" s="67"/>
      <c r="L157" s="67"/>
      <c r="M157" s="67"/>
    </row>
    <row r="158" spans="1:13" hidden="1" x14ac:dyDescent="0.25">
      <c r="A158" s="42">
        <f t="shared" si="15"/>
        <v>155</v>
      </c>
      <c r="B158" s="64"/>
      <c r="C158" s="70"/>
      <c r="D158" s="77"/>
      <c r="E158" s="77">
        <f t="shared" si="16"/>
        <v>0</v>
      </c>
      <c r="F158" s="40"/>
      <c r="G158" s="77">
        <f t="shared" si="18"/>
        <v>0</v>
      </c>
      <c r="H158" s="77">
        <f t="shared" si="17"/>
        <v>0</v>
      </c>
      <c r="I158" s="40"/>
      <c r="J158" s="67"/>
      <c r="K158" s="67"/>
      <c r="L158" s="67"/>
      <c r="M158" s="67"/>
    </row>
    <row r="159" spans="1:13" hidden="1" x14ac:dyDescent="0.25">
      <c r="A159" s="42">
        <f t="shared" si="15"/>
        <v>156</v>
      </c>
      <c r="B159" s="64"/>
      <c r="C159" s="70"/>
      <c r="D159" s="77"/>
      <c r="E159" s="77">
        <f t="shared" si="16"/>
        <v>0</v>
      </c>
      <c r="F159" s="40"/>
      <c r="G159" s="77">
        <f t="shared" si="18"/>
        <v>0</v>
      </c>
      <c r="H159" s="77">
        <f t="shared" si="17"/>
        <v>0</v>
      </c>
      <c r="I159" s="40"/>
      <c r="J159" s="67"/>
      <c r="K159" s="67"/>
      <c r="L159" s="67"/>
      <c r="M159" s="67"/>
    </row>
    <row r="160" spans="1:13" hidden="1" x14ac:dyDescent="0.25">
      <c r="A160" s="42">
        <f t="shared" si="15"/>
        <v>157</v>
      </c>
      <c r="B160" s="64"/>
      <c r="C160" s="70"/>
      <c r="D160" s="77"/>
      <c r="E160" s="77">
        <f t="shared" si="16"/>
        <v>0</v>
      </c>
      <c r="F160" s="40"/>
      <c r="G160" s="77">
        <f t="shared" si="18"/>
        <v>0</v>
      </c>
      <c r="H160" s="77">
        <f t="shared" si="17"/>
        <v>0</v>
      </c>
      <c r="I160" s="40"/>
      <c r="J160" s="67"/>
      <c r="K160" s="67"/>
      <c r="L160" s="67"/>
      <c r="M160" s="67"/>
    </row>
    <row r="161" spans="1:13" hidden="1" x14ac:dyDescent="0.25">
      <c r="A161" s="42">
        <f t="shared" si="15"/>
        <v>158</v>
      </c>
      <c r="B161" s="64"/>
      <c r="C161" s="70"/>
      <c r="D161" s="77"/>
      <c r="E161" s="77">
        <f t="shared" si="16"/>
        <v>0</v>
      </c>
      <c r="F161" s="40"/>
      <c r="G161" s="77">
        <f t="shared" si="18"/>
        <v>0</v>
      </c>
      <c r="H161" s="77">
        <f t="shared" si="17"/>
        <v>0</v>
      </c>
      <c r="I161" s="40"/>
      <c r="J161" s="67"/>
      <c r="K161" s="67"/>
      <c r="L161" s="67"/>
      <c r="M161" s="67"/>
    </row>
    <row r="162" spans="1:13" hidden="1" x14ac:dyDescent="0.25">
      <c r="A162" s="42">
        <f t="shared" si="15"/>
        <v>159</v>
      </c>
      <c r="B162" s="64"/>
      <c r="C162" s="70"/>
      <c r="D162" s="77"/>
      <c r="E162" s="77">
        <f t="shared" si="16"/>
        <v>0</v>
      </c>
      <c r="F162" s="40"/>
      <c r="G162" s="77"/>
      <c r="H162" s="77">
        <f t="shared" si="17"/>
        <v>0</v>
      </c>
      <c r="I162" s="40"/>
      <c r="J162" s="67"/>
      <c r="K162" s="67"/>
      <c r="L162" s="67"/>
      <c r="M162" s="67"/>
    </row>
    <row r="163" spans="1:13" hidden="1" x14ac:dyDescent="0.25">
      <c r="A163" s="42">
        <f t="shared" si="15"/>
        <v>160</v>
      </c>
      <c r="B163" s="64"/>
      <c r="C163" s="70"/>
      <c r="D163" s="77"/>
      <c r="E163" s="77">
        <f t="shared" si="16"/>
        <v>0</v>
      </c>
      <c r="F163" s="40"/>
      <c r="G163" s="77"/>
      <c r="H163" s="77">
        <f t="shared" si="17"/>
        <v>0</v>
      </c>
      <c r="I163" s="40"/>
      <c r="J163" s="67"/>
      <c r="K163" s="67"/>
      <c r="L163" s="67"/>
      <c r="M163" s="67"/>
    </row>
    <row r="164" spans="1:13" hidden="1" x14ac:dyDescent="0.25">
      <c r="A164" s="42">
        <f t="shared" si="15"/>
        <v>161</v>
      </c>
      <c r="B164" s="64"/>
      <c r="C164" s="70"/>
      <c r="D164" s="77"/>
      <c r="E164" s="77">
        <f t="shared" si="16"/>
        <v>0</v>
      </c>
      <c r="F164" s="40"/>
      <c r="G164" s="77"/>
      <c r="H164" s="77">
        <f t="shared" si="17"/>
        <v>0</v>
      </c>
      <c r="I164" s="40"/>
      <c r="J164" s="67"/>
      <c r="K164" s="67"/>
      <c r="L164" s="67"/>
      <c r="M164" s="67"/>
    </row>
    <row r="165" spans="1:13" hidden="1" x14ac:dyDescent="0.25">
      <c r="A165" s="42">
        <f t="shared" si="15"/>
        <v>162</v>
      </c>
      <c r="B165" s="64"/>
      <c r="C165" s="70"/>
      <c r="D165" s="77"/>
      <c r="E165" s="77">
        <f t="shared" si="16"/>
        <v>0</v>
      </c>
      <c r="F165" s="40"/>
      <c r="G165" s="77"/>
      <c r="H165" s="77">
        <f t="shared" si="17"/>
        <v>0</v>
      </c>
      <c r="I165" s="40"/>
      <c r="J165" s="67"/>
      <c r="K165" s="67"/>
      <c r="L165" s="67"/>
      <c r="M165" s="67"/>
    </row>
    <row r="166" spans="1:13" hidden="1" x14ac:dyDescent="0.25">
      <c r="A166" s="42">
        <f t="shared" si="15"/>
        <v>163</v>
      </c>
      <c r="B166" s="64"/>
      <c r="C166" s="70"/>
      <c r="D166" s="77"/>
      <c r="E166" s="77">
        <f t="shared" si="16"/>
        <v>0</v>
      </c>
      <c r="F166" s="40"/>
      <c r="G166" s="77"/>
      <c r="H166" s="77">
        <f t="shared" si="17"/>
        <v>0</v>
      </c>
      <c r="I166" s="40"/>
      <c r="J166" s="67"/>
      <c r="K166" s="67"/>
      <c r="L166" s="67"/>
      <c r="M166" s="67"/>
    </row>
    <row r="167" spans="1:13" hidden="1" x14ac:dyDescent="0.25">
      <c r="A167" s="42">
        <f t="shared" si="15"/>
        <v>164</v>
      </c>
      <c r="B167" s="64"/>
      <c r="C167" s="70"/>
      <c r="D167" s="77"/>
      <c r="E167" s="77">
        <f t="shared" si="16"/>
        <v>0</v>
      </c>
      <c r="F167" s="40"/>
      <c r="G167" s="77"/>
      <c r="H167" s="77">
        <f t="shared" si="17"/>
        <v>0</v>
      </c>
      <c r="I167" s="40"/>
      <c r="J167" s="67"/>
      <c r="K167" s="67"/>
      <c r="L167" s="67"/>
      <c r="M167" s="67"/>
    </row>
    <row r="168" spans="1:13" hidden="1" x14ac:dyDescent="0.25">
      <c r="A168" s="42">
        <f t="shared" si="15"/>
        <v>165</v>
      </c>
      <c r="B168" s="64"/>
      <c r="C168" s="70"/>
      <c r="D168" s="77"/>
      <c r="E168" s="77">
        <f>C168-D168</f>
        <v>0</v>
      </c>
      <c r="F168" s="40"/>
      <c r="G168" s="77"/>
      <c r="H168" s="77">
        <f>G168-D168</f>
        <v>0</v>
      </c>
      <c r="I168" s="40"/>
      <c r="J168" s="67"/>
      <c r="K168" s="67"/>
      <c r="L168" s="67"/>
      <c r="M168" s="67"/>
    </row>
    <row r="169" spans="1:13" hidden="1" x14ac:dyDescent="0.25">
      <c r="A169" s="42">
        <f t="shared" si="15"/>
        <v>166</v>
      </c>
      <c r="B169" s="64"/>
      <c r="C169" s="70"/>
      <c r="D169" s="77"/>
      <c r="E169" s="77">
        <f t="shared" ref="E169:E175" si="19">C169-D169</f>
        <v>0</v>
      </c>
      <c r="F169" s="40"/>
      <c r="G169" s="77"/>
      <c r="H169" s="77">
        <f t="shared" ref="H169:H175" si="20">G169-D169</f>
        <v>0</v>
      </c>
      <c r="I169" s="40"/>
      <c r="J169" s="67"/>
      <c r="K169" s="67"/>
      <c r="L169" s="67"/>
      <c r="M169" s="67"/>
    </row>
    <row r="170" spans="1:13" hidden="1" x14ac:dyDescent="0.25">
      <c r="A170" s="42">
        <f t="shared" si="15"/>
        <v>167</v>
      </c>
      <c r="B170" s="64"/>
      <c r="C170" s="70"/>
      <c r="D170" s="77"/>
      <c r="E170" s="77">
        <f t="shared" si="19"/>
        <v>0</v>
      </c>
      <c r="F170" s="40"/>
      <c r="G170" s="77"/>
      <c r="H170" s="77">
        <f t="shared" si="20"/>
        <v>0</v>
      </c>
      <c r="I170" s="40"/>
      <c r="J170" s="67"/>
      <c r="K170" s="67"/>
      <c r="L170" s="67"/>
      <c r="M170" s="67"/>
    </row>
    <row r="171" spans="1:13" hidden="1" x14ac:dyDescent="0.25">
      <c r="A171" s="42">
        <f t="shared" si="15"/>
        <v>168</v>
      </c>
      <c r="B171" s="64"/>
      <c r="C171" s="70"/>
      <c r="D171" s="77"/>
      <c r="E171" s="77">
        <f t="shared" si="19"/>
        <v>0</v>
      </c>
      <c r="F171" s="40"/>
      <c r="G171" s="77"/>
      <c r="H171" s="77">
        <f t="shared" si="20"/>
        <v>0</v>
      </c>
      <c r="I171" s="40"/>
      <c r="J171" s="67"/>
      <c r="K171" s="67"/>
      <c r="L171" s="67"/>
      <c r="M171" s="67"/>
    </row>
    <row r="172" spans="1:13" hidden="1" x14ac:dyDescent="0.25">
      <c r="A172" s="42">
        <f t="shared" si="15"/>
        <v>169</v>
      </c>
      <c r="B172" s="64"/>
      <c r="C172" s="70"/>
      <c r="D172" s="70"/>
      <c r="E172" s="77">
        <f t="shared" si="19"/>
        <v>0</v>
      </c>
      <c r="F172" s="40"/>
      <c r="G172" s="77"/>
      <c r="H172" s="77">
        <f t="shared" si="20"/>
        <v>0</v>
      </c>
      <c r="I172" s="40"/>
      <c r="J172" s="67"/>
      <c r="K172" s="67"/>
      <c r="L172" s="67"/>
      <c r="M172" s="67"/>
    </row>
    <row r="173" spans="1:13" hidden="1" x14ac:dyDescent="0.25">
      <c r="A173" s="42">
        <f t="shared" si="15"/>
        <v>170</v>
      </c>
      <c r="B173" s="64"/>
      <c r="C173" s="70"/>
      <c r="D173" s="70"/>
      <c r="E173" s="77">
        <f t="shared" si="19"/>
        <v>0</v>
      </c>
      <c r="F173" s="40"/>
      <c r="G173" s="77"/>
      <c r="H173" s="77">
        <f t="shared" si="20"/>
        <v>0</v>
      </c>
      <c r="I173" s="40"/>
      <c r="J173" s="67"/>
      <c r="K173" s="67"/>
      <c r="L173" s="67"/>
      <c r="M173" s="67"/>
    </row>
    <row r="174" spans="1:13" hidden="1" x14ac:dyDescent="0.25">
      <c r="A174" s="42">
        <f t="shared" si="15"/>
        <v>171</v>
      </c>
      <c r="B174" s="64"/>
      <c r="C174" s="70"/>
      <c r="D174" s="77"/>
      <c r="E174" s="77">
        <f t="shared" si="19"/>
        <v>0</v>
      </c>
      <c r="F174" s="40"/>
      <c r="G174" s="77"/>
      <c r="H174" s="77">
        <f t="shared" si="20"/>
        <v>0</v>
      </c>
      <c r="I174" s="40"/>
      <c r="J174" s="67"/>
      <c r="K174" s="67"/>
      <c r="L174" s="67"/>
      <c r="M174" s="67"/>
    </row>
    <row r="175" spans="1:13" hidden="1" x14ac:dyDescent="0.25">
      <c r="A175" s="42">
        <f t="shared" si="15"/>
        <v>172</v>
      </c>
      <c r="B175" s="64"/>
      <c r="C175" s="70"/>
      <c r="D175" s="77"/>
      <c r="E175" s="77">
        <f t="shared" si="19"/>
        <v>0</v>
      </c>
      <c r="F175" s="40"/>
      <c r="G175" s="77"/>
      <c r="H175" s="77">
        <f t="shared" si="20"/>
        <v>0</v>
      </c>
      <c r="I175" s="40"/>
      <c r="J175" s="67"/>
      <c r="K175" s="67"/>
      <c r="L175" s="67"/>
      <c r="M175" s="67"/>
    </row>
    <row r="176" spans="1:13" hidden="1" x14ac:dyDescent="0.25">
      <c r="A176" s="42">
        <f t="shared" si="15"/>
        <v>173</v>
      </c>
      <c r="B176" s="64"/>
      <c r="C176" s="70"/>
      <c r="D176" s="70"/>
      <c r="E176" s="77">
        <f>C176-D176</f>
        <v>0</v>
      </c>
      <c r="F176" s="40"/>
      <c r="G176" s="77"/>
      <c r="H176" s="77">
        <f>E176-G176</f>
        <v>0</v>
      </c>
      <c r="I176" s="75"/>
      <c r="J176" s="67"/>
      <c r="K176" s="67"/>
      <c r="L176" s="67"/>
      <c r="M176" s="67"/>
    </row>
    <row r="177" spans="1:13" hidden="1" x14ac:dyDescent="0.25">
      <c r="A177" s="42">
        <f t="shared" si="15"/>
        <v>174</v>
      </c>
      <c r="B177" s="64"/>
      <c r="C177" s="70"/>
      <c r="D177" s="70"/>
      <c r="E177" s="77">
        <f>C177-D177</f>
        <v>0</v>
      </c>
      <c r="F177" s="40"/>
      <c r="G177" s="77"/>
      <c r="H177" s="77">
        <f>E177-G177</f>
        <v>0</v>
      </c>
      <c r="I177" s="75"/>
      <c r="J177" s="67"/>
      <c r="K177" s="67"/>
      <c r="L177" s="67"/>
      <c r="M177" s="67"/>
    </row>
    <row r="178" spans="1:13" hidden="1" x14ac:dyDescent="0.25">
      <c r="A178" s="42">
        <f t="shared" si="15"/>
        <v>175</v>
      </c>
      <c r="B178" s="64"/>
      <c r="C178" s="70"/>
      <c r="D178" s="77"/>
      <c r="E178" s="77">
        <f t="shared" ref="E178:E210" si="21">C178-D178</f>
        <v>0</v>
      </c>
      <c r="F178" s="40"/>
      <c r="G178" s="77"/>
      <c r="H178" s="77">
        <f t="shared" ref="H178:H211" si="22">G178-D178</f>
        <v>0</v>
      </c>
      <c r="I178" s="40"/>
      <c r="J178" s="67"/>
      <c r="K178" s="67"/>
      <c r="L178" s="67"/>
      <c r="M178" s="67"/>
    </row>
    <row r="179" spans="1:13" hidden="1" x14ac:dyDescent="0.25">
      <c r="A179" s="42">
        <f t="shared" si="15"/>
        <v>176</v>
      </c>
      <c r="B179" s="64"/>
      <c r="C179" s="70"/>
      <c r="D179" s="70"/>
      <c r="E179" s="77">
        <f t="shared" si="21"/>
        <v>0</v>
      </c>
      <c r="F179" s="40"/>
      <c r="G179" s="77"/>
      <c r="H179" s="77">
        <f t="shared" si="22"/>
        <v>0</v>
      </c>
      <c r="I179" s="40"/>
      <c r="J179" s="67"/>
      <c r="K179" s="67"/>
      <c r="L179" s="67"/>
      <c r="M179" s="67"/>
    </row>
    <row r="180" spans="1:13" hidden="1" x14ac:dyDescent="0.25">
      <c r="A180" s="42">
        <f t="shared" si="15"/>
        <v>177</v>
      </c>
      <c r="B180" s="64"/>
      <c r="C180" s="70"/>
      <c r="D180" s="77"/>
      <c r="E180" s="77">
        <f t="shared" si="21"/>
        <v>0</v>
      </c>
      <c r="F180" s="40"/>
      <c r="G180" s="77"/>
      <c r="H180" s="77">
        <f t="shared" si="22"/>
        <v>0</v>
      </c>
      <c r="I180" s="40"/>
      <c r="J180" s="67"/>
      <c r="K180" s="67"/>
      <c r="L180" s="67"/>
      <c r="M180" s="67"/>
    </row>
    <row r="181" spans="1:13" hidden="1" x14ac:dyDescent="0.25">
      <c r="A181" s="42">
        <f t="shared" si="15"/>
        <v>178</v>
      </c>
      <c r="B181" s="64"/>
      <c r="C181" s="70"/>
      <c r="D181" s="77"/>
      <c r="E181" s="77">
        <f t="shared" si="21"/>
        <v>0</v>
      </c>
      <c r="F181" s="40"/>
      <c r="G181" s="77"/>
      <c r="H181" s="77">
        <f t="shared" si="22"/>
        <v>0</v>
      </c>
      <c r="I181" s="40"/>
      <c r="J181" s="67"/>
      <c r="K181" s="67"/>
      <c r="L181" s="67"/>
      <c r="M181" s="67"/>
    </row>
    <row r="182" spans="1:13" hidden="1" x14ac:dyDescent="0.25">
      <c r="A182" s="42">
        <f t="shared" si="15"/>
        <v>179</v>
      </c>
      <c r="B182" s="64"/>
      <c r="C182" s="70"/>
      <c r="D182" s="77"/>
      <c r="E182" s="77">
        <f t="shared" si="21"/>
        <v>0</v>
      </c>
      <c r="F182" s="40"/>
      <c r="G182" s="77"/>
      <c r="H182" s="77">
        <f t="shared" si="22"/>
        <v>0</v>
      </c>
      <c r="I182" s="40"/>
      <c r="J182" s="67"/>
      <c r="K182" s="67"/>
      <c r="L182" s="67"/>
      <c r="M182" s="67"/>
    </row>
    <row r="183" spans="1:13" hidden="1" x14ac:dyDescent="0.25">
      <c r="A183" s="42">
        <f t="shared" si="15"/>
        <v>180</v>
      </c>
      <c r="B183" s="64"/>
      <c r="C183" s="70"/>
      <c r="D183" s="77"/>
      <c r="E183" s="77">
        <f t="shared" si="21"/>
        <v>0</v>
      </c>
      <c r="F183" s="40"/>
      <c r="G183" s="77"/>
      <c r="H183" s="77">
        <f t="shared" si="22"/>
        <v>0</v>
      </c>
      <c r="I183" s="40"/>
      <c r="J183" s="67"/>
      <c r="K183" s="67"/>
      <c r="L183" s="67"/>
      <c r="M183" s="67"/>
    </row>
    <row r="184" spans="1:13" hidden="1" x14ac:dyDescent="0.25">
      <c r="A184" s="42">
        <f t="shared" si="15"/>
        <v>181</v>
      </c>
      <c r="B184" s="64"/>
      <c r="C184" s="70"/>
      <c r="D184" s="77"/>
      <c r="E184" s="77">
        <f t="shared" si="21"/>
        <v>0</v>
      </c>
      <c r="F184" s="40"/>
      <c r="G184" s="77"/>
      <c r="H184" s="77">
        <f t="shared" si="22"/>
        <v>0</v>
      </c>
      <c r="I184" s="40"/>
      <c r="J184" s="67"/>
      <c r="K184" s="67"/>
      <c r="L184" s="67"/>
      <c r="M184" s="67"/>
    </row>
    <row r="185" spans="1:13" hidden="1" x14ac:dyDescent="0.25">
      <c r="A185" s="42">
        <f t="shared" si="15"/>
        <v>182</v>
      </c>
      <c r="B185" s="64"/>
      <c r="C185" s="70"/>
      <c r="D185" s="70"/>
      <c r="E185" s="77">
        <f t="shared" si="21"/>
        <v>0</v>
      </c>
      <c r="F185" s="40"/>
      <c r="G185" s="77"/>
      <c r="H185" s="77">
        <f t="shared" si="22"/>
        <v>0</v>
      </c>
      <c r="I185" s="40"/>
      <c r="J185" s="67"/>
      <c r="K185" s="67"/>
      <c r="L185" s="67"/>
      <c r="M185" s="67"/>
    </row>
    <row r="186" spans="1:13" hidden="1" x14ac:dyDescent="0.25">
      <c r="A186" s="42">
        <f t="shared" si="15"/>
        <v>183</v>
      </c>
      <c r="B186" s="64"/>
      <c r="C186" s="70"/>
      <c r="D186" s="77"/>
      <c r="E186" s="77">
        <f t="shared" si="21"/>
        <v>0</v>
      </c>
      <c r="F186" s="40"/>
      <c r="G186" s="77"/>
      <c r="H186" s="77">
        <f t="shared" si="22"/>
        <v>0</v>
      </c>
      <c r="I186" s="40"/>
      <c r="J186" s="67"/>
      <c r="K186" s="67"/>
      <c r="L186" s="67"/>
      <c r="M186" s="67"/>
    </row>
    <row r="187" spans="1:13" hidden="1" x14ac:dyDescent="0.25">
      <c r="A187" s="42">
        <f t="shared" si="15"/>
        <v>184</v>
      </c>
      <c r="B187" s="64"/>
      <c r="C187" s="70"/>
      <c r="D187" s="77"/>
      <c r="E187" s="77">
        <f t="shared" si="21"/>
        <v>0</v>
      </c>
      <c r="F187" s="40"/>
      <c r="G187" s="77"/>
      <c r="H187" s="77">
        <f t="shared" si="22"/>
        <v>0</v>
      </c>
      <c r="I187" s="40"/>
      <c r="J187" s="67"/>
      <c r="K187" s="67"/>
      <c r="L187" s="67"/>
      <c r="M187" s="67"/>
    </row>
    <row r="188" spans="1:13" hidden="1" x14ac:dyDescent="0.25">
      <c r="A188" s="42">
        <f t="shared" si="15"/>
        <v>185</v>
      </c>
      <c r="B188" s="64"/>
      <c r="C188" s="70"/>
      <c r="D188" s="77"/>
      <c r="E188" s="77">
        <f t="shared" si="21"/>
        <v>0</v>
      </c>
      <c r="F188" s="40"/>
      <c r="G188" s="77"/>
      <c r="H188" s="77">
        <f t="shared" si="22"/>
        <v>0</v>
      </c>
      <c r="I188" s="40"/>
      <c r="J188" s="67"/>
      <c r="K188" s="67"/>
      <c r="L188" s="67"/>
      <c r="M188" s="67"/>
    </row>
    <row r="189" spans="1:13" hidden="1" x14ac:dyDescent="0.25">
      <c r="A189" s="42">
        <f t="shared" si="15"/>
        <v>186</v>
      </c>
      <c r="B189" s="64"/>
      <c r="C189" s="70"/>
      <c r="D189" s="77"/>
      <c r="E189" s="77">
        <f t="shared" si="21"/>
        <v>0</v>
      </c>
      <c r="F189" s="40"/>
      <c r="G189" s="77"/>
      <c r="H189" s="77">
        <f t="shared" si="22"/>
        <v>0</v>
      </c>
      <c r="I189" s="40"/>
      <c r="J189" s="67"/>
      <c r="K189" s="67"/>
      <c r="L189" s="67"/>
      <c r="M189" s="67"/>
    </row>
    <row r="190" spans="1:13" hidden="1" x14ac:dyDescent="0.25">
      <c r="A190" s="42">
        <f t="shared" si="15"/>
        <v>187</v>
      </c>
      <c r="B190" s="64"/>
      <c r="C190" s="70"/>
      <c r="D190" s="77"/>
      <c r="E190" s="77">
        <f t="shared" si="21"/>
        <v>0</v>
      </c>
      <c r="F190" s="40"/>
      <c r="G190" s="77"/>
      <c r="H190" s="77">
        <f t="shared" si="22"/>
        <v>0</v>
      </c>
      <c r="I190" s="40"/>
      <c r="J190" s="67"/>
      <c r="K190" s="67"/>
      <c r="L190" s="67"/>
      <c r="M190" s="67"/>
    </row>
    <row r="191" spans="1:13" hidden="1" x14ac:dyDescent="0.25">
      <c r="A191" s="42">
        <f t="shared" si="15"/>
        <v>188</v>
      </c>
      <c r="B191" s="64"/>
      <c r="C191" s="70"/>
      <c r="D191" s="70"/>
      <c r="E191" s="77">
        <f t="shared" si="21"/>
        <v>0</v>
      </c>
      <c r="F191" s="40"/>
      <c r="G191" s="77"/>
      <c r="H191" s="77">
        <f t="shared" si="22"/>
        <v>0</v>
      </c>
      <c r="I191" s="40"/>
      <c r="J191" s="67"/>
      <c r="K191" s="67"/>
      <c r="L191" s="67"/>
      <c r="M191" s="67"/>
    </row>
    <row r="192" spans="1:13" hidden="1" x14ac:dyDescent="0.25">
      <c r="A192" s="42">
        <f t="shared" si="15"/>
        <v>189</v>
      </c>
      <c r="B192" s="64"/>
      <c r="C192" s="70"/>
      <c r="D192" s="70"/>
      <c r="E192" s="77">
        <f t="shared" si="21"/>
        <v>0</v>
      </c>
      <c r="F192" s="40"/>
      <c r="G192" s="77"/>
      <c r="H192" s="77">
        <f t="shared" si="22"/>
        <v>0</v>
      </c>
      <c r="I192" s="40"/>
      <c r="J192" s="67"/>
      <c r="K192" s="67"/>
      <c r="L192" s="67"/>
      <c r="M192" s="67"/>
    </row>
    <row r="193" spans="1:13" hidden="1" x14ac:dyDescent="0.25">
      <c r="A193" s="42">
        <f t="shared" si="15"/>
        <v>190</v>
      </c>
      <c r="B193" s="64"/>
      <c r="C193" s="70"/>
      <c r="D193" s="70"/>
      <c r="E193" s="77">
        <f t="shared" si="21"/>
        <v>0</v>
      </c>
      <c r="F193" s="40"/>
      <c r="G193" s="77"/>
      <c r="H193" s="77">
        <f t="shared" si="22"/>
        <v>0</v>
      </c>
      <c r="I193" s="40"/>
      <c r="J193" s="67"/>
      <c r="K193" s="67"/>
      <c r="L193" s="67"/>
      <c r="M193" s="67"/>
    </row>
    <row r="194" spans="1:13" hidden="1" x14ac:dyDescent="0.25">
      <c r="A194" s="42">
        <f t="shared" si="15"/>
        <v>191</v>
      </c>
      <c r="B194" s="64"/>
      <c r="C194" s="70"/>
      <c r="D194" s="70"/>
      <c r="E194" s="77">
        <f t="shared" si="21"/>
        <v>0</v>
      </c>
      <c r="F194" s="40"/>
      <c r="G194" s="77"/>
      <c r="H194" s="77">
        <f t="shared" si="22"/>
        <v>0</v>
      </c>
      <c r="I194" s="40"/>
      <c r="J194" s="67"/>
      <c r="K194" s="67"/>
      <c r="L194" s="67"/>
      <c r="M194" s="67"/>
    </row>
    <row r="195" spans="1:13" hidden="1" x14ac:dyDescent="0.25">
      <c r="A195" s="42">
        <f t="shared" si="15"/>
        <v>192</v>
      </c>
      <c r="B195" s="64"/>
      <c r="C195" s="70"/>
      <c r="D195" s="70"/>
      <c r="E195" s="77">
        <f t="shared" si="21"/>
        <v>0</v>
      </c>
      <c r="F195" s="40"/>
      <c r="G195" s="77"/>
      <c r="H195" s="77">
        <f t="shared" si="22"/>
        <v>0</v>
      </c>
      <c r="I195" s="40"/>
      <c r="J195" s="67"/>
      <c r="K195" s="67"/>
      <c r="L195" s="67"/>
      <c r="M195" s="67"/>
    </row>
    <row r="196" spans="1:13" hidden="1" x14ac:dyDescent="0.25">
      <c r="A196" s="42">
        <f t="shared" si="15"/>
        <v>193</v>
      </c>
      <c r="B196" s="64"/>
      <c r="C196" s="70"/>
      <c r="D196" s="77"/>
      <c r="E196" s="77">
        <f t="shared" si="21"/>
        <v>0</v>
      </c>
      <c r="F196" s="40"/>
      <c r="G196" s="77"/>
      <c r="H196" s="77">
        <f t="shared" si="22"/>
        <v>0</v>
      </c>
      <c r="I196" s="40"/>
      <c r="J196" s="67"/>
      <c r="K196" s="67"/>
      <c r="L196" s="67"/>
      <c r="M196" s="67"/>
    </row>
    <row r="197" spans="1:13" hidden="1" x14ac:dyDescent="0.25">
      <c r="A197" s="42">
        <f t="shared" si="15"/>
        <v>194</v>
      </c>
      <c r="B197" s="64"/>
      <c r="C197" s="70"/>
      <c r="D197" s="77"/>
      <c r="E197" s="77">
        <f t="shared" si="21"/>
        <v>0</v>
      </c>
      <c r="F197" s="40"/>
      <c r="G197" s="77"/>
      <c r="H197" s="77">
        <f t="shared" si="22"/>
        <v>0</v>
      </c>
      <c r="I197" s="40"/>
      <c r="J197" s="67"/>
      <c r="K197" s="67"/>
      <c r="L197" s="67"/>
      <c r="M197" s="67"/>
    </row>
    <row r="198" spans="1:13" hidden="1" x14ac:dyDescent="0.25">
      <c r="A198" s="42">
        <f t="shared" ref="A198:A210" si="23">1+A197</f>
        <v>195</v>
      </c>
      <c r="B198" s="64"/>
      <c r="C198" s="70"/>
      <c r="D198" s="70"/>
      <c r="E198" s="77">
        <f t="shared" si="21"/>
        <v>0</v>
      </c>
      <c r="F198" s="40"/>
      <c r="G198" s="77"/>
      <c r="H198" s="77">
        <f t="shared" si="22"/>
        <v>0</v>
      </c>
      <c r="I198" s="40"/>
      <c r="J198" s="67"/>
      <c r="K198" s="67"/>
      <c r="L198" s="67"/>
      <c r="M198" s="67"/>
    </row>
    <row r="199" spans="1:13" hidden="1" x14ac:dyDescent="0.25">
      <c r="A199" s="42">
        <f t="shared" si="23"/>
        <v>196</v>
      </c>
      <c r="B199" s="64"/>
      <c r="C199" s="70"/>
      <c r="D199" s="70"/>
      <c r="E199" s="77">
        <f t="shared" si="21"/>
        <v>0</v>
      </c>
      <c r="F199" s="40"/>
      <c r="G199" s="77"/>
      <c r="H199" s="77">
        <f t="shared" si="22"/>
        <v>0</v>
      </c>
      <c r="I199" s="40"/>
      <c r="J199" s="67"/>
      <c r="K199" s="67"/>
      <c r="L199" s="67"/>
      <c r="M199" s="67"/>
    </row>
    <row r="200" spans="1:13" hidden="1" x14ac:dyDescent="0.25">
      <c r="A200" s="42">
        <f t="shared" si="23"/>
        <v>197</v>
      </c>
      <c r="B200" s="64"/>
      <c r="C200" s="70"/>
      <c r="D200" s="77"/>
      <c r="E200" s="77">
        <f t="shared" si="21"/>
        <v>0</v>
      </c>
      <c r="F200" s="40"/>
      <c r="G200" s="77"/>
      <c r="H200" s="77">
        <f t="shared" si="22"/>
        <v>0</v>
      </c>
      <c r="I200" s="40"/>
      <c r="J200" s="67"/>
      <c r="K200" s="67"/>
      <c r="L200" s="67"/>
      <c r="M200" s="67"/>
    </row>
    <row r="201" spans="1:13" hidden="1" x14ac:dyDescent="0.25">
      <c r="A201" s="42">
        <f t="shared" si="23"/>
        <v>198</v>
      </c>
      <c r="B201" s="64"/>
      <c r="C201" s="70"/>
      <c r="D201" s="77"/>
      <c r="E201" s="77">
        <f t="shared" si="21"/>
        <v>0</v>
      </c>
      <c r="F201" s="40"/>
      <c r="G201" s="77"/>
      <c r="H201" s="77">
        <f t="shared" si="22"/>
        <v>0</v>
      </c>
      <c r="I201" s="40"/>
      <c r="J201" s="67"/>
      <c r="K201" s="67"/>
      <c r="L201" s="67"/>
      <c r="M201" s="67"/>
    </row>
    <row r="202" spans="1:13" hidden="1" x14ac:dyDescent="0.25">
      <c r="A202" s="42">
        <f t="shared" si="23"/>
        <v>199</v>
      </c>
      <c r="B202" s="64"/>
      <c r="C202" s="70"/>
      <c r="D202" s="77"/>
      <c r="E202" s="77">
        <f t="shared" si="21"/>
        <v>0</v>
      </c>
      <c r="F202" s="40"/>
      <c r="G202" s="77"/>
      <c r="H202" s="77">
        <f t="shared" si="22"/>
        <v>0</v>
      </c>
      <c r="I202" s="40"/>
      <c r="J202" s="67"/>
      <c r="K202" s="67"/>
      <c r="L202" s="67"/>
      <c r="M202" s="67"/>
    </row>
    <row r="203" spans="1:13" hidden="1" x14ac:dyDescent="0.25">
      <c r="A203" s="42">
        <f t="shared" si="23"/>
        <v>200</v>
      </c>
      <c r="B203" s="64"/>
      <c r="C203" s="70"/>
      <c r="D203" s="77"/>
      <c r="E203" s="77">
        <f t="shared" si="21"/>
        <v>0</v>
      </c>
      <c r="F203" s="40"/>
      <c r="G203" s="77"/>
      <c r="H203" s="77">
        <f t="shared" si="22"/>
        <v>0</v>
      </c>
      <c r="I203" s="40"/>
      <c r="J203" s="67"/>
      <c r="K203" s="67"/>
      <c r="L203" s="67"/>
      <c r="M203" s="67"/>
    </row>
    <row r="204" spans="1:13" hidden="1" x14ac:dyDescent="0.25">
      <c r="A204" s="42">
        <f t="shared" si="23"/>
        <v>201</v>
      </c>
      <c r="B204" s="64"/>
      <c r="C204" s="70"/>
      <c r="D204" s="77"/>
      <c r="E204" s="77">
        <f t="shared" si="21"/>
        <v>0</v>
      </c>
      <c r="F204" s="40"/>
      <c r="G204" s="77"/>
      <c r="H204" s="77">
        <f t="shared" si="22"/>
        <v>0</v>
      </c>
      <c r="I204" s="40"/>
      <c r="J204" s="67"/>
      <c r="K204" s="67"/>
      <c r="L204" s="67"/>
      <c r="M204" s="67"/>
    </row>
    <row r="205" spans="1:13" hidden="1" x14ac:dyDescent="0.25">
      <c r="A205" s="42">
        <f t="shared" si="23"/>
        <v>202</v>
      </c>
      <c r="B205" s="64"/>
      <c r="C205" s="70"/>
      <c r="D205" s="77"/>
      <c r="E205" s="77">
        <f t="shared" si="21"/>
        <v>0</v>
      </c>
      <c r="F205" s="40"/>
      <c r="G205" s="77"/>
      <c r="H205" s="77">
        <f t="shared" si="22"/>
        <v>0</v>
      </c>
      <c r="I205" s="40"/>
      <c r="J205" s="67"/>
      <c r="K205" s="67"/>
      <c r="L205" s="67"/>
      <c r="M205" s="67"/>
    </row>
    <row r="206" spans="1:13" hidden="1" x14ac:dyDescent="0.25">
      <c r="A206" s="42">
        <f t="shared" si="23"/>
        <v>203</v>
      </c>
      <c r="B206" s="64"/>
      <c r="C206" s="70"/>
      <c r="D206" s="77"/>
      <c r="E206" s="77">
        <f t="shared" si="21"/>
        <v>0</v>
      </c>
      <c r="F206" s="40"/>
      <c r="G206" s="77"/>
      <c r="H206" s="77">
        <f t="shared" si="22"/>
        <v>0</v>
      </c>
      <c r="I206" s="40"/>
      <c r="J206" s="67"/>
      <c r="K206" s="67"/>
      <c r="L206" s="67"/>
      <c r="M206" s="67"/>
    </row>
    <row r="207" spans="1:13" hidden="1" x14ac:dyDescent="0.25">
      <c r="A207" s="42">
        <f t="shared" si="23"/>
        <v>204</v>
      </c>
      <c r="B207" s="64"/>
      <c r="C207" s="70"/>
      <c r="D207" s="77"/>
      <c r="E207" s="77">
        <f t="shared" si="21"/>
        <v>0</v>
      </c>
      <c r="F207" s="40"/>
      <c r="G207" s="77"/>
      <c r="H207" s="77">
        <f t="shared" si="22"/>
        <v>0</v>
      </c>
      <c r="I207" s="40"/>
      <c r="J207" s="67"/>
      <c r="K207" s="67"/>
      <c r="L207" s="67"/>
      <c r="M207" s="67"/>
    </row>
    <row r="208" spans="1:13" hidden="1" x14ac:dyDescent="0.25">
      <c r="A208" s="42">
        <f t="shared" si="23"/>
        <v>205</v>
      </c>
      <c r="B208" s="64"/>
      <c r="C208" s="70"/>
      <c r="D208" s="77"/>
      <c r="E208" s="77">
        <f t="shared" si="21"/>
        <v>0</v>
      </c>
      <c r="F208" s="40"/>
      <c r="G208" s="77"/>
      <c r="H208" s="77">
        <f t="shared" si="22"/>
        <v>0</v>
      </c>
      <c r="I208" s="40"/>
      <c r="J208" s="67"/>
      <c r="K208" s="67"/>
      <c r="L208" s="67"/>
      <c r="M208" s="67"/>
    </row>
    <row r="209" spans="1:13" hidden="1" x14ac:dyDescent="0.25">
      <c r="A209" s="42">
        <f t="shared" si="23"/>
        <v>206</v>
      </c>
      <c r="B209" s="64"/>
      <c r="C209" s="70"/>
      <c r="D209" s="77"/>
      <c r="E209" s="77">
        <f t="shared" si="21"/>
        <v>0</v>
      </c>
      <c r="F209" s="40"/>
      <c r="G209" s="77"/>
      <c r="H209" s="77">
        <f t="shared" si="22"/>
        <v>0</v>
      </c>
      <c r="I209" s="40"/>
      <c r="J209" s="67"/>
      <c r="K209" s="67"/>
      <c r="L209" s="67"/>
      <c r="M209" s="67"/>
    </row>
    <row r="210" spans="1:13" hidden="1" x14ac:dyDescent="0.25">
      <c r="A210" s="42">
        <f t="shared" si="23"/>
        <v>207</v>
      </c>
      <c r="B210" s="64"/>
      <c r="C210" s="70"/>
      <c r="D210" s="70"/>
      <c r="E210" s="77">
        <f t="shared" si="21"/>
        <v>0</v>
      </c>
      <c r="F210" s="40"/>
      <c r="G210" s="77"/>
      <c r="H210" s="77">
        <f t="shared" si="22"/>
        <v>0</v>
      </c>
      <c r="I210" s="40"/>
      <c r="J210" s="67"/>
      <c r="K210" s="67"/>
      <c r="L210" s="67"/>
      <c r="M210" s="67"/>
    </row>
    <row r="211" spans="1:13" x14ac:dyDescent="0.25">
      <c r="A211" s="81"/>
      <c r="B211" s="82" t="s">
        <v>164</v>
      </c>
      <c r="C211" s="83">
        <f>SUM(C4:C210)</f>
        <v>9936364025</v>
      </c>
      <c r="D211" s="83">
        <f>SUM(D4:D210)</f>
        <v>8656337525</v>
      </c>
      <c r="E211" s="83">
        <f>SUM(E4:E210)</f>
        <v>1280026500</v>
      </c>
      <c r="F211" s="84"/>
      <c r="G211" s="83">
        <f>SUM(G4:G210)</f>
        <v>0</v>
      </c>
      <c r="H211" s="85">
        <f t="shared" si="22"/>
        <v>-8656337525</v>
      </c>
      <c r="I211" s="81"/>
      <c r="J211" s="67"/>
      <c r="K211" s="67"/>
      <c r="L211" s="67"/>
      <c r="M211" s="67"/>
    </row>
    <row r="212" spans="1:13" ht="15.75" thickBot="1" x14ac:dyDescent="0.3"/>
    <row r="213" spans="1:13" x14ac:dyDescent="0.25">
      <c r="C213" s="86">
        <f>+C211</f>
        <v>9936364025</v>
      </c>
      <c r="D213" s="87">
        <f>+E211</f>
        <v>1280026500</v>
      </c>
      <c r="E213" s="87">
        <f>C213-D213</f>
        <v>8656337525</v>
      </c>
      <c r="F213" s="88" t="s">
        <v>165</v>
      </c>
      <c r="G213" s="89" t="s">
        <v>166</v>
      </c>
    </row>
    <row r="214" spans="1:13" ht="15.75" thickBot="1" x14ac:dyDescent="0.3">
      <c r="C214" s="90"/>
      <c r="D214" s="91"/>
      <c r="E214" s="92">
        <f>E213/C213</f>
        <v>0.87117757594433543</v>
      </c>
      <c r="F214" s="93"/>
    </row>
    <row r="215" spans="1:13" ht="12" customHeight="1" thickBot="1" x14ac:dyDescent="0.3">
      <c r="C215" s="94"/>
      <c r="D215" s="94"/>
      <c r="E215" s="94"/>
    </row>
    <row r="216" spans="1:13" x14ac:dyDescent="0.25">
      <c r="C216" s="86">
        <v>20000000000</v>
      </c>
      <c r="D216" s="87">
        <f>+D213</f>
        <v>1280026500</v>
      </c>
      <c r="E216" s="87">
        <f>C216-D216</f>
        <v>18719973500</v>
      </c>
      <c r="F216" s="88" t="s">
        <v>253</v>
      </c>
    </row>
    <row r="217" spans="1:13" ht="15.75" thickBot="1" x14ac:dyDescent="0.3">
      <c r="C217" s="95" t="s">
        <v>167</v>
      </c>
      <c r="D217" s="96" t="s">
        <v>168</v>
      </c>
      <c r="E217" s="92">
        <f>E216/C216</f>
        <v>0.935998675</v>
      </c>
      <c r="F217" s="93"/>
    </row>
    <row r="219" spans="1:13" ht="15.75" thickBot="1" x14ac:dyDescent="0.3">
      <c r="E219" s="92">
        <f>D211/C211</f>
        <v>0.87117757594433543</v>
      </c>
      <c r="F219" s="97" t="s">
        <v>169</v>
      </c>
    </row>
    <row r="221" spans="1:13" x14ac:dyDescent="0.25">
      <c r="C221" s="98">
        <v>13000000000</v>
      </c>
      <c r="D221" s="99">
        <f>C221-E221-F221-G221</f>
        <v>11719973500</v>
      </c>
      <c r="E221" s="98">
        <f>E211-F221-G221</f>
        <v>1183593050</v>
      </c>
      <c r="F221" s="98">
        <v>52391050</v>
      </c>
      <c r="G221" s="98">
        <v>44042400</v>
      </c>
    </row>
    <row r="222" spans="1:13" x14ac:dyDescent="0.25">
      <c r="C222" s="100" t="s">
        <v>170</v>
      </c>
      <c r="D222" s="101"/>
      <c r="E222" s="129">
        <f>(E221+F221)/C221</f>
        <v>9.5075699999999999E-2</v>
      </c>
      <c r="F222" s="129"/>
    </row>
    <row r="224" spans="1:13" x14ac:dyDescent="0.25">
      <c r="C224" s="100" t="s">
        <v>171</v>
      </c>
      <c r="D224" s="100" t="s">
        <v>117</v>
      </c>
      <c r="E224" s="102">
        <v>30</v>
      </c>
      <c r="F224" s="102">
        <v>60</v>
      </c>
      <c r="G224" s="100">
        <v>90</v>
      </c>
    </row>
  </sheetData>
  <autoFilter ref="A3:M211"/>
  <mergeCells count="3">
    <mergeCell ref="A1:I1"/>
    <mergeCell ref="A2:I2"/>
    <mergeCell ref="E222:F222"/>
  </mergeCells>
  <conditionalFormatting sqref="B206:B211">
    <cfRule type="expression" dxfId="199" priority="199">
      <formula>AND($Z206&gt;0,$L206&gt;89)</formula>
    </cfRule>
    <cfRule type="expression" dxfId="198" priority="200">
      <formula>AND($Z206&gt;0,$L206&gt;59)</formula>
    </cfRule>
  </conditionalFormatting>
  <conditionalFormatting sqref="G34:G48 E176:E177 G176:G177 C206:E211 H207:H210 G193:G211 G49:H49 H4:H48 E4:E74 G51:H58">
    <cfRule type="expression" dxfId="197" priority="197">
      <formula>AND(#REF!&gt;0,$H4&gt;89)</formula>
    </cfRule>
    <cfRule type="expression" dxfId="196" priority="198">
      <formula>AND(#REF!&gt;0,$H4&gt;59)</formula>
    </cfRule>
  </conditionalFormatting>
  <conditionalFormatting sqref="H176:H177">
    <cfRule type="expression" dxfId="195" priority="195">
      <formula>AND(#REF!&gt;0,$H176&gt;89)</formula>
    </cfRule>
    <cfRule type="expression" dxfId="194" priority="196">
      <formula>AND(#REF!&gt;0,$H176&gt;59)</formula>
    </cfRule>
  </conditionalFormatting>
  <conditionalFormatting sqref="H206 H176:H177">
    <cfRule type="expression" dxfId="193" priority="193">
      <formula>AND(#REF!&gt;0,$H176&gt;89)</formula>
    </cfRule>
    <cfRule type="expression" dxfId="192" priority="194">
      <formula>AND(#REF!&gt;0,$H176&gt;59)</formula>
    </cfRule>
  </conditionalFormatting>
  <conditionalFormatting sqref="D213">
    <cfRule type="expression" dxfId="191" priority="191">
      <formula>AND(#REF!&gt;0,$H213&gt;89)</formula>
    </cfRule>
    <cfRule type="expression" dxfId="190" priority="192">
      <formula>AND(#REF!&gt;0,$H213&gt;59)</formula>
    </cfRule>
  </conditionalFormatting>
  <conditionalFormatting sqref="E213">
    <cfRule type="expression" dxfId="189" priority="189">
      <formula>AND(#REF!&gt;0,$H213&gt;89)</formula>
    </cfRule>
    <cfRule type="expression" dxfId="188" priority="190">
      <formula>AND(#REF!&gt;0,$H213&gt;59)</formula>
    </cfRule>
  </conditionalFormatting>
  <conditionalFormatting sqref="H211">
    <cfRule type="expression" dxfId="187" priority="187">
      <formula>AND(#REF!&gt;0,$H211&gt;89)</formula>
    </cfRule>
    <cfRule type="expression" dxfId="186" priority="188">
      <formula>AND(#REF!&gt;0,$H211&gt;59)</formula>
    </cfRule>
  </conditionalFormatting>
  <conditionalFormatting sqref="F4:G33">
    <cfRule type="expression" dxfId="185" priority="185">
      <formula>AND(#REF!&gt;0,$M4&gt;89)</formula>
    </cfRule>
    <cfRule type="expression" dxfId="184" priority="186">
      <formula>AND(#REF!&gt;0,$M4&gt;59)</formula>
    </cfRule>
  </conditionalFormatting>
  <conditionalFormatting sqref="C216">
    <cfRule type="expression" dxfId="183" priority="183">
      <formula>AND(#REF!&gt;0,$H216&gt;89)</formula>
    </cfRule>
    <cfRule type="expression" dxfId="182" priority="184">
      <formula>AND(#REF!&gt;0,$H216&gt;59)</formula>
    </cfRule>
  </conditionalFormatting>
  <conditionalFormatting sqref="D216">
    <cfRule type="expression" dxfId="181" priority="181">
      <formula>AND(#REF!&gt;0,$H216&gt;89)</formula>
    </cfRule>
    <cfRule type="expression" dxfId="180" priority="182">
      <formula>AND(#REF!&gt;0,$H216&gt;59)</formula>
    </cfRule>
  </conditionalFormatting>
  <conditionalFormatting sqref="E216">
    <cfRule type="expression" dxfId="179" priority="179">
      <formula>AND(#REF!&gt;0,$H216&gt;89)</formula>
    </cfRule>
    <cfRule type="expression" dxfId="178" priority="180">
      <formula>AND(#REF!&gt;0,$H216&gt;59)</formula>
    </cfRule>
  </conditionalFormatting>
  <conditionalFormatting sqref="B176:B177 I4:I49">
    <cfRule type="expression" dxfId="177" priority="177">
      <formula>AND($AD4&gt;0,$P4&gt;89)</formula>
    </cfRule>
    <cfRule type="expression" dxfId="176" priority="178">
      <formula>AND($AD4&gt;0,$P4&gt;59)</formula>
    </cfRule>
  </conditionalFormatting>
  <conditionalFormatting sqref="C176:C177">
    <cfRule type="expression" dxfId="175" priority="175">
      <formula>AND(#REF!&gt;0,$L176&gt;89)</formula>
    </cfRule>
    <cfRule type="expression" dxfId="174" priority="176">
      <formula>AND(#REF!&gt;0,$L176&gt;59)</formula>
    </cfRule>
  </conditionalFormatting>
  <conditionalFormatting sqref="I176:I177">
    <cfRule type="expression" dxfId="173" priority="173">
      <formula>AND($AD176&gt;0,$P176&gt;89)</formula>
    </cfRule>
    <cfRule type="expression" dxfId="172" priority="174">
      <formula>AND($AD176&gt;0,$P176&gt;59)</formula>
    </cfRule>
  </conditionalFormatting>
  <conditionalFormatting sqref="B192 B202:B205">
    <cfRule type="expression" dxfId="171" priority="171">
      <formula>AND($Z192&gt;0,$L192&gt;89)</formula>
    </cfRule>
    <cfRule type="expression" dxfId="170" priority="172">
      <formula>AND($Z192&gt;0,$L192&gt;59)</formula>
    </cfRule>
  </conditionalFormatting>
  <conditionalFormatting sqref="C192 C202:E205 G192 E192">
    <cfRule type="expression" dxfId="169" priority="169">
      <formula>AND(#REF!&gt;0,$H192&gt;89)</formula>
    </cfRule>
    <cfRule type="expression" dxfId="168" priority="170">
      <formula>AND(#REF!&gt;0,$H192&gt;59)</formula>
    </cfRule>
  </conditionalFormatting>
  <conditionalFormatting sqref="H202:H205 H192">
    <cfRule type="expression" dxfId="167" priority="167">
      <formula>AND(#REF!&gt;0,$H192&gt;89)</formula>
    </cfRule>
    <cfRule type="expression" dxfId="166" priority="168">
      <formula>AND(#REF!&gt;0,$H192&gt;59)</formula>
    </cfRule>
  </conditionalFormatting>
  <conditionalFormatting sqref="B193:B201">
    <cfRule type="expression" dxfId="165" priority="165">
      <formula>AND($Z193&gt;0,$L193&gt;89)</formula>
    </cfRule>
    <cfRule type="expression" dxfId="164" priority="166">
      <formula>AND($Z193&gt;0,$L193&gt;59)</formula>
    </cfRule>
  </conditionalFormatting>
  <conditionalFormatting sqref="C193 E193 C194:E201">
    <cfRule type="expression" dxfId="163" priority="163">
      <formula>AND(#REF!&gt;0,$H193&gt;89)</formula>
    </cfRule>
    <cfRule type="expression" dxfId="162" priority="164">
      <formula>AND(#REF!&gt;0,$H193&gt;59)</formula>
    </cfRule>
  </conditionalFormatting>
  <conditionalFormatting sqref="H193:H201">
    <cfRule type="expression" dxfId="161" priority="161">
      <formula>AND(#REF!&gt;0,$H193&gt;89)</formula>
    </cfRule>
    <cfRule type="expression" dxfId="160" priority="162">
      <formula>AND(#REF!&gt;0,$H193&gt;59)</formula>
    </cfRule>
  </conditionalFormatting>
  <conditionalFormatting sqref="B178 B188:B191">
    <cfRule type="expression" dxfId="159" priority="159">
      <formula>AND($Z178&gt;0,$L178&gt;89)</formula>
    </cfRule>
    <cfRule type="expression" dxfId="158" priority="160">
      <formula>AND($Z178&gt;0,$L178&gt;59)</formula>
    </cfRule>
  </conditionalFormatting>
  <conditionalFormatting sqref="C178:E178 G188:G191 C188:E190 G178 C191 E191">
    <cfRule type="expression" dxfId="157" priority="157">
      <formula>AND(#REF!&gt;0,$H178&gt;89)</formula>
    </cfRule>
    <cfRule type="expression" dxfId="156" priority="158">
      <formula>AND(#REF!&gt;0,$H178&gt;59)</formula>
    </cfRule>
  </conditionalFormatting>
  <conditionalFormatting sqref="H188:H191 H178">
    <cfRule type="expression" dxfId="155" priority="155">
      <formula>AND(#REF!&gt;0,$H178&gt;89)</formula>
    </cfRule>
    <cfRule type="expression" dxfId="154" priority="156">
      <formula>AND(#REF!&gt;0,$H178&gt;59)</formula>
    </cfRule>
  </conditionalFormatting>
  <conditionalFormatting sqref="B179:B187">
    <cfRule type="expression" dxfId="153" priority="153">
      <formula>AND($Z179&gt;0,$L179&gt;89)</formula>
    </cfRule>
    <cfRule type="expression" dxfId="152" priority="154">
      <formula>AND($Z179&gt;0,$L179&gt;59)</formula>
    </cfRule>
  </conditionalFormatting>
  <conditionalFormatting sqref="G179:G187 C179:E187">
    <cfRule type="expression" dxfId="151" priority="151">
      <formula>AND(#REF!&gt;0,$H179&gt;89)</formula>
    </cfRule>
    <cfRule type="expression" dxfId="150" priority="152">
      <formula>AND(#REF!&gt;0,$H179&gt;59)</formula>
    </cfRule>
  </conditionalFormatting>
  <conditionalFormatting sqref="H179:H187">
    <cfRule type="expression" dxfId="149" priority="149">
      <formula>AND(#REF!&gt;0,$H179&gt;89)</formula>
    </cfRule>
    <cfRule type="expression" dxfId="148" priority="150">
      <formula>AND(#REF!&gt;0,$H179&gt;59)</formula>
    </cfRule>
  </conditionalFormatting>
  <conditionalFormatting sqref="D176:D177">
    <cfRule type="expression" dxfId="147" priority="147">
      <formula>AND(#REF!&gt;0,$L176&gt;89)</formula>
    </cfRule>
    <cfRule type="expression" dxfId="146" priority="148">
      <formula>AND(#REF!&gt;0,$L176&gt;59)</formula>
    </cfRule>
  </conditionalFormatting>
  <conditionalFormatting sqref="D192">
    <cfRule type="expression" dxfId="145" priority="145">
      <formula>AND(#REF!&gt;0,$H192&gt;89)</formula>
    </cfRule>
    <cfRule type="expression" dxfId="144" priority="146">
      <formula>AND(#REF!&gt;0,$H192&gt;59)</formula>
    </cfRule>
  </conditionalFormatting>
  <conditionalFormatting sqref="D193">
    <cfRule type="expression" dxfId="143" priority="143">
      <formula>AND(#REF!&gt;0,$H193&gt;89)</formula>
    </cfRule>
    <cfRule type="expression" dxfId="142" priority="144">
      <formula>AND(#REF!&gt;0,$H193&gt;59)</formula>
    </cfRule>
  </conditionalFormatting>
  <conditionalFormatting sqref="D191">
    <cfRule type="expression" dxfId="141" priority="141">
      <formula>AND(#REF!&gt;0,$H191&gt;89)</formula>
    </cfRule>
    <cfRule type="expression" dxfId="140" priority="142">
      <formula>AND(#REF!&gt;0,$H191&gt;59)</formula>
    </cfRule>
  </conditionalFormatting>
  <conditionalFormatting sqref="B168">
    <cfRule type="expression" dxfId="139" priority="139">
      <formula>AND($Z168&gt;0,$L168&gt;89)</formula>
    </cfRule>
    <cfRule type="expression" dxfId="138" priority="140">
      <formula>AND($Z168&gt;0,$L168&gt;59)</formula>
    </cfRule>
  </conditionalFormatting>
  <conditionalFormatting sqref="C168:E168">
    <cfRule type="expression" dxfId="137" priority="137">
      <formula>AND(#REF!&gt;0,$H168&gt;89)</formula>
    </cfRule>
    <cfRule type="expression" dxfId="136" priority="138">
      <formula>AND(#REF!&gt;0,$H168&gt;59)</formula>
    </cfRule>
  </conditionalFormatting>
  <conditionalFormatting sqref="H168">
    <cfRule type="expression" dxfId="135" priority="135">
      <formula>AND(#REF!&gt;0,$H168&gt;89)</formula>
    </cfRule>
    <cfRule type="expression" dxfId="134" priority="136">
      <formula>AND(#REF!&gt;0,$H168&gt;59)</formula>
    </cfRule>
  </conditionalFormatting>
  <conditionalFormatting sqref="B169:B175">
    <cfRule type="expression" dxfId="133" priority="133">
      <formula>AND($Z169&gt;0,$L169&gt;89)</formula>
    </cfRule>
    <cfRule type="expression" dxfId="132" priority="134">
      <formula>AND($Z169&gt;0,$L169&gt;59)</formula>
    </cfRule>
  </conditionalFormatting>
  <conditionalFormatting sqref="C169:E175">
    <cfRule type="expression" dxfId="131" priority="131">
      <formula>AND(#REF!&gt;0,$H169&gt;89)</formula>
    </cfRule>
    <cfRule type="expression" dxfId="130" priority="132">
      <formula>AND(#REF!&gt;0,$H169&gt;59)</formula>
    </cfRule>
  </conditionalFormatting>
  <conditionalFormatting sqref="H169:H175">
    <cfRule type="expression" dxfId="129" priority="129">
      <formula>AND(#REF!&gt;0,$H169&gt;89)</formula>
    </cfRule>
    <cfRule type="expression" dxfId="128" priority="130">
      <formula>AND(#REF!&gt;0,$H169&gt;59)</formula>
    </cfRule>
  </conditionalFormatting>
  <conditionalFormatting sqref="G63 E99:E100">
    <cfRule type="expression" dxfId="127" priority="127">
      <formula>AND(#REF!&gt;0,$H63&gt;89)</formula>
    </cfRule>
    <cfRule type="expression" dxfId="126" priority="128">
      <formula>AND(#REF!&gt;0,$H63&gt;59)</formula>
    </cfRule>
  </conditionalFormatting>
  <conditionalFormatting sqref="H73:H74 H63 H99:H100">
    <cfRule type="expression" dxfId="125" priority="125">
      <formula>AND(#REF!&gt;0,$H63&gt;89)</formula>
    </cfRule>
    <cfRule type="expression" dxfId="124" priority="126">
      <formula>AND(#REF!&gt;0,$H63&gt;59)</formula>
    </cfRule>
  </conditionalFormatting>
  <conditionalFormatting sqref="G64:G74 G99:G100 G168:G175">
    <cfRule type="expression" dxfId="123" priority="123">
      <formula>AND(#REF!&gt;0,$H64&gt;89)</formula>
    </cfRule>
    <cfRule type="expression" dxfId="122" priority="124">
      <formula>AND(#REF!&gt;0,$H64&gt;59)</formula>
    </cfRule>
  </conditionalFormatting>
  <conditionalFormatting sqref="H64:H72">
    <cfRule type="expression" dxfId="121" priority="121">
      <formula>AND(#REF!&gt;0,$H64&gt;89)</formula>
    </cfRule>
    <cfRule type="expression" dxfId="120" priority="122">
      <formula>AND(#REF!&gt;0,$H64&gt;59)</formula>
    </cfRule>
  </conditionalFormatting>
  <conditionalFormatting sqref="G59:G62 G50">
    <cfRule type="expression" dxfId="119" priority="119">
      <formula>AND(#REF!&gt;0,$H50&gt;89)</formula>
    </cfRule>
    <cfRule type="expression" dxfId="118" priority="120">
      <formula>AND(#REF!&gt;0,$H50&gt;59)</formula>
    </cfRule>
  </conditionalFormatting>
  <conditionalFormatting sqref="H59:H62 H50">
    <cfRule type="expression" dxfId="117" priority="117">
      <formula>AND(#REF!&gt;0,$H50&gt;89)</formula>
    </cfRule>
    <cfRule type="expression" dxfId="116" priority="118">
      <formula>AND(#REF!&gt;0,$H50&gt;59)</formula>
    </cfRule>
  </conditionalFormatting>
  <conditionalFormatting sqref="E85:E86 G85:G86">
    <cfRule type="expression" dxfId="115" priority="115">
      <formula>AND(#REF!&gt;0,$H85&gt;89)</formula>
    </cfRule>
    <cfRule type="expression" dxfId="114" priority="116">
      <formula>AND(#REF!&gt;0,$H85&gt;59)</formula>
    </cfRule>
  </conditionalFormatting>
  <conditionalFormatting sqref="H85:H86">
    <cfRule type="expression" dxfId="113" priority="113">
      <formula>AND(#REF!&gt;0,$H85&gt;89)</formula>
    </cfRule>
    <cfRule type="expression" dxfId="112" priority="114">
      <formula>AND(#REF!&gt;0,$H85&gt;59)</formula>
    </cfRule>
  </conditionalFormatting>
  <conditionalFormatting sqref="H85:H86">
    <cfRule type="expression" dxfId="111" priority="111">
      <formula>AND(#REF!&gt;0,$H85&gt;89)</formula>
    </cfRule>
    <cfRule type="expression" dxfId="110" priority="112">
      <formula>AND(#REF!&gt;0,$H85&gt;59)</formula>
    </cfRule>
  </conditionalFormatting>
  <conditionalFormatting sqref="I85:I86">
    <cfRule type="expression" dxfId="109" priority="109">
      <formula>AND($AD85&gt;0,$P85&gt;89)</formula>
    </cfRule>
    <cfRule type="expression" dxfId="108" priority="110">
      <formula>AND($AD85&gt;0,$P85&gt;59)</formula>
    </cfRule>
  </conditionalFormatting>
  <conditionalFormatting sqref="G97:G98 G87 E87 E97:E98">
    <cfRule type="expression" dxfId="107" priority="107">
      <formula>AND(#REF!&gt;0,$H87&gt;89)</formula>
    </cfRule>
    <cfRule type="expression" dxfId="106" priority="108">
      <formula>AND(#REF!&gt;0,$H87&gt;59)</formula>
    </cfRule>
  </conditionalFormatting>
  <conditionalFormatting sqref="H97:H98 H87">
    <cfRule type="expression" dxfId="105" priority="105">
      <formula>AND(#REF!&gt;0,$H87&gt;89)</formula>
    </cfRule>
    <cfRule type="expression" dxfId="104" priority="106">
      <formula>AND(#REF!&gt;0,$H87&gt;59)</formula>
    </cfRule>
  </conditionalFormatting>
  <conditionalFormatting sqref="G88:G96 E88:E96">
    <cfRule type="expression" dxfId="103" priority="103">
      <formula>AND(#REF!&gt;0,$H88&gt;89)</formula>
    </cfRule>
    <cfRule type="expression" dxfId="102" priority="104">
      <formula>AND(#REF!&gt;0,$H88&gt;59)</formula>
    </cfRule>
  </conditionalFormatting>
  <conditionalFormatting sqref="H88:H96">
    <cfRule type="expression" dxfId="101" priority="101">
      <formula>AND(#REF!&gt;0,$H88&gt;89)</formula>
    </cfRule>
    <cfRule type="expression" dxfId="100" priority="102">
      <formula>AND(#REF!&gt;0,$H88&gt;59)</formula>
    </cfRule>
  </conditionalFormatting>
  <conditionalFormatting sqref="E77">
    <cfRule type="expression" dxfId="99" priority="99">
      <formula>AND(#REF!&gt;0,$H77&gt;89)</formula>
    </cfRule>
    <cfRule type="expression" dxfId="98" priority="100">
      <formula>AND(#REF!&gt;0,$H77&gt;59)</formula>
    </cfRule>
  </conditionalFormatting>
  <conditionalFormatting sqref="H77">
    <cfRule type="expression" dxfId="97" priority="97">
      <formula>AND(#REF!&gt;0,$H77&gt;89)</formula>
    </cfRule>
    <cfRule type="expression" dxfId="96" priority="98">
      <formula>AND(#REF!&gt;0,$H77&gt;59)</formula>
    </cfRule>
  </conditionalFormatting>
  <conditionalFormatting sqref="E78:E84">
    <cfRule type="expression" dxfId="95" priority="95">
      <formula>AND(#REF!&gt;0,$H78&gt;89)</formula>
    </cfRule>
    <cfRule type="expression" dxfId="94" priority="96">
      <formula>AND(#REF!&gt;0,$H78&gt;59)</formula>
    </cfRule>
  </conditionalFormatting>
  <conditionalFormatting sqref="H78:H84">
    <cfRule type="expression" dxfId="93" priority="93">
      <formula>AND(#REF!&gt;0,$H78&gt;89)</formula>
    </cfRule>
    <cfRule type="expression" dxfId="92" priority="94">
      <formula>AND(#REF!&gt;0,$H78&gt;59)</formula>
    </cfRule>
  </conditionalFormatting>
  <conditionalFormatting sqref="E75:E76">
    <cfRule type="expression" dxfId="91" priority="91">
      <formula>AND(#REF!&gt;0,$H75&gt;89)</formula>
    </cfRule>
    <cfRule type="expression" dxfId="90" priority="92">
      <formula>AND(#REF!&gt;0,$H75&gt;59)</formula>
    </cfRule>
  </conditionalFormatting>
  <conditionalFormatting sqref="H75:H76">
    <cfRule type="expression" dxfId="89" priority="89">
      <formula>AND(#REF!&gt;0,$H75&gt;89)</formula>
    </cfRule>
    <cfRule type="expression" dxfId="88" priority="90">
      <formula>AND(#REF!&gt;0,$H75&gt;59)</formula>
    </cfRule>
  </conditionalFormatting>
  <conditionalFormatting sqref="G75:G84">
    <cfRule type="expression" dxfId="87" priority="87">
      <formula>AND(#REF!&gt;0,$H75&gt;89)</formula>
    </cfRule>
    <cfRule type="expression" dxfId="86" priority="88">
      <formula>AND(#REF!&gt;0,$H75&gt;59)</formula>
    </cfRule>
  </conditionalFormatting>
  <conditionalFormatting sqref="B139 B149:B152">
    <cfRule type="expression" dxfId="85" priority="85">
      <formula>AND($Z139&gt;0,$L139&gt;89)</formula>
    </cfRule>
    <cfRule type="expression" dxfId="84" priority="86">
      <formula>AND($Z139&gt;0,$L139&gt;59)</formula>
    </cfRule>
  </conditionalFormatting>
  <conditionalFormatting sqref="C139 C149:E152 E109:E110 G109:G110 E139">
    <cfRule type="expression" dxfId="83" priority="83">
      <formula>AND(#REF!&gt;0,$H109&gt;89)</formula>
    </cfRule>
    <cfRule type="expression" dxfId="82" priority="84">
      <formula>AND(#REF!&gt;0,$H109&gt;59)</formula>
    </cfRule>
  </conditionalFormatting>
  <conditionalFormatting sqref="H109:H110">
    <cfRule type="expression" dxfId="81" priority="81">
      <formula>AND(#REF!&gt;0,$H109&gt;89)</formula>
    </cfRule>
    <cfRule type="expression" dxfId="80" priority="82">
      <formula>AND(#REF!&gt;0,$H109&gt;59)</formula>
    </cfRule>
  </conditionalFormatting>
  <conditionalFormatting sqref="H149:H152 H139 H109:H110">
    <cfRule type="expression" dxfId="79" priority="79">
      <formula>AND(#REF!&gt;0,$H109&gt;89)</formula>
    </cfRule>
    <cfRule type="expression" dxfId="78" priority="80">
      <formula>AND(#REF!&gt;0,$H109&gt;59)</formula>
    </cfRule>
  </conditionalFormatting>
  <conditionalFormatting sqref="I109:I110">
    <cfRule type="expression" dxfId="77" priority="77">
      <formula>AND($AD109&gt;0,$P109&gt;89)</formula>
    </cfRule>
    <cfRule type="expression" dxfId="76" priority="78">
      <formula>AND($AD109&gt;0,$P109&gt;59)</formula>
    </cfRule>
  </conditionalFormatting>
  <conditionalFormatting sqref="B140:B148">
    <cfRule type="expression" dxfId="75" priority="75">
      <formula>AND($Z140&gt;0,$L140&gt;89)</formula>
    </cfRule>
    <cfRule type="expression" dxfId="74" priority="76">
      <formula>AND($Z140&gt;0,$L140&gt;59)</formula>
    </cfRule>
  </conditionalFormatting>
  <conditionalFormatting sqref="C140:C148 E140:E148">
    <cfRule type="expression" dxfId="73" priority="73">
      <formula>AND(#REF!&gt;0,$H140&gt;89)</formula>
    </cfRule>
    <cfRule type="expression" dxfId="72" priority="74">
      <formula>AND(#REF!&gt;0,$H140&gt;59)</formula>
    </cfRule>
  </conditionalFormatting>
  <conditionalFormatting sqref="H140:H148">
    <cfRule type="expression" dxfId="71" priority="71">
      <formula>AND(#REF!&gt;0,$H140&gt;89)</formula>
    </cfRule>
    <cfRule type="expression" dxfId="70" priority="72">
      <formula>AND(#REF!&gt;0,$H140&gt;59)</formula>
    </cfRule>
  </conditionalFormatting>
  <conditionalFormatting sqref="B125 B135:B138">
    <cfRule type="expression" dxfId="69" priority="69">
      <formula>AND($Z125&gt;0,$L125&gt;89)</formula>
    </cfRule>
    <cfRule type="expression" dxfId="68" priority="70">
      <formula>AND($Z125&gt;0,$L125&gt;59)</formula>
    </cfRule>
  </conditionalFormatting>
  <conditionalFormatting sqref="C125 G125 E125 C135:C138 E135:E138">
    <cfRule type="expression" dxfId="67" priority="67">
      <formula>AND(#REF!&gt;0,$H125&gt;89)</formula>
    </cfRule>
    <cfRule type="expression" dxfId="66" priority="68">
      <formula>AND(#REF!&gt;0,$H125&gt;59)</formula>
    </cfRule>
  </conditionalFormatting>
  <conditionalFormatting sqref="H135:H138 H125">
    <cfRule type="expression" dxfId="65" priority="65">
      <formula>AND(#REF!&gt;0,$H125&gt;89)</formula>
    </cfRule>
    <cfRule type="expression" dxfId="64" priority="66">
      <formula>AND(#REF!&gt;0,$H125&gt;59)</formula>
    </cfRule>
  </conditionalFormatting>
  <conditionalFormatting sqref="B126:B134">
    <cfRule type="expression" dxfId="63" priority="63">
      <formula>AND($Z126&gt;0,$L126&gt;89)</formula>
    </cfRule>
    <cfRule type="expression" dxfId="62" priority="64">
      <formula>AND($Z126&gt;0,$L126&gt;59)</formula>
    </cfRule>
  </conditionalFormatting>
  <conditionalFormatting sqref="G126:G161 C126:C134 E126:E134">
    <cfRule type="expression" dxfId="61" priority="61">
      <formula>AND(#REF!&gt;0,$H126&gt;89)</formula>
    </cfRule>
    <cfRule type="expression" dxfId="60" priority="62">
      <formula>AND(#REF!&gt;0,$H126&gt;59)</formula>
    </cfRule>
  </conditionalFormatting>
  <conditionalFormatting sqref="H126:H134">
    <cfRule type="expression" dxfId="59" priority="59">
      <formula>AND(#REF!&gt;0,$H126&gt;89)</formula>
    </cfRule>
    <cfRule type="expression" dxfId="58" priority="60">
      <formula>AND(#REF!&gt;0,$H126&gt;59)</formula>
    </cfRule>
  </conditionalFormatting>
  <conditionalFormatting sqref="B121:B124">
    <cfRule type="expression" dxfId="57" priority="57">
      <formula>AND($Z121&gt;0,$L121&gt;89)</formula>
    </cfRule>
    <cfRule type="expression" dxfId="56" priority="58">
      <formula>AND($Z121&gt;0,$L121&gt;59)</formula>
    </cfRule>
  </conditionalFormatting>
  <conditionalFormatting sqref="G121:G124 G111 C121:C124 E121:E124 E111">
    <cfRule type="expression" dxfId="55" priority="55">
      <formula>AND(#REF!&gt;0,$H111&gt;89)</formula>
    </cfRule>
    <cfRule type="expression" dxfId="54" priority="56">
      <formula>AND(#REF!&gt;0,$H111&gt;59)</formula>
    </cfRule>
  </conditionalFormatting>
  <conditionalFormatting sqref="H121:H124 H111">
    <cfRule type="expression" dxfId="53" priority="53">
      <formula>AND(#REF!&gt;0,$H111&gt;89)</formula>
    </cfRule>
    <cfRule type="expression" dxfId="52" priority="54">
      <formula>AND(#REF!&gt;0,$H111&gt;59)</formula>
    </cfRule>
  </conditionalFormatting>
  <conditionalFormatting sqref="B119:B120">
    <cfRule type="expression" dxfId="51" priority="51">
      <formula>AND($Z119&gt;0,$L119&gt;89)</formula>
    </cfRule>
    <cfRule type="expression" dxfId="50" priority="52">
      <formula>AND($Z119&gt;0,$L119&gt;59)</formula>
    </cfRule>
  </conditionalFormatting>
  <conditionalFormatting sqref="G112:G120 C119:C120 E112:E120">
    <cfRule type="expression" dxfId="49" priority="49">
      <formula>AND(#REF!&gt;0,$H112&gt;89)</formula>
    </cfRule>
    <cfRule type="expression" dxfId="48" priority="50">
      <formula>AND(#REF!&gt;0,$H112&gt;59)</formula>
    </cfRule>
  </conditionalFormatting>
  <conditionalFormatting sqref="H112:H120">
    <cfRule type="expression" dxfId="47" priority="47">
      <formula>AND(#REF!&gt;0,$H112&gt;89)</formula>
    </cfRule>
    <cfRule type="expression" dxfId="46" priority="48">
      <formula>AND(#REF!&gt;0,$H112&gt;59)</formula>
    </cfRule>
  </conditionalFormatting>
  <conditionalFormatting sqref="B164:B167">
    <cfRule type="expression" dxfId="45" priority="45">
      <formula>AND($Z164&gt;0,$L164&gt;89)</formula>
    </cfRule>
    <cfRule type="expression" dxfId="44" priority="46">
      <formula>AND($Z164&gt;0,$L164&gt;59)</formula>
    </cfRule>
  </conditionalFormatting>
  <conditionalFormatting sqref="C164:E167 G164:G167">
    <cfRule type="expression" dxfId="43" priority="43">
      <formula>AND(#REF!&gt;0,$H164&gt;89)</formula>
    </cfRule>
    <cfRule type="expression" dxfId="42" priority="44">
      <formula>AND(#REF!&gt;0,$H164&gt;59)</formula>
    </cfRule>
  </conditionalFormatting>
  <conditionalFormatting sqref="H164:H167">
    <cfRule type="expression" dxfId="41" priority="41">
      <formula>AND(#REF!&gt;0,$H164&gt;89)</formula>
    </cfRule>
    <cfRule type="expression" dxfId="40" priority="42">
      <formula>AND(#REF!&gt;0,$H164&gt;59)</formula>
    </cfRule>
  </conditionalFormatting>
  <conditionalFormatting sqref="B159:B163">
    <cfRule type="expression" dxfId="39" priority="39">
      <formula>AND($Z159&gt;0,$L159&gt;89)</formula>
    </cfRule>
    <cfRule type="expression" dxfId="38" priority="40">
      <formula>AND($Z159&gt;0,$L159&gt;59)</formula>
    </cfRule>
  </conditionalFormatting>
  <conditionalFormatting sqref="C159:E163 G162:G163">
    <cfRule type="expression" dxfId="37" priority="37">
      <formula>AND(#REF!&gt;0,$H159&gt;89)</formula>
    </cfRule>
    <cfRule type="expression" dxfId="36" priority="38">
      <formula>AND(#REF!&gt;0,$H159&gt;59)</formula>
    </cfRule>
  </conditionalFormatting>
  <conditionalFormatting sqref="H159:H163">
    <cfRule type="expression" dxfId="35" priority="35">
      <formula>AND(#REF!&gt;0,$H159&gt;89)</formula>
    </cfRule>
    <cfRule type="expression" dxfId="34" priority="36">
      <formula>AND(#REF!&gt;0,$H159&gt;59)</formula>
    </cfRule>
  </conditionalFormatting>
  <conditionalFormatting sqref="B153:B158">
    <cfRule type="expression" dxfId="33" priority="33">
      <formula>AND($Z153&gt;0,$L153&gt;89)</formula>
    </cfRule>
    <cfRule type="expression" dxfId="32" priority="34">
      <formula>AND($Z153&gt;0,$L153&gt;59)</formula>
    </cfRule>
  </conditionalFormatting>
  <conditionalFormatting sqref="C153:E158">
    <cfRule type="expression" dxfId="31" priority="31">
      <formula>AND(#REF!&gt;0,$H153&gt;89)</formula>
    </cfRule>
    <cfRule type="expression" dxfId="30" priority="32">
      <formula>AND(#REF!&gt;0,$H153&gt;59)</formula>
    </cfRule>
  </conditionalFormatting>
  <conditionalFormatting sqref="H153:H158">
    <cfRule type="expression" dxfId="29" priority="29">
      <formula>AND(#REF!&gt;0,$H153&gt;89)</formula>
    </cfRule>
    <cfRule type="expression" dxfId="28" priority="30">
      <formula>AND(#REF!&gt;0,$H153&gt;59)</formula>
    </cfRule>
  </conditionalFormatting>
  <conditionalFormatting sqref="E101">
    <cfRule type="expression" dxfId="27" priority="27">
      <formula>AND(#REF!&gt;0,$H101&gt;89)</formula>
    </cfRule>
    <cfRule type="expression" dxfId="26" priority="28">
      <formula>AND(#REF!&gt;0,$H101&gt;59)</formula>
    </cfRule>
  </conditionalFormatting>
  <conditionalFormatting sqref="H101">
    <cfRule type="expression" dxfId="25" priority="25">
      <formula>AND(#REF!&gt;0,$H101&gt;89)</formula>
    </cfRule>
    <cfRule type="expression" dxfId="24" priority="26">
      <formula>AND(#REF!&gt;0,$H101&gt;59)</formula>
    </cfRule>
  </conditionalFormatting>
  <conditionalFormatting sqref="E102:E108">
    <cfRule type="expression" dxfId="23" priority="23">
      <formula>AND(#REF!&gt;0,$H102&gt;89)</formula>
    </cfRule>
    <cfRule type="expression" dxfId="22" priority="24">
      <formula>AND(#REF!&gt;0,$H102&gt;59)</formula>
    </cfRule>
  </conditionalFormatting>
  <conditionalFormatting sqref="H102:H108">
    <cfRule type="expression" dxfId="21" priority="21">
      <formula>AND(#REF!&gt;0,$H102&gt;89)</formula>
    </cfRule>
    <cfRule type="expression" dxfId="20" priority="22">
      <formula>AND(#REF!&gt;0,$H102&gt;59)</formula>
    </cfRule>
  </conditionalFormatting>
  <conditionalFormatting sqref="G101:G108">
    <cfRule type="expression" dxfId="19" priority="19">
      <formula>AND(#REF!&gt;0,$H101&gt;89)</formula>
    </cfRule>
    <cfRule type="expression" dxfId="18" priority="20">
      <formula>AND(#REF!&gt;0,$H101&gt;59)</formula>
    </cfRule>
  </conditionalFormatting>
  <conditionalFormatting sqref="C213">
    <cfRule type="expression" dxfId="17" priority="17">
      <formula>AND(#REF!&gt;0,$H213&gt;89)</formula>
    </cfRule>
    <cfRule type="expression" dxfId="16" priority="18">
      <formula>AND(#REF!&gt;0,$H213&gt;59)</formula>
    </cfRule>
  </conditionalFormatting>
  <conditionalFormatting sqref="D139">
    <cfRule type="expression" dxfId="15" priority="15">
      <formula>AND(#REF!&gt;0,$H139&gt;89)</formula>
    </cfRule>
    <cfRule type="expression" dxfId="14" priority="16">
      <formula>AND(#REF!&gt;0,$H139&gt;59)</formula>
    </cfRule>
  </conditionalFormatting>
  <conditionalFormatting sqref="D140:D148">
    <cfRule type="expression" dxfId="13" priority="13">
      <formula>AND(#REF!&gt;0,$H140&gt;89)</formula>
    </cfRule>
    <cfRule type="expression" dxfId="12" priority="14">
      <formula>AND(#REF!&gt;0,$H140&gt;59)</formula>
    </cfRule>
  </conditionalFormatting>
  <conditionalFormatting sqref="D125 D135:D138">
    <cfRule type="expression" dxfId="11" priority="11">
      <formula>AND(#REF!&gt;0,$H125&gt;89)</formula>
    </cfRule>
    <cfRule type="expression" dxfId="10" priority="12">
      <formula>AND(#REF!&gt;0,$H125&gt;59)</formula>
    </cfRule>
  </conditionalFormatting>
  <conditionalFormatting sqref="D126:D134">
    <cfRule type="expression" dxfId="9" priority="9">
      <formula>AND(#REF!&gt;0,$H126&gt;89)</formula>
    </cfRule>
    <cfRule type="expression" dxfId="8" priority="10">
      <formula>AND(#REF!&gt;0,$H126&gt;59)</formula>
    </cfRule>
  </conditionalFormatting>
  <conditionalFormatting sqref="D121:D124">
    <cfRule type="expression" dxfId="7" priority="7">
      <formula>AND(#REF!&gt;0,$H121&gt;89)</formula>
    </cfRule>
    <cfRule type="expression" dxfId="6" priority="8">
      <formula>AND(#REF!&gt;0,$H121&gt;59)</formula>
    </cfRule>
  </conditionalFormatting>
  <conditionalFormatting sqref="D119:D120">
    <cfRule type="expression" dxfId="5" priority="5">
      <formula>AND(#REF!&gt;0,$H119&gt;89)</formula>
    </cfRule>
    <cfRule type="expression" dxfId="4" priority="6">
      <formula>AND(#REF!&gt;0,$H119&gt;59)</formula>
    </cfRule>
  </conditionalFormatting>
  <conditionalFormatting sqref="D115:D118">
    <cfRule type="expression" dxfId="3" priority="3">
      <formula>AND(#REF!&gt;0,$H115&gt;89)</formula>
    </cfRule>
    <cfRule type="expression" dxfId="2" priority="4">
      <formula>AND(#REF!&gt;0,$H115&gt;59)</formula>
    </cfRule>
  </conditionalFormatting>
  <conditionalFormatting sqref="D94">
    <cfRule type="expression" dxfId="1" priority="1">
      <formula>AND(#REF!&gt;0,$H94&gt;89)</formula>
    </cfRule>
    <cfRule type="expression" dxfId="0" priority="2">
      <formula>AND(#REF!&gt;0,$H94&gt;59)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Pencapaian OD &amp; BGTF</vt:lpstr>
      <vt:lpstr>Kalender</vt:lpstr>
      <vt:lpstr>Simulasi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 f. farida</dc:creator>
  <cp:lastModifiedBy>farida f. farida</cp:lastModifiedBy>
  <dcterms:created xsi:type="dcterms:W3CDTF">2026-02-21T03:08:02Z</dcterms:created>
  <dcterms:modified xsi:type="dcterms:W3CDTF">2026-03-06T07:09:07Z</dcterms:modified>
</cp:coreProperties>
</file>