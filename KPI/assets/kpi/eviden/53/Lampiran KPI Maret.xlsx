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6975" activeTab="1"/>
  </bookViews>
  <sheets>
    <sheet name="Pencapaian OD &amp; BGTF" sheetId="1" r:id="rId1"/>
    <sheet name="Simulasi" sheetId="8" r:id="rId2"/>
    <sheet name="Kalender" sheetId="6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2" hidden="1">Kalender!$6:$54</definedName>
    <definedName name="_xlnm._FilterDatabase" localSheetId="1" hidden="1">Simulasi!$A$3:$M$211</definedName>
    <definedName name="a">[1]TAGPD!#REF!</definedName>
    <definedName name="B">[1]TAGPD!#REF!</definedName>
    <definedName name="d">[1]TAGPD!#REF!</definedName>
    <definedName name="GRUPF">[1]TAGPD!#REF!</definedName>
    <definedName name="Progresit">'[2]PROGRES TUGAS IT 2020'!$B$3:$L$215</definedName>
    <definedName name="sortsummary">#REF!</definedName>
    <definedName name="tb_tagpdbg" localSheetId="1">[3]TAGPD!$AQ$8:$AQ$30000</definedName>
    <definedName name="tb_tagpdbg">[4]TAGPD!$AQ$8:$AQ$30000</definedName>
    <definedName name="tb_tagpdfaktur" localSheetId="1">[3]TAGPD!$E$8:$E$30000</definedName>
    <definedName name="tb_tagpdfaktur">[4]TAGPD!$E$8:$E$30000</definedName>
    <definedName name="tb_tagpdkucash" localSheetId="1">[3]TAGPD!$AV$8:$AV$30000</definedName>
    <definedName name="tb_tagpdkucash">[4]TAGPD!$AV$8:$AV$30000</definedName>
    <definedName name="tb_tagpdrpb" localSheetId="1">[3]TAGPD!$AP$8:$AP$30000</definedName>
    <definedName name="tb_tagpdrpb">[4]TAGPD!$AP$8:$AP$30000</definedName>
    <definedName name="tb_tbbnt">#REF!</definedName>
    <definedName name="tballnk" localSheetId="1">[3]All!$E$12:$E$996</definedName>
    <definedName name="tballnk">[5]All!$E$12:$E$996</definedName>
    <definedName name="tballp" localSheetId="1">[3]All!$L$12:$L$996</definedName>
    <definedName name="tballp">[4]All!$L$12:$L$996</definedName>
    <definedName name="tballsa" localSheetId="1">[3]All!$I$12:$I$996</definedName>
    <definedName name="tballsa">[5]All!$I$12:$I$996</definedName>
    <definedName name="tballsod" localSheetId="1">[3]All!$M$12:$M$996</definedName>
    <definedName name="tballsod">[4]All!$M$12:$M$996</definedName>
    <definedName name="vloocku">#REF!</definedName>
    <definedName name="VLOOCKUP">#REF!</definedName>
  </definedNames>
  <calcPr calcId="145621"/>
</workbook>
</file>

<file path=xl/calcChain.xml><?xml version="1.0" encoding="utf-8"?>
<calcChain xmlns="http://schemas.openxmlformats.org/spreadsheetml/2006/main">
  <c r="E219" i="8" l="1"/>
  <c r="D211" i="8"/>
  <c r="C211" i="8"/>
  <c r="C213" i="8" s="1"/>
  <c r="E213" i="8" s="1"/>
  <c r="E214" i="8" s="1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G161" i="8"/>
  <c r="H161" i="8" s="1"/>
  <c r="G160" i="8"/>
  <c r="H160" i="8" s="1"/>
  <c r="H159" i="8"/>
  <c r="G159" i="8"/>
  <c r="G158" i="8"/>
  <c r="H158" i="8" s="1"/>
  <c r="G157" i="8"/>
  <c r="H157" i="8" s="1"/>
  <c r="H156" i="8"/>
  <c r="G156" i="8"/>
  <c r="H155" i="8"/>
  <c r="G155" i="8"/>
  <c r="G154" i="8"/>
  <c r="H154" i="8" s="1"/>
  <c r="G153" i="8"/>
  <c r="H153" i="8" s="1"/>
  <c r="H152" i="8"/>
  <c r="G152" i="8"/>
  <c r="H151" i="8"/>
  <c r="G151" i="8"/>
  <c r="G150" i="8"/>
  <c r="G211" i="8" s="1"/>
  <c r="H211" i="8" s="1"/>
  <c r="G149" i="8"/>
  <c r="H149" i="8" s="1"/>
  <c r="H148" i="8"/>
  <c r="G148" i="8"/>
  <c r="H147" i="8"/>
  <c r="G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E75" i="8"/>
  <c r="H74" i="8"/>
  <c r="E74" i="8"/>
  <c r="H73" i="8"/>
  <c r="E73" i="8"/>
  <c r="H72" i="8"/>
  <c r="E72" i="8"/>
  <c r="H71" i="8"/>
  <c r="E71" i="8"/>
  <c r="H70" i="8"/>
  <c r="E70" i="8"/>
  <c r="H69" i="8"/>
  <c r="E69" i="8"/>
  <c r="H68" i="8"/>
  <c r="E68" i="8"/>
  <c r="H67" i="8"/>
  <c r="E67" i="8"/>
  <c r="H66" i="8"/>
  <c r="E66" i="8"/>
  <c r="H65" i="8"/>
  <c r="E65" i="8"/>
  <c r="H64" i="8"/>
  <c r="E64" i="8"/>
  <c r="H63" i="8"/>
  <c r="E63" i="8"/>
  <c r="H62" i="8"/>
  <c r="E62" i="8"/>
  <c r="H61" i="8"/>
  <c r="E61" i="8"/>
  <c r="H60" i="8"/>
  <c r="E60" i="8"/>
  <c r="H59" i="8"/>
  <c r="E59" i="8"/>
  <c r="H58" i="8"/>
  <c r="E58" i="8"/>
  <c r="H57" i="8"/>
  <c r="E57" i="8"/>
  <c r="H56" i="8"/>
  <c r="E56" i="8"/>
  <c r="H55" i="8"/>
  <c r="E55" i="8"/>
  <c r="H54" i="8"/>
  <c r="E54" i="8"/>
  <c r="H53" i="8"/>
  <c r="E53" i="8"/>
  <c r="H52" i="8"/>
  <c r="E52" i="8"/>
  <c r="H51" i="8"/>
  <c r="E51" i="8"/>
  <c r="H50" i="8"/>
  <c r="E50" i="8"/>
  <c r="H49" i="8"/>
  <c r="E49" i="8"/>
  <c r="E48" i="8"/>
  <c r="H48" i="8" s="1"/>
  <c r="E47" i="8"/>
  <c r="H47" i="8" s="1"/>
  <c r="H46" i="8"/>
  <c r="E46" i="8"/>
  <c r="H45" i="8"/>
  <c r="E45" i="8"/>
  <c r="E44" i="8"/>
  <c r="H44" i="8" s="1"/>
  <c r="H43" i="8"/>
  <c r="E43" i="8"/>
  <c r="H42" i="8"/>
  <c r="E42" i="8"/>
  <c r="E41" i="8"/>
  <c r="H41" i="8" s="1"/>
  <c r="E40" i="8"/>
  <c r="H40" i="8" s="1"/>
  <c r="H39" i="8"/>
  <c r="E39" i="8"/>
  <c r="H38" i="8"/>
  <c r="E38" i="8"/>
  <c r="E37" i="8"/>
  <c r="H37" i="8" s="1"/>
  <c r="E36" i="8"/>
  <c r="H36" i="8" s="1"/>
  <c r="H35" i="8"/>
  <c r="E35" i="8"/>
  <c r="H34" i="8"/>
  <c r="E34" i="8"/>
  <c r="E33" i="8"/>
  <c r="H33" i="8" s="1"/>
  <c r="E32" i="8"/>
  <c r="H32" i="8" s="1"/>
  <c r="H31" i="8"/>
  <c r="E31" i="8"/>
  <c r="H30" i="8"/>
  <c r="E30" i="8"/>
  <c r="H29" i="8"/>
  <c r="E29" i="8"/>
  <c r="E28" i="8"/>
  <c r="H28" i="8" s="1"/>
  <c r="H27" i="8"/>
  <c r="E27" i="8"/>
  <c r="H26" i="8"/>
  <c r="E26" i="8"/>
  <c r="E25" i="8"/>
  <c r="H25" i="8" s="1"/>
  <c r="E24" i="8"/>
  <c r="H24" i="8" s="1"/>
  <c r="H23" i="8"/>
  <c r="E23" i="8"/>
  <c r="H22" i="8"/>
  <c r="E22" i="8"/>
  <c r="E21" i="8"/>
  <c r="H21" i="8" s="1"/>
  <c r="E20" i="8"/>
  <c r="H20" i="8" s="1"/>
  <c r="H19" i="8"/>
  <c r="E19" i="8"/>
  <c r="H18" i="8"/>
  <c r="E18" i="8"/>
  <c r="E17" i="8"/>
  <c r="H17" i="8" s="1"/>
  <c r="E16" i="8"/>
  <c r="H16" i="8" s="1"/>
  <c r="H15" i="8"/>
  <c r="E15" i="8"/>
  <c r="H14" i="8"/>
  <c r="E14" i="8"/>
  <c r="H13" i="8"/>
  <c r="E13" i="8"/>
  <c r="E12" i="8"/>
  <c r="H12" i="8" s="1"/>
  <c r="H11" i="8"/>
  <c r="E11" i="8"/>
  <c r="H10" i="8"/>
  <c r="E10" i="8"/>
  <c r="E9" i="8"/>
  <c r="H9" i="8" s="1"/>
  <c r="E8" i="8"/>
  <c r="H8" i="8" s="1"/>
  <c r="H7" i="8"/>
  <c r="E7" i="8"/>
  <c r="H6" i="8"/>
  <c r="E6" i="8"/>
  <c r="E5" i="8"/>
  <c r="H5" i="8" s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E4" i="8"/>
  <c r="H150" i="8" l="1"/>
  <c r="E211" i="8"/>
  <c r="H4" i="8"/>
  <c r="D216" i="8" l="1"/>
  <c r="E216" i="8" s="1"/>
  <c r="E217" i="8" s="1"/>
  <c r="E221" i="8"/>
  <c r="E222" i="8" l="1"/>
  <c r="D221" i="8"/>
  <c r="AG91" i="6" l="1"/>
  <c r="AF91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A62" i="6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AO9" i="6"/>
  <c r="AN9" i="6"/>
  <c r="AM9" i="6"/>
  <c r="AK9" i="6"/>
  <c r="AJ9" i="6"/>
  <c r="AJ12" i="6" s="1"/>
  <c r="AL11" i="6" s="1"/>
  <c r="AI9" i="6"/>
  <c r="AI12" i="6" s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</calcChain>
</file>

<file path=xl/sharedStrings.xml><?xml version="1.0" encoding="utf-8"?>
<sst xmlns="http://schemas.openxmlformats.org/spreadsheetml/2006/main" count="500" uniqueCount="189">
  <si>
    <t>TC : FARIDA</t>
  </si>
  <si>
    <t>Jml Kali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</si>
  <si>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</si>
  <si>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</si>
  <si>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</si>
  <si>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</si>
  <si>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</si>
  <si>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</si>
  <si>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</si>
  <si>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</si>
  <si>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</si>
  <si>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</si>
  <si>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</si>
  <si>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</si>
  <si>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</si>
  <si>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</si>
  <si>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</si>
  <si>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</si>
  <si>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</si>
  <si>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</si>
  <si>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</si>
  <si>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</si>
  <si>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</si>
  <si>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FEB</t>
  </si>
  <si>
    <t>Value Transfer BG</t>
  </si>
  <si>
    <t>Tambahan</t>
  </si>
  <si>
    <t>YTD</t>
  </si>
  <si>
    <t>MTD</t>
  </si>
  <si>
    <t>PER BULAN</t>
  </si>
  <si>
    <t>Kios Tunai</t>
  </si>
  <si>
    <t>BG+KU</t>
  </si>
  <si>
    <t>Tunai</t>
  </si>
  <si>
    <t>Per Bulan</t>
  </si>
  <si>
    <t>Open Plafon OD/Over</t>
  </si>
  <si>
    <t>% Tunai</t>
  </si>
  <si>
    <t>Kios TF Tagih Tunai</t>
  </si>
  <si>
    <t>15 M</t>
  </si>
  <si>
    <t>Bulan</t>
  </si>
  <si>
    <t>Klasifikasi</t>
  </si>
  <si>
    <t>Farida</t>
  </si>
  <si>
    <t>Hendra</t>
  </si>
  <si>
    <t>Natasya</t>
  </si>
  <si>
    <t>Novista</t>
  </si>
  <si>
    <t>Safira</t>
  </si>
  <si>
    <t>Tiya</t>
  </si>
  <si>
    <t>Total Kios</t>
  </si>
  <si>
    <t>Kios Aman</t>
  </si>
  <si>
    <t>KALENDER PENAGIHAN TEAM COLLECTION</t>
  </si>
  <si>
    <t>Nama TC</t>
  </si>
  <si>
    <t>:</t>
  </si>
  <si>
    <t>FARIDA</t>
  </si>
  <si>
    <t>Wilayah</t>
  </si>
  <si>
    <t>Posisi Over Due</t>
  </si>
  <si>
    <t>30 &gt;</t>
  </si>
  <si>
    <t>No</t>
  </si>
  <si>
    <t>Nama Kios</t>
  </si>
  <si>
    <t>Ket</t>
  </si>
  <si>
    <t>TB</t>
  </si>
  <si>
    <t>T</t>
  </si>
  <si>
    <t>B</t>
  </si>
  <si>
    <t>OD &gt; 30</t>
  </si>
  <si>
    <t>TOTAL</t>
  </si>
  <si>
    <t>&lt; 30</t>
  </si>
  <si>
    <t>SIMULASI % OD</t>
  </si>
  <si>
    <t xml:space="preserve"> YANG HARUS DITAGIH</t>
  </si>
  <si>
    <t>Target OD Akhir Bulan</t>
  </si>
  <si>
    <t>Prediksi bayar</t>
  </si>
  <si>
    <t>sisa piutang</t>
  </si>
  <si>
    <t>Note</t>
  </si>
  <si>
    <t>Sisa OD</t>
  </si>
  <si>
    <t>diff</t>
  </si>
  <si>
    <t>SC</t>
  </si>
  <si>
    <t>Grand Total</t>
  </si>
  <si>
    <t>prediksi</t>
  </si>
  <si>
    <t>Simulasi penyelesaian OD &gt; 30</t>
  </si>
  <si>
    <t>Tot. piutang Februari</t>
  </si>
  <si>
    <t>OD30,60,90</t>
  </si>
  <si>
    <t>penyelesaian OD &gt; 30</t>
  </si>
  <si>
    <t>Simulasi OD 30+60</t>
  </si>
  <si>
    <t>Tot.piutang</t>
  </si>
  <si>
    <t>Sahala/Syaiful</t>
  </si>
  <si>
    <t>Hikmah Agung Tuban, CV</t>
  </si>
  <si>
    <t>Sumber Tani Makmur, UD/Suyitno, H</t>
  </si>
  <si>
    <t xml:space="preserve">inysAllah bisa rata" </t>
  </si>
  <si>
    <t>Lanta Bura</t>
  </si>
  <si>
    <t>Mohan Putra Mandiri</t>
  </si>
  <si>
    <t>Sumber Tani/Widi, H II</t>
  </si>
  <si>
    <t>Budi Karya Tani</t>
  </si>
  <si>
    <t>Unggul Jaya/Sholekun</t>
  </si>
  <si>
    <t>Tani Makmur/Syain</t>
  </si>
  <si>
    <t>Bunga Bertani, UD</t>
  </si>
  <si>
    <t>Balen Rejo</t>
  </si>
  <si>
    <t>Sumber Tani/Kudhori</t>
  </si>
  <si>
    <t>Asia Agro/Yudi</t>
  </si>
  <si>
    <t>Maju Jaya/Azwar</t>
  </si>
  <si>
    <t>Tani Mulyo Lestari/Puguh</t>
  </si>
  <si>
    <t>Sumber Tani, UD/Basuni</t>
  </si>
  <si>
    <t>Kampung Tani/Aguk</t>
  </si>
  <si>
    <t>Rio Tani/Trio</t>
  </si>
  <si>
    <t>Rizki Barokah</t>
  </si>
  <si>
    <t>Abdi Tani/Yuswito</t>
  </si>
  <si>
    <t>Eko Tani/Eko</t>
  </si>
  <si>
    <t>Tani Jaya/Erna</t>
  </si>
  <si>
    <t>Sumber Tani/Sugeng</t>
  </si>
  <si>
    <t>Rika Tani/Gimun</t>
  </si>
  <si>
    <t>Berkah Izzam/Adif</t>
  </si>
  <si>
    <t>Nayunda/Edi</t>
  </si>
  <si>
    <t>Duta Buah Putra/Furkon</t>
  </si>
  <si>
    <t>Saka Tani/Marsilah</t>
  </si>
  <si>
    <t>Karya Tani Makmur/Irwanto</t>
  </si>
  <si>
    <t>Berkah Tani/Joko</t>
  </si>
  <si>
    <t>Berkat Tani/Benny</t>
  </si>
  <si>
    <t>Tulus Ayu</t>
  </si>
  <si>
    <t>Sumber Mulya/Eko</t>
  </si>
  <si>
    <t>Harian Jaya</t>
  </si>
  <si>
    <t>Biso Tani/Supriadi</t>
  </si>
  <si>
    <t>Agro Makmur/Gamiran</t>
  </si>
  <si>
    <t>Mitra Tani/Hanto</t>
  </si>
  <si>
    <t>Putra Jaya/Sholeh</t>
  </si>
  <si>
    <t>Konco Tani/Ali Z</t>
  </si>
  <si>
    <t>Hari Tani, UD/Amin</t>
  </si>
  <si>
    <t>Tani Makmur/Priyono</t>
  </si>
  <si>
    <t>Karya Tani/Ari Miru</t>
  </si>
  <si>
    <t>Bakoel Tani/Dayen</t>
  </si>
  <si>
    <t>Agro Mandiri/Nurlaela</t>
  </si>
  <si>
    <t>Pertanian Yuliana/Tumiran</t>
  </si>
  <si>
    <t>Sumber Waras/Celinda</t>
  </si>
  <si>
    <t>Sumber Agung/Sutikno</t>
  </si>
  <si>
    <t>Arkha Jaya Makmur/Atma</t>
  </si>
  <si>
    <t>Tani Jaya/Irawan</t>
  </si>
  <si>
    <t>Petroka Tani</t>
  </si>
  <si>
    <t>Roda Tani/Srinarsih</t>
  </si>
  <si>
    <t>akhir Maret</t>
  </si>
  <si>
    <t>MAR</t>
  </si>
  <si>
    <t>150Jt</t>
  </si>
  <si>
    <t>BULAN MARET 2026</t>
  </si>
  <si>
    <t>Jatim Utara dan Barat</t>
  </si>
  <si>
    <t>Wahono, Kios</t>
  </si>
  <si>
    <t>Barokah Tani/Nur Hisan</t>
  </si>
  <si>
    <t>Jaya Bersama/Eko</t>
  </si>
  <si>
    <t>Anugrah Tani Sejahtera/Siswoyo Adi P</t>
  </si>
  <si>
    <t>Kawan Tani/Titik</t>
  </si>
  <si>
    <t>Mitra Tani/Bajuri</t>
  </si>
  <si>
    <t>Andalas Farm, UD</t>
  </si>
  <si>
    <t>Mandiri Tani/Fitri</t>
  </si>
  <si>
    <t>Agrikultur Gelora Nusantara, PT/Eric</t>
  </si>
  <si>
    <t>Abiyu Tani/Wahyu Cahyo</t>
  </si>
  <si>
    <t>Sumber Makmur/Masrokib</t>
  </si>
  <si>
    <t>Ratna Jaya</t>
  </si>
  <si>
    <t>Gangsar Tani/Noto, H</t>
  </si>
  <si>
    <t>Tani WSM Sejahtera/Sulistiawan</t>
  </si>
  <si>
    <t>Tani Unggul Jaya/Jayat</t>
  </si>
  <si>
    <t>Benih Jaya</t>
  </si>
  <si>
    <t>Djago Tani/Edi</t>
  </si>
  <si>
    <t>Cahaya Tani/Damiyanto</t>
  </si>
  <si>
    <t>Hikmah Tani/Elma</t>
  </si>
  <si>
    <t>Karya Tani/Agus</t>
  </si>
  <si>
    <t>Karya Tani/Ana</t>
  </si>
  <si>
    <t>Barokah Tani/Widianto</t>
  </si>
  <si>
    <t>Handal Tani/Handal</t>
  </si>
  <si>
    <t>Kawan Tani/Priyo</t>
  </si>
  <si>
    <t>Mitra Tani/Suharto</t>
  </si>
  <si>
    <t>Fajar Tani Muliya/Ibnu</t>
  </si>
  <si>
    <t>Sumber Makmur Tani</t>
  </si>
  <si>
    <t>Berkah Tani/Agnes</t>
  </si>
  <si>
    <t>Citra Tani, UD/Zaenal</t>
  </si>
  <si>
    <t>Jaya Makmur/Rama</t>
  </si>
  <si>
    <t>Sumber Tani Makmur, CV/Muslim</t>
  </si>
  <si>
    <t>Wiyono, Kios</t>
  </si>
  <si>
    <t>Mitra Usaha, UD/Supris</t>
  </si>
  <si>
    <t>Zifa Tani/Purwanto</t>
  </si>
  <si>
    <t>Tani Mulyo/Tarmi</t>
  </si>
  <si>
    <t>Agro Tani/Rusdi</t>
  </si>
  <si>
    <t>D Live Tani</t>
  </si>
  <si>
    <t>Wisdomargo/Wiwi Anggraeni</t>
  </si>
  <si>
    <t>Bumi Tani/Aji Santoso</t>
  </si>
  <si>
    <t>Radel Tani</t>
  </si>
  <si>
    <t>Paknam, Toko</t>
  </si>
  <si>
    <t>Mulya Tani/Slamet</t>
  </si>
  <si>
    <t>Agro Jaya Makmur Abadi/Delia</t>
  </si>
  <si>
    <t>Sari Tani/Tukirin</t>
  </si>
  <si>
    <t>Rejo Jaya</t>
  </si>
  <si>
    <t>Berkah Tani/Dhita</t>
  </si>
  <si>
    <t>Restu Jaya/Haris</t>
  </si>
  <si>
    <t>Berkah Tani Lestari/Kuncoro</t>
  </si>
  <si>
    <t>Ridho Tani/Irwansyah</t>
  </si>
  <si>
    <t>Sahabat Tani, UD/Edy</t>
  </si>
  <si>
    <t>Metro Tani/Imam</t>
  </si>
  <si>
    <t>Tani Jaya/Firza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</si>
</sst>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[$-409]d\-mmm\-yy;@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9"/>
      <color theme="1"/>
      <name val="Arial Narrow"/>
      <family val="2"/>
      <charset val="1"/>
    </font>
    <font>
      <sz val="11"/>
      <color theme="1"/>
      <name val="Calibri"/>
      <family val="2"/>
      <charset val="1"/>
      <scheme val="minor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8"/>
      <color indexed="8"/>
      <name val="Arial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2"/>
      <color rgb="FF0000A0"/>
      <name val="Tahoma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rgb="FF080000"/>
      <name val="Tahoma"/>
      <family val="2"/>
    </font>
    <font>
      <sz val="8"/>
      <color rgb="FF000000"/>
      <name val="Wingdings"/>
      <charset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20"/>
      <color rgb="FF434889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10"/>
      <color rgb="FF000000"/>
      <name val="Tahoma"/>
      <family val="2"/>
    </font>
    <font>
      <b/>
      <sz val="16"/>
      <color rgb="FF1079AE"/>
      <name val="Segoe UI"/>
      <family val="2"/>
    </font>
    <font>
      <b/>
      <sz val="12"/>
      <color rgb="FF000000"/>
      <name val="Arial"/>
      <family val="2"/>
    </font>
    <font>
      <b/>
      <sz val="8"/>
      <color rgb="FF000000"/>
      <name val="Tahoma"/>
      <family val="2"/>
    </font>
    <font>
      <b/>
      <sz val="18"/>
      <color rgb="FF0000A0"/>
      <name val="Arial"/>
      <family val="2"/>
    </font>
    <font>
      <b/>
      <sz val="9"/>
      <color indexed="16"/>
      <name val="Arial"/>
      <family val="2"/>
    </font>
    <font>
      <b/>
      <sz val="13"/>
      <color rgb="FF000000"/>
      <name val="Segoe UI"/>
      <family val="2"/>
    </font>
    <font>
      <b/>
      <sz val="11"/>
      <color rgb="FF000080"/>
      <name val="Arial"/>
      <family val="2"/>
    </font>
    <font>
      <b/>
      <sz val="8"/>
      <color rgb="FF800000"/>
      <name val="Arial"/>
      <family val="2"/>
    </font>
    <font>
      <b/>
      <sz val="8"/>
      <color rgb="FF800000"/>
      <name val="Segoe UI"/>
      <family val="2"/>
    </font>
    <font>
      <sz val="8"/>
      <color indexed="8"/>
      <name val="Tahoma"/>
      <family val="2"/>
    </font>
    <font>
      <sz val="10"/>
      <color rgb="FF000000"/>
      <name val="Tahoma"/>
      <family val="2"/>
    </font>
    <font>
      <sz val="9"/>
      <color rgb="FF000000"/>
      <name val="Tahoma"/>
      <family val="2"/>
    </font>
    <font>
      <sz val="10"/>
      <color rgb="FF080000"/>
      <name val="Arial"/>
      <family val="2"/>
    </font>
    <font>
      <sz val="9"/>
      <color theme="0"/>
      <name val="Arial Unicode MS"/>
      <family val="2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b/>
      <sz val="10"/>
      <color theme="1"/>
      <name val="Lao UI"/>
      <family val="2"/>
    </font>
    <font>
      <sz val="8.5"/>
      <name val="Arial"/>
      <family val="2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.5"/>
      <color rgb="FFFF0000"/>
      <name val="Arial"/>
      <family val="2"/>
    </font>
    <font>
      <b/>
      <sz val="8.5"/>
      <color rgb="FFFF0000"/>
      <name val="Arial"/>
      <family val="2"/>
    </font>
    <font>
      <b/>
      <sz val="8.5"/>
      <name val="Arial"/>
      <family val="2"/>
    </font>
    <font>
      <sz val="8.5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b/>
      <sz val="14"/>
      <color indexed="8"/>
      <name val="Arial"/>
      <family val="2"/>
    </font>
    <font>
      <b/>
      <sz val="8"/>
      <color indexed="8"/>
      <name val="Tahoma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1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5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41" fontId="15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9" fillId="0" borderId="0"/>
    <xf numFmtId="0" fontId="18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39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8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center" vertical="top"/>
    </xf>
    <xf numFmtId="0" fontId="17" fillId="0" borderId="0">
      <alignment horizontal="center" vertical="top"/>
    </xf>
    <xf numFmtId="0" fontId="17" fillId="0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left" vertical="top"/>
    </xf>
    <xf numFmtId="0" fontId="17" fillId="40" borderId="0">
      <alignment horizontal="center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center" vertical="top"/>
    </xf>
    <xf numFmtId="0" fontId="17" fillId="0" borderId="0">
      <alignment horizontal="center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25" fillId="0" borderId="0">
      <alignment horizontal="left" vertical="top"/>
    </xf>
    <xf numFmtId="0" fontId="17" fillId="40" borderId="0">
      <alignment horizontal="center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6" fillId="40" borderId="0">
      <alignment horizontal="center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7" fillId="0" borderId="0">
      <alignment horizontal="right" vertical="top"/>
    </xf>
    <xf numFmtId="0" fontId="24" fillId="0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top"/>
    </xf>
    <xf numFmtId="0" fontId="17" fillId="40" borderId="0">
      <alignment horizontal="left" vertical="top"/>
    </xf>
    <xf numFmtId="0" fontId="30" fillId="0" borderId="0">
      <alignment horizontal="left" vertical="top"/>
    </xf>
    <xf numFmtId="0" fontId="31" fillId="0" borderId="0">
      <alignment horizontal="right" vertical="top"/>
    </xf>
    <xf numFmtId="0" fontId="32" fillId="0" borderId="0">
      <alignment horizontal="right" vertical="center"/>
    </xf>
    <xf numFmtId="0" fontId="27" fillId="0" borderId="0">
      <alignment horizontal="left" vertical="top"/>
    </xf>
    <xf numFmtId="0" fontId="28" fillId="0" borderId="0">
      <alignment horizontal="left" vertical="top"/>
    </xf>
    <xf numFmtId="0" fontId="27" fillId="0" borderId="0">
      <alignment horizontal="left" vertical="top"/>
    </xf>
    <xf numFmtId="0" fontId="33" fillId="40" borderId="0">
      <alignment horizontal="left" vertical="top"/>
    </xf>
    <xf numFmtId="0" fontId="17" fillId="40" borderId="0">
      <alignment horizontal="left" vertical="top"/>
    </xf>
    <xf numFmtId="0" fontId="33" fillId="40" borderId="0">
      <alignment horizontal="left" vertical="top"/>
    </xf>
    <xf numFmtId="0" fontId="17" fillId="40" borderId="0">
      <alignment horizontal="left" vertical="top"/>
    </xf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right" vertical="top"/>
    </xf>
    <xf numFmtId="0" fontId="17" fillId="0" borderId="0">
      <alignment horizontal="left" vertical="top"/>
    </xf>
    <xf numFmtId="0" fontId="17" fillId="0" borderId="0">
      <alignment horizontal="right" vertical="top"/>
    </xf>
    <xf numFmtId="0" fontId="24" fillId="0" borderId="0">
      <alignment horizontal="right" vertical="top"/>
    </xf>
    <xf numFmtId="0" fontId="34" fillId="0" borderId="0">
      <alignment horizontal="left" vertical="top"/>
    </xf>
    <xf numFmtId="0" fontId="17" fillId="40" borderId="0">
      <alignment horizontal="left" vertical="top"/>
    </xf>
    <xf numFmtId="0" fontId="30" fillId="0" borderId="0">
      <alignment horizontal="left" vertical="top"/>
    </xf>
    <xf numFmtId="0" fontId="31" fillId="0" borderId="0">
      <alignment horizontal="left" vertical="top"/>
    </xf>
    <xf numFmtId="0" fontId="30" fillId="0" borderId="0">
      <alignment horizontal="right" vertical="top"/>
    </xf>
    <xf numFmtId="0" fontId="20" fillId="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31" fillId="40" borderId="0">
      <alignment horizontal="right" vertical="top"/>
    </xf>
    <xf numFmtId="0" fontId="17" fillId="40" borderId="0">
      <alignment horizontal="left" vertical="top"/>
    </xf>
    <xf numFmtId="0" fontId="31" fillId="40" borderId="0">
      <alignment horizontal="right" vertical="top"/>
    </xf>
    <xf numFmtId="0" fontId="17" fillId="0" borderId="0">
      <alignment horizontal="left" vertical="top"/>
    </xf>
    <xf numFmtId="0" fontId="17" fillId="0" borderId="0">
      <alignment horizontal="righ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31" fillId="0" borderId="0">
      <alignment horizontal="right" vertical="top"/>
    </xf>
    <xf numFmtId="0" fontId="28" fillId="0" borderId="0">
      <alignment horizontal="left" vertical="top"/>
    </xf>
    <xf numFmtId="0" fontId="20" fillId="0" borderId="0">
      <alignment horizontal="left" vertical="top"/>
    </xf>
    <xf numFmtId="0" fontId="27" fillId="0" borderId="0">
      <alignment horizontal="righ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31" fillId="0" borderId="0">
      <alignment horizontal="left" vertical="top"/>
    </xf>
    <xf numFmtId="0" fontId="31" fillId="0" borderId="0">
      <alignment horizontal="right" vertical="top"/>
    </xf>
    <xf numFmtId="0" fontId="17" fillId="0" borderId="0">
      <alignment horizontal="right" vertical="top"/>
    </xf>
    <xf numFmtId="0" fontId="30" fillId="0" borderId="0">
      <alignment horizontal="right" vertical="top"/>
    </xf>
    <xf numFmtId="0" fontId="20" fillId="0" borderId="0">
      <alignment horizontal="right" vertical="top"/>
    </xf>
    <xf numFmtId="0" fontId="27" fillId="0" borderId="0">
      <alignment horizontal="right" vertical="top"/>
    </xf>
    <xf numFmtId="0" fontId="35" fillId="0" borderId="0">
      <alignment horizontal="right" vertical="center"/>
    </xf>
    <xf numFmtId="0" fontId="34" fillId="0" borderId="0">
      <alignment horizontal="left" vertical="top"/>
    </xf>
    <xf numFmtId="0" fontId="36" fillId="39" borderId="0">
      <alignment horizontal="left" vertical="top"/>
    </xf>
    <xf numFmtId="0" fontId="17" fillId="0" borderId="0">
      <alignment horizontal="left" vertical="top"/>
    </xf>
    <xf numFmtId="0" fontId="36" fillId="39" borderId="0">
      <alignment horizontal="left" vertical="top"/>
    </xf>
    <xf numFmtId="0" fontId="31" fillId="0" borderId="0">
      <alignment horizontal="left" vertical="top"/>
    </xf>
    <xf numFmtId="0" fontId="17" fillId="0" borderId="0">
      <alignment horizontal="left" vertical="top"/>
    </xf>
    <xf numFmtId="0" fontId="30" fillId="0" borderId="0">
      <alignment horizontal="right" vertical="top"/>
    </xf>
    <xf numFmtId="0" fontId="37" fillId="0" borderId="0">
      <alignment horizontal="left" vertical="top"/>
    </xf>
    <xf numFmtId="0" fontId="20" fillId="0" borderId="0">
      <alignment horizontal="right" vertical="top"/>
    </xf>
    <xf numFmtId="0" fontId="34" fillId="0" borderId="0">
      <alignment horizontal="left" vertical="center"/>
    </xf>
    <xf numFmtId="0" fontId="38" fillId="41" borderId="0">
      <alignment horizontal="left" vertical="top"/>
    </xf>
    <xf numFmtId="0" fontId="38" fillId="0" borderId="0">
      <alignment horizontal="left" vertical="top"/>
    </xf>
    <xf numFmtId="0" fontId="17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35" fillId="0" borderId="0">
      <alignment horizontal="right" vertical="top"/>
    </xf>
    <xf numFmtId="0" fontId="38" fillId="0" borderId="0">
      <alignment horizontal="left" vertical="top"/>
    </xf>
    <xf numFmtId="0" fontId="20" fillId="0" borderId="0">
      <alignment horizontal="left" vertical="top"/>
    </xf>
    <xf numFmtId="0" fontId="35" fillId="0" borderId="0">
      <alignment horizontal="left" vertical="top"/>
    </xf>
    <xf numFmtId="0" fontId="35" fillId="0" borderId="0">
      <alignment horizontal="right" vertical="center"/>
    </xf>
    <xf numFmtId="0" fontId="35" fillId="42" borderId="0">
      <alignment horizontal="left" vertical="center"/>
    </xf>
    <xf numFmtId="0" fontId="35" fillId="42" borderId="0">
      <alignment horizontal="right" vertical="center"/>
    </xf>
    <xf numFmtId="0" fontId="20" fillId="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39" fillId="40" borderId="0">
      <alignment horizontal="center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center" vertical="top"/>
    </xf>
    <xf numFmtId="0" fontId="17" fillId="0" borderId="0">
      <alignment horizontal="center" vertical="top"/>
    </xf>
    <xf numFmtId="0" fontId="17" fillId="0" borderId="0">
      <alignment horizontal="left" vertical="top"/>
    </xf>
    <xf numFmtId="0" fontId="40" fillId="0" borderId="0">
      <alignment horizontal="left" vertical="top"/>
    </xf>
    <xf numFmtId="0" fontId="41" fillId="0" borderId="0">
      <alignment horizontal="left" vertical="top"/>
    </xf>
    <xf numFmtId="0" fontId="17" fillId="40" borderId="0">
      <alignment horizontal="center" vertical="top"/>
    </xf>
    <xf numFmtId="0" fontId="20" fillId="0" borderId="0">
      <alignment horizontal="right" vertical="top"/>
    </xf>
    <xf numFmtId="0" fontId="20" fillId="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42" fillId="40" borderId="0">
      <alignment horizontal="center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right" vertical="top"/>
    </xf>
    <xf numFmtId="0" fontId="34" fillId="0" borderId="0">
      <alignment horizontal="left" vertical="top"/>
    </xf>
    <xf numFmtId="0" fontId="27" fillId="41" borderId="0">
      <alignment horizontal="left" vertical="top"/>
    </xf>
    <xf numFmtId="0" fontId="27" fillId="41" borderId="0">
      <alignment horizontal="left" vertical="top"/>
    </xf>
    <xf numFmtId="0" fontId="27" fillId="41" borderId="0">
      <alignment horizontal="right" vertical="top"/>
    </xf>
    <xf numFmtId="0" fontId="34" fillId="41" borderId="0">
      <alignment horizontal="left" vertical="top"/>
    </xf>
    <xf numFmtId="0" fontId="35" fillId="42" borderId="0">
      <alignment horizontal="right" vertical="center"/>
    </xf>
    <xf numFmtId="0" fontId="38" fillId="42" borderId="0">
      <alignment horizontal="left" vertical="top"/>
    </xf>
    <xf numFmtId="0" fontId="43" fillId="0" borderId="0">
      <alignment horizontal="center" vertical="top"/>
    </xf>
    <xf numFmtId="0" fontId="43" fillId="0" borderId="0">
      <alignment horizontal="center" vertical="top"/>
    </xf>
    <xf numFmtId="0" fontId="44" fillId="40" borderId="0">
      <alignment horizontal="center" vertical="top"/>
    </xf>
    <xf numFmtId="0" fontId="17" fillId="40" borderId="0">
      <alignment horizontal="left" vertical="top"/>
    </xf>
    <xf numFmtId="0" fontId="41" fillId="40" borderId="0">
      <alignment horizontal="center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45" fillId="0" borderId="0">
      <alignment horizontal="left" vertical="top"/>
    </xf>
    <xf numFmtId="0" fontId="17" fillId="40" borderId="0">
      <alignment horizontal="left" vertical="top"/>
    </xf>
    <xf numFmtId="0" fontId="46" fillId="0" borderId="0">
      <alignment horizontal="center" vertical="top"/>
    </xf>
    <xf numFmtId="0" fontId="38" fillId="42" borderId="0">
      <alignment horizontal="left" vertical="top"/>
    </xf>
    <xf numFmtId="0" fontId="38" fillId="0" borderId="0">
      <alignment horizontal="left" vertical="top"/>
    </xf>
    <xf numFmtId="0" fontId="38" fillId="41" borderId="0">
      <alignment horizontal="left" vertical="top"/>
    </xf>
    <xf numFmtId="0" fontId="38" fillId="41" borderId="0">
      <alignment horizontal="left" vertical="top"/>
    </xf>
    <xf numFmtId="0" fontId="38" fillId="0" borderId="0">
      <alignment horizontal="left" vertical="top"/>
    </xf>
    <xf numFmtId="0" fontId="38" fillId="42" borderId="0">
      <alignment horizontal="left" vertical="top"/>
    </xf>
    <xf numFmtId="0" fontId="38" fillId="42" borderId="0">
      <alignment horizontal="left" vertical="top"/>
    </xf>
    <xf numFmtId="0" fontId="48" fillId="0" borderId="0">
      <alignment horizontal="center" vertical="top"/>
    </xf>
    <xf numFmtId="0" fontId="17" fillId="40" borderId="0">
      <alignment horizontal="left" vertical="top"/>
    </xf>
    <xf numFmtId="0" fontId="38" fillId="0" borderId="0">
      <alignment horizontal="left" vertical="top"/>
    </xf>
    <xf numFmtId="0" fontId="17" fillId="40" borderId="0">
      <alignment horizontal="left" vertical="top"/>
    </xf>
    <xf numFmtId="0" fontId="25" fillId="0" borderId="0">
      <alignment horizontal="center" vertical="top"/>
    </xf>
    <xf numFmtId="0" fontId="48" fillId="0" borderId="0">
      <alignment horizontal="center" vertical="top"/>
    </xf>
    <xf numFmtId="0" fontId="48" fillId="0" borderId="0">
      <alignment horizontal="center" vertical="top"/>
    </xf>
    <xf numFmtId="0" fontId="17" fillId="40" borderId="0">
      <alignment horizontal="left" vertical="top"/>
    </xf>
    <xf numFmtId="0" fontId="29" fillId="0" borderId="0">
      <alignment horizontal="left" vertical="top"/>
    </xf>
    <xf numFmtId="0" fontId="49" fillId="40" borderId="0">
      <alignment horizontal="center" vertical="top"/>
    </xf>
    <xf numFmtId="0" fontId="17" fillId="40" borderId="0">
      <alignment horizontal="left" vertical="top"/>
    </xf>
    <xf numFmtId="0" fontId="50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left" vertical="top"/>
    </xf>
    <xf numFmtId="0" fontId="17" fillId="40" borderId="0">
      <alignment horizontal="left" vertical="top"/>
    </xf>
    <xf numFmtId="0" fontId="33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29" fillId="0" borderId="0">
      <alignment horizontal="left" vertical="top"/>
    </xf>
    <xf numFmtId="0" fontId="51" fillId="0" borderId="0">
      <alignment horizontal="center" vertical="top"/>
    </xf>
    <xf numFmtId="0" fontId="17" fillId="40" borderId="0">
      <alignment horizontal="left" vertical="top"/>
    </xf>
    <xf numFmtId="0" fontId="41" fillId="0" borderId="0">
      <alignment horizontal="center" vertical="top"/>
    </xf>
    <xf numFmtId="0" fontId="29" fillId="4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left" vertical="top"/>
    </xf>
    <xf numFmtId="0" fontId="31" fillId="40" borderId="0">
      <alignment horizontal="left" vertical="center"/>
    </xf>
    <xf numFmtId="0" fontId="17" fillId="40" borderId="0">
      <alignment horizontal="left" vertical="top"/>
    </xf>
    <xf numFmtId="0" fontId="51" fillId="0" borderId="0">
      <alignment horizontal="center" vertical="top"/>
    </xf>
    <xf numFmtId="0" fontId="50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righ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1" fillId="0" borderId="0">
      <alignment horizontal="left" vertical="top"/>
    </xf>
    <xf numFmtId="0" fontId="29" fillId="0" borderId="0">
      <alignment horizontal="left" vertical="top"/>
    </xf>
    <xf numFmtId="0" fontId="1" fillId="0" borderId="0">
      <alignment horizontal="left" vertical="top"/>
    </xf>
    <xf numFmtId="0" fontId="35" fillId="0" borderId="0">
      <alignment horizontal="left" vertical="center"/>
    </xf>
    <xf numFmtId="0" fontId="24" fillId="0" borderId="0">
      <alignment horizontal="right" vertical="top"/>
    </xf>
    <xf numFmtId="0" fontId="1" fillId="0" borderId="0">
      <alignment horizontal="right" vertical="top"/>
    </xf>
    <xf numFmtId="0" fontId="29" fillId="0" borderId="0">
      <alignment horizontal="right" vertical="top"/>
    </xf>
    <xf numFmtId="0" fontId="1" fillId="0" borderId="0">
      <alignment horizontal="right" vertical="top"/>
    </xf>
    <xf numFmtId="0" fontId="29" fillId="0" borderId="0">
      <alignment horizontal="left" vertical="top"/>
    </xf>
    <xf numFmtId="0" fontId="17" fillId="40" borderId="0">
      <alignment horizontal="right" vertical="top"/>
    </xf>
    <xf numFmtId="0" fontId="31" fillId="0" borderId="0">
      <alignment horizontal="left" vertical="top"/>
    </xf>
    <xf numFmtId="0" fontId="31" fillId="0" borderId="0">
      <alignment horizontal="center" vertical="center"/>
    </xf>
    <xf numFmtId="0" fontId="35" fillId="0" borderId="0">
      <alignment horizontal="left" vertical="center"/>
    </xf>
    <xf numFmtId="0" fontId="29" fillId="0" borderId="0">
      <alignment horizontal="right" vertical="top"/>
    </xf>
    <xf numFmtId="0" fontId="29" fillId="0" borderId="0">
      <alignment horizontal="right" vertical="top"/>
    </xf>
    <xf numFmtId="0" fontId="38" fillId="42" borderId="0">
      <alignment horizontal="left" vertical="top"/>
    </xf>
    <xf numFmtId="0" fontId="53" fillId="40" borderId="0">
      <alignment horizontal="left" vertical="top"/>
    </xf>
    <xf numFmtId="0" fontId="17" fillId="40" borderId="0">
      <alignment horizontal="right" vertical="top"/>
    </xf>
    <xf numFmtId="0" fontId="32" fillId="4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right" vertical="top"/>
    </xf>
    <xf numFmtId="0" fontId="17" fillId="0" borderId="0">
      <alignment horizontal="left" vertical="top"/>
    </xf>
    <xf numFmtId="0" fontId="17" fillId="0" borderId="0">
      <alignment horizontal="right" vertical="top"/>
    </xf>
    <xf numFmtId="0" fontId="35" fillId="0" borderId="0">
      <alignment horizontal="right" vertical="center"/>
    </xf>
    <xf numFmtId="0" fontId="1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right" vertical="top"/>
    </xf>
    <xf numFmtId="0" fontId="17" fillId="40" borderId="0">
      <alignment horizontal="left" vertical="top"/>
    </xf>
    <xf numFmtId="0" fontId="31" fillId="0" borderId="0">
      <alignment horizontal="left" vertical="top"/>
    </xf>
    <xf numFmtId="0" fontId="32" fillId="0" borderId="0">
      <alignment horizontal="left" vertical="center"/>
    </xf>
    <xf numFmtId="0" fontId="35" fillId="0" borderId="0">
      <alignment horizontal="left" vertical="center"/>
    </xf>
    <xf numFmtId="0" fontId="29" fillId="0" borderId="0">
      <alignment horizontal="left" vertical="top"/>
    </xf>
    <xf numFmtId="0" fontId="54" fillId="0" borderId="0">
      <alignment horizontal="left" vertical="top"/>
    </xf>
    <xf numFmtId="0" fontId="29" fillId="0" borderId="0">
      <alignment horizontal="left" vertical="top"/>
    </xf>
    <xf numFmtId="0" fontId="54" fillId="0" borderId="0">
      <alignment horizontal="left" vertical="top"/>
    </xf>
    <xf numFmtId="0" fontId="35" fillId="0" borderId="0">
      <alignment horizontal="left" vertical="center"/>
    </xf>
    <xf numFmtId="0" fontId="55" fillId="40" borderId="0">
      <alignment horizontal="left" vertical="top"/>
    </xf>
    <xf numFmtId="0" fontId="29" fillId="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righ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27" fillId="0" borderId="0">
      <alignment horizontal="left" vertical="top"/>
    </xf>
    <xf numFmtId="0" fontId="32" fillId="0" borderId="0">
      <alignment horizontal="left" vertical="center"/>
    </xf>
    <xf numFmtId="0" fontId="35" fillId="0" borderId="0">
      <alignment horizontal="right" vertical="center"/>
    </xf>
    <xf numFmtId="0" fontId="35" fillId="0" borderId="0">
      <alignment horizontal="right" vertical="center"/>
    </xf>
    <xf numFmtId="0" fontId="53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right" vertical="top"/>
    </xf>
    <xf numFmtId="0" fontId="17" fillId="40" borderId="0">
      <alignment horizontal="left" vertical="top"/>
    </xf>
    <xf numFmtId="0" fontId="29" fillId="0" borderId="0">
      <alignment horizontal="lef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45" fillId="0" borderId="0">
      <alignment horizontal="left" vertical="top"/>
    </xf>
    <xf numFmtId="0" fontId="29" fillId="0" borderId="0">
      <alignment horizontal="left" vertical="top"/>
    </xf>
    <xf numFmtId="0" fontId="17" fillId="40" borderId="0">
      <alignment horizontal="left" vertical="top"/>
    </xf>
    <xf numFmtId="0" fontId="31" fillId="0" borderId="0">
      <alignment horizontal="right" vertical="top"/>
    </xf>
    <xf numFmtId="0" fontId="27" fillId="0" borderId="0">
      <alignment horizontal="left" vertical="top"/>
    </xf>
    <xf numFmtId="0" fontId="29" fillId="0" borderId="0">
      <alignment horizontal="left" vertical="top"/>
    </xf>
    <xf numFmtId="0" fontId="27" fillId="0" borderId="0">
      <alignment horizontal="left" vertical="top"/>
    </xf>
    <xf numFmtId="0" fontId="30" fillId="0" borderId="0">
      <alignment horizontal="left" vertical="top"/>
    </xf>
    <xf numFmtId="0" fontId="17" fillId="40" borderId="0">
      <alignment horizontal="right" vertical="top"/>
    </xf>
    <xf numFmtId="0" fontId="20" fillId="0" borderId="0">
      <alignment horizontal="left" vertical="top"/>
    </xf>
    <xf numFmtId="0" fontId="32" fillId="0" borderId="0">
      <alignment horizontal="center" vertical="center"/>
    </xf>
    <xf numFmtId="0" fontId="27" fillId="0" borderId="0">
      <alignment horizontal="left" vertical="top"/>
    </xf>
    <xf numFmtId="0" fontId="38" fillId="0" borderId="0">
      <alignment horizontal="left" vertical="top"/>
    </xf>
    <xf numFmtId="0" fontId="53" fillId="40" borderId="0">
      <alignment horizontal="right" vertical="top"/>
    </xf>
    <xf numFmtId="0" fontId="17" fillId="40" borderId="0">
      <alignment horizontal="right" vertical="top"/>
    </xf>
    <xf numFmtId="0" fontId="29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9" fontId="1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166" fontId="1" fillId="0" borderId="0"/>
    <xf numFmtId="166" fontId="1" fillId="0" borderId="0"/>
    <xf numFmtId="0" fontId="75" fillId="0" borderId="0">
      <alignment horizontal="right" vertical="top"/>
    </xf>
    <xf numFmtId="0" fontId="76" fillId="0" borderId="0">
      <alignment horizontal="left" vertical="top"/>
    </xf>
    <xf numFmtId="0" fontId="75" fillId="0" borderId="0">
      <alignment horizontal="left" vertical="top"/>
    </xf>
    <xf numFmtId="0" fontId="77" fillId="0" borderId="0">
      <alignment horizontal="left" vertical="top"/>
    </xf>
    <xf numFmtId="0" fontId="20" fillId="0" borderId="0">
      <alignment horizontal="left" vertical="top"/>
    </xf>
    <xf numFmtId="166" fontId="29" fillId="0" borderId="0">
      <alignment horizontal="left" vertical="top"/>
    </xf>
    <xf numFmtId="0" fontId="52" fillId="0" borderId="0">
      <alignment horizontal="left" vertical="top"/>
    </xf>
    <xf numFmtId="0" fontId="20" fillId="0" borderId="0">
      <alignment horizontal="right" vertical="top"/>
    </xf>
    <xf numFmtId="0" fontId="27" fillId="0" borderId="0">
      <alignment horizontal="right" vertical="top"/>
    </xf>
    <xf numFmtId="166" fontId="20" fillId="0" borderId="0">
      <alignment horizontal="right" vertical="top"/>
    </xf>
    <xf numFmtId="0" fontId="23" fillId="0" borderId="0">
      <alignment horizontal="right" vertical="top"/>
    </xf>
    <xf numFmtId="0" fontId="29" fillId="0" borderId="0">
      <alignment horizontal="left" vertical="top"/>
    </xf>
    <xf numFmtId="166" fontId="20" fillId="0" borderId="0">
      <alignment horizontal="right" vertical="top"/>
    </xf>
    <xf numFmtId="0" fontId="27" fillId="0" borderId="0">
      <alignment horizontal="left" vertical="top"/>
    </xf>
    <xf numFmtId="0" fontId="23" fillId="0" borderId="0">
      <alignment horizontal="right" vertical="top"/>
    </xf>
    <xf numFmtId="0" fontId="32" fillId="0" borderId="0">
      <alignment horizontal="left" vertical="center"/>
    </xf>
    <xf numFmtId="0" fontId="20" fillId="0" borderId="0">
      <alignment horizontal="left" vertical="top"/>
    </xf>
    <xf numFmtId="166" fontId="20" fillId="0" borderId="0">
      <alignment horizontal="left" vertical="top"/>
    </xf>
    <xf numFmtId="0" fontId="29" fillId="0" borderId="0">
      <alignment horizontal="left" vertical="top"/>
    </xf>
    <xf numFmtId="0" fontId="27" fillId="0" borderId="0">
      <alignment horizontal="right" vertical="top"/>
    </xf>
    <xf numFmtId="0" fontId="31" fillId="0" borderId="0">
      <alignment horizontal="right" vertical="top"/>
    </xf>
    <xf numFmtId="0" fontId="23" fillId="0" borderId="0">
      <alignment horizontal="left" vertical="top"/>
    </xf>
    <xf numFmtId="166" fontId="29" fillId="0" borderId="0">
      <alignment horizontal="left" vertical="top"/>
    </xf>
    <xf numFmtId="0" fontId="75" fillId="0" borderId="0">
      <alignment horizontal="left" vertical="top"/>
    </xf>
    <xf numFmtId="0" fontId="32" fillId="0" borderId="0">
      <alignment horizontal="center" vertical="center"/>
    </xf>
    <xf numFmtId="0" fontId="29" fillId="0" borderId="0">
      <alignment horizontal="left" vertical="top"/>
    </xf>
    <xf numFmtId="0" fontId="31" fillId="0" borderId="0">
      <alignment horizontal="right" vertical="top"/>
    </xf>
    <xf numFmtId="0" fontId="32" fillId="0" borderId="0">
      <alignment horizontal="left" vertical="center"/>
    </xf>
    <xf numFmtId="0" fontId="52" fillId="0" borderId="0">
      <alignment horizontal="left" vertical="top"/>
    </xf>
    <xf numFmtId="0" fontId="29" fillId="0" borderId="0">
      <alignment horizontal="left" vertical="top"/>
    </xf>
    <xf numFmtId="0" fontId="35" fillId="0" borderId="0">
      <alignment horizontal="left" vertical="top"/>
    </xf>
    <xf numFmtId="0" fontId="20" fillId="0" borderId="0">
      <alignment horizontal="left" vertical="top"/>
    </xf>
    <xf numFmtId="0" fontId="31" fillId="0" borderId="0">
      <alignment horizontal="left" vertical="top"/>
    </xf>
    <xf numFmtId="0" fontId="32" fillId="0" borderId="0">
      <alignment horizontal="center" vertical="center"/>
    </xf>
    <xf numFmtId="166" fontId="20" fillId="0" borderId="0">
      <alignment horizontal="left" vertical="top"/>
    </xf>
    <xf numFmtId="0" fontId="23" fillId="0" borderId="0">
      <alignment horizontal="left" vertical="top"/>
    </xf>
    <xf numFmtId="0" fontId="35" fillId="0" borderId="0">
      <alignment horizontal="right" vertical="top"/>
    </xf>
    <xf numFmtId="0" fontId="29" fillId="0" borderId="0">
      <alignment horizontal="left" vertical="top"/>
    </xf>
    <xf numFmtId="166" fontId="29" fillId="0" borderId="0">
      <alignment horizontal="left" vertical="top"/>
    </xf>
    <xf numFmtId="0" fontId="52" fillId="0" borderId="0">
      <alignment horizontal="left" vertical="top"/>
    </xf>
    <xf numFmtId="0" fontId="28" fillId="0" borderId="0">
      <alignment horizontal="left" vertical="top"/>
    </xf>
    <xf numFmtId="0" fontId="31" fillId="0" borderId="0">
      <alignment horizontal="right" vertical="top"/>
    </xf>
    <xf numFmtId="166" fontId="31" fillId="0" borderId="0">
      <alignment horizontal="right" vertical="top"/>
    </xf>
    <xf numFmtId="0" fontId="36" fillId="0" borderId="0">
      <alignment horizontal="right" vertical="top"/>
    </xf>
    <xf numFmtId="0" fontId="31" fillId="0" borderId="0">
      <alignment horizontal="left" vertical="top"/>
    </xf>
    <xf numFmtId="0" fontId="20" fillId="0" borderId="0">
      <alignment horizontal="left" vertical="top"/>
    </xf>
    <xf numFmtId="166" fontId="31" fillId="0" borderId="0">
      <alignment horizontal="left" vertical="top"/>
    </xf>
    <xf numFmtId="0" fontId="36" fillId="0" borderId="0">
      <alignment horizontal="left" vertical="top"/>
    </xf>
    <xf numFmtId="0" fontId="75" fillId="0" borderId="0">
      <alignment horizontal="left" vertical="top"/>
    </xf>
    <xf numFmtId="0" fontId="47" fillId="0" borderId="0">
      <alignment horizontal="left" vertical="top"/>
    </xf>
    <xf numFmtId="166" fontId="45" fillId="0" borderId="0">
      <alignment horizontal="left" vertical="top"/>
    </xf>
    <xf numFmtId="0" fontId="78" fillId="0" borderId="0">
      <alignment horizontal="left" vertical="top"/>
    </xf>
    <xf numFmtId="0" fontId="25" fillId="0" borderId="0">
      <alignment horizontal="left" vertical="top"/>
    </xf>
    <xf numFmtId="166" fontId="29" fillId="0" borderId="0">
      <alignment horizontal="right" vertical="top"/>
    </xf>
    <xf numFmtId="0" fontId="29" fillId="0" borderId="0">
      <alignment horizontal="left" vertical="top"/>
    </xf>
    <xf numFmtId="0" fontId="52" fillId="0" borderId="0">
      <alignment horizontal="right" vertical="top"/>
    </xf>
    <xf numFmtId="0" fontId="20" fillId="0" borderId="0">
      <alignment horizontal="right" vertical="top"/>
    </xf>
    <xf numFmtId="166" fontId="29" fillId="0" borderId="0">
      <alignment horizontal="left" vertical="top"/>
    </xf>
    <xf numFmtId="0" fontId="52" fillId="0" borderId="0">
      <alignment horizontal="left" vertical="top"/>
    </xf>
    <xf numFmtId="0" fontId="79" fillId="0" borderId="0">
      <alignment horizontal="center" vertical="top"/>
    </xf>
    <xf numFmtId="166" fontId="29" fillId="0" borderId="0">
      <alignment horizontal="left" vertical="top"/>
    </xf>
    <xf numFmtId="0" fontId="52" fillId="0" borderId="0">
      <alignment horizontal="left" vertical="top"/>
    </xf>
    <xf numFmtId="0" fontId="80" fillId="0" borderId="0">
      <alignment horizontal="left" vertical="top"/>
    </xf>
    <xf numFmtId="166" fontId="29" fillId="0" borderId="0">
      <alignment horizontal="right" vertical="top"/>
    </xf>
    <xf numFmtId="0" fontId="52" fillId="0" borderId="0">
      <alignment horizontal="right" vertical="top"/>
    </xf>
    <xf numFmtId="0" fontId="35" fillId="0" borderId="0">
      <alignment horizontal="left" vertical="top"/>
    </xf>
    <xf numFmtId="0" fontId="32" fillId="0" borderId="0">
      <alignment horizontal="right" vertical="center"/>
    </xf>
    <xf numFmtId="166" fontId="29" fillId="0" borderId="0">
      <alignment horizontal="left" vertical="top"/>
    </xf>
    <xf numFmtId="0" fontId="52" fillId="0" borderId="0">
      <alignment horizontal="left" vertical="top"/>
    </xf>
    <xf numFmtId="0" fontId="35" fillId="0" borderId="0">
      <alignment horizontal="right" vertical="top"/>
    </xf>
    <xf numFmtId="0" fontId="29" fillId="0" borderId="0">
      <alignment horizontal="right" vertical="top"/>
    </xf>
    <xf numFmtId="166" fontId="20" fillId="0" borderId="0">
      <alignment horizontal="left" vertical="top"/>
    </xf>
    <xf numFmtId="0" fontId="23" fillId="0" borderId="0">
      <alignment horizontal="left" vertical="top"/>
    </xf>
  </cellStyleXfs>
  <cellXfs count="143">
    <xf numFmtId="0" fontId="0" fillId="0" borderId="0" xfId="0"/>
    <xf numFmtId="0" fontId="6" fillId="16" borderId="2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6" fillId="18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center" vertical="center" wrapText="1"/>
    </xf>
    <xf numFmtId="0" fontId="9" fillId="23" borderId="2" xfId="0" applyFont="1" applyFill="1" applyBorder="1" applyAlignment="1">
      <alignment horizontal="center" vertical="center"/>
    </xf>
    <xf numFmtId="0" fontId="9" fillId="24" borderId="2" xfId="0" applyFont="1" applyFill="1" applyBorder="1" applyAlignment="1">
      <alignment horizontal="center" vertical="center"/>
    </xf>
    <xf numFmtId="0" fontId="9" fillId="25" borderId="2" xfId="0" applyFont="1" applyFill="1" applyBorder="1" applyAlignment="1">
      <alignment horizontal="center" vertical="center" wrapText="1"/>
    </xf>
    <xf numFmtId="0" fontId="10" fillId="27" borderId="2" xfId="0" applyFont="1" applyFill="1" applyBorder="1" applyAlignment="1">
      <alignment horizontal="center" vertical="center" wrapText="1"/>
    </xf>
    <xf numFmtId="0" fontId="10" fillId="28" borderId="2" xfId="0" applyFont="1" applyFill="1" applyBorder="1" applyAlignment="1">
      <alignment horizontal="center" vertical="center" wrapText="1"/>
    </xf>
    <xf numFmtId="0" fontId="6" fillId="29" borderId="2" xfId="0" applyNumberFormat="1" applyFont="1" applyFill="1" applyBorder="1" applyAlignment="1">
      <alignment horizontal="center" vertical="center" wrapText="1"/>
    </xf>
    <xf numFmtId="0" fontId="8" fillId="3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 indent="1"/>
    </xf>
    <xf numFmtId="43" fontId="11" fillId="0" borderId="2" xfId="3" applyFont="1" applyFill="1" applyBorder="1" applyAlignment="1">
      <alignment vertical="center"/>
    </xf>
    <xf numFmtId="10" fontId="11" fillId="0" borderId="2" xfId="3" applyNumberFormat="1" applyFont="1" applyFill="1" applyBorder="1" applyAlignment="1">
      <alignment horizontal="center" vertical="center"/>
    </xf>
    <xf numFmtId="10" fontId="11" fillId="0" borderId="2" xfId="2" applyNumberFormat="1" applyFont="1" applyFill="1" applyBorder="1" applyAlignment="1">
      <alignment horizontal="center" vertical="center"/>
    </xf>
    <xf numFmtId="0" fontId="11" fillId="25" borderId="2" xfId="2" applyNumberFormat="1" applyFont="1" applyFill="1" applyBorder="1" applyAlignment="1">
      <alignment horizontal="center" vertical="center"/>
    </xf>
    <xf numFmtId="0" fontId="11" fillId="0" borderId="2" xfId="2" applyNumberFormat="1" applyFont="1" applyFill="1" applyBorder="1" applyAlignment="1">
      <alignment horizontal="center" vertical="center"/>
    </xf>
    <xf numFmtId="41" fontId="14" fillId="31" borderId="2" xfId="0" applyNumberFormat="1" applyFont="1" applyFill="1" applyBorder="1" applyAlignment="1">
      <alignment horizontal="center" vertical="center"/>
    </xf>
    <xf numFmtId="41" fontId="13" fillId="35" borderId="2" xfId="0" applyNumberFormat="1" applyFont="1" applyFill="1" applyBorder="1" applyAlignment="1">
      <alignment horizontal="center" vertical="center"/>
    </xf>
    <xf numFmtId="0" fontId="13" fillId="36" borderId="2" xfId="0" applyFont="1" applyFill="1" applyBorder="1" applyAlignment="1">
      <alignment horizontal="center" vertical="center"/>
    </xf>
    <xf numFmtId="41" fontId="13" fillId="24" borderId="2" xfId="0" applyNumberFormat="1" applyFont="1" applyFill="1" applyBorder="1" applyAlignment="1">
      <alignment horizontal="center" vertical="center"/>
    </xf>
    <xf numFmtId="41" fontId="13" fillId="23" borderId="2" xfId="0" applyNumberFormat="1" applyFont="1" applyFill="1" applyBorder="1" applyAlignment="1">
      <alignment horizontal="center" vertical="center"/>
    </xf>
    <xf numFmtId="41" fontId="13" fillId="37" borderId="2" xfId="0" applyNumberFormat="1" applyFont="1" applyFill="1" applyBorder="1" applyAlignment="1">
      <alignment horizontal="center" vertical="center" wrapText="1"/>
    </xf>
    <xf numFmtId="41" fontId="13" fillId="37" borderId="2" xfId="0" applyNumberFormat="1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left" vertical="center" indent="1"/>
    </xf>
    <xf numFmtId="10" fontId="13" fillId="0" borderId="2" xfId="2" applyNumberFormat="1" applyFont="1" applyFill="1" applyBorder="1" applyAlignment="1">
      <alignment horizontal="center" vertical="center"/>
    </xf>
    <xf numFmtId="43" fontId="13" fillId="0" borderId="2" xfId="3" applyFont="1" applyFill="1" applyBorder="1" applyAlignment="1">
      <alignment vertical="center"/>
    </xf>
    <xf numFmtId="43" fontId="13" fillId="0" borderId="8" xfId="3" applyFont="1" applyFill="1" applyBorder="1" applyAlignment="1">
      <alignment vertical="center"/>
    </xf>
    <xf numFmtId="0" fontId="13" fillId="0" borderId="8" xfId="3" applyNumberFormat="1" applyFont="1" applyFill="1" applyBorder="1" applyAlignment="1">
      <alignment horizontal="center" vertical="center"/>
    </xf>
    <xf numFmtId="10" fontId="56" fillId="38" borderId="2" xfId="3" applyNumberFormat="1" applyFont="1" applyFill="1" applyBorder="1" applyAlignment="1">
      <alignment horizontal="center" vertical="center"/>
    </xf>
    <xf numFmtId="10" fontId="56" fillId="38" borderId="2" xfId="2" applyNumberFormat="1" applyFont="1" applyFill="1" applyBorder="1" applyAlignment="1">
      <alignment horizontal="center" vertical="center"/>
    </xf>
    <xf numFmtId="43" fontId="11" fillId="0" borderId="2" xfId="1" applyFont="1" applyFill="1" applyBorder="1" applyAlignment="1">
      <alignment vertical="center"/>
    </xf>
    <xf numFmtId="10" fontId="13" fillId="0" borderId="8" xfId="1880" applyNumberFormat="1" applyFont="1" applyFill="1" applyBorder="1" applyAlignment="1">
      <alignment horizontal="center" vertical="center"/>
    </xf>
    <xf numFmtId="43" fontId="13" fillId="0" borderId="2" xfId="3" applyFont="1" applyFill="1" applyBorder="1" applyAlignment="1">
      <alignment horizontal="center" vertical="center"/>
    </xf>
    <xf numFmtId="9" fontId="13" fillId="0" borderId="8" xfId="2" applyFont="1" applyFill="1" applyBorder="1" applyAlignment="1">
      <alignment horizontal="center" vertical="center"/>
    </xf>
    <xf numFmtId="0" fontId="2" fillId="43" borderId="9" xfId="0" applyFont="1" applyFill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44" borderId="0" xfId="0" applyFill="1"/>
    <xf numFmtId="0" fontId="59" fillId="44" borderId="0" xfId="0" applyFont="1" applyFill="1"/>
    <xf numFmtId="0" fontId="60" fillId="44" borderId="0" xfId="0" applyFont="1" applyFill="1" applyAlignment="1">
      <alignment vertical="center"/>
    </xf>
    <xf numFmtId="0" fontId="60" fillId="44" borderId="0" xfId="0" applyFont="1" applyFill="1"/>
    <xf numFmtId="0" fontId="61" fillId="0" borderId="9" xfId="0" applyFont="1" applyFill="1" applyBorder="1" applyAlignment="1">
      <alignment horizontal="center" vertical="center" wrapText="1"/>
    </xf>
    <xf numFmtId="0" fontId="60" fillId="44" borderId="9" xfId="0" applyFont="1" applyFill="1" applyBorder="1" applyAlignment="1">
      <alignment horizontal="center" vertical="center"/>
    </xf>
    <xf numFmtId="0" fontId="59" fillId="0" borderId="0" xfId="0" applyFont="1"/>
    <xf numFmtId="0" fontId="62" fillId="0" borderId="9" xfId="0" applyFont="1" applyFill="1" applyBorder="1" applyAlignment="1">
      <alignment horizontal="center" vertical="center"/>
    </xf>
    <xf numFmtId="0" fontId="62" fillId="0" borderId="9" xfId="0" applyFont="1" applyFill="1" applyBorder="1" applyAlignment="1">
      <alignment vertical="center"/>
    </xf>
    <xf numFmtId="0" fontId="59" fillId="0" borderId="9" xfId="0" applyFont="1" applyFill="1" applyBorder="1" applyAlignment="1">
      <alignment horizontal="center" vertical="center"/>
    </xf>
    <xf numFmtId="0" fontId="59" fillId="44" borderId="9" xfId="0" applyFont="1" applyFill="1" applyBorder="1" applyAlignment="1">
      <alignment horizontal="center" vertical="center"/>
    </xf>
    <xf numFmtId="0" fontId="59" fillId="44" borderId="0" xfId="0" applyFont="1" applyFill="1" applyAlignment="1">
      <alignment horizontal="center" vertical="center"/>
    </xf>
    <xf numFmtId="0" fontId="59" fillId="0" borderId="0" xfId="0" applyFont="1" applyFill="1"/>
    <xf numFmtId="0" fontId="59" fillId="0" borderId="9" xfId="0" applyFont="1" applyBorder="1" applyAlignment="1">
      <alignment horizontal="center" vertical="center"/>
    </xf>
    <xf numFmtId="0" fontId="59" fillId="34" borderId="9" xfId="0" applyFont="1" applyFill="1" applyBorder="1" applyAlignment="1">
      <alignment horizontal="center" vertical="center"/>
    </xf>
    <xf numFmtId="0" fontId="59" fillId="23" borderId="9" xfId="0" applyFont="1" applyFill="1" applyBorder="1" applyAlignment="1">
      <alignment horizontal="center" vertical="center"/>
    </xf>
    <xf numFmtId="0" fontId="59" fillId="21" borderId="9" xfId="0" applyFont="1" applyFill="1" applyBorder="1" applyAlignment="1">
      <alignment horizontal="center" vertical="center"/>
    </xf>
    <xf numFmtId="0" fontId="60" fillId="44" borderId="0" xfId="0" applyFont="1" applyFill="1" applyAlignment="1">
      <alignment horizontal="center" vertical="center"/>
    </xf>
    <xf numFmtId="9" fontId="63" fillId="44" borderId="0" xfId="2" applyFont="1" applyFill="1" applyAlignment="1">
      <alignment horizontal="center" vertical="center"/>
    </xf>
    <xf numFmtId="0" fontId="60" fillId="0" borderId="9" xfId="0" applyFont="1" applyFill="1" applyBorder="1" applyAlignment="1">
      <alignment horizontal="center" vertical="center"/>
    </xf>
    <xf numFmtId="0" fontId="64" fillId="0" borderId="9" xfId="0" applyFont="1" applyFill="1" applyBorder="1" applyAlignment="1">
      <alignment vertical="center"/>
    </xf>
    <xf numFmtId="0" fontId="61" fillId="45" borderId="9" xfId="0" applyFont="1" applyFill="1" applyBorder="1" applyAlignment="1">
      <alignment horizontal="center" vertical="center"/>
    </xf>
    <xf numFmtId="0" fontId="61" fillId="45" borderId="9" xfId="0" applyFont="1" applyFill="1" applyBorder="1" applyAlignment="1">
      <alignment vertical="center"/>
    </xf>
    <xf numFmtId="0" fontId="0" fillId="46" borderId="0" xfId="0" applyFill="1"/>
    <xf numFmtId="0" fontId="66" fillId="47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165" fontId="64" fillId="0" borderId="9" xfId="1" applyNumberFormat="1" applyFont="1" applyFill="1" applyBorder="1" applyAlignment="1">
      <alignment horizontal="center" vertical="center"/>
    </xf>
    <xf numFmtId="165" fontId="67" fillId="0" borderId="13" xfId="1" applyNumberFormat="1" applyFont="1" applyFill="1" applyBorder="1" applyAlignment="1">
      <alignment horizontal="center" vertical="center"/>
    </xf>
    <xf numFmtId="165" fontId="68" fillId="0" borderId="13" xfId="1" applyNumberFormat="1" applyFont="1" applyFill="1" applyBorder="1" applyAlignment="1">
      <alignment horizontal="center" vertical="center"/>
    </xf>
    <xf numFmtId="0" fontId="69" fillId="0" borderId="13" xfId="0" applyFont="1" applyFill="1" applyBorder="1" applyAlignment="1">
      <alignment horizontal="center" vertical="center"/>
    </xf>
    <xf numFmtId="165" fontId="68" fillId="0" borderId="9" xfId="1" applyNumberFormat="1" applyFont="1" applyFill="1" applyBorder="1" applyAlignment="1">
      <alignment horizontal="center" vertical="center"/>
    </xf>
    <xf numFmtId="0" fontId="69" fillId="0" borderId="9" xfId="0" applyFont="1" applyFill="1" applyBorder="1" applyAlignment="1">
      <alignment horizontal="center" vertical="center"/>
    </xf>
    <xf numFmtId="165" fontId="69" fillId="0" borderId="9" xfId="1" applyNumberFormat="1" applyFont="1" applyFill="1" applyBorder="1" applyAlignment="1">
      <alignment horizontal="center" vertical="center"/>
    </xf>
    <xf numFmtId="165" fontId="64" fillId="0" borderId="13" xfId="1" applyNumberFormat="1" applyFont="1" applyFill="1" applyBorder="1" applyAlignment="1">
      <alignment horizontal="center" vertical="center"/>
    </xf>
    <xf numFmtId="165" fontId="64" fillId="44" borderId="9" xfId="1" applyNumberFormat="1" applyFont="1" applyFill="1" applyBorder="1" applyAlignment="1">
      <alignment horizontal="center" vertical="center"/>
    </xf>
    <xf numFmtId="165" fontId="70" fillId="44" borderId="9" xfId="1" applyNumberFormat="1" applyFont="1" applyFill="1" applyBorder="1" applyAlignment="1">
      <alignment horizontal="center" vertical="center"/>
    </xf>
    <xf numFmtId="0" fontId="70" fillId="0" borderId="9" xfId="0" applyFont="1" applyFill="1" applyBorder="1" applyAlignment="1">
      <alignment vertical="center"/>
    </xf>
    <xf numFmtId="0" fontId="4" fillId="46" borderId="9" xfId="0" applyFont="1" applyFill="1" applyBorder="1"/>
    <xf numFmtId="0" fontId="71" fillId="46" borderId="9" xfId="0" applyFont="1" applyFill="1" applyBorder="1" applyAlignment="1">
      <alignment vertical="center"/>
    </xf>
    <xf numFmtId="165" fontId="71" fillId="46" borderId="9" xfId="1" applyNumberFormat="1" applyFont="1" applyFill="1" applyBorder="1" applyAlignment="1">
      <alignment horizontal="center" vertical="center"/>
    </xf>
    <xf numFmtId="0" fontId="12" fillId="46" borderId="9" xfId="0" applyFont="1" applyFill="1" applyBorder="1"/>
    <xf numFmtId="165" fontId="71" fillId="46" borderId="13" xfId="1" applyNumberFormat="1" applyFont="1" applyFill="1" applyBorder="1" applyAlignment="1">
      <alignment horizontal="center" vertical="center"/>
    </xf>
    <xf numFmtId="165" fontId="72" fillId="0" borderId="14" xfId="1" applyNumberFormat="1" applyFont="1" applyFill="1" applyBorder="1" applyAlignment="1">
      <alignment horizontal="center" vertical="center"/>
    </xf>
    <xf numFmtId="165" fontId="72" fillId="0" borderId="15" xfId="1" applyNumberFormat="1" applyFont="1" applyFill="1" applyBorder="1" applyAlignment="1">
      <alignment horizontal="center" vertical="center"/>
    </xf>
    <xf numFmtId="0" fontId="3" fillId="24" borderId="16" xfId="0" applyFont="1" applyFill="1" applyBorder="1"/>
    <xf numFmtId="9" fontId="0" fillId="0" borderId="0" xfId="2" applyFont="1"/>
    <xf numFmtId="0" fontId="14" fillId="0" borderId="17" xfId="0" applyFont="1" applyBorder="1"/>
    <xf numFmtId="0" fontId="14" fillId="0" borderId="18" xfId="0" applyFont="1" applyBorder="1"/>
    <xf numFmtId="10" fontId="3" fillId="22" borderId="18" xfId="2" applyNumberFormat="1" applyFont="1" applyFill="1" applyBorder="1"/>
    <xf numFmtId="0" fontId="0" fillId="0" borderId="19" xfId="0" applyBorder="1"/>
    <xf numFmtId="0" fontId="14" fillId="0" borderId="0" xfId="0" applyFont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4" borderId="0" xfId="0" applyFill="1"/>
    <xf numFmtId="165" fontId="0" fillId="0" borderId="9" xfId="1" applyNumberFormat="1" applyFont="1" applyBorder="1"/>
    <xf numFmtId="165" fontId="0" fillId="0" borderId="9" xfId="0" applyNumberFormat="1" applyBorder="1"/>
    <xf numFmtId="0" fontId="0" fillId="0" borderId="0" xfId="0" applyAlignment="1">
      <alignment horizontal="center"/>
    </xf>
    <xf numFmtId="9" fontId="0" fillId="0" borderId="0" xfId="2" applyFont="1" applyAlignment="1"/>
    <xf numFmtId="0" fontId="0" fillId="2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58" fillId="44" borderId="0" xfId="0" applyFont="1" applyFill="1" applyAlignment="1">
      <alignment horizontal="center" vertical="center"/>
    </xf>
    <xf numFmtId="10" fontId="11" fillId="31" borderId="2" xfId="2" applyNumberFormat="1" applyFont="1" applyFill="1" applyBorder="1" applyAlignment="1">
      <alignment horizontal="center" vertical="center"/>
    </xf>
    <xf numFmtId="10" fontId="11" fillId="31" borderId="2" xfId="3" applyNumberFormat="1" applyFont="1" applyFill="1" applyBorder="1" applyAlignment="1">
      <alignment horizontal="center" vertical="center"/>
    </xf>
    <xf numFmtId="9" fontId="56" fillId="38" borderId="2" xfId="2" applyFont="1" applyFill="1" applyBorder="1" applyAlignment="1">
      <alignment horizontal="center" vertical="center"/>
    </xf>
    <xf numFmtId="10" fontId="3" fillId="21" borderId="9" xfId="1880" applyNumberFormat="1" applyFont="1" applyFill="1" applyBorder="1" applyAlignment="1">
      <alignment horizontal="center"/>
    </xf>
    <xf numFmtId="0" fontId="66" fillId="48" borderId="9" xfId="0" applyFont="1" applyFill="1" applyBorder="1" applyAlignment="1">
      <alignment horizontal="center"/>
    </xf>
    <xf numFmtId="10" fontId="66" fillId="22" borderId="9" xfId="1880" applyNumberFormat="1" applyFont="1" applyFill="1" applyBorder="1" applyAlignment="1">
      <alignment horizontal="center"/>
    </xf>
    <xf numFmtId="10" fontId="81" fillId="31" borderId="9" xfId="1880" applyNumberFormat="1" applyFont="1" applyFill="1" applyBorder="1" applyAlignment="1">
      <alignment horizontal="center" vertical="center"/>
    </xf>
    <xf numFmtId="10" fontId="13" fillId="31" borderId="2" xfId="2" applyNumberFormat="1" applyFont="1" applyFill="1" applyBorder="1" applyAlignment="1">
      <alignment horizontal="center" vertical="center"/>
    </xf>
    <xf numFmtId="0" fontId="3" fillId="48" borderId="9" xfId="0" applyFont="1" applyFill="1" applyBorder="1" applyAlignment="1">
      <alignment horizontal="center"/>
    </xf>
    <xf numFmtId="0" fontId="81" fillId="21" borderId="9" xfId="0" applyFont="1" applyFill="1" applyBorder="1" applyAlignment="1">
      <alignment horizontal="center" vertical="center"/>
    </xf>
    <xf numFmtId="0" fontId="0" fillId="38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61" fillId="2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4" fillId="31" borderId="3" xfId="0" applyFont="1" applyFill="1" applyBorder="1" applyAlignment="1">
      <alignment horizontal="center" vertical="center"/>
    </xf>
    <xf numFmtId="0" fontId="14" fillId="31" borderId="7" xfId="0" applyFont="1" applyFill="1" applyBorder="1" applyAlignment="1">
      <alignment horizontal="center" vertical="center"/>
    </xf>
    <xf numFmtId="41" fontId="13" fillId="33" borderId="3" xfId="0" applyNumberFormat="1" applyFont="1" applyFill="1" applyBorder="1" applyAlignment="1">
      <alignment horizontal="center" vertical="center"/>
    </xf>
    <xf numFmtId="41" fontId="13" fillId="33" borderId="6" xfId="0" applyNumberFormat="1" applyFont="1" applyFill="1" applyBorder="1" applyAlignment="1">
      <alignment horizontal="center" vertical="center"/>
    </xf>
    <xf numFmtId="41" fontId="13" fillId="33" borderId="7" xfId="0" applyNumberFormat="1" applyFont="1" applyFill="1" applyBorder="1" applyAlignment="1">
      <alignment horizontal="center" vertical="center"/>
    </xf>
    <xf numFmtId="41" fontId="13" fillId="17" borderId="3" xfId="0" applyNumberFormat="1" applyFont="1" applyFill="1" applyBorder="1" applyAlignment="1">
      <alignment horizontal="center" vertical="center"/>
    </xf>
    <xf numFmtId="41" fontId="13" fillId="17" borderId="6" xfId="0" applyNumberFormat="1" applyFont="1" applyFill="1" applyBorder="1" applyAlignment="1">
      <alignment horizontal="center" vertical="center"/>
    </xf>
    <xf numFmtId="41" fontId="13" fillId="17" borderId="7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0" fontId="8" fillId="26" borderId="2" xfId="0" applyFont="1" applyFill="1" applyBorder="1" applyAlignment="1">
      <alignment horizontal="center" vertical="center"/>
    </xf>
    <xf numFmtId="41" fontId="13" fillId="34" borderId="3" xfId="0" applyNumberFormat="1" applyFont="1" applyFill="1" applyBorder="1" applyAlignment="1">
      <alignment horizontal="center" vertical="center"/>
    </xf>
    <xf numFmtId="41" fontId="13" fillId="34" borderId="7" xfId="0" applyNumberFormat="1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center" vertical="center"/>
    </xf>
    <xf numFmtId="0" fontId="13" fillId="32" borderId="2" xfId="0" applyFont="1" applyFill="1" applyBorder="1" applyAlignment="1">
      <alignment horizontal="center" vertical="center"/>
    </xf>
    <xf numFmtId="41" fontId="13" fillId="31" borderId="3" xfId="0" applyNumberFormat="1" applyFont="1" applyFill="1" applyBorder="1" applyAlignment="1">
      <alignment horizontal="center" vertical="center"/>
    </xf>
    <xf numFmtId="41" fontId="13" fillId="31" borderId="6" xfId="0" applyNumberFormat="1" applyFont="1" applyFill="1" applyBorder="1" applyAlignment="1">
      <alignment horizontal="center" vertical="center"/>
    </xf>
    <xf numFmtId="41" fontId="13" fillId="31" borderId="7" xfId="0" applyNumberFormat="1" applyFont="1" applyFill="1" applyBorder="1" applyAlignment="1">
      <alignment horizontal="center" vertical="center"/>
    </xf>
    <xf numFmtId="0" fontId="57" fillId="44" borderId="0" xfId="0" applyFont="1" applyFill="1" applyAlignment="1">
      <alignment horizontal="center" vertical="center"/>
    </xf>
    <xf numFmtId="0" fontId="58" fillId="44" borderId="0" xfId="0" applyFont="1" applyFill="1" applyAlignment="1">
      <alignment horizontal="center" vertical="center"/>
    </xf>
    <xf numFmtId="0" fontId="60" fillId="44" borderId="10" xfId="0" applyFont="1" applyFill="1" applyBorder="1" applyAlignment="1">
      <alignment horizontal="center" vertical="center"/>
    </xf>
    <xf numFmtId="0" fontId="60" fillId="44" borderId="11" xfId="0" applyFont="1" applyFill="1" applyBorder="1" applyAlignment="1">
      <alignment horizontal="center" vertical="center"/>
    </xf>
    <xf numFmtId="0" fontId="65" fillId="46" borderId="12" xfId="0" applyFont="1" applyFill="1" applyBorder="1" applyAlignment="1">
      <alignment horizontal="center"/>
    </xf>
    <xf numFmtId="10" fontId="0" fillId="24" borderId="0" xfId="2" applyNumberFormat="1" applyFont="1" applyFill="1" applyAlignment="1">
      <alignment horizontal="center"/>
    </xf>
  </cellXfs>
  <cellStyles count="1958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Comma" xfId="1" builtinId="3"/>
    <cellStyle name="Comma [0] 10" xfId="16"/>
    <cellStyle name="Comma [0] 11" xfId="17"/>
    <cellStyle name="Comma [0] 2" xfId="18"/>
    <cellStyle name="Comma [0] 2 2" xfId="19"/>
    <cellStyle name="Comma [0] 2 2 2" xfId="20"/>
    <cellStyle name="Comma [0] 2 2 2 2" xfId="21"/>
    <cellStyle name="Comma [0] 2 3" xfId="22"/>
    <cellStyle name="Comma [0] 2 4" xfId="23"/>
    <cellStyle name="Comma [0] 3" xfId="24"/>
    <cellStyle name="Comma [0] 3 2" xfId="25"/>
    <cellStyle name="Comma [0] 4" xfId="26"/>
    <cellStyle name="Comma [0] 5" xfId="27"/>
    <cellStyle name="Comma [0] 6" xfId="28"/>
    <cellStyle name="Comma [0] 7" xfId="29"/>
    <cellStyle name="Comma [0] 8" xfId="30"/>
    <cellStyle name="Comma [0] 9" xfId="31"/>
    <cellStyle name="Comma 10" xfId="32"/>
    <cellStyle name="Comma 10 2" xfId="3"/>
    <cellStyle name="Comma 101 2" xfId="33"/>
    <cellStyle name="Comma 101 3" xfId="34"/>
    <cellStyle name="Comma 101 4" xfId="35"/>
    <cellStyle name="Comma 101 5" xfId="36"/>
    <cellStyle name="Comma 101 6" xfId="37"/>
    <cellStyle name="Comma 102 2" xfId="38"/>
    <cellStyle name="Comma 102 3" xfId="39"/>
    <cellStyle name="Comma 102 4" xfId="40"/>
    <cellStyle name="Comma 102 5" xfId="41"/>
    <cellStyle name="Comma 102 6" xfId="42"/>
    <cellStyle name="Comma 103 2" xfId="43"/>
    <cellStyle name="Comma 103 3" xfId="44"/>
    <cellStyle name="Comma 103 4" xfId="45"/>
    <cellStyle name="Comma 103 5" xfId="46"/>
    <cellStyle name="Comma 103 6" xfId="47"/>
    <cellStyle name="Comma 104" xfId="48"/>
    <cellStyle name="Comma 104 2" xfId="49"/>
    <cellStyle name="Comma 104 3" xfId="50"/>
    <cellStyle name="Comma 104 4" xfId="51"/>
    <cellStyle name="Comma 107 2" xfId="52"/>
    <cellStyle name="Comma 11" xfId="53"/>
    <cellStyle name="Comma 11 2" xfId="54"/>
    <cellStyle name="Comma 11 2 2" xfId="55"/>
    <cellStyle name="Comma 11 3" xfId="56"/>
    <cellStyle name="Comma 11 4" xfId="57"/>
    <cellStyle name="Comma 11 5" xfId="58"/>
    <cellStyle name="Comma 11 6" xfId="59"/>
    <cellStyle name="Comma 111 2" xfId="60"/>
    <cellStyle name="Comma 113 2" xfId="61"/>
    <cellStyle name="Comma 117 2" xfId="62"/>
    <cellStyle name="Comma 119 2" xfId="63"/>
    <cellStyle name="Comma 12" xfId="64"/>
    <cellStyle name="Comma 12 2" xfId="65"/>
    <cellStyle name="Comma 121 2" xfId="66"/>
    <cellStyle name="Comma 13" xfId="67"/>
    <cellStyle name="Comma 13 2" xfId="68"/>
    <cellStyle name="Comma 13 3" xfId="69"/>
    <cellStyle name="Comma 14" xfId="70"/>
    <cellStyle name="Comma 14 2" xfId="71"/>
    <cellStyle name="Comma 14 3" xfId="72"/>
    <cellStyle name="Comma 15" xfId="73"/>
    <cellStyle name="Comma 15 2" xfId="74"/>
    <cellStyle name="Comma 16" xfId="75"/>
    <cellStyle name="Comma 16 2" xfId="76"/>
    <cellStyle name="Comma 16 3" xfId="77"/>
    <cellStyle name="Comma 16 4" xfId="78"/>
    <cellStyle name="Comma 16 5" xfId="79"/>
    <cellStyle name="Comma 16 6" xfId="80"/>
    <cellStyle name="Comma 17" xfId="81"/>
    <cellStyle name="Comma 17 2" xfId="82"/>
    <cellStyle name="Comma 17 3" xfId="83"/>
    <cellStyle name="Comma 17 4" xfId="84"/>
    <cellStyle name="Comma 17 5" xfId="85"/>
    <cellStyle name="Comma 17 6" xfId="86"/>
    <cellStyle name="Comma 18" xfId="87"/>
    <cellStyle name="Comma 18 2" xfId="88"/>
    <cellStyle name="Comma 18 3" xfId="89"/>
    <cellStyle name="Comma 18 4" xfId="90"/>
    <cellStyle name="Comma 18 5" xfId="91"/>
    <cellStyle name="Comma 19" xfId="92"/>
    <cellStyle name="Comma 19 2" xfId="93"/>
    <cellStyle name="Comma 19 3" xfId="94"/>
    <cellStyle name="Comma 19 4" xfId="95"/>
    <cellStyle name="Comma 19 5" xfId="96"/>
    <cellStyle name="Comma 2" xfId="97"/>
    <cellStyle name="Comma 2 10" xfId="98"/>
    <cellStyle name="Comma 2 2" xfId="99"/>
    <cellStyle name="Comma 2 2 2" xfId="100"/>
    <cellStyle name="Comma 2 3" xfId="101"/>
    <cellStyle name="Comma 2 4" xfId="102"/>
    <cellStyle name="Comma 2 5" xfId="103"/>
    <cellStyle name="Comma 2 6" xfId="104"/>
    <cellStyle name="Comma 2 7" xfId="105"/>
    <cellStyle name="Comma 2 8" xfId="106"/>
    <cellStyle name="Comma 2 9" xfId="107"/>
    <cellStyle name="Comma 20" xfId="108"/>
    <cellStyle name="Comma 20 2" xfId="109"/>
    <cellStyle name="Comma 20 3" xfId="110"/>
    <cellStyle name="Comma 20 4" xfId="111"/>
    <cellStyle name="Comma 20 5" xfId="112"/>
    <cellStyle name="Comma 21" xfId="113"/>
    <cellStyle name="Comma 21 2" xfId="114"/>
    <cellStyle name="Comma 21 3" xfId="115"/>
    <cellStyle name="Comma 21 4" xfId="116"/>
    <cellStyle name="Comma 21 5" xfId="117"/>
    <cellStyle name="Comma 22" xfId="118"/>
    <cellStyle name="Comma 23" xfId="119"/>
    <cellStyle name="Comma 24" xfId="120"/>
    <cellStyle name="Comma 24 2" xfId="121"/>
    <cellStyle name="Comma 24 2 2" xfId="122"/>
    <cellStyle name="Comma 24 3" xfId="123"/>
    <cellStyle name="Comma 24 4" xfId="124"/>
    <cellStyle name="Comma 24 6" xfId="125"/>
    <cellStyle name="Comma 25" xfId="126"/>
    <cellStyle name="Comma 26" xfId="127"/>
    <cellStyle name="Comma 27" xfId="128"/>
    <cellStyle name="Comma 28" xfId="129"/>
    <cellStyle name="Comma 29" xfId="130"/>
    <cellStyle name="Comma 29 2" xfId="131"/>
    <cellStyle name="Comma 29 3" xfId="132"/>
    <cellStyle name="Comma 294" xfId="133"/>
    <cellStyle name="Comma 3" xfId="134"/>
    <cellStyle name="Comma 3 2" xfId="135"/>
    <cellStyle name="Comma 3 2 2" xfId="136"/>
    <cellStyle name="Comma 3 3" xfId="137"/>
    <cellStyle name="Comma 30" xfId="138"/>
    <cellStyle name="Comma 31" xfId="139"/>
    <cellStyle name="Comma 32" xfId="140"/>
    <cellStyle name="Comma 33" xfId="141"/>
    <cellStyle name="Comma 33 2" xfId="142"/>
    <cellStyle name="Comma 34" xfId="143"/>
    <cellStyle name="Comma 34 2" xfId="144"/>
    <cellStyle name="Comma 35" xfId="145"/>
    <cellStyle name="Comma 35 2" xfId="146"/>
    <cellStyle name="Comma 36" xfId="147"/>
    <cellStyle name="Comma 36 2" xfId="148"/>
    <cellStyle name="Comma 37" xfId="149"/>
    <cellStyle name="Comma 38" xfId="150"/>
    <cellStyle name="Comma 39" xfId="151"/>
    <cellStyle name="Comma 4" xfId="152"/>
    <cellStyle name="Comma 4 2" xfId="153"/>
    <cellStyle name="Comma 40" xfId="154"/>
    <cellStyle name="Comma 41" xfId="155"/>
    <cellStyle name="Comma 42" xfId="156"/>
    <cellStyle name="Comma 42 2" xfId="157"/>
    <cellStyle name="Comma 42 3" xfId="158"/>
    <cellStyle name="Comma 42 4" xfId="159"/>
    <cellStyle name="Comma 42 5" xfId="160"/>
    <cellStyle name="Comma 43" xfId="161"/>
    <cellStyle name="Comma 44" xfId="162"/>
    <cellStyle name="Comma 45" xfId="163"/>
    <cellStyle name="Comma 46" xfId="164"/>
    <cellStyle name="Comma 47" xfId="165"/>
    <cellStyle name="Comma 48" xfId="166"/>
    <cellStyle name="Comma 49" xfId="167"/>
    <cellStyle name="Comma 5" xfId="168"/>
    <cellStyle name="Comma 5 2" xfId="169"/>
    <cellStyle name="Comma 5 3" xfId="170"/>
    <cellStyle name="Comma 50" xfId="171"/>
    <cellStyle name="Comma 51" xfId="172"/>
    <cellStyle name="Comma 52" xfId="173"/>
    <cellStyle name="Comma 53" xfId="174"/>
    <cellStyle name="Comma 54" xfId="175"/>
    <cellStyle name="Comma 55" xfId="176"/>
    <cellStyle name="Comma 55 2" xfId="177"/>
    <cellStyle name="Comma 55 3" xfId="178"/>
    <cellStyle name="Comma 55 4" xfId="179"/>
    <cellStyle name="Comma 55 5" xfId="180"/>
    <cellStyle name="Comma 56" xfId="181"/>
    <cellStyle name="Comma 57" xfId="182"/>
    <cellStyle name="Comma 57 2" xfId="183"/>
    <cellStyle name="Comma 57 3" xfId="184"/>
    <cellStyle name="Comma 57 4" xfId="185"/>
    <cellStyle name="Comma 57 5" xfId="186"/>
    <cellStyle name="Comma 58" xfId="187"/>
    <cellStyle name="Comma 58 2" xfId="188"/>
    <cellStyle name="Comma 58 3" xfId="189"/>
    <cellStyle name="Comma 58 4" xfId="190"/>
    <cellStyle name="Comma 58 5" xfId="191"/>
    <cellStyle name="Comma 59" xfId="192"/>
    <cellStyle name="Comma 6" xfId="193"/>
    <cellStyle name="Comma 6 2" xfId="194"/>
    <cellStyle name="Comma 60" xfId="195"/>
    <cellStyle name="Comma 60 2" xfId="196"/>
    <cellStyle name="Comma 60 3" xfId="197"/>
    <cellStyle name="Comma 60 4" xfId="198"/>
    <cellStyle name="Comma 60 5" xfId="199"/>
    <cellStyle name="Comma 61" xfId="200"/>
    <cellStyle name="Comma 61 2" xfId="201"/>
    <cellStyle name="Comma 61 3" xfId="202"/>
    <cellStyle name="Comma 61 4" xfId="203"/>
    <cellStyle name="Comma 61 5" xfId="204"/>
    <cellStyle name="Comma 62" xfId="205"/>
    <cellStyle name="Comma 62 2" xfId="206"/>
    <cellStyle name="Comma 62 3" xfId="207"/>
    <cellStyle name="Comma 62 4" xfId="208"/>
    <cellStyle name="Comma 62 5" xfId="209"/>
    <cellStyle name="Comma 63" xfId="210"/>
    <cellStyle name="Comma 63 2" xfId="211"/>
    <cellStyle name="Comma 63 3" xfId="212"/>
    <cellStyle name="Comma 63 4" xfId="213"/>
    <cellStyle name="Comma 63 5" xfId="214"/>
    <cellStyle name="Comma 64" xfId="215"/>
    <cellStyle name="Comma 64 2" xfId="216"/>
    <cellStyle name="Comma 64 3" xfId="217"/>
    <cellStyle name="Comma 64 4" xfId="218"/>
    <cellStyle name="Comma 64 5" xfId="219"/>
    <cellStyle name="Comma 65" xfId="220"/>
    <cellStyle name="Comma 65 2" xfId="221"/>
    <cellStyle name="Comma 65 3" xfId="222"/>
    <cellStyle name="Comma 65 4" xfId="223"/>
    <cellStyle name="Comma 65 5" xfId="224"/>
    <cellStyle name="Comma 65 6" xfId="225"/>
    <cellStyle name="Comma 65 7" xfId="226"/>
    <cellStyle name="Comma 66" xfId="227"/>
    <cellStyle name="Comma 66 2" xfId="228"/>
    <cellStyle name="Comma 66 3" xfId="229"/>
    <cellStyle name="Comma 66 4" xfId="230"/>
    <cellStyle name="Comma 66 5" xfId="231"/>
    <cellStyle name="Comma 66 6" xfId="232"/>
    <cellStyle name="Comma 67" xfId="233"/>
    <cellStyle name="Comma 67 2" xfId="234"/>
    <cellStyle name="Comma 67 3" xfId="235"/>
    <cellStyle name="Comma 67 4" xfId="236"/>
    <cellStyle name="Comma 67 5" xfId="237"/>
    <cellStyle name="Comma 67 6" xfId="238"/>
    <cellStyle name="Comma 68" xfId="239"/>
    <cellStyle name="Comma 68 2" xfId="240"/>
    <cellStyle name="Comma 68 3" xfId="241"/>
    <cellStyle name="Comma 68 4" xfId="242"/>
    <cellStyle name="Comma 68 5" xfId="243"/>
    <cellStyle name="Comma 68 6" xfId="244"/>
    <cellStyle name="Comma 69" xfId="245"/>
    <cellStyle name="Comma 69 2" xfId="246"/>
    <cellStyle name="Comma 69 3" xfId="247"/>
    <cellStyle name="Comma 69 4" xfId="248"/>
    <cellStyle name="Comma 69 5" xfId="249"/>
    <cellStyle name="Comma 7" xfId="250"/>
    <cellStyle name="Comma 7 2" xfId="251"/>
    <cellStyle name="Comma 7 3" xfId="252"/>
    <cellStyle name="Comma 70" xfId="253"/>
    <cellStyle name="Comma 70 2" xfId="254"/>
    <cellStyle name="Comma 70 3" xfId="255"/>
    <cellStyle name="Comma 70 4" xfId="256"/>
    <cellStyle name="Comma 70 5" xfId="257"/>
    <cellStyle name="Comma 71" xfId="258"/>
    <cellStyle name="Comma 71 2" xfId="259"/>
    <cellStyle name="Comma 71 3" xfId="260"/>
    <cellStyle name="Comma 71 4" xfId="261"/>
    <cellStyle name="Comma 71 5" xfId="262"/>
    <cellStyle name="Comma 72" xfId="263"/>
    <cellStyle name="Comma 72 2" xfId="264"/>
    <cellStyle name="Comma 72 3" xfId="265"/>
    <cellStyle name="Comma 72 4" xfId="266"/>
    <cellStyle name="Comma 72 5" xfId="267"/>
    <cellStyle name="Comma 73" xfId="268"/>
    <cellStyle name="Comma 73 2" xfId="269"/>
    <cellStyle name="Comma 73 3" xfId="270"/>
    <cellStyle name="Comma 73 4" xfId="271"/>
    <cellStyle name="Comma 73 5" xfId="272"/>
    <cellStyle name="Comma 74" xfId="273"/>
    <cellStyle name="Comma 74 2" xfId="274"/>
    <cellStyle name="Comma 74 3" xfId="275"/>
    <cellStyle name="Comma 74 4" xfId="276"/>
    <cellStyle name="Comma 74 5" xfId="277"/>
    <cellStyle name="Comma 74 6" xfId="278"/>
    <cellStyle name="Comma 75" xfId="279"/>
    <cellStyle name="Comma 75 2" xfId="280"/>
    <cellStyle name="Comma 75 3" xfId="281"/>
    <cellStyle name="Comma 75 4" xfId="282"/>
    <cellStyle name="Comma 75 5" xfId="283"/>
    <cellStyle name="Comma 76" xfId="284"/>
    <cellStyle name="Comma 76 2" xfId="285"/>
    <cellStyle name="Comma 76 3" xfId="286"/>
    <cellStyle name="Comma 76 4" xfId="287"/>
    <cellStyle name="Comma 76 5" xfId="288"/>
    <cellStyle name="Comma 76 6" xfId="289"/>
    <cellStyle name="Comma 77" xfId="290"/>
    <cellStyle name="Comma 77 2" xfId="291"/>
    <cellStyle name="Comma 77 3" xfId="292"/>
    <cellStyle name="Comma 77 4" xfId="293"/>
    <cellStyle name="Comma 77 5" xfId="294"/>
    <cellStyle name="Comma 78" xfId="295"/>
    <cellStyle name="Comma 78 2" xfId="296"/>
    <cellStyle name="Comma 78 3" xfId="297"/>
    <cellStyle name="Comma 78 4" xfId="298"/>
    <cellStyle name="Comma 78 5" xfId="299"/>
    <cellStyle name="Comma 78 6" xfId="300"/>
    <cellStyle name="Comma 79" xfId="301"/>
    <cellStyle name="Comma 79 2" xfId="302"/>
    <cellStyle name="Comma 79 3" xfId="303"/>
    <cellStyle name="Comma 79 4" xfId="304"/>
    <cellStyle name="Comma 79 5" xfId="305"/>
    <cellStyle name="Comma 8" xfId="306"/>
    <cellStyle name="Comma 8 2" xfId="307"/>
    <cellStyle name="Comma 8 3" xfId="308"/>
    <cellStyle name="Comma 8 4" xfId="309"/>
    <cellStyle name="Comma 8 5" xfId="310"/>
    <cellStyle name="Comma 8 6" xfId="311"/>
    <cellStyle name="Comma 80" xfId="312"/>
    <cellStyle name="Comma 80 2" xfId="313"/>
    <cellStyle name="Comma 80 3" xfId="314"/>
    <cellStyle name="Comma 80 4" xfId="315"/>
    <cellStyle name="Comma 80 5" xfId="316"/>
    <cellStyle name="Comma 82 2" xfId="317"/>
    <cellStyle name="Comma 82 3" xfId="318"/>
    <cellStyle name="Comma 82 4" xfId="319"/>
    <cellStyle name="Comma 82 5" xfId="320"/>
    <cellStyle name="Comma 85 2" xfId="321"/>
    <cellStyle name="Comma 85 3" xfId="322"/>
    <cellStyle name="Comma 85 4" xfId="323"/>
    <cellStyle name="Comma 85 5" xfId="324"/>
    <cellStyle name="Comma 85 6" xfId="325"/>
    <cellStyle name="Comma 86 2" xfId="326"/>
    <cellStyle name="Comma 86 3" xfId="327"/>
    <cellStyle name="Comma 86 4" xfId="328"/>
    <cellStyle name="Comma 86 5" xfId="329"/>
    <cellStyle name="Comma 87 2" xfId="330"/>
    <cellStyle name="Comma 87 3" xfId="331"/>
    <cellStyle name="Comma 87 4" xfId="332"/>
    <cellStyle name="Comma 87 5" xfId="333"/>
    <cellStyle name="Comma 88 2" xfId="334"/>
    <cellStyle name="Comma 88 3" xfId="335"/>
    <cellStyle name="Comma 88 4" xfId="336"/>
    <cellStyle name="Comma 88 5" xfId="337"/>
    <cellStyle name="Comma 89 2" xfId="338"/>
    <cellStyle name="Comma 89 3" xfId="339"/>
    <cellStyle name="Comma 89 4" xfId="340"/>
    <cellStyle name="Comma 89 5" xfId="341"/>
    <cellStyle name="Comma 89 6" xfId="342"/>
    <cellStyle name="Comma 9" xfId="343"/>
    <cellStyle name="Comma 9 2" xfId="344"/>
    <cellStyle name="Comma 9 3" xfId="345"/>
    <cellStyle name="Comma 9 4" xfId="346"/>
    <cellStyle name="Comma 9 5" xfId="347"/>
    <cellStyle name="Comma 9 6" xfId="348"/>
    <cellStyle name="Comma 90 2" xfId="349"/>
    <cellStyle name="Comma 90 3" xfId="350"/>
    <cellStyle name="Comma 90 4" xfId="351"/>
    <cellStyle name="Comma 90 5" xfId="352"/>
    <cellStyle name="Comma 90 6" xfId="353"/>
    <cellStyle name="Comma 91 2" xfId="354"/>
    <cellStyle name="Comma 91 3" xfId="355"/>
    <cellStyle name="Comma 91 4" xfId="356"/>
    <cellStyle name="Comma 91 5" xfId="357"/>
    <cellStyle name="Comma 91 6" xfId="358"/>
    <cellStyle name="Comma 92 2" xfId="359"/>
    <cellStyle name="Comma 92 3" xfId="360"/>
    <cellStyle name="Comma 92 4" xfId="361"/>
    <cellStyle name="Comma 92 5" xfId="362"/>
    <cellStyle name="Comma 92 6" xfId="363"/>
    <cellStyle name="Comma 93 2" xfId="364"/>
    <cellStyle name="Comma 93 3" xfId="365"/>
    <cellStyle name="Comma 93 4" xfId="366"/>
    <cellStyle name="Comma 93 5" xfId="367"/>
    <cellStyle name="Comma 93 6" xfId="368"/>
    <cellStyle name="Comma 94 2" xfId="369"/>
    <cellStyle name="Comma 94 3" xfId="370"/>
    <cellStyle name="Comma 94 4" xfId="371"/>
    <cellStyle name="Comma 94 5" xfId="372"/>
    <cellStyle name="Comma 94 6" xfId="373"/>
    <cellStyle name="Comma 95 2" xfId="374"/>
    <cellStyle name="Comma 95 3" xfId="375"/>
    <cellStyle name="Comma 95 4" xfId="376"/>
    <cellStyle name="Comma 95 5" xfId="377"/>
    <cellStyle name="Comma 95 6" xfId="378"/>
    <cellStyle name="Comma 96 2" xfId="379"/>
    <cellStyle name="Comma 96 3" xfId="380"/>
    <cellStyle name="Comma 96 4" xfId="381"/>
    <cellStyle name="Comma 96 5" xfId="382"/>
    <cellStyle name="Comma 96 6" xfId="383"/>
    <cellStyle name="Comma 97 2" xfId="384"/>
    <cellStyle name="Comma 97 3" xfId="385"/>
    <cellStyle name="Comma 97 4" xfId="386"/>
    <cellStyle name="Comma 97 5" xfId="387"/>
    <cellStyle name="Comma 97 6" xfId="388"/>
    <cellStyle name="Comma 98 2" xfId="389"/>
    <cellStyle name="Comma 98 3" xfId="390"/>
    <cellStyle name="Comma 98 4" xfId="391"/>
    <cellStyle name="Comma 98 5" xfId="392"/>
    <cellStyle name="Comma 98 6" xfId="393"/>
    <cellStyle name="Comma 99 2" xfId="394"/>
    <cellStyle name="Comma 99 3" xfId="395"/>
    <cellStyle name="Comma 99 4" xfId="396"/>
    <cellStyle name="Comma 99 5" xfId="397"/>
    <cellStyle name="Comma 99 6" xfId="398"/>
    <cellStyle name="Hyperlink 2" xfId="399"/>
    <cellStyle name="Hyperlink 3" xfId="1881"/>
    <cellStyle name="Hyperlink 4" xfId="1882"/>
    <cellStyle name="Normal" xfId="0" builtinId="0"/>
    <cellStyle name="Normal 10" xfId="400"/>
    <cellStyle name="Normal 11" xfId="401"/>
    <cellStyle name="Normal 12" xfId="402"/>
    <cellStyle name="Normal 13" xfId="403"/>
    <cellStyle name="Normal 14" xfId="1883"/>
    <cellStyle name="Normal 15" xfId="1884"/>
    <cellStyle name="Normal 16" xfId="404"/>
    <cellStyle name="Normal 18" xfId="405"/>
    <cellStyle name="Normal 18 2" xfId="406"/>
    <cellStyle name="Normal 18 3" xfId="407"/>
    <cellStyle name="Normal 19" xfId="408"/>
    <cellStyle name="Normal 19 2" xfId="409"/>
    <cellStyle name="Normal 19 3" xfId="410"/>
    <cellStyle name="Normal 2" xfId="411"/>
    <cellStyle name="Normal 2 2" xfId="412"/>
    <cellStyle name="Normal 2 2 2" xfId="413"/>
    <cellStyle name="Normal 2 2 2 2" xfId="414"/>
    <cellStyle name="Normal 2 3" xfId="415"/>
    <cellStyle name="Normal 2 4" xfId="416"/>
    <cellStyle name="Normal 2 5" xfId="417"/>
    <cellStyle name="Normal 20" xfId="418"/>
    <cellStyle name="Normal 20 2" xfId="419"/>
    <cellStyle name="Normal 20 3" xfId="420"/>
    <cellStyle name="Normal 21" xfId="421"/>
    <cellStyle name="Normal 21 2" xfId="422"/>
    <cellStyle name="Normal 21 3" xfId="423"/>
    <cellStyle name="Normal 22" xfId="424"/>
    <cellStyle name="Normal 22 2" xfId="425"/>
    <cellStyle name="Normal 22 3" xfId="426"/>
    <cellStyle name="Normal 23" xfId="427"/>
    <cellStyle name="Normal 23 2" xfId="428"/>
    <cellStyle name="Normal 23 3" xfId="429"/>
    <cellStyle name="Normal 3" xfId="430"/>
    <cellStyle name="Normal 3 2" xfId="431"/>
    <cellStyle name="Normal 3 2 2" xfId="432"/>
    <cellStyle name="Normal 3 3" xfId="433"/>
    <cellStyle name="Normal 3 4" xfId="434"/>
    <cellStyle name="Normal 3 4 2" xfId="435"/>
    <cellStyle name="Normal 3 4 3" xfId="436"/>
    <cellStyle name="Normal 3 5" xfId="437"/>
    <cellStyle name="Normal 4" xfId="438"/>
    <cellStyle name="Normal 4 2" xfId="439"/>
    <cellStyle name="Normal 4 3" xfId="440"/>
    <cellStyle name="Normal 4 4" xfId="441"/>
    <cellStyle name="Normal 5" xfId="442"/>
    <cellStyle name="Normal 5 2" xfId="443"/>
    <cellStyle name="Normal 5 3" xfId="444"/>
    <cellStyle name="Normal 6" xfId="445"/>
    <cellStyle name="Normal 6 2" xfId="446"/>
    <cellStyle name="Normal 7" xfId="447"/>
    <cellStyle name="Normal 8" xfId="448"/>
    <cellStyle name="Normal 9" xfId="449"/>
    <cellStyle name="Note 10" xfId="450"/>
    <cellStyle name="Note 10 2" xfId="451"/>
    <cellStyle name="Note 10 3" xfId="452"/>
    <cellStyle name="Note 10 4" xfId="453"/>
    <cellStyle name="Note 10 5" xfId="454"/>
    <cellStyle name="Note 11" xfId="455"/>
    <cellStyle name="Note 11 2" xfId="456"/>
    <cellStyle name="Note 11 3" xfId="457"/>
    <cellStyle name="Note 11 4" xfId="458"/>
    <cellStyle name="Note 11 5" xfId="459"/>
    <cellStyle name="Note 12" xfId="460"/>
    <cellStyle name="Note 12 2" xfId="461"/>
    <cellStyle name="Note 12 3" xfId="462"/>
    <cellStyle name="Note 12 4" xfId="463"/>
    <cellStyle name="Note 12 5" xfId="464"/>
    <cellStyle name="Note 13" xfId="465"/>
    <cellStyle name="Note 13 2" xfId="466"/>
    <cellStyle name="Note 13 3" xfId="467"/>
    <cellStyle name="Note 13 4" xfId="468"/>
    <cellStyle name="Note 13 5" xfId="469"/>
    <cellStyle name="Note 14" xfId="470"/>
    <cellStyle name="Note 14 2" xfId="471"/>
    <cellStyle name="Note 14 3" xfId="472"/>
    <cellStyle name="Note 14 4" xfId="473"/>
    <cellStyle name="Note 14 5" xfId="474"/>
    <cellStyle name="Note 15" xfId="475"/>
    <cellStyle name="Note 15 2" xfId="476"/>
    <cellStyle name="Note 15 3" xfId="477"/>
    <cellStyle name="Note 15 4" xfId="478"/>
    <cellStyle name="Note 15 5" xfId="479"/>
    <cellStyle name="Note 16" xfId="480"/>
    <cellStyle name="Note 16 2" xfId="481"/>
    <cellStyle name="Note 16 3" xfId="482"/>
    <cellStyle name="Note 16 4" xfId="483"/>
    <cellStyle name="Note 16 5" xfId="484"/>
    <cellStyle name="Note 17" xfId="485"/>
    <cellStyle name="Note 17 2" xfId="486"/>
    <cellStyle name="Note 17 3" xfId="487"/>
    <cellStyle name="Note 17 4" xfId="488"/>
    <cellStyle name="Note 17 5" xfId="489"/>
    <cellStyle name="Note 18" xfId="490"/>
    <cellStyle name="Note 18 2" xfId="491"/>
    <cellStyle name="Note 18 3" xfId="492"/>
    <cellStyle name="Note 18 4" xfId="493"/>
    <cellStyle name="Note 18 5" xfId="494"/>
    <cellStyle name="Note 19" xfId="495"/>
    <cellStyle name="Note 19 2" xfId="496"/>
    <cellStyle name="Note 19 3" xfId="497"/>
    <cellStyle name="Note 19 4" xfId="498"/>
    <cellStyle name="Note 19 5" xfId="499"/>
    <cellStyle name="Note 2" xfId="500"/>
    <cellStyle name="Note 2 2" xfId="501"/>
    <cellStyle name="Note 2 3" xfId="502"/>
    <cellStyle name="Note 2 4" xfId="503"/>
    <cellStyle name="Note 2 5" xfId="504"/>
    <cellStyle name="Note 20" xfId="505"/>
    <cellStyle name="Note 20 2" xfId="506"/>
    <cellStyle name="Note 20 3" xfId="507"/>
    <cellStyle name="Note 20 4" xfId="508"/>
    <cellStyle name="Note 20 5" xfId="509"/>
    <cellStyle name="Note 21" xfId="510"/>
    <cellStyle name="Note 21 2" xfId="511"/>
    <cellStyle name="Note 21 3" xfId="512"/>
    <cellStyle name="Note 21 4" xfId="513"/>
    <cellStyle name="Note 21 5" xfId="514"/>
    <cellStyle name="Note 22" xfId="515"/>
    <cellStyle name="Note 22 2" xfId="516"/>
    <cellStyle name="Note 22 3" xfId="517"/>
    <cellStyle name="Note 22 4" xfId="518"/>
    <cellStyle name="Note 22 5" xfId="519"/>
    <cellStyle name="Note 23" xfId="520"/>
    <cellStyle name="Note 23 2" xfId="521"/>
    <cellStyle name="Note 23 3" xfId="522"/>
    <cellStyle name="Note 23 4" xfId="523"/>
    <cellStyle name="Note 23 5" xfId="524"/>
    <cellStyle name="Note 24" xfId="525"/>
    <cellStyle name="Note 24 2" xfId="526"/>
    <cellStyle name="Note 24 3" xfId="527"/>
    <cellStyle name="Note 24 4" xfId="528"/>
    <cellStyle name="Note 24 5" xfId="529"/>
    <cellStyle name="Note 25" xfId="530"/>
    <cellStyle name="Note 25 2" xfId="531"/>
    <cellStyle name="Note 25 3" xfId="532"/>
    <cellStyle name="Note 25 4" xfId="533"/>
    <cellStyle name="Note 25 5" xfId="534"/>
    <cellStyle name="Note 26" xfId="535"/>
    <cellStyle name="Note 26 2" xfId="536"/>
    <cellStyle name="Note 26 3" xfId="537"/>
    <cellStyle name="Note 26 4" xfId="538"/>
    <cellStyle name="Note 26 5" xfId="539"/>
    <cellStyle name="Note 27" xfId="540"/>
    <cellStyle name="Note 27 2" xfId="541"/>
    <cellStyle name="Note 27 3" xfId="542"/>
    <cellStyle name="Note 27 4" xfId="543"/>
    <cellStyle name="Note 27 5" xfId="544"/>
    <cellStyle name="Note 28" xfId="545"/>
    <cellStyle name="Note 28 2" xfId="546"/>
    <cellStyle name="Note 28 3" xfId="547"/>
    <cellStyle name="Note 28 4" xfId="548"/>
    <cellStyle name="Note 28 5" xfId="549"/>
    <cellStyle name="Note 29" xfId="550"/>
    <cellStyle name="Note 29 2" xfId="551"/>
    <cellStyle name="Note 29 3" xfId="552"/>
    <cellStyle name="Note 29 4" xfId="553"/>
    <cellStyle name="Note 29 5" xfId="554"/>
    <cellStyle name="Note 3" xfId="555"/>
    <cellStyle name="Note 3 2" xfId="556"/>
    <cellStyle name="Note 3 3" xfId="557"/>
    <cellStyle name="Note 3 4" xfId="558"/>
    <cellStyle name="Note 3 5" xfId="559"/>
    <cellStyle name="Note 30" xfId="560"/>
    <cellStyle name="Note 30 2" xfId="561"/>
    <cellStyle name="Note 30 3" xfId="562"/>
    <cellStyle name="Note 30 4" xfId="563"/>
    <cellStyle name="Note 30 5" xfId="564"/>
    <cellStyle name="Note 31" xfId="565"/>
    <cellStyle name="Note 31 2" xfId="566"/>
    <cellStyle name="Note 31 3" xfId="567"/>
    <cellStyle name="Note 31 4" xfId="568"/>
    <cellStyle name="Note 31 5" xfId="569"/>
    <cellStyle name="Note 32" xfId="570"/>
    <cellStyle name="Note 32 2" xfId="571"/>
    <cellStyle name="Note 32 3" xfId="572"/>
    <cellStyle name="Note 32 4" xfId="573"/>
    <cellStyle name="Note 32 5" xfId="574"/>
    <cellStyle name="Note 33" xfId="575"/>
    <cellStyle name="Note 33 2" xfId="576"/>
    <cellStyle name="Note 33 3" xfId="577"/>
    <cellStyle name="Note 33 4" xfId="578"/>
    <cellStyle name="Note 33 5" xfId="579"/>
    <cellStyle name="Note 34" xfId="580"/>
    <cellStyle name="Note 34 2" xfId="581"/>
    <cellStyle name="Note 34 3" xfId="582"/>
    <cellStyle name="Note 34 4" xfId="583"/>
    <cellStyle name="Note 34 5" xfId="584"/>
    <cellStyle name="Note 35" xfId="585"/>
    <cellStyle name="Note 35 2" xfId="586"/>
    <cellStyle name="Note 35 3" xfId="587"/>
    <cellStyle name="Note 35 4" xfId="588"/>
    <cellStyle name="Note 35 5" xfId="589"/>
    <cellStyle name="Note 36" xfId="590"/>
    <cellStyle name="Note 36 2" xfId="591"/>
    <cellStyle name="Note 36 3" xfId="592"/>
    <cellStyle name="Note 36 4" xfId="593"/>
    <cellStyle name="Note 36 5" xfId="594"/>
    <cellStyle name="Note 37" xfId="595"/>
    <cellStyle name="Note 37 2" xfId="596"/>
    <cellStyle name="Note 37 3" xfId="597"/>
    <cellStyle name="Note 37 4" xfId="598"/>
    <cellStyle name="Note 37 5" xfId="599"/>
    <cellStyle name="Note 38" xfId="600"/>
    <cellStyle name="Note 38 2" xfId="601"/>
    <cellStyle name="Note 38 3" xfId="602"/>
    <cellStyle name="Note 38 4" xfId="603"/>
    <cellStyle name="Note 38 5" xfId="604"/>
    <cellStyle name="Note 39" xfId="605"/>
    <cellStyle name="Note 39 2" xfId="606"/>
    <cellStyle name="Note 39 3" xfId="607"/>
    <cellStyle name="Note 39 4" xfId="608"/>
    <cellStyle name="Note 39 5" xfId="609"/>
    <cellStyle name="Note 4" xfId="610"/>
    <cellStyle name="Note 4 2" xfId="611"/>
    <cellStyle name="Note 4 3" xfId="612"/>
    <cellStyle name="Note 4 4" xfId="613"/>
    <cellStyle name="Note 4 5" xfId="614"/>
    <cellStyle name="Note 40" xfId="615"/>
    <cellStyle name="Note 40 2" xfId="616"/>
    <cellStyle name="Note 40 3" xfId="617"/>
    <cellStyle name="Note 40 4" xfId="618"/>
    <cellStyle name="Note 40 5" xfId="619"/>
    <cellStyle name="Note 41" xfId="620"/>
    <cellStyle name="Note 41 2" xfId="621"/>
    <cellStyle name="Note 41 3" xfId="622"/>
    <cellStyle name="Note 41 4" xfId="623"/>
    <cellStyle name="Note 41 5" xfId="624"/>
    <cellStyle name="Note 42" xfId="625"/>
    <cellStyle name="Note 42 2" xfId="626"/>
    <cellStyle name="Note 42 3" xfId="627"/>
    <cellStyle name="Note 42 4" xfId="628"/>
    <cellStyle name="Note 42 5" xfId="629"/>
    <cellStyle name="Note 43" xfId="630"/>
    <cellStyle name="Note 43 2" xfId="631"/>
    <cellStyle name="Note 43 3" xfId="632"/>
    <cellStyle name="Note 43 4" xfId="633"/>
    <cellStyle name="Note 43 5" xfId="634"/>
    <cellStyle name="Note 44" xfId="635"/>
    <cellStyle name="Note 44 2" xfId="636"/>
    <cellStyle name="Note 44 3" xfId="637"/>
    <cellStyle name="Note 44 4" xfId="638"/>
    <cellStyle name="Note 44 5" xfId="639"/>
    <cellStyle name="Note 45" xfId="640"/>
    <cellStyle name="Note 45 2" xfId="641"/>
    <cellStyle name="Note 45 3" xfId="642"/>
    <cellStyle name="Note 45 4" xfId="643"/>
    <cellStyle name="Note 45 5" xfId="644"/>
    <cellStyle name="Note 46" xfId="645"/>
    <cellStyle name="Note 46 2" xfId="646"/>
    <cellStyle name="Note 46 3" xfId="647"/>
    <cellStyle name="Note 46 4" xfId="648"/>
    <cellStyle name="Note 46 5" xfId="649"/>
    <cellStyle name="Note 47" xfId="650"/>
    <cellStyle name="Note 47 2" xfId="651"/>
    <cellStyle name="Note 47 3" xfId="652"/>
    <cellStyle name="Note 47 4" xfId="653"/>
    <cellStyle name="Note 47 5" xfId="654"/>
    <cellStyle name="Note 48" xfId="655"/>
    <cellStyle name="Note 48 2" xfId="656"/>
    <cellStyle name="Note 48 3" xfId="657"/>
    <cellStyle name="Note 48 4" xfId="658"/>
    <cellStyle name="Note 48 5" xfId="659"/>
    <cellStyle name="Note 49" xfId="660"/>
    <cellStyle name="Note 49 2" xfId="661"/>
    <cellStyle name="Note 49 3" xfId="662"/>
    <cellStyle name="Note 49 4" xfId="663"/>
    <cellStyle name="Note 49 5" xfId="664"/>
    <cellStyle name="Note 5" xfId="665"/>
    <cellStyle name="Note 5 2" xfId="666"/>
    <cellStyle name="Note 5 3" xfId="667"/>
    <cellStyle name="Note 5 4" xfId="668"/>
    <cellStyle name="Note 5 5" xfId="669"/>
    <cellStyle name="Note 50" xfId="670"/>
    <cellStyle name="Note 50 2" xfId="671"/>
    <cellStyle name="Note 50 3" xfId="672"/>
    <cellStyle name="Note 50 4" xfId="673"/>
    <cellStyle name="Note 50 5" xfId="674"/>
    <cellStyle name="Note 51" xfId="675"/>
    <cellStyle name="Note 51 2" xfId="676"/>
    <cellStyle name="Note 51 3" xfId="677"/>
    <cellStyle name="Note 51 4" xfId="678"/>
    <cellStyle name="Note 51 5" xfId="679"/>
    <cellStyle name="Note 52" xfId="680"/>
    <cellStyle name="Note 52 2" xfId="681"/>
    <cellStyle name="Note 52 3" xfId="682"/>
    <cellStyle name="Note 52 4" xfId="683"/>
    <cellStyle name="Note 52 5" xfId="684"/>
    <cellStyle name="Note 53" xfId="685"/>
    <cellStyle name="Note 53 2" xfId="686"/>
    <cellStyle name="Note 53 3" xfId="687"/>
    <cellStyle name="Note 53 4" xfId="688"/>
    <cellStyle name="Note 53 5" xfId="689"/>
    <cellStyle name="Note 54" xfId="690"/>
    <cellStyle name="Note 54 2" xfId="691"/>
    <cellStyle name="Note 54 3" xfId="692"/>
    <cellStyle name="Note 54 4" xfId="693"/>
    <cellStyle name="Note 54 5" xfId="694"/>
    <cellStyle name="Note 55" xfId="695"/>
    <cellStyle name="Note 55 2" xfId="696"/>
    <cellStyle name="Note 55 3" xfId="697"/>
    <cellStyle name="Note 55 4" xfId="698"/>
    <cellStyle name="Note 55 5" xfId="699"/>
    <cellStyle name="Note 56" xfId="700"/>
    <cellStyle name="Note 56 2" xfId="701"/>
    <cellStyle name="Note 56 3" xfId="702"/>
    <cellStyle name="Note 56 4" xfId="703"/>
    <cellStyle name="Note 56 5" xfId="704"/>
    <cellStyle name="Note 57" xfId="705"/>
    <cellStyle name="Note 57 2" xfId="706"/>
    <cellStyle name="Note 57 3" xfId="707"/>
    <cellStyle name="Note 57 4" xfId="708"/>
    <cellStyle name="Note 57 5" xfId="709"/>
    <cellStyle name="Note 58" xfId="710"/>
    <cellStyle name="Note 58 2" xfId="711"/>
    <cellStyle name="Note 58 3" xfId="712"/>
    <cellStyle name="Note 58 4" xfId="713"/>
    <cellStyle name="Note 58 5" xfId="714"/>
    <cellStyle name="Note 59" xfId="715"/>
    <cellStyle name="Note 59 2" xfId="716"/>
    <cellStyle name="Note 59 3" xfId="717"/>
    <cellStyle name="Note 59 4" xfId="718"/>
    <cellStyle name="Note 59 5" xfId="719"/>
    <cellStyle name="Note 6" xfId="720"/>
    <cellStyle name="Note 6 2" xfId="721"/>
    <cellStyle name="Note 6 3" xfId="722"/>
    <cellStyle name="Note 6 4" xfId="723"/>
    <cellStyle name="Note 6 5" xfId="724"/>
    <cellStyle name="Note 60" xfId="725"/>
    <cellStyle name="Note 60 2" xfId="726"/>
    <cellStyle name="Note 60 3" xfId="727"/>
    <cellStyle name="Note 60 4" xfId="728"/>
    <cellStyle name="Note 60 5" xfId="729"/>
    <cellStyle name="Note 61" xfId="730"/>
    <cellStyle name="Note 61 2" xfId="731"/>
    <cellStyle name="Note 61 3" xfId="732"/>
    <cellStyle name="Note 61 4" xfId="733"/>
    <cellStyle name="Note 61 5" xfId="734"/>
    <cellStyle name="Note 62" xfId="735"/>
    <cellStyle name="Note 62 2" xfId="736"/>
    <cellStyle name="Note 62 3" xfId="737"/>
    <cellStyle name="Note 62 4" xfId="738"/>
    <cellStyle name="Note 62 5" xfId="739"/>
    <cellStyle name="Note 63" xfId="740"/>
    <cellStyle name="Note 63 2" xfId="741"/>
    <cellStyle name="Note 63 3" xfId="742"/>
    <cellStyle name="Note 63 4" xfId="743"/>
    <cellStyle name="Note 63 5" xfId="744"/>
    <cellStyle name="Note 64" xfId="745"/>
    <cellStyle name="Note 64 2" xfId="746"/>
    <cellStyle name="Note 64 3" xfId="747"/>
    <cellStyle name="Note 64 4" xfId="748"/>
    <cellStyle name="Note 64 5" xfId="749"/>
    <cellStyle name="Note 65" xfId="750"/>
    <cellStyle name="Note 65 2" xfId="751"/>
    <cellStyle name="Note 65 3" xfId="752"/>
    <cellStyle name="Note 65 4" xfId="753"/>
    <cellStyle name="Note 65 5" xfId="754"/>
    <cellStyle name="Note 66" xfId="755"/>
    <cellStyle name="Note 66 2" xfId="756"/>
    <cellStyle name="Note 66 3" xfId="757"/>
    <cellStyle name="Note 66 4" xfId="758"/>
    <cellStyle name="Note 66 5" xfId="759"/>
    <cellStyle name="Note 67" xfId="760"/>
    <cellStyle name="Note 67 2" xfId="761"/>
    <cellStyle name="Note 67 3" xfId="762"/>
    <cellStyle name="Note 67 4" xfId="763"/>
    <cellStyle name="Note 67 5" xfId="764"/>
    <cellStyle name="Note 68" xfId="765"/>
    <cellStyle name="Note 68 2" xfId="766"/>
    <cellStyle name="Note 68 3" xfId="767"/>
    <cellStyle name="Note 68 4" xfId="768"/>
    <cellStyle name="Note 68 5" xfId="769"/>
    <cellStyle name="Note 69" xfId="770"/>
    <cellStyle name="Note 69 2" xfId="771"/>
    <cellStyle name="Note 69 3" xfId="772"/>
    <cellStyle name="Note 69 4" xfId="773"/>
    <cellStyle name="Note 69 5" xfId="774"/>
    <cellStyle name="Note 7" xfId="775"/>
    <cellStyle name="Note 7 2" xfId="776"/>
    <cellStyle name="Note 7 3" xfId="777"/>
    <cellStyle name="Note 7 4" xfId="778"/>
    <cellStyle name="Note 7 5" xfId="779"/>
    <cellStyle name="Note 70" xfId="780"/>
    <cellStyle name="Note 70 2" xfId="781"/>
    <cellStyle name="Note 70 3" xfId="782"/>
    <cellStyle name="Note 70 4" xfId="783"/>
    <cellStyle name="Note 70 5" xfId="784"/>
    <cellStyle name="Note 71" xfId="785"/>
    <cellStyle name="Note 71 2" xfId="786"/>
    <cellStyle name="Note 71 3" xfId="787"/>
    <cellStyle name="Note 71 4" xfId="788"/>
    <cellStyle name="Note 71 5" xfId="789"/>
    <cellStyle name="Note 72" xfId="790"/>
    <cellStyle name="Note 72 2" xfId="791"/>
    <cellStyle name="Note 72 3" xfId="792"/>
    <cellStyle name="Note 72 4" xfId="793"/>
    <cellStyle name="Note 72 5" xfId="794"/>
    <cellStyle name="Note 73" xfId="795"/>
    <cellStyle name="Note 73 2" xfId="796"/>
    <cellStyle name="Note 73 3" xfId="797"/>
    <cellStyle name="Note 73 4" xfId="798"/>
    <cellStyle name="Note 73 5" xfId="799"/>
    <cellStyle name="Note 74" xfId="800"/>
    <cellStyle name="Note 74 2" xfId="801"/>
    <cellStyle name="Note 74 3" xfId="802"/>
    <cellStyle name="Note 74 4" xfId="803"/>
    <cellStyle name="Note 74 5" xfId="804"/>
    <cellStyle name="Note 75" xfId="805"/>
    <cellStyle name="Note 75 2" xfId="806"/>
    <cellStyle name="Note 75 3" xfId="807"/>
    <cellStyle name="Note 75 4" xfId="808"/>
    <cellStyle name="Note 75 5" xfId="809"/>
    <cellStyle name="Note 76" xfId="810"/>
    <cellStyle name="Note 77" xfId="811"/>
    <cellStyle name="Note 78" xfId="812"/>
    <cellStyle name="Note 79" xfId="813"/>
    <cellStyle name="Note 8" xfId="814"/>
    <cellStyle name="Note 8 2" xfId="815"/>
    <cellStyle name="Note 8 3" xfId="816"/>
    <cellStyle name="Note 8 4" xfId="817"/>
    <cellStyle name="Note 8 5" xfId="818"/>
    <cellStyle name="Note 80" xfId="819"/>
    <cellStyle name="Note 81" xfId="820"/>
    <cellStyle name="Note 82" xfId="821"/>
    <cellStyle name="Note 83" xfId="822"/>
    <cellStyle name="Note 84" xfId="823"/>
    <cellStyle name="Note 85" xfId="824"/>
    <cellStyle name="Note 86" xfId="825"/>
    <cellStyle name="Note 87" xfId="826"/>
    <cellStyle name="Note 9" xfId="827"/>
    <cellStyle name="Note 9 2" xfId="828"/>
    <cellStyle name="Note 9 3" xfId="829"/>
    <cellStyle name="Note 9 4" xfId="830"/>
    <cellStyle name="Note 9 5" xfId="831"/>
    <cellStyle name="Percent" xfId="2" builtinId="5"/>
    <cellStyle name="Percent 2" xfId="832"/>
    <cellStyle name="Percent 2 2" xfId="833"/>
    <cellStyle name="Percent 3" xfId="834"/>
    <cellStyle name="Percent 4" xfId="1880"/>
    <cellStyle name="S0" xfId="835"/>
    <cellStyle name="S0 10" xfId="836"/>
    <cellStyle name="S0 100" xfId="837"/>
    <cellStyle name="S0 101" xfId="838"/>
    <cellStyle name="S0 102" xfId="839"/>
    <cellStyle name="S0 103" xfId="840"/>
    <cellStyle name="S0 104" xfId="841"/>
    <cellStyle name="S0 105" xfId="842"/>
    <cellStyle name="S0 106" xfId="843"/>
    <cellStyle name="S0 107" xfId="844"/>
    <cellStyle name="S0 108" xfId="845"/>
    <cellStyle name="S0 109" xfId="846"/>
    <cellStyle name="S0 11" xfId="847"/>
    <cellStyle name="S0 110" xfId="848"/>
    <cellStyle name="S0 111" xfId="849"/>
    <cellStyle name="S0 112" xfId="850"/>
    <cellStyle name="S0 113" xfId="851"/>
    <cellStyle name="S0 114" xfId="852"/>
    <cellStyle name="S0 115" xfId="853"/>
    <cellStyle name="S0 116" xfId="854"/>
    <cellStyle name="S0 117" xfId="855"/>
    <cellStyle name="S0 118" xfId="856"/>
    <cellStyle name="S0 119" xfId="857"/>
    <cellStyle name="S0 12" xfId="858"/>
    <cellStyle name="S0 120" xfId="859"/>
    <cellStyle name="S0 121" xfId="860"/>
    <cellStyle name="S0 122" xfId="861"/>
    <cellStyle name="S0 123" xfId="862"/>
    <cellStyle name="S0 124" xfId="863"/>
    <cellStyle name="S0 125" xfId="864"/>
    <cellStyle name="S0 126" xfId="865"/>
    <cellStyle name="S0 127" xfId="866"/>
    <cellStyle name="S0 128" xfId="867"/>
    <cellStyle name="S0 129" xfId="868"/>
    <cellStyle name="S0 13" xfId="869"/>
    <cellStyle name="S0 130" xfId="870"/>
    <cellStyle name="S0 131" xfId="871"/>
    <cellStyle name="S0 132" xfId="872"/>
    <cellStyle name="S0 133" xfId="873"/>
    <cellStyle name="S0 134" xfId="874"/>
    <cellStyle name="S0 135" xfId="875"/>
    <cellStyle name="S0 136" xfId="876"/>
    <cellStyle name="S0 137" xfId="877"/>
    <cellStyle name="S0 138" xfId="878"/>
    <cellStyle name="S0 139" xfId="879"/>
    <cellStyle name="S0 14" xfId="880"/>
    <cellStyle name="S0 140" xfId="881"/>
    <cellStyle name="S0 141" xfId="882"/>
    <cellStyle name="S0 142" xfId="883"/>
    <cellStyle name="S0 143" xfId="884"/>
    <cellStyle name="S0 144" xfId="885"/>
    <cellStyle name="S0 145" xfId="886"/>
    <cellStyle name="S0 146" xfId="887"/>
    <cellStyle name="S0 147" xfId="888"/>
    <cellStyle name="S0 148" xfId="889"/>
    <cellStyle name="S0 149" xfId="890"/>
    <cellStyle name="S0 15" xfId="891"/>
    <cellStyle name="S0 150" xfId="892"/>
    <cellStyle name="S0 151" xfId="893"/>
    <cellStyle name="S0 152" xfId="894"/>
    <cellStyle name="S0 153" xfId="895"/>
    <cellStyle name="S0 154" xfId="896"/>
    <cellStyle name="S0 155" xfId="897"/>
    <cellStyle name="S0 156" xfId="898"/>
    <cellStyle name="S0 157" xfId="899"/>
    <cellStyle name="S0 158" xfId="900"/>
    <cellStyle name="S0 159" xfId="901"/>
    <cellStyle name="S0 16" xfId="902"/>
    <cellStyle name="S0 160" xfId="903"/>
    <cellStyle name="S0 161" xfId="904"/>
    <cellStyle name="S0 162" xfId="905"/>
    <cellStyle name="S0 163" xfId="906"/>
    <cellStyle name="S0 164" xfId="907"/>
    <cellStyle name="S0 165" xfId="908"/>
    <cellStyle name="S0 166" xfId="909"/>
    <cellStyle name="S0 167" xfId="910"/>
    <cellStyle name="S0 168" xfId="911"/>
    <cellStyle name="S0 169" xfId="912"/>
    <cellStyle name="S0 17" xfId="913"/>
    <cellStyle name="S0 170" xfId="914"/>
    <cellStyle name="S0 171" xfId="915"/>
    <cellStyle name="S0 172" xfId="916"/>
    <cellStyle name="S0 173" xfId="917"/>
    <cellStyle name="S0 174" xfId="918"/>
    <cellStyle name="S0 175" xfId="919"/>
    <cellStyle name="S0 176" xfId="920"/>
    <cellStyle name="S0 177" xfId="921"/>
    <cellStyle name="S0 178" xfId="922"/>
    <cellStyle name="S0 179" xfId="923"/>
    <cellStyle name="S0 18" xfId="924"/>
    <cellStyle name="S0 180" xfId="925"/>
    <cellStyle name="S0 181" xfId="926"/>
    <cellStyle name="S0 182" xfId="927"/>
    <cellStyle name="S0 183" xfId="928"/>
    <cellStyle name="S0 184" xfId="929"/>
    <cellStyle name="S0 185" xfId="930"/>
    <cellStyle name="S0 186" xfId="931"/>
    <cellStyle name="S0 187" xfId="932"/>
    <cellStyle name="S0 188" xfId="933"/>
    <cellStyle name="S0 189" xfId="934"/>
    <cellStyle name="S0 19" xfId="935"/>
    <cellStyle name="S0 190" xfId="936"/>
    <cellStyle name="S0 191" xfId="937"/>
    <cellStyle name="S0 192" xfId="938"/>
    <cellStyle name="S0 193" xfId="939"/>
    <cellStyle name="S0 194" xfId="940"/>
    <cellStyle name="S0 195" xfId="941"/>
    <cellStyle name="S0 196" xfId="942"/>
    <cellStyle name="S0 197" xfId="943"/>
    <cellStyle name="S0 198" xfId="944"/>
    <cellStyle name="S0 199" xfId="945"/>
    <cellStyle name="S0 2" xfId="946"/>
    <cellStyle name="S0 2 2" xfId="947"/>
    <cellStyle name="S0 20" xfId="948"/>
    <cellStyle name="S0 200" xfId="949"/>
    <cellStyle name="S0 201" xfId="950"/>
    <cellStyle name="S0 202" xfId="951"/>
    <cellStyle name="S0 203" xfId="952"/>
    <cellStyle name="S0 204" xfId="953"/>
    <cellStyle name="S0 205" xfId="954"/>
    <cellStyle name="S0 206" xfId="955"/>
    <cellStyle name="S0 207" xfId="956"/>
    <cellStyle name="S0 208" xfId="957"/>
    <cellStyle name="S0 209" xfId="958"/>
    <cellStyle name="S0 21" xfId="959"/>
    <cellStyle name="S0 210" xfId="960"/>
    <cellStyle name="S0 211" xfId="961"/>
    <cellStyle name="S0 212" xfId="962"/>
    <cellStyle name="S0 213" xfId="963"/>
    <cellStyle name="S0 214" xfId="964"/>
    <cellStyle name="S0 215" xfId="965"/>
    <cellStyle name="S0 216" xfId="966"/>
    <cellStyle name="S0 217" xfId="967"/>
    <cellStyle name="S0 218" xfId="968"/>
    <cellStyle name="S0 219" xfId="969"/>
    <cellStyle name="S0 22" xfId="970"/>
    <cellStyle name="S0 220" xfId="971"/>
    <cellStyle name="S0 221" xfId="972"/>
    <cellStyle name="S0 222" xfId="973"/>
    <cellStyle name="S0 223" xfId="974"/>
    <cellStyle name="S0 224" xfId="975"/>
    <cellStyle name="S0 225" xfId="976"/>
    <cellStyle name="S0 226" xfId="977"/>
    <cellStyle name="S0 227" xfId="978"/>
    <cellStyle name="S0 228" xfId="979"/>
    <cellStyle name="S0 229" xfId="980"/>
    <cellStyle name="S0 23" xfId="981"/>
    <cellStyle name="S0 230" xfId="982"/>
    <cellStyle name="S0 231" xfId="983"/>
    <cellStyle name="S0 232" xfId="984"/>
    <cellStyle name="S0 233" xfId="985"/>
    <cellStyle name="S0 234" xfId="986"/>
    <cellStyle name="S0 235" xfId="987"/>
    <cellStyle name="S0 236" xfId="988"/>
    <cellStyle name="S0 237" xfId="989"/>
    <cellStyle name="S0 238" xfId="990"/>
    <cellStyle name="S0 239" xfId="991"/>
    <cellStyle name="S0 24" xfId="992"/>
    <cellStyle name="S0 240" xfId="993"/>
    <cellStyle name="S0 241" xfId="994"/>
    <cellStyle name="S0 242" xfId="995"/>
    <cellStyle name="S0 243" xfId="996"/>
    <cellStyle name="S0 244" xfId="997"/>
    <cellStyle name="S0 245" xfId="998"/>
    <cellStyle name="S0 246" xfId="999"/>
    <cellStyle name="S0 247" xfId="1000"/>
    <cellStyle name="S0 248" xfId="1001"/>
    <cellStyle name="S0 249" xfId="1002"/>
    <cellStyle name="S0 25" xfId="1003"/>
    <cellStyle name="S0 250" xfId="1004"/>
    <cellStyle name="S0 251" xfId="1005"/>
    <cellStyle name="S0 252" xfId="1006"/>
    <cellStyle name="S0 253" xfId="1007"/>
    <cellStyle name="S0 254" xfId="1008"/>
    <cellStyle name="S0 255" xfId="1009"/>
    <cellStyle name="S0 256" xfId="1010"/>
    <cellStyle name="S0 257" xfId="1011"/>
    <cellStyle name="S0 258" xfId="1012"/>
    <cellStyle name="S0 259" xfId="1013"/>
    <cellStyle name="S0 26" xfId="1014"/>
    <cellStyle name="S0 260" xfId="1015"/>
    <cellStyle name="S0 261" xfId="1016"/>
    <cellStyle name="S0 262" xfId="1017"/>
    <cellStyle name="S0 263" xfId="1018"/>
    <cellStyle name="S0 264" xfId="1019"/>
    <cellStyle name="S0 265" xfId="1020"/>
    <cellStyle name="S0 266" xfId="1021"/>
    <cellStyle name="S0 266 2" xfId="1022"/>
    <cellStyle name="S0 267" xfId="1023"/>
    <cellStyle name="S0 268" xfId="1885"/>
    <cellStyle name="S0 27" xfId="1024"/>
    <cellStyle name="S0 28" xfId="1025"/>
    <cellStyle name="S0 29" xfId="1026"/>
    <cellStyle name="S0 3" xfId="1027"/>
    <cellStyle name="S0 3 2" xfId="1028"/>
    <cellStyle name="S0 30" xfId="1029"/>
    <cellStyle name="S0 31" xfId="1030"/>
    <cellStyle name="S0 32" xfId="1031"/>
    <cellStyle name="S0 33" xfId="1032"/>
    <cellStyle name="S0 34" xfId="1033"/>
    <cellStyle name="S0 35" xfId="1034"/>
    <cellStyle name="S0 36" xfId="1035"/>
    <cellStyle name="S0 37" xfId="1036"/>
    <cellStyle name="S0 38" xfId="1037"/>
    <cellStyle name="S0 39" xfId="1038"/>
    <cellStyle name="S0 4" xfId="1039"/>
    <cellStyle name="S0 40" xfId="1040"/>
    <cellStyle name="S0 41" xfId="1041"/>
    <cellStyle name="S0 42" xfId="1042"/>
    <cellStyle name="S0 43" xfId="1043"/>
    <cellStyle name="S0 44" xfId="1044"/>
    <cellStyle name="S0 45" xfId="1045"/>
    <cellStyle name="S0 46" xfId="1046"/>
    <cellStyle name="S0 47" xfId="1047"/>
    <cellStyle name="S0 48" xfId="1048"/>
    <cellStyle name="S0 49" xfId="1049"/>
    <cellStyle name="S0 5" xfId="1050"/>
    <cellStyle name="S0 50" xfId="1051"/>
    <cellStyle name="S0 51" xfId="1052"/>
    <cellStyle name="S0 52" xfId="1053"/>
    <cellStyle name="S0 53" xfId="1054"/>
    <cellStyle name="S0 54" xfId="1055"/>
    <cellStyle name="S0 55" xfId="1056"/>
    <cellStyle name="S0 56" xfId="1057"/>
    <cellStyle name="S0 57" xfId="1058"/>
    <cellStyle name="S0 58" xfId="1059"/>
    <cellStyle name="S0 59" xfId="1060"/>
    <cellStyle name="S0 6" xfId="1061"/>
    <cellStyle name="S0 60" xfId="1062"/>
    <cellStyle name="S0 61" xfId="1063"/>
    <cellStyle name="S0 62" xfId="1064"/>
    <cellStyle name="S0 63" xfId="1065"/>
    <cellStyle name="S0 64" xfId="1066"/>
    <cellStyle name="S0 65" xfId="1067"/>
    <cellStyle name="S0 66" xfId="1068"/>
    <cellStyle name="S0 67" xfId="1069"/>
    <cellStyle name="S0 68" xfId="1070"/>
    <cellStyle name="S0 69" xfId="1071"/>
    <cellStyle name="S0 7" xfId="1072"/>
    <cellStyle name="S0 70" xfId="1073"/>
    <cellStyle name="S0 71" xfId="1074"/>
    <cellStyle name="S0 72" xfId="1075"/>
    <cellStyle name="S0 73" xfId="1076"/>
    <cellStyle name="S0 74" xfId="1077"/>
    <cellStyle name="S0 75" xfId="1078"/>
    <cellStyle name="S0 76" xfId="1079"/>
    <cellStyle name="S0 77" xfId="1080"/>
    <cellStyle name="S0 78" xfId="1081"/>
    <cellStyle name="S0 79" xfId="1082"/>
    <cellStyle name="S0 8" xfId="1083"/>
    <cellStyle name="S0 80" xfId="1084"/>
    <cellStyle name="S0 81" xfId="1085"/>
    <cellStyle name="S0 82" xfId="1086"/>
    <cellStyle name="S0 83" xfId="1087"/>
    <cellStyle name="S0 84" xfId="1088"/>
    <cellStyle name="S0 85" xfId="1089"/>
    <cellStyle name="S0 86" xfId="1090"/>
    <cellStyle name="S0 87" xfId="1091"/>
    <cellStyle name="S0 88" xfId="1092"/>
    <cellStyle name="S0 89" xfId="1093"/>
    <cellStyle name="S0 9" xfId="1094"/>
    <cellStyle name="S0 90" xfId="1095"/>
    <cellStyle name="S0 91" xfId="1096"/>
    <cellStyle name="S0 92" xfId="1097"/>
    <cellStyle name="S0 93" xfId="1098"/>
    <cellStyle name="S0 94" xfId="1099"/>
    <cellStyle name="S0 95" xfId="1100"/>
    <cellStyle name="S0 96" xfId="1101"/>
    <cellStyle name="S0 97" xfId="1102"/>
    <cellStyle name="S0 98" xfId="1103"/>
    <cellStyle name="S0 99" xfId="1104"/>
    <cellStyle name="S0_Pembelian" xfId="1886"/>
    <cellStyle name="S1" xfId="1105"/>
    <cellStyle name="S1 10" xfId="1106"/>
    <cellStyle name="S1 100" xfId="1107"/>
    <cellStyle name="S1 101" xfId="1108"/>
    <cellStyle name="S1 102" xfId="1109"/>
    <cellStyle name="S1 103" xfId="1110"/>
    <cellStyle name="S1 104" xfId="1111"/>
    <cellStyle name="S1 105" xfId="1112"/>
    <cellStyle name="S1 106" xfId="1113"/>
    <cellStyle name="S1 107" xfId="1114"/>
    <cellStyle name="S1 108" xfId="1115"/>
    <cellStyle name="S1 109" xfId="1116"/>
    <cellStyle name="S1 11" xfId="1117"/>
    <cellStyle name="S1 110" xfId="1118"/>
    <cellStyle name="S1 111" xfId="1119"/>
    <cellStyle name="S1 112" xfId="1120"/>
    <cellStyle name="S1 113" xfId="1121"/>
    <cellStyle name="S1 114" xfId="1122"/>
    <cellStyle name="S1 115" xfId="1123"/>
    <cellStyle name="S1 116" xfId="1124"/>
    <cellStyle name="S1 117" xfId="1125"/>
    <cellStyle name="S1 118" xfId="1126"/>
    <cellStyle name="S1 119" xfId="1127"/>
    <cellStyle name="S1 12" xfId="1128"/>
    <cellStyle name="S1 120" xfId="1129"/>
    <cellStyle name="S1 121" xfId="1130"/>
    <cellStyle name="S1 122" xfId="1131"/>
    <cellStyle name="S1 123" xfId="1132"/>
    <cellStyle name="S1 124" xfId="1133"/>
    <cellStyle name="S1 125" xfId="1134"/>
    <cellStyle name="S1 126" xfId="1135"/>
    <cellStyle name="S1 127" xfId="1136"/>
    <cellStyle name="S1 128" xfId="1137"/>
    <cellStyle name="S1 129" xfId="1138"/>
    <cellStyle name="S1 13" xfId="1139"/>
    <cellStyle name="S1 130" xfId="1140"/>
    <cellStyle name="S1 131" xfId="1141"/>
    <cellStyle name="S1 132" xfId="1142"/>
    <cellStyle name="S1 133" xfId="1143"/>
    <cellStyle name="S1 134" xfId="1144"/>
    <cellStyle name="S1 135" xfId="1145"/>
    <cellStyle name="S1 136" xfId="1146"/>
    <cellStyle name="S1 137" xfId="1147"/>
    <cellStyle name="S1 138" xfId="1148"/>
    <cellStyle name="S1 139" xfId="1149"/>
    <cellStyle name="S1 14" xfId="1150"/>
    <cellStyle name="S1 140" xfId="1151"/>
    <cellStyle name="S1 141" xfId="1152"/>
    <cellStyle name="S1 142" xfId="1153"/>
    <cellStyle name="S1 143" xfId="1154"/>
    <cellStyle name="S1 144" xfId="1155"/>
    <cellStyle name="S1 145" xfId="1156"/>
    <cellStyle name="S1 146" xfId="1157"/>
    <cellStyle name="S1 147" xfId="1158"/>
    <cellStyle name="S1 148" xfId="1159"/>
    <cellStyle name="S1 149" xfId="1160"/>
    <cellStyle name="S1 15" xfId="1161"/>
    <cellStyle name="S1 150" xfId="1162"/>
    <cellStyle name="S1 151" xfId="1163"/>
    <cellStyle name="S1 152" xfId="1164"/>
    <cellStyle name="S1 153" xfId="1165"/>
    <cellStyle name="S1 154" xfId="1166"/>
    <cellStyle name="S1 155" xfId="1167"/>
    <cellStyle name="S1 156" xfId="1168"/>
    <cellStyle name="S1 157" xfId="1169"/>
    <cellStyle name="S1 158" xfId="1170"/>
    <cellStyle name="S1 159" xfId="1171"/>
    <cellStyle name="S1 16" xfId="1172"/>
    <cellStyle name="S1 160" xfId="1173"/>
    <cellStyle name="S1 161" xfId="1174"/>
    <cellStyle name="S1 162" xfId="1175"/>
    <cellStyle name="S1 163" xfId="1176"/>
    <cellStyle name="S1 164" xfId="1177"/>
    <cellStyle name="S1 165" xfId="1178"/>
    <cellStyle name="S1 166" xfId="1179"/>
    <cellStyle name="S1 167" xfId="1180"/>
    <cellStyle name="S1 168" xfId="1181"/>
    <cellStyle name="S1 169" xfId="1182"/>
    <cellStyle name="S1 17" xfId="1183"/>
    <cellStyle name="S1 170" xfId="1184"/>
    <cellStyle name="S1 171" xfId="1185"/>
    <cellStyle name="S1 172" xfId="1186"/>
    <cellStyle name="S1 173" xfId="1187"/>
    <cellStyle name="S1 174" xfId="1188"/>
    <cellStyle name="S1 175" xfId="1189"/>
    <cellStyle name="S1 176" xfId="1190"/>
    <cellStyle name="S1 177" xfId="1191"/>
    <cellStyle name="S1 178" xfId="1192"/>
    <cellStyle name="S1 179" xfId="1193"/>
    <cellStyle name="S1 18" xfId="1194"/>
    <cellStyle name="S1 180" xfId="1195"/>
    <cellStyle name="S1 181" xfId="1196"/>
    <cellStyle name="S1 182" xfId="1197"/>
    <cellStyle name="S1 183" xfId="1198"/>
    <cellStyle name="S1 184" xfId="1199"/>
    <cellStyle name="S1 185" xfId="1200"/>
    <cellStyle name="S1 186" xfId="1201"/>
    <cellStyle name="S1 187" xfId="1202"/>
    <cellStyle name="S1 188" xfId="1203"/>
    <cellStyle name="S1 189" xfId="1204"/>
    <cellStyle name="S1 19" xfId="1205"/>
    <cellStyle name="S1 190" xfId="1206"/>
    <cellStyle name="S1 191" xfId="1207"/>
    <cellStyle name="S1 192" xfId="1208"/>
    <cellStyle name="S1 193" xfId="1209"/>
    <cellStyle name="S1 194" xfId="1210"/>
    <cellStyle name="S1 195" xfId="1211"/>
    <cellStyle name="S1 196" xfId="1212"/>
    <cellStyle name="S1 197" xfId="1213"/>
    <cellStyle name="S1 198" xfId="1214"/>
    <cellStyle name="S1 199" xfId="1215"/>
    <cellStyle name="S1 2" xfId="1216"/>
    <cellStyle name="S1 2 2" xfId="1217"/>
    <cellStyle name="S1 20" xfId="1218"/>
    <cellStyle name="S1 200" xfId="1219"/>
    <cellStyle name="S1 201" xfId="1220"/>
    <cellStyle name="S1 202" xfId="1221"/>
    <cellStyle name="S1 203" xfId="1222"/>
    <cellStyle name="S1 204" xfId="1223"/>
    <cellStyle name="S1 205" xfId="1224"/>
    <cellStyle name="S1 206" xfId="1225"/>
    <cellStyle name="S1 207" xfId="1226"/>
    <cellStyle name="S1 208" xfId="1227"/>
    <cellStyle name="S1 209" xfId="1228"/>
    <cellStyle name="S1 21" xfId="1229"/>
    <cellStyle name="S1 210" xfId="1230"/>
    <cellStyle name="S1 211" xfId="1231"/>
    <cellStyle name="S1 212" xfId="1232"/>
    <cellStyle name="S1 213" xfId="1233"/>
    <cellStyle name="S1 214" xfId="1234"/>
    <cellStyle name="S1 215" xfId="1235"/>
    <cellStyle name="S1 216" xfId="1236"/>
    <cellStyle name="S1 217" xfId="1237"/>
    <cellStyle name="S1 218" xfId="1238"/>
    <cellStyle name="S1 219" xfId="1239"/>
    <cellStyle name="S1 22" xfId="1240"/>
    <cellStyle name="S1 220" xfId="1241"/>
    <cellStyle name="S1 221" xfId="1242"/>
    <cellStyle name="S1 222" xfId="1243"/>
    <cellStyle name="S1 223" xfId="1244"/>
    <cellStyle name="S1 224" xfId="1245"/>
    <cellStyle name="S1 225" xfId="1246"/>
    <cellStyle name="S1 226" xfId="1247"/>
    <cellStyle name="S1 227" xfId="1248"/>
    <cellStyle name="S1 228" xfId="1249"/>
    <cellStyle name="S1 229" xfId="1250"/>
    <cellStyle name="S1 23" xfId="1251"/>
    <cellStyle name="S1 230" xfId="1252"/>
    <cellStyle name="S1 231" xfId="1253"/>
    <cellStyle name="S1 232" xfId="1254"/>
    <cellStyle name="S1 233" xfId="1255"/>
    <cellStyle name="S1 234" xfId="1256"/>
    <cellStyle name="S1 235" xfId="1257"/>
    <cellStyle name="S1 236" xfId="1258"/>
    <cellStyle name="S1 237" xfId="1259"/>
    <cellStyle name="S1 238" xfId="1260"/>
    <cellStyle name="S1 239" xfId="1261"/>
    <cellStyle name="S1 24" xfId="1262"/>
    <cellStyle name="S1 240" xfId="1263"/>
    <cellStyle name="S1 241" xfId="1264"/>
    <cellStyle name="S1 242" xfId="1265"/>
    <cellStyle name="S1 243" xfId="1266"/>
    <cellStyle name="S1 244" xfId="1267"/>
    <cellStyle name="S1 245" xfId="1268"/>
    <cellStyle name="S1 246" xfId="1269"/>
    <cellStyle name="S1 247" xfId="1270"/>
    <cellStyle name="S1 248" xfId="1271"/>
    <cellStyle name="S1 249" xfId="1272"/>
    <cellStyle name="S1 25" xfId="1273"/>
    <cellStyle name="S1 250" xfId="1274"/>
    <cellStyle name="S1 251" xfId="1275"/>
    <cellStyle name="S1 252" xfId="1276"/>
    <cellStyle name="S1 253" xfId="1277"/>
    <cellStyle name="S1 254" xfId="1278"/>
    <cellStyle name="S1 255" xfId="1279"/>
    <cellStyle name="S1 256" xfId="1280"/>
    <cellStyle name="S1 257" xfId="1281"/>
    <cellStyle name="S1 258" xfId="1282"/>
    <cellStyle name="S1 259" xfId="1283"/>
    <cellStyle name="S1 26" xfId="1284"/>
    <cellStyle name="S1 260" xfId="1285"/>
    <cellStyle name="S1 261" xfId="1286"/>
    <cellStyle name="S1 262" xfId="1287"/>
    <cellStyle name="S1 263" xfId="1288"/>
    <cellStyle name="S1 264" xfId="1289"/>
    <cellStyle name="S1 265" xfId="1290"/>
    <cellStyle name="S1 265 2" xfId="1291"/>
    <cellStyle name="S1 266" xfId="1292"/>
    <cellStyle name="S1 267" xfId="1887"/>
    <cellStyle name="S1 27" xfId="1293"/>
    <cellStyle name="S1 28" xfId="1294"/>
    <cellStyle name="S1 29" xfId="1295"/>
    <cellStyle name="S1 3" xfId="1296"/>
    <cellStyle name="S1 3 2" xfId="1297"/>
    <cellStyle name="S1 30" xfId="1298"/>
    <cellStyle name="S1 31" xfId="1299"/>
    <cellStyle name="S1 32" xfId="1300"/>
    <cellStyle name="S1 33" xfId="1301"/>
    <cellStyle name="S1 34" xfId="1302"/>
    <cellStyle name="S1 35" xfId="1303"/>
    <cellStyle name="S1 36" xfId="1304"/>
    <cellStyle name="S1 37" xfId="1305"/>
    <cellStyle name="S1 38" xfId="1306"/>
    <cellStyle name="S1 39" xfId="1307"/>
    <cellStyle name="S1 4" xfId="1308"/>
    <cellStyle name="S1 40" xfId="1309"/>
    <cellStyle name="S1 41" xfId="1310"/>
    <cellStyle name="S1 42" xfId="1311"/>
    <cellStyle name="S1 43" xfId="1312"/>
    <cellStyle name="S1 44" xfId="1313"/>
    <cellStyle name="S1 45" xfId="1314"/>
    <cellStyle name="S1 46" xfId="1315"/>
    <cellStyle name="S1 47" xfId="1316"/>
    <cellStyle name="S1 48" xfId="1317"/>
    <cellStyle name="S1 49" xfId="1318"/>
    <cellStyle name="S1 5" xfId="1319"/>
    <cellStyle name="S1 50" xfId="1320"/>
    <cellStyle name="S1 51" xfId="1321"/>
    <cellStyle name="S1 52" xfId="1322"/>
    <cellStyle name="S1 53" xfId="1323"/>
    <cellStyle name="S1 54" xfId="1324"/>
    <cellStyle name="S1 55" xfId="1325"/>
    <cellStyle name="S1 56" xfId="1326"/>
    <cellStyle name="S1 57" xfId="1327"/>
    <cellStyle name="S1 58" xfId="1328"/>
    <cellStyle name="S1 59" xfId="1329"/>
    <cellStyle name="S1 6" xfId="1330"/>
    <cellStyle name="S1 60" xfId="1331"/>
    <cellStyle name="S1 61" xfId="1332"/>
    <cellStyle name="S1 62" xfId="1333"/>
    <cellStyle name="S1 63" xfId="1334"/>
    <cellStyle name="S1 64" xfId="1335"/>
    <cellStyle name="S1 65" xfId="1336"/>
    <cellStyle name="S1 66" xfId="1337"/>
    <cellStyle name="S1 67" xfId="1338"/>
    <cellStyle name="S1 68" xfId="1339"/>
    <cellStyle name="S1 69" xfId="1340"/>
    <cellStyle name="S1 7" xfId="1341"/>
    <cellStyle name="S1 70" xfId="1342"/>
    <cellStyle name="S1 71" xfId="1343"/>
    <cellStyle name="S1 72" xfId="1344"/>
    <cellStyle name="S1 73" xfId="1345"/>
    <cellStyle name="S1 74" xfId="1346"/>
    <cellStyle name="S1 75" xfId="1347"/>
    <cellStyle name="S1 76" xfId="1348"/>
    <cellStyle name="S1 77" xfId="1349"/>
    <cellStyle name="S1 78" xfId="1350"/>
    <cellStyle name="S1 79" xfId="1351"/>
    <cellStyle name="S1 8" xfId="1352"/>
    <cellStyle name="S1 80" xfId="1353"/>
    <cellStyle name="S1 81" xfId="1354"/>
    <cellStyle name="S1 82" xfId="1355"/>
    <cellStyle name="S1 83" xfId="1356"/>
    <cellStyle name="S1 84" xfId="1357"/>
    <cellStyle name="S1 85" xfId="1358"/>
    <cellStyle name="S1 86" xfId="1359"/>
    <cellStyle name="S1 87" xfId="1360"/>
    <cellStyle name="S1 88" xfId="1361"/>
    <cellStyle name="S1 89" xfId="1362"/>
    <cellStyle name="S1 9" xfId="1363"/>
    <cellStyle name="S1 90" xfId="1364"/>
    <cellStyle name="S1 91" xfId="1365"/>
    <cellStyle name="S1 92" xfId="1366"/>
    <cellStyle name="S1 93" xfId="1367"/>
    <cellStyle name="S1 94" xfId="1368"/>
    <cellStyle name="S1 95" xfId="1369"/>
    <cellStyle name="S1 96" xfId="1370"/>
    <cellStyle name="S1 97" xfId="1371"/>
    <cellStyle name="S1 98" xfId="1372"/>
    <cellStyle name="S1 99" xfId="1373"/>
    <cellStyle name="S1_Pembelian" xfId="1888"/>
    <cellStyle name="S10" xfId="1374"/>
    <cellStyle name="S10 10" xfId="1375"/>
    <cellStyle name="S10 11" xfId="1376"/>
    <cellStyle name="S10 12" xfId="1377"/>
    <cellStyle name="S10 13" xfId="1378"/>
    <cellStyle name="S10 13 2" xfId="1379"/>
    <cellStyle name="S10 14" xfId="1380"/>
    <cellStyle name="S10 15" xfId="1381"/>
    <cellStyle name="S10 16" xfId="1382"/>
    <cellStyle name="S10 17" xfId="1889"/>
    <cellStyle name="S10 18" xfId="1890"/>
    <cellStyle name="S10 19" xfId="1383"/>
    <cellStyle name="S10 2" xfId="1384"/>
    <cellStyle name="S10 2 2" xfId="1385"/>
    <cellStyle name="S10 2 3" xfId="1386"/>
    <cellStyle name="S10 3" xfId="1387"/>
    <cellStyle name="S10 3 2" xfId="1388"/>
    <cellStyle name="S10 4" xfId="1389"/>
    <cellStyle name="S10 4 2" xfId="1390"/>
    <cellStyle name="S10 5" xfId="1391"/>
    <cellStyle name="S10 6" xfId="1392"/>
    <cellStyle name="S10 7" xfId="1393"/>
    <cellStyle name="S10 8" xfId="1394"/>
    <cellStyle name="S10 9" xfId="1395"/>
    <cellStyle name="S10_Pembelian" xfId="1891"/>
    <cellStyle name="S11" xfId="1396"/>
    <cellStyle name="S11 10" xfId="1397"/>
    <cellStyle name="S11 10 2" xfId="1398"/>
    <cellStyle name="S11 11" xfId="1399"/>
    <cellStyle name="S11 12" xfId="1400"/>
    <cellStyle name="S11 13" xfId="1401"/>
    <cellStyle name="S11 14" xfId="1402"/>
    <cellStyle name="S11 14 2" xfId="1892"/>
    <cellStyle name="S11 15" xfId="1893"/>
    <cellStyle name="S11 16" xfId="1894"/>
    <cellStyle name="S11 2" xfId="1403"/>
    <cellStyle name="S11 2 2" xfId="1404"/>
    <cellStyle name="S11 2 3" xfId="1405"/>
    <cellStyle name="S11 3" xfId="1406"/>
    <cellStyle name="S11 3 2" xfId="1407"/>
    <cellStyle name="S11 4" xfId="1408"/>
    <cellStyle name="S11 5" xfId="1409"/>
    <cellStyle name="S11 6" xfId="1410"/>
    <cellStyle name="S11 7" xfId="1411"/>
    <cellStyle name="S11 8" xfId="1412"/>
    <cellStyle name="S11 9" xfId="1413"/>
    <cellStyle name="S11_Pembelian" xfId="1895"/>
    <cellStyle name="S12" xfId="1414"/>
    <cellStyle name="S12 10" xfId="1896"/>
    <cellStyle name="S12 11" xfId="1897"/>
    <cellStyle name="S12 2" xfId="1415"/>
    <cellStyle name="S12 2 2" xfId="1416"/>
    <cellStyle name="S12 3" xfId="1417"/>
    <cellStyle name="S12 4" xfId="1418"/>
    <cellStyle name="S12 5" xfId="1419"/>
    <cellStyle name="S12 6" xfId="1420"/>
    <cellStyle name="S12 6 2" xfId="1421"/>
    <cellStyle name="S12 7" xfId="1422"/>
    <cellStyle name="S12 8" xfId="1423"/>
    <cellStyle name="S12 9" xfId="1898"/>
    <cellStyle name="S12_Pembelian" xfId="1899"/>
    <cellStyle name="S13" xfId="1424"/>
    <cellStyle name="S13 10" xfId="1900"/>
    <cellStyle name="S13 11" xfId="1901"/>
    <cellStyle name="S13 12" xfId="1902"/>
    <cellStyle name="S13 2" xfId="1425"/>
    <cellStyle name="S13 2 2" xfId="1426"/>
    <cellStyle name="S13 2 3" xfId="1427"/>
    <cellStyle name="S13 3" xfId="1428"/>
    <cellStyle name="S13 3 2" xfId="1429"/>
    <cellStyle name="S13 4" xfId="1430"/>
    <cellStyle name="S13 4 2" xfId="1431"/>
    <cellStyle name="S13 5" xfId="1432"/>
    <cellStyle name="S13 6" xfId="1433"/>
    <cellStyle name="S13 7" xfId="1434"/>
    <cellStyle name="S13 7 2" xfId="1903"/>
    <cellStyle name="S13 8" xfId="1904"/>
    <cellStyle name="S13 9" xfId="1905"/>
    <cellStyle name="S13_Pembelian" xfId="1906"/>
    <cellStyle name="S14" xfId="1435"/>
    <cellStyle name="S14 10" xfId="1907"/>
    <cellStyle name="S14 2" xfId="1436"/>
    <cellStyle name="S14 3" xfId="1437"/>
    <cellStyle name="S14 3 2" xfId="1438"/>
    <cellStyle name="S14 4" xfId="1439"/>
    <cellStyle name="S14 5" xfId="1908"/>
    <cellStyle name="S14 6" xfId="1909"/>
    <cellStyle name="S14 7" xfId="1910"/>
    <cellStyle name="S14 8" xfId="1911"/>
    <cellStyle name="S14 9" xfId="1912"/>
    <cellStyle name="S14_Pembelian" xfId="1913"/>
    <cellStyle name="S15" xfId="1440"/>
    <cellStyle name="S15 2" xfId="1441"/>
    <cellStyle name="S15 3" xfId="1442"/>
    <cellStyle name="S15 3 2" xfId="1914"/>
    <cellStyle name="S15 4" xfId="1915"/>
    <cellStyle name="S15 4 2" xfId="1916"/>
    <cellStyle name="S15 5" xfId="1917"/>
    <cellStyle name="S15 6" xfId="1918"/>
    <cellStyle name="S15 7" xfId="1919"/>
    <cellStyle name="S15_Pembelian" xfId="1920"/>
    <cellStyle name="S16" xfId="1443"/>
    <cellStyle name="S16 2" xfId="1444"/>
    <cellStyle name="S16 3" xfId="1445"/>
    <cellStyle name="S16 4" xfId="1921"/>
    <cellStyle name="S16 5" xfId="1922"/>
    <cellStyle name="S16 6" xfId="1923"/>
    <cellStyle name="S16_Pembelian" xfId="1924"/>
    <cellStyle name="S17" xfId="1446"/>
    <cellStyle name="S17 2" xfId="1925"/>
    <cellStyle name="S17 3" xfId="1926"/>
    <cellStyle name="S17 4" xfId="1927"/>
    <cellStyle name="S17_Pembelian" xfId="1928"/>
    <cellStyle name="S18" xfId="1447"/>
    <cellStyle name="S18 2" xfId="1929"/>
    <cellStyle name="S18 3" xfId="1930"/>
    <cellStyle name="S18 4" xfId="1931"/>
    <cellStyle name="S18_Pembelian" xfId="1932"/>
    <cellStyle name="S19" xfId="1448"/>
    <cellStyle name="S2" xfId="1449"/>
    <cellStyle name="S2 10" xfId="1450"/>
    <cellStyle name="S2 100" xfId="1451"/>
    <cellStyle name="S2 101" xfId="1452"/>
    <cellStyle name="S2 102" xfId="1453"/>
    <cellStyle name="S2 103" xfId="1454"/>
    <cellStyle name="S2 104" xfId="1455"/>
    <cellStyle name="S2 105" xfId="1456"/>
    <cellStyle name="S2 106" xfId="1457"/>
    <cellStyle name="S2 107" xfId="1458"/>
    <cellStyle name="S2 108" xfId="1459"/>
    <cellStyle name="S2 109" xfId="1460"/>
    <cellStyle name="S2 11" xfId="1461"/>
    <cellStyle name="S2 110" xfId="1462"/>
    <cellStyle name="S2 111" xfId="1463"/>
    <cellStyle name="S2 112" xfId="1464"/>
    <cellStyle name="S2 113" xfId="1465"/>
    <cellStyle name="S2 114" xfId="1466"/>
    <cellStyle name="S2 115" xfId="1467"/>
    <cellStyle name="S2 116" xfId="1468"/>
    <cellStyle name="S2 117" xfId="1469"/>
    <cellStyle name="S2 118" xfId="1470"/>
    <cellStyle name="S2 119" xfId="1471"/>
    <cellStyle name="S2 12" xfId="1472"/>
    <cellStyle name="S2 120" xfId="1473"/>
    <cellStyle name="S2 121" xfId="1474"/>
    <cellStyle name="S2 122" xfId="1475"/>
    <cellStyle name="S2 123" xfId="1476"/>
    <cellStyle name="S2 124" xfId="1477"/>
    <cellStyle name="S2 125" xfId="1478"/>
    <cellStyle name="S2 126" xfId="1479"/>
    <cellStyle name="S2 127" xfId="1480"/>
    <cellStyle name="S2 128" xfId="1481"/>
    <cellStyle name="S2 129" xfId="1482"/>
    <cellStyle name="S2 13" xfId="1483"/>
    <cellStyle name="S2 130" xfId="1484"/>
    <cellStyle name="S2 131" xfId="1485"/>
    <cellStyle name="S2 132" xfId="1486"/>
    <cellStyle name="S2 133" xfId="1487"/>
    <cellStyle name="S2 134" xfId="1488"/>
    <cellStyle name="S2 135" xfId="1489"/>
    <cellStyle name="S2 136" xfId="1490"/>
    <cellStyle name="S2 137" xfId="1491"/>
    <cellStyle name="S2 138" xfId="1492"/>
    <cellStyle name="S2 139" xfId="1493"/>
    <cellStyle name="S2 14" xfId="1494"/>
    <cellStyle name="S2 140" xfId="1495"/>
    <cellStyle name="S2 141" xfId="1496"/>
    <cellStyle name="S2 142" xfId="1497"/>
    <cellStyle name="S2 143" xfId="1498"/>
    <cellStyle name="S2 144" xfId="1499"/>
    <cellStyle name="S2 145" xfId="1500"/>
    <cellStyle name="S2 146" xfId="1501"/>
    <cellStyle name="S2 147" xfId="1502"/>
    <cellStyle name="S2 148" xfId="1503"/>
    <cellStyle name="S2 149" xfId="1504"/>
    <cellStyle name="S2 15" xfId="1505"/>
    <cellStyle name="S2 150" xfId="1506"/>
    <cellStyle name="S2 151" xfId="1507"/>
    <cellStyle name="S2 152" xfId="1508"/>
    <cellStyle name="S2 153" xfId="1509"/>
    <cellStyle name="S2 154" xfId="1510"/>
    <cellStyle name="S2 155" xfId="1511"/>
    <cellStyle name="S2 156" xfId="1512"/>
    <cellStyle name="S2 157" xfId="1513"/>
    <cellStyle name="S2 158" xfId="1514"/>
    <cellStyle name="S2 159" xfId="1515"/>
    <cellStyle name="S2 16" xfId="1516"/>
    <cellStyle name="S2 160" xfId="1517"/>
    <cellStyle name="S2 161" xfId="1518"/>
    <cellStyle name="S2 162" xfId="1519"/>
    <cellStyle name="S2 163" xfId="1520"/>
    <cellStyle name="S2 164" xfId="1521"/>
    <cellStyle name="S2 165" xfId="1522"/>
    <cellStyle name="S2 166" xfId="1523"/>
    <cellStyle name="S2 167" xfId="1524"/>
    <cellStyle name="S2 168" xfId="1525"/>
    <cellStyle name="S2 169" xfId="1526"/>
    <cellStyle name="S2 17" xfId="1527"/>
    <cellStyle name="S2 170" xfId="1528"/>
    <cellStyle name="S2 171" xfId="1529"/>
    <cellStyle name="S2 172" xfId="1530"/>
    <cellStyle name="S2 173" xfId="1531"/>
    <cellStyle name="S2 174" xfId="1532"/>
    <cellStyle name="S2 175" xfId="1533"/>
    <cellStyle name="S2 176" xfId="1534"/>
    <cellStyle name="S2 177" xfId="1535"/>
    <cellStyle name="S2 178" xfId="1536"/>
    <cellStyle name="S2 179" xfId="1537"/>
    <cellStyle name="S2 18" xfId="1538"/>
    <cellStyle name="S2 180" xfId="1539"/>
    <cellStyle name="S2 181" xfId="1540"/>
    <cellStyle name="S2 182" xfId="1541"/>
    <cellStyle name="S2 183" xfId="1542"/>
    <cellStyle name="S2 184" xfId="1543"/>
    <cellStyle name="S2 185" xfId="1544"/>
    <cellStyle name="S2 186" xfId="1545"/>
    <cellStyle name="S2 187" xfId="1546"/>
    <cellStyle name="S2 188" xfId="1547"/>
    <cellStyle name="S2 189" xfId="1548"/>
    <cellStyle name="S2 19" xfId="1549"/>
    <cellStyle name="S2 190" xfId="1550"/>
    <cellStyle name="S2 191" xfId="1551"/>
    <cellStyle name="S2 192" xfId="1552"/>
    <cellStyle name="S2 193" xfId="1553"/>
    <cellStyle name="S2 194" xfId="1554"/>
    <cellStyle name="S2 195" xfId="1555"/>
    <cellStyle name="S2 196" xfId="1556"/>
    <cellStyle name="S2 197" xfId="1557"/>
    <cellStyle name="S2 198" xfId="1558"/>
    <cellStyle name="S2 199" xfId="1559"/>
    <cellStyle name="S2 2" xfId="1560"/>
    <cellStyle name="S2 2 2" xfId="1561"/>
    <cellStyle name="S2 20" xfId="1562"/>
    <cellStyle name="S2 200" xfId="1563"/>
    <cellStyle name="S2 201" xfId="1564"/>
    <cellStyle name="S2 202" xfId="1565"/>
    <cellStyle name="S2 203" xfId="1566"/>
    <cellStyle name="S2 204" xfId="1567"/>
    <cellStyle name="S2 205" xfId="1568"/>
    <cellStyle name="S2 206" xfId="1569"/>
    <cellStyle name="S2 207" xfId="1570"/>
    <cellStyle name="S2 208" xfId="1571"/>
    <cellStyle name="S2 209" xfId="1572"/>
    <cellStyle name="S2 21" xfId="1573"/>
    <cellStyle name="S2 210" xfId="1574"/>
    <cellStyle name="S2 211" xfId="1575"/>
    <cellStyle name="S2 212" xfId="1576"/>
    <cellStyle name="S2 213" xfId="1577"/>
    <cellStyle name="S2 214" xfId="1578"/>
    <cellStyle name="S2 215" xfId="1579"/>
    <cellStyle name="S2 216" xfId="1580"/>
    <cellStyle name="S2 217" xfId="1581"/>
    <cellStyle name="S2 218" xfId="1582"/>
    <cellStyle name="S2 219" xfId="1583"/>
    <cellStyle name="S2 22" xfId="1584"/>
    <cellStyle name="S2 220" xfId="1585"/>
    <cellStyle name="S2 221" xfId="1586"/>
    <cellStyle name="S2 222" xfId="1587"/>
    <cellStyle name="S2 223" xfId="1588"/>
    <cellStyle name="S2 224" xfId="1589"/>
    <cellStyle name="S2 225" xfId="1590"/>
    <cellStyle name="S2 226" xfId="1591"/>
    <cellStyle name="S2 227" xfId="1592"/>
    <cellStyle name="S2 228" xfId="1593"/>
    <cellStyle name="S2 229" xfId="1594"/>
    <cellStyle name="S2 23" xfId="1595"/>
    <cellStyle name="S2 230" xfId="1596"/>
    <cellStyle name="S2 231" xfId="1597"/>
    <cellStyle name="S2 232" xfId="1598"/>
    <cellStyle name="S2 233" xfId="1599"/>
    <cellStyle name="S2 234" xfId="1600"/>
    <cellStyle name="S2 235" xfId="1601"/>
    <cellStyle name="S2 236" xfId="1602"/>
    <cellStyle name="S2 237" xfId="1603"/>
    <cellStyle name="S2 238" xfId="1604"/>
    <cellStyle name="S2 239" xfId="1605"/>
    <cellStyle name="S2 24" xfId="1606"/>
    <cellStyle name="S2 240" xfId="1607"/>
    <cellStyle name="S2 241" xfId="1608"/>
    <cellStyle name="S2 242" xfId="1609"/>
    <cellStyle name="S2 243" xfId="1610"/>
    <cellStyle name="S2 244" xfId="1611"/>
    <cellStyle name="S2 245" xfId="1612"/>
    <cellStyle name="S2 246" xfId="1613"/>
    <cellStyle name="S2 247" xfId="1614"/>
    <cellStyle name="S2 248" xfId="1615"/>
    <cellStyle name="S2 249" xfId="1616"/>
    <cellStyle name="S2 25" xfId="1617"/>
    <cellStyle name="S2 250" xfId="1618"/>
    <cellStyle name="S2 251" xfId="1619"/>
    <cellStyle name="S2 252" xfId="1620"/>
    <cellStyle name="S2 253" xfId="1621"/>
    <cellStyle name="S2 254" xfId="1622"/>
    <cellStyle name="S2 255" xfId="1623"/>
    <cellStyle name="S2 256" xfId="1624"/>
    <cellStyle name="S2 257" xfId="1625"/>
    <cellStyle name="S2 258" xfId="1626"/>
    <cellStyle name="S2 259" xfId="1627"/>
    <cellStyle name="S2 26" xfId="1628"/>
    <cellStyle name="S2 260" xfId="1629"/>
    <cellStyle name="S2 261" xfId="1630"/>
    <cellStyle name="S2 262" xfId="1631"/>
    <cellStyle name="S2 263" xfId="1632"/>
    <cellStyle name="S2 264" xfId="1633"/>
    <cellStyle name="S2 265" xfId="1634"/>
    <cellStyle name="S2 265 2" xfId="1635"/>
    <cellStyle name="S2 266" xfId="1636"/>
    <cellStyle name="S2 267" xfId="1933"/>
    <cellStyle name="S2 27" xfId="1637"/>
    <cellStyle name="S2 28" xfId="1638"/>
    <cellStyle name="S2 29" xfId="1639"/>
    <cellStyle name="S2 3" xfId="1640"/>
    <cellStyle name="S2 3 2" xfId="1641"/>
    <cellStyle name="S2 30" xfId="1642"/>
    <cellStyle name="S2 31" xfId="1643"/>
    <cellStyle name="S2 32" xfId="1644"/>
    <cellStyle name="S2 33" xfId="1645"/>
    <cellStyle name="S2 34" xfId="1646"/>
    <cellStyle name="S2 35" xfId="1647"/>
    <cellStyle name="S2 36" xfId="1648"/>
    <cellStyle name="S2 37" xfId="1649"/>
    <cellStyle name="S2 38" xfId="1650"/>
    <cellStyle name="S2 39" xfId="1651"/>
    <cellStyle name="S2 4" xfId="1652"/>
    <cellStyle name="S2 40" xfId="1653"/>
    <cellStyle name="S2 41" xfId="1654"/>
    <cellStyle name="S2 42" xfId="1655"/>
    <cellStyle name="S2 43" xfId="1656"/>
    <cellStyle name="S2 44" xfId="1657"/>
    <cellStyle name="S2 45" xfId="1658"/>
    <cellStyle name="S2 46" xfId="1659"/>
    <cellStyle name="S2 47" xfId="1660"/>
    <cellStyle name="S2 48" xfId="1661"/>
    <cellStyle name="S2 49" xfId="1662"/>
    <cellStyle name="S2 5" xfId="1663"/>
    <cellStyle name="S2 50" xfId="1664"/>
    <cellStyle name="S2 51" xfId="1665"/>
    <cellStyle name="S2 52" xfId="1666"/>
    <cellStyle name="S2 53" xfId="1667"/>
    <cellStyle name="S2 54" xfId="1668"/>
    <cellStyle name="S2 55" xfId="1669"/>
    <cellStyle name="S2 56" xfId="1670"/>
    <cellStyle name="S2 57" xfId="1671"/>
    <cellStyle name="S2 58" xfId="1672"/>
    <cellStyle name="S2 59" xfId="1673"/>
    <cellStyle name="S2 6" xfId="1674"/>
    <cellStyle name="S2 60" xfId="1675"/>
    <cellStyle name="S2 61" xfId="1676"/>
    <cellStyle name="S2 62" xfId="1677"/>
    <cellStyle name="S2 63" xfId="1678"/>
    <cellStyle name="S2 64" xfId="1679"/>
    <cellStyle name="S2 65" xfId="1680"/>
    <cellStyle name="S2 66" xfId="1681"/>
    <cellStyle name="S2 67" xfId="1682"/>
    <cellStyle name="S2 68" xfId="1683"/>
    <cellStyle name="S2 69" xfId="1684"/>
    <cellStyle name="S2 7" xfId="1685"/>
    <cellStyle name="S2 70" xfId="1686"/>
    <cellStyle name="S2 71" xfId="1687"/>
    <cellStyle name="S2 72" xfId="1688"/>
    <cellStyle name="S2 73" xfId="1689"/>
    <cellStyle name="S2 74" xfId="1690"/>
    <cellStyle name="S2 75" xfId="1691"/>
    <cellStyle name="S2 76" xfId="1692"/>
    <cellStyle name="S2 77" xfId="1693"/>
    <cellStyle name="S2 78" xfId="1694"/>
    <cellStyle name="S2 79" xfId="1695"/>
    <cellStyle name="S2 8" xfId="1696"/>
    <cellStyle name="S2 80" xfId="1697"/>
    <cellStyle name="S2 81" xfId="1698"/>
    <cellStyle name="S2 82" xfId="1699"/>
    <cellStyle name="S2 83" xfId="1700"/>
    <cellStyle name="S2 84" xfId="1701"/>
    <cellStyle name="S2 85" xfId="1702"/>
    <cellStyle name="S2 86" xfId="1703"/>
    <cellStyle name="S2 87" xfId="1704"/>
    <cellStyle name="S2 88" xfId="1705"/>
    <cellStyle name="S2 89" xfId="1706"/>
    <cellStyle name="S2 9" xfId="1707"/>
    <cellStyle name="S2 90" xfId="1708"/>
    <cellStyle name="S2 91" xfId="1709"/>
    <cellStyle name="S2 92" xfId="1710"/>
    <cellStyle name="S2 93" xfId="1711"/>
    <cellStyle name="S2 94" xfId="1712"/>
    <cellStyle name="S2 95" xfId="1713"/>
    <cellStyle name="S2 96" xfId="1714"/>
    <cellStyle name="S2 97" xfId="1715"/>
    <cellStyle name="S2 98" xfId="1716"/>
    <cellStyle name="S2 99" xfId="1717"/>
    <cellStyle name="S2_Pembelian" xfId="1934"/>
    <cellStyle name="S20" xfId="1718"/>
    <cellStyle name="S21" xfId="1719"/>
    <cellStyle name="S22" xfId="1720"/>
    <cellStyle name="S23" xfId="1721"/>
    <cellStyle name="S24" xfId="1722"/>
    <cellStyle name="S25" xfId="1723"/>
    <cellStyle name="S26" xfId="1724"/>
    <cellStyle name="S27" xfId="1725"/>
    <cellStyle name="S28" xfId="1726"/>
    <cellStyle name="S29" xfId="1727"/>
    <cellStyle name="S3" xfId="1728"/>
    <cellStyle name="S3 10" xfId="1729"/>
    <cellStyle name="S3 11" xfId="1935"/>
    <cellStyle name="S3 2" xfId="1730"/>
    <cellStyle name="S3 2 2" xfId="1731"/>
    <cellStyle name="S3 3" xfId="1732"/>
    <cellStyle name="S3 3 2" xfId="1733"/>
    <cellStyle name="S3 4" xfId="1734"/>
    <cellStyle name="S3 5" xfId="1735"/>
    <cellStyle name="S3 6" xfId="1736"/>
    <cellStyle name="S3 7" xfId="1737"/>
    <cellStyle name="S3 8" xfId="1738"/>
    <cellStyle name="S3 9" xfId="1739"/>
    <cellStyle name="S3 9 2" xfId="1740"/>
    <cellStyle name="S3_Pembelian" xfId="1936"/>
    <cellStyle name="S30" xfId="1741"/>
    <cellStyle name="S31" xfId="1742"/>
    <cellStyle name="S32" xfId="1743"/>
    <cellStyle name="S33" xfId="1744"/>
    <cellStyle name="S34" xfId="1745"/>
    <cellStyle name="S35" xfId="1746"/>
    <cellStyle name="S36" xfId="1747"/>
    <cellStyle name="S4" xfId="1748"/>
    <cellStyle name="S4 10" xfId="1749"/>
    <cellStyle name="S4 11" xfId="1750"/>
    <cellStyle name="S4 12" xfId="1751"/>
    <cellStyle name="S4 12 2" xfId="1752"/>
    <cellStyle name="S4 13" xfId="1753"/>
    <cellStyle name="S4 14" xfId="1754"/>
    <cellStyle name="S4 14 2" xfId="1755"/>
    <cellStyle name="S4 15" xfId="1937"/>
    <cellStyle name="S4 16" xfId="1938"/>
    <cellStyle name="S4 19" xfId="1756"/>
    <cellStyle name="S4 2" xfId="1757"/>
    <cellStyle name="S4 2 2" xfId="1758"/>
    <cellStyle name="S4 3" xfId="1759"/>
    <cellStyle name="S4 3 2" xfId="1760"/>
    <cellStyle name="S4 4" xfId="1761"/>
    <cellStyle name="S4 4 2" xfId="1762"/>
    <cellStyle name="S4 5" xfId="1763"/>
    <cellStyle name="S4 5 2" xfId="1764"/>
    <cellStyle name="S4 6" xfId="1765"/>
    <cellStyle name="S4 7" xfId="1766"/>
    <cellStyle name="S4 8" xfId="1767"/>
    <cellStyle name="S4 9" xfId="1768"/>
    <cellStyle name="S4 9 2" xfId="1939"/>
    <cellStyle name="S4_Pembelian" xfId="1940"/>
    <cellStyle name="S5" xfId="1769"/>
    <cellStyle name="S5 10" xfId="1770"/>
    <cellStyle name="S5 10 2" xfId="1771"/>
    <cellStyle name="S5 11" xfId="1772"/>
    <cellStyle name="S5 12" xfId="1941"/>
    <cellStyle name="S5 13" xfId="1942"/>
    <cellStyle name="S5 19" xfId="1773"/>
    <cellStyle name="S5 19 2" xfId="1774"/>
    <cellStyle name="S5 2" xfId="1775"/>
    <cellStyle name="S5 2 2" xfId="1776"/>
    <cellStyle name="S5 2 3" xfId="1777"/>
    <cellStyle name="S5 3" xfId="1778"/>
    <cellStyle name="S5 3 2" xfId="1779"/>
    <cellStyle name="S5 3 3" xfId="1780"/>
    <cellStyle name="S5 4" xfId="1781"/>
    <cellStyle name="S5 4 2" xfId="1782"/>
    <cellStyle name="S5 5" xfId="1783"/>
    <cellStyle name="S5 6" xfId="1784"/>
    <cellStyle name="S5 6 2" xfId="1785"/>
    <cellStyle name="S5 7" xfId="1786"/>
    <cellStyle name="S5 8" xfId="1787"/>
    <cellStyle name="S5 9" xfId="1788"/>
    <cellStyle name="S5 9 2" xfId="1789"/>
    <cellStyle name="S5 9 3" xfId="1790"/>
    <cellStyle name="S5_Pembelian" xfId="1943"/>
    <cellStyle name="S6" xfId="1791"/>
    <cellStyle name="S6 10" xfId="1792"/>
    <cellStyle name="S6 11" xfId="1793"/>
    <cellStyle name="S6 11 2" xfId="1794"/>
    <cellStyle name="S6 11 3" xfId="1795"/>
    <cellStyle name="S6 12" xfId="1796"/>
    <cellStyle name="S6 13" xfId="1797"/>
    <cellStyle name="S6 13 2" xfId="1798"/>
    <cellStyle name="S6 14" xfId="1799"/>
    <cellStyle name="S6 15" xfId="1800"/>
    <cellStyle name="S6 16" xfId="1944"/>
    <cellStyle name="S6 17" xfId="1945"/>
    <cellStyle name="S6 18" xfId="1801"/>
    <cellStyle name="S6 18 2" xfId="1802"/>
    <cellStyle name="S6 2" xfId="1803"/>
    <cellStyle name="S6 2 2" xfId="1804"/>
    <cellStyle name="S6 2 3" xfId="1805"/>
    <cellStyle name="S6 3" xfId="1806"/>
    <cellStyle name="S6 3 2" xfId="1807"/>
    <cellStyle name="S6 4" xfId="1808"/>
    <cellStyle name="S6 4 2" xfId="1809"/>
    <cellStyle name="S6 5" xfId="1810"/>
    <cellStyle name="S6 5 2" xfId="1811"/>
    <cellStyle name="S6 6" xfId="1812"/>
    <cellStyle name="S6 7" xfId="1813"/>
    <cellStyle name="S6 8" xfId="1814"/>
    <cellStyle name="S6 9" xfId="1815"/>
    <cellStyle name="S6_Pembelian" xfId="1946"/>
    <cellStyle name="S7" xfId="1816"/>
    <cellStyle name="S7 10" xfId="1817"/>
    <cellStyle name="S7 10 2" xfId="1818"/>
    <cellStyle name="S7 10 3" xfId="1819"/>
    <cellStyle name="S7 11" xfId="1820"/>
    <cellStyle name="S7 12" xfId="1821"/>
    <cellStyle name="S7 12 2" xfId="1822"/>
    <cellStyle name="S7 13" xfId="1823"/>
    <cellStyle name="S7 14" xfId="1824"/>
    <cellStyle name="S7 15" xfId="1947"/>
    <cellStyle name="S7 16" xfId="1948"/>
    <cellStyle name="S7 19" xfId="1825"/>
    <cellStyle name="S7 19 2" xfId="1826"/>
    <cellStyle name="S7 19 2 2" xfId="1827"/>
    <cellStyle name="S7 19 3" xfId="1828"/>
    <cellStyle name="S7 2" xfId="1829"/>
    <cellStyle name="S7 2 2" xfId="1830"/>
    <cellStyle name="S7 2 3" xfId="1831"/>
    <cellStyle name="S7 2 4" xfId="1832"/>
    <cellStyle name="S7 3" xfId="1833"/>
    <cellStyle name="S7 3 2" xfId="1834"/>
    <cellStyle name="S7 4" xfId="1835"/>
    <cellStyle name="S7 5" xfId="1836"/>
    <cellStyle name="S7 6" xfId="1837"/>
    <cellStyle name="S7 6 2" xfId="1838"/>
    <cellStyle name="S7 7" xfId="1839"/>
    <cellStyle name="S7 8" xfId="1840"/>
    <cellStyle name="S7 9" xfId="1841"/>
    <cellStyle name="S7_Pembelian" xfId="1949"/>
    <cellStyle name="S8" xfId="1842"/>
    <cellStyle name="S8 10" xfId="1843"/>
    <cellStyle name="S8 11" xfId="1844"/>
    <cellStyle name="S8 12" xfId="1950"/>
    <cellStyle name="S8 13" xfId="1951"/>
    <cellStyle name="S8 14" xfId="1952"/>
    <cellStyle name="S8 2" xfId="1845"/>
    <cellStyle name="S8 2 2" xfId="1846"/>
    <cellStyle name="S8 2 3" xfId="1847"/>
    <cellStyle name="S8 3" xfId="1848"/>
    <cellStyle name="S8 3 2" xfId="1849"/>
    <cellStyle name="S8 3 3" xfId="1850"/>
    <cellStyle name="S8 4" xfId="1851"/>
    <cellStyle name="S8 4 2" xfId="1852"/>
    <cellStyle name="S8 5" xfId="1853"/>
    <cellStyle name="S8 5 2" xfId="1854"/>
    <cellStyle name="S8 6" xfId="1855"/>
    <cellStyle name="S8 7" xfId="1856"/>
    <cellStyle name="S8 8" xfId="1857"/>
    <cellStyle name="S8 8 2" xfId="1858"/>
    <cellStyle name="S8 9" xfId="1859"/>
    <cellStyle name="S8 9 2" xfId="1860"/>
    <cellStyle name="S8_Pembelian" xfId="1953"/>
    <cellStyle name="S9" xfId="1861"/>
    <cellStyle name="S9 10" xfId="1862"/>
    <cellStyle name="S9 11" xfId="1863"/>
    <cellStyle name="S9 11 2" xfId="1864"/>
    <cellStyle name="S9 11 3" xfId="1865"/>
    <cellStyle name="S9 12" xfId="1866"/>
    <cellStyle name="S9 13" xfId="1867"/>
    <cellStyle name="S9 14" xfId="1868"/>
    <cellStyle name="S9 15" xfId="1954"/>
    <cellStyle name="S9 16" xfId="1955"/>
    <cellStyle name="S9 17" xfId="1956"/>
    <cellStyle name="S9 2" xfId="1869"/>
    <cellStyle name="S9 2 2" xfId="1870"/>
    <cellStyle name="S9 2 3" xfId="1871"/>
    <cellStyle name="S9 3" xfId="1872"/>
    <cellStyle name="S9 3 2" xfId="1873"/>
    <cellStyle name="S9 4" xfId="1874"/>
    <cellStyle name="S9 5" xfId="1875"/>
    <cellStyle name="S9 6" xfId="1876"/>
    <cellStyle name="S9 7" xfId="1877"/>
    <cellStyle name="S9 8" xfId="1878"/>
    <cellStyle name="S9 9" xfId="1879"/>
    <cellStyle name="S9_Pembelian" xfId="1957"/>
  </cellStyles>
  <dxfs count="31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njualan2\BACKUP%20TAGPD\1.%20SENIN\TAGPD%2005%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si%20Target/Simulasi%2004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si%20Target/Simulasi%20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si%20Target/Simulasi%20OD%20Akhir%20Bulan%20by%20IT%20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k"/>
      <sheetName val="Cust 2021"/>
      <sheetName val="TAGPD"/>
      <sheetName val="Jagung Mei"/>
      <sheetName val="GROUP Q"/>
      <sheetName val="GROUP A"/>
      <sheetName val="GROUP"/>
      <sheetName val="Grup Desember"/>
      <sheetName val="BG MEI"/>
      <sheetName val="Grup Feb"/>
      <sheetName val="COVER PLAFON"/>
      <sheetName val="Grup Maret"/>
      <sheetName val="Grup April"/>
    </sheetNames>
    <sheetDataSet>
      <sheetData sheetId="0"/>
      <sheetData sheetId="1">
        <row r="2">
          <cell r="B2" t="str">
            <v>ABAT01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"/>
      <sheetName val="Sheet1"/>
    </sheetNames>
    <sheetDataSet>
      <sheetData sheetId="0">
        <row r="12">
          <cell r="E12" t="str">
            <v>Tani Mulyo Lestari/Puguh</v>
          </cell>
          <cell r="I12">
            <v>22000000</v>
          </cell>
          <cell r="L12">
            <v>4000000</v>
          </cell>
          <cell r="M12">
            <v>18000000</v>
          </cell>
        </row>
        <row r="13">
          <cell r="E13" t="str">
            <v>Berkah Izzam/Adif</v>
          </cell>
          <cell r="I13">
            <v>8800000</v>
          </cell>
          <cell r="L13">
            <v>0</v>
          </cell>
          <cell r="M13">
            <v>8800000</v>
          </cell>
        </row>
        <row r="14">
          <cell r="E14" t="str">
            <v>Rio Tani/Trio</v>
          </cell>
          <cell r="I14">
            <v>14560000</v>
          </cell>
          <cell r="L14">
            <v>0</v>
          </cell>
          <cell r="M14">
            <v>14560000</v>
          </cell>
        </row>
        <row r="15">
          <cell r="E15" t="str">
            <v>Rika Tani/Gimun</v>
          </cell>
          <cell r="I15">
            <v>10000000</v>
          </cell>
          <cell r="L15">
            <v>0</v>
          </cell>
          <cell r="M15">
            <v>10000000</v>
          </cell>
        </row>
        <row r="16">
          <cell r="E16" t="str">
            <v>Rika Tani/Gimun</v>
          </cell>
          <cell r="I16">
            <v>2200000</v>
          </cell>
          <cell r="L16">
            <v>0</v>
          </cell>
          <cell r="M16">
            <v>2200000</v>
          </cell>
        </row>
        <row r="17">
          <cell r="E17" t="str">
            <v>Bunga Bertani, UD</v>
          </cell>
          <cell r="I17">
            <v>4995000</v>
          </cell>
          <cell r="L17">
            <v>4995000</v>
          </cell>
          <cell r="M17">
            <v>0</v>
          </cell>
        </row>
        <row r="18">
          <cell r="E18" t="str">
            <v>Tani Jaya/Erna</v>
          </cell>
          <cell r="I18">
            <v>1244000</v>
          </cell>
          <cell r="L18">
            <v>0</v>
          </cell>
          <cell r="M18">
            <v>1244000</v>
          </cell>
        </row>
        <row r="19">
          <cell r="E19" t="str">
            <v>Rizki Barokah</v>
          </cell>
          <cell r="I19">
            <v>5000000</v>
          </cell>
          <cell r="L19">
            <v>3000000</v>
          </cell>
          <cell r="M19">
            <v>2000000</v>
          </cell>
        </row>
        <row r="20">
          <cell r="E20" t="str">
            <v>Sumber Tani Makmur, UD/Suyitno, H</v>
          </cell>
          <cell r="I20">
            <v>100000000</v>
          </cell>
          <cell r="L20">
            <v>100000000</v>
          </cell>
          <cell r="M20">
            <v>0</v>
          </cell>
        </row>
        <row r="21">
          <cell r="E21" t="str">
            <v>Bunga Bertani, UD</v>
          </cell>
          <cell r="I21">
            <v>14400000</v>
          </cell>
          <cell r="L21">
            <v>0</v>
          </cell>
          <cell r="M21">
            <v>14400000</v>
          </cell>
        </row>
        <row r="22">
          <cell r="E22" t="str">
            <v>Kampung Tani/Aguk</v>
          </cell>
          <cell r="I22">
            <v>4300000</v>
          </cell>
          <cell r="L22">
            <v>0</v>
          </cell>
          <cell r="M22">
            <v>4300000</v>
          </cell>
        </row>
        <row r="23">
          <cell r="E23" t="str">
            <v>Kampung Tani/Aguk</v>
          </cell>
          <cell r="I23">
            <v>4720000</v>
          </cell>
          <cell r="L23">
            <v>0</v>
          </cell>
          <cell r="M23">
            <v>4720000</v>
          </cell>
        </row>
        <row r="24">
          <cell r="E24" t="str">
            <v>Tani Jaya/Erna</v>
          </cell>
          <cell r="I24">
            <v>8980000</v>
          </cell>
          <cell r="L24">
            <v>0</v>
          </cell>
          <cell r="M24">
            <v>8980000</v>
          </cell>
        </row>
        <row r="25">
          <cell r="E25" t="str">
            <v>Sumber Tani/Sugeng</v>
          </cell>
          <cell r="I25">
            <v>14115000</v>
          </cell>
          <cell r="L25">
            <v>0</v>
          </cell>
          <cell r="M25">
            <v>14115000</v>
          </cell>
        </row>
        <row r="26">
          <cell r="E26" t="str">
            <v>Balen Rejo</v>
          </cell>
          <cell r="I26">
            <v>11664000</v>
          </cell>
          <cell r="L26">
            <v>0</v>
          </cell>
          <cell r="M26">
            <v>11664000</v>
          </cell>
        </row>
        <row r="27">
          <cell r="E27" t="str">
            <v>Kampung Tani/Aguk</v>
          </cell>
          <cell r="I27">
            <v>7305000</v>
          </cell>
          <cell r="L27">
            <v>0</v>
          </cell>
          <cell r="M27">
            <v>7305000</v>
          </cell>
        </row>
        <row r="28">
          <cell r="E28" t="str">
            <v>Sumber Tani Makmur, UD/Suyitno, H</v>
          </cell>
          <cell r="I28">
            <v>96840000</v>
          </cell>
          <cell r="L28">
            <v>0</v>
          </cell>
          <cell r="M28">
            <v>96840000</v>
          </cell>
        </row>
        <row r="29">
          <cell r="E29" t="str">
            <v>Agro Mandiri/Nurlaela</v>
          </cell>
          <cell r="I29">
            <v>1485000</v>
          </cell>
          <cell r="L29">
            <v>0</v>
          </cell>
        </row>
        <row r="30">
          <cell r="E30" t="str">
            <v>Maju Jaya/Azwar</v>
          </cell>
          <cell r="I30">
            <v>4893000</v>
          </cell>
          <cell r="L30">
            <v>0</v>
          </cell>
          <cell r="M30">
            <v>4893000</v>
          </cell>
        </row>
        <row r="31">
          <cell r="E31" t="str">
            <v>Budi Karya Tani</v>
          </cell>
          <cell r="I31">
            <v>8400000</v>
          </cell>
          <cell r="L31">
            <v>0</v>
          </cell>
          <cell r="M31">
            <v>8400000</v>
          </cell>
        </row>
        <row r="32">
          <cell r="E32" t="str">
            <v>Sumber Agung/Sutikno</v>
          </cell>
          <cell r="I32">
            <v>2200000</v>
          </cell>
          <cell r="L32">
            <v>0</v>
          </cell>
          <cell r="M32">
            <v>2200000</v>
          </cell>
        </row>
        <row r="33">
          <cell r="E33" t="str">
            <v>Sumber Tani Makmur, UD/Suyitno, H</v>
          </cell>
          <cell r="I33">
            <v>360000000</v>
          </cell>
          <cell r="L33">
            <v>0</v>
          </cell>
          <cell r="M33">
            <v>360000000</v>
          </cell>
        </row>
        <row r="34">
          <cell r="E34" t="str">
            <v>Lanta Bura</v>
          </cell>
          <cell r="I34">
            <v>26041000</v>
          </cell>
          <cell r="L34">
            <v>0</v>
          </cell>
          <cell r="M34">
            <v>26041000</v>
          </cell>
        </row>
        <row r="35">
          <cell r="E35" t="str">
            <v>Kampung Tani/Aguk</v>
          </cell>
          <cell r="I35">
            <v>4165000</v>
          </cell>
          <cell r="L35">
            <v>0</v>
          </cell>
          <cell r="M35">
            <v>4165000</v>
          </cell>
        </row>
        <row r="36">
          <cell r="E36" t="str">
            <v>Sumber Tani Makmur, UD/Suyitno, H</v>
          </cell>
          <cell r="I36">
            <v>71250000</v>
          </cell>
          <cell r="L36">
            <v>0</v>
          </cell>
          <cell r="M36">
            <v>71250000</v>
          </cell>
        </row>
        <row r="37">
          <cell r="E37" t="str">
            <v>Bunga Bertani, UD</v>
          </cell>
          <cell r="I37">
            <v>28000000</v>
          </cell>
          <cell r="L37">
            <v>0</v>
          </cell>
          <cell r="M37">
            <v>28000000</v>
          </cell>
        </row>
        <row r="38">
          <cell r="E38" t="str">
            <v>Kampung Tani/Aguk</v>
          </cell>
          <cell r="I38">
            <v>1960000</v>
          </cell>
          <cell r="L38">
            <v>0</v>
          </cell>
          <cell r="M38">
            <v>1960000</v>
          </cell>
        </row>
        <row r="39">
          <cell r="E39" t="str">
            <v>Sumber Tani Makmur, UD/Suyitno, H</v>
          </cell>
          <cell r="I39">
            <v>37660000</v>
          </cell>
          <cell r="L39">
            <v>0</v>
          </cell>
          <cell r="M39">
            <v>37660000</v>
          </cell>
        </row>
        <row r="40">
          <cell r="E40" t="str">
            <v>Lanta Bura</v>
          </cell>
          <cell r="I40">
            <v>126370000</v>
          </cell>
          <cell r="L40">
            <v>0</v>
          </cell>
          <cell r="M40">
            <v>126370000</v>
          </cell>
        </row>
        <row r="41">
          <cell r="E41" t="str">
            <v>Lanta Bura</v>
          </cell>
          <cell r="I41">
            <v>13950000</v>
          </cell>
          <cell r="L41">
            <v>0</v>
          </cell>
          <cell r="M41">
            <v>13950000</v>
          </cell>
        </row>
        <row r="42">
          <cell r="E42" t="str">
            <v>Mohan Putra Mandiri</v>
          </cell>
          <cell r="I42">
            <v>458000000</v>
          </cell>
          <cell r="L42">
            <v>0</v>
          </cell>
          <cell r="M42">
            <v>458000000</v>
          </cell>
        </row>
        <row r="43">
          <cell r="E43" t="str">
            <v>Balen Rejo</v>
          </cell>
          <cell r="I43">
            <v>7280000</v>
          </cell>
          <cell r="L43">
            <v>0</v>
          </cell>
          <cell r="M43">
            <v>7280000</v>
          </cell>
        </row>
        <row r="44">
          <cell r="E44" t="str">
            <v>Sumber Tani Makmur, UD/Suyitno, H</v>
          </cell>
          <cell r="I44">
            <v>50400000</v>
          </cell>
          <cell r="L44">
            <v>0</v>
          </cell>
          <cell r="M44">
            <v>50400000</v>
          </cell>
        </row>
        <row r="45">
          <cell r="E45" t="str">
            <v>Maju Jaya/Azwar</v>
          </cell>
          <cell r="I45">
            <v>33600000</v>
          </cell>
          <cell r="L45">
            <v>0</v>
          </cell>
          <cell r="M45">
            <v>33600000</v>
          </cell>
        </row>
        <row r="46">
          <cell r="E46" t="str">
            <v>Sumber Tani/Kudhori</v>
          </cell>
          <cell r="I46">
            <v>14850000</v>
          </cell>
          <cell r="L46">
            <v>0</v>
          </cell>
          <cell r="M46">
            <v>14850000</v>
          </cell>
        </row>
        <row r="47">
          <cell r="E47" t="str">
            <v>Lanta Bura</v>
          </cell>
          <cell r="I47">
            <v>46676000</v>
          </cell>
          <cell r="L47">
            <v>0</v>
          </cell>
          <cell r="M47">
            <v>46676000</v>
          </cell>
        </row>
        <row r="48">
          <cell r="E48" t="str">
            <v>Lanta Bura</v>
          </cell>
          <cell r="I48">
            <v>18156000</v>
          </cell>
          <cell r="L48">
            <v>0</v>
          </cell>
          <cell r="M48">
            <v>18156000</v>
          </cell>
        </row>
        <row r="49">
          <cell r="E49" t="str">
            <v>Lanta Bura</v>
          </cell>
          <cell r="I49">
            <v>69843000</v>
          </cell>
          <cell r="L49">
            <v>0</v>
          </cell>
          <cell r="M49">
            <v>69843000</v>
          </cell>
        </row>
        <row r="50">
          <cell r="E50" t="str">
            <v>Lanta Bura</v>
          </cell>
          <cell r="I50">
            <v>12950000</v>
          </cell>
          <cell r="L50">
            <v>0</v>
          </cell>
        </row>
        <row r="51">
          <cell r="E51" t="str">
            <v>Tani Jaya/Irawan</v>
          </cell>
          <cell r="I51">
            <v>140000</v>
          </cell>
          <cell r="L51">
            <v>0</v>
          </cell>
        </row>
        <row r="52">
          <cell r="E52" t="str">
            <v>Tani Jaya/Irawan</v>
          </cell>
          <cell r="I52">
            <v>550000</v>
          </cell>
          <cell r="L52">
            <v>0</v>
          </cell>
          <cell r="M52">
            <v>550000</v>
          </cell>
        </row>
        <row r="53">
          <cell r="E53" t="str">
            <v>Agro Mandiri/Nurlaela</v>
          </cell>
          <cell r="I53">
            <v>1392400</v>
          </cell>
          <cell r="L53">
            <v>0</v>
          </cell>
          <cell r="M53">
            <v>1392400</v>
          </cell>
        </row>
        <row r="54">
          <cell r="E54" t="str">
            <v>Bunga Bertani, UD</v>
          </cell>
          <cell r="I54">
            <v>14400000</v>
          </cell>
          <cell r="L54">
            <v>0</v>
          </cell>
          <cell r="M54">
            <v>14400000</v>
          </cell>
        </row>
        <row r="55">
          <cell r="E55" t="str">
            <v>Harian Jaya</v>
          </cell>
          <cell r="I55">
            <v>940000</v>
          </cell>
          <cell r="L55">
            <v>940000</v>
          </cell>
          <cell r="M55">
            <v>0</v>
          </cell>
        </row>
        <row r="56">
          <cell r="E56" t="str">
            <v>Nayunda/Edi</v>
          </cell>
          <cell r="I56">
            <v>5180000</v>
          </cell>
          <cell r="L56">
            <v>0</v>
          </cell>
          <cell r="M56">
            <v>5180000</v>
          </cell>
        </row>
        <row r="57">
          <cell r="E57" t="str">
            <v>Nayunda/Edi</v>
          </cell>
          <cell r="I57">
            <v>1775000</v>
          </cell>
          <cell r="L57">
            <v>1775000</v>
          </cell>
          <cell r="M57">
            <v>0</v>
          </cell>
        </row>
        <row r="58">
          <cell r="E58" t="str">
            <v>Sumber Tani Makmur, UD/Suyitno, H</v>
          </cell>
          <cell r="I58">
            <v>36000000</v>
          </cell>
          <cell r="L58">
            <v>0</v>
          </cell>
          <cell r="M58">
            <v>36000000</v>
          </cell>
        </row>
        <row r="59">
          <cell r="E59" t="str">
            <v>Sumber Tani, UD/Basuni</v>
          </cell>
          <cell r="I59">
            <v>162025000</v>
          </cell>
          <cell r="L59">
            <v>0</v>
          </cell>
          <cell r="M59">
            <v>162025000</v>
          </cell>
        </row>
        <row r="60">
          <cell r="E60" t="str">
            <v>Sumber Tani/Kudhori</v>
          </cell>
          <cell r="I60">
            <v>3500000</v>
          </cell>
          <cell r="L60">
            <v>0</v>
          </cell>
          <cell r="M60">
            <v>3500000</v>
          </cell>
        </row>
        <row r="61">
          <cell r="E61" t="str">
            <v>Sumber Tani/Kudhori</v>
          </cell>
          <cell r="I61">
            <v>5400000</v>
          </cell>
          <cell r="L61">
            <v>0</v>
          </cell>
          <cell r="M61">
            <v>5400000</v>
          </cell>
        </row>
        <row r="62">
          <cell r="E62" t="str">
            <v>Sumber Tani/Sugeng</v>
          </cell>
          <cell r="I62">
            <v>9250000</v>
          </cell>
          <cell r="L62">
            <v>0</v>
          </cell>
          <cell r="M62">
            <v>9250000</v>
          </cell>
        </row>
        <row r="63">
          <cell r="E63" t="str">
            <v>Tani WSM Sejahtera/Sulistiawan</v>
          </cell>
          <cell r="I63">
            <v>28965000</v>
          </cell>
          <cell r="L63">
            <v>10000000</v>
          </cell>
          <cell r="M63">
            <v>18965000</v>
          </cell>
        </row>
        <row r="64">
          <cell r="E64" t="str">
            <v>Tani Jaya/Irawan</v>
          </cell>
          <cell r="I64">
            <v>550000</v>
          </cell>
          <cell r="L64">
            <v>0</v>
          </cell>
          <cell r="M64">
            <v>550000</v>
          </cell>
        </row>
        <row r="65">
          <cell r="E65" t="str">
            <v>Lanta Bura</v>
          </cell>
          <cell r="I65">
            <v>63520000</v>
          </cell>
          <cell r="L65">
            <v>0</v>
          </cell>
          <cell r="M65">
            <v>63520000</v>
          </cell>
        </row>
        <row r="66">
          <cell r="E66" t="str">
            <v>Lanta Bura</v>
          </cell>
          <cell r="I66">
            <v>34560000</v>
          </cell>
          <cell r="L66">
            <v>0</v>
          </cell>
          <cell r="M66">
            <v>34560000</v>
          </cell>
        </row>
        <row r="67">
          <cell r="E67" t="str">
            <v>Ratna Jaya</v>
          </cell>
          <cell r="I67">
            <v>13895000</v>
          </cell>
          <cell r="L67">
            <v>0</v>
          </cell>
          <cell r="M67">
            <v>13895000</v>
          </cell>
        </row>
        <row r="68">
          <cell r="E68" t="str">
            <v>Ratna Jaya</v>
          </cell>
          <cell r="I68">
            <v>13060000</v>
          </cell>
          <cell r="L68">
            <v>0</v>
          </cell>
          <cell r="M68">
            <v>13060000</v>
          </cell>
        </row>
        <row r="69">
          <cell r="E69" t="str">
            <v>Tani Unggul Jaya/Jayat</v>
          </cell>
          <cell r="I69">
            <v>39000000</v>
          </cell>
          <cell r="L69">
            <v>20000000</v>
          </cell>
          <cell r="M69">
            <v>19000000</v>
          </cell>
        </row>
        <row r="70">
          <cell r="E70" t="str">
            <v>Wahono, Kios</v>
          </cell>
          <cell r="I70">
            <v>230000</v>
          </cell>
          <cell r="L70">
            <v>0</v>
          </cell>
          <cell r="M70">
            <v>230000</v>
          </cell>
        </row>
        <row r="71">
          <cell r="E71" t="str">
            <v>Sumber Tani Makmur, UD/Suyitno, H</v>
          </cell>
          <cell r="I71">
            <v>194250000</v>
          </cell>
          <cell r="L71">
            <v>0</v>
          </cell>
          <cell r="M71">
            <v>194250000</v>
          </cell>
        </row>
        <row r="72">
          <cell r="E72" t="str">
            <v>Hikmah Tani/Elma</v>
          </cell>
          <cell r="I72">
            <v>6652500</v>
          </cell>
          <cell r="L72">
            <v>6652500</v>
          </cell>
          <cell r="M72">
            <v>0</v>
          </cell>
        </row>
        <row r="73">
          <cell r="E73" t="str">
            <v>Tani Mulyo/Tarmi</v>
          </cell>
          <cell r="I73">
            <v>8300000</v>
          </cell>
          <cell r="L73">
            <v>0</v>
          </cell>
          <cell r="M73">
            <v>8300000</v>
          </cell>
        </row>
        <row r="74">
          <cell r="E74" t="str">
            <v>Karya Tani/Agus</v>
          </cell>
          <cell r="I74">
            <v>17040000</v>
          </cell>
          <cell r="L74">
            <v>17040000</v>
          </cell>
          <cell r="M74">
            <v>0</v>
          </cell>
        </row>
        <row r="75">
          <cell r="E75" t="str">
            <v>Maju Jaya/Azwar</v>
          </cell>
          <cell r="I75">
            <v>71250000</v>
          </cell>
          <cell r="L75">
            <v>0</v>
          </cell>
          <cell r="M75">
            <v>71250000</v>
          </cell>
        </row>
        <row r="76">
          <cell r="E76" t="str">
            <v>Sumber Tani Makmur, UD/Suyitno, H</v>
          </cell>
          <cell r="I76">
            <v>103560000</v>
          </cell>
          <cell r="L76">
            <v>0</v>
          </cell>
          <cell r="M76">
            <v>103560000</v>
          </cell>
        </row>
        <row r="77">
          <cell r="E77" t="str">
            <v>Wahono, Kios</v>
          </cell>
          <cell r="I77">
            <v>4810000</v>
          </cell>
          <cell r="L77">
            <v>0</v>
          </cell>
          <cell r="M77">
            <v>4810000</v>
          </cell>
        </row>
        <row r="78">
          <cell r="E78" t="str">
            <v>Harian Jaya</v>
          </cell>
          <cell r="I78">
            <v>5457500</v>
          </cell>
          <cell r="L78">
            <v>0</v>
          </cell>
          <cell r="M78">
            <v>5457500</v>
          </cell>
        </row>
        <row r="79">
          <cell r="E79" t="str">
            <v>Karya Tani/Ana</v>
          </cell>
          <cell r="I79">
            <v>4140000</v>
          </cell>
          <cell r="L79">
            <v>4140000</v>
          </cell>
          <cell r="M79">
            <v>0</v>
          </cell>
        </row>
        <row r="80">
          <cell r="E80" t="str">
            <v>Sumber Makmur/Masrokib</v>
          </cell>
          <cell r="I80">
            <v>3660000</v>
          </cell>
          <cell r="L80">
            <v>3660000</v>
          </cell>
          <cell r="M80">
            <v>0</v>
          </cell>
        </row>
        <row r="81">
          <cell r="E81" t="str">
            <v>Sumber Tani/Sugeng</v>
          </cell>
          <cell r="I81">
            <v>9250000</v>
          </cell>
          <cell r="L81">
            <v>0</v>
          </cell>
          <cell r="M81">
            <v>9250000</v>
          </cell>
        </row>
        <row r="82">
          <cell r="E82" t="str">
            <v>Sahala/Syaiful</v>
          </cell>
          <cell r="I82">
            <v>48700000</v>
          </cell>
          <cell r="L82">
            <v>48700000</v>
          </cell>
          <cell r="M82">
            <v>0</v>
          </cell>
        </row>
        <row r="83">
          <cell r="E83" t="str">
            <v>Abiyu Tani/Wahyu Cahyo</v>
          </cell>
          <cell r="I83">
            <v>23000000</v>
          </cell>
          <cell r="L83">
            <v>8000000</v>
          </cell>
          <cell r="M83">
            <v>15000000</v>
          </cell>
        </row>
        <row r="84">
          <cell r="E84" t="str">
            <v>Duta Buah Putra/Furkon</v>
          </cell>
          <cell r="I84">
            <v>4200000</v>
          </cell>
          <cell r="L84">
            <v>0</v>
          </cell>
        </row>
        <row r="85">
          <cell r="E85" t="str">
            <v>Duta Buah Putra/Furkon</v>
          </cell>
          <cell r="I85">
            <v>444700</v>
          </cell>
          <cell r="L85">
            <v>0</v>
          </cell>
          <cell r="M85">
            <v>444700</v>
          </cell>
        </row>
        <row r="86">
          <cell r="E86" t="str">
            <v>Mitra Usaha, UD/Supris</v>
          </cell>
          <cell r="I86">
            <v>8600000</v>
          </cell>
          <cell r="L86">
            <v>8600000</v>
          </cell>
          <cell r="M86">
            <v>0</v>
          </cell>
        </row>
        <row r="87">
          <cell r="E87" t="str">
            <v>Balen Rejo</v>
          </cell>
          <cell r="I87">
            <v>18440000</v>
          </cell>
          <cell r="L87">
            <v>0</v>
          </cell>
          <cell r="M87">
            <v>18440000</v>
          </cell>
        </row>
        <row r="88">
          <cell r="E88" t="str">
            <v>D Live Tani</v>
          </cell>
          <cell r="I88">
            <v>6700000</v>
          </cell>
          <cell r="L88">
            <v>6700000</v>
          </cell>
          <cell r="M88">
            <v>0</v>
          </cell>
        </row>
        <row r="89">
          <cell r="E89" t="str">
            <v>Sumber Makmur/Masrokib</v>
          </cell>
          <cell r="I89">
            <v>13500000</v>
          </cell>
          <cell r="L89">
            <v>6340000</v>
          </cell>
          <cell r="M89">
            <v>7160000</v>
          </cell>
        </row>
        <row r="90">
          <cell r="E90" t="str">
            <v>Sumber Tani Makmur, UD/Suyitno, H</v>
          </cell>
          <cell r="I90">
            <v>132500000</v>
          </cell>
          <cell r="L90">
            <v>0</v>
          </cell>
          <cell r="M90">
            <v>132500000</v>
          </cell>
        </row>
        <row r="91">
          <cell r="E91" t="str">
            <v>Wahono, Kios</v>
          </cell>
          <cell r="I91">
            <v>10000000</v>
          </cell>
          <cell r="L91">
            <v>0</v>
          </cell>
          <cell r="M91">
            <v>10000000</v>
          </cell>
        </row>
        <row r="92">
          <cell r="E92" t="str">
            <v>Hikmah Agung Tuban, CV</v>
          </cell>
          <cell r="I92">
            <v>11812500</v>
          </cell>
          <cell r="L92">
            <v>11812500</v>
          </cell>
          <cell r="M92">
            <v>0</v>
          </cell>
        </row>
        <row r="93">
          <cell r="E93" t="str">
            <v>Hikmah Agung Tuban, CV</v>
          </cell>
          <cell r="I93">
            <v>675000000</v>
          </cell>
          <cell r="L93">
            <v>675000000</v>
          </cell>
          <cell r="M93">
            <v>0</v>
          </cell>
        </row>
        <row r="94">
          <cell r="E94" t="str">
            <v>Hikmah Agung Tuban, CV</v>
          </cell>
          <cell r="I94">
            <v>21000000</v>
          </cell>
          <cell r="L94">
            <v>21000000</v>
          </cell>
          <cell r="M94">
            <v>0</v>
          </cell>
        </row>
        <row r="95">
          <cell r="E95" t="str">
            <v>Sahala/Syaiful</v>
          </cell>
          <cell r="I95">
            <v>71250000</v>
          </cell>
          <cell r="L95">
            <v>2150000</v>
          </cell>
          <cell r="M95">
            <v>69100000</v>
          </cell>
        </row>
        <row r="96">
          <cell r="E96" t="str">
            <v>Bunga Bertani, UD</v>
          </cell>
          <cell r="I96">
            <v>8600000</v>
          </cell>
          <cell r="L96">
            <v>0</v>
          </cell>
          <cell r="M96">
            <v>8600000</v>
          </cell>
        </row>
        <row r="97">
          <cell r="E97" t="str">
            <v>Sumber Tani, UD/Basuni</v>
          </cell>
          <cell r="I97">
            <v>9320000</v>
          </cell>
          <cell r="L97">
            <v>0</v>
          </cell>
          <cell r="M97">
            <v>9320000</v>
          </cell>
        </row>
        <row r="98">
          <cell r="E98" t="str">
            <v>Handal Tani/Handal</v>
          </cell>
          <cell r="I98">
            <v>12320000</v>
          </cell>
          <cell r="L98">
            <v>0</v>
          </cell>
          <cell r="M98">
            <v>12320000</v>
          </cell>
        </row>
        <row r="99">
          <cell r="E99" t="str">
            <v>Karya Tani/Agus</v>
          </cell>
          <cell r="I99">
            <v>15937500</v>
          </cell>
          <cell r="L99">
            <v>0</v>
          </cell>
          <cell r="M99">
            <v>15937500</v>
          </cell>
        </row>
        <row r="100">
          <cell r="E100" t="str">
            <v>Karya Tani/Agus</v>
          </cell>
          <cell r="I100">
            <v>9650000</v>
          </cell>
          <cell r="L100">
            <v>0</v>
          </cell>
          <cell r="M100">
            <v>9650000</v>
          </cell>
        </row>
        <row r="101">
          <cell r="E101" t="str">
            <v>Sumber Tani, UD/Basuni</v>
          </cell>
          <cell r="I101">
            <v>7860000</v>
          </cell>
          <cell r="L101">
            <v>0</v>
          </cell>
          <cell r="M101">
            <v>7860000</v>
          </cell>
        </row>
        <row r="102">
          <cell r="E102" t="str">
            <v>Benih Jaya</v>
          </cell>
          <cell r="I102">
            <v>625000</v>
          </cell>
          <cell r="L102">
            <v>0</v>
          </cell>
          <cell r="M102">
            <v>625000</v>
          </cell>
        </row>
        <row r="103">
          <cell r="E103" t="str">
            <v>Bumi Tani/Aji Santoso</v>
          </cell>
          <cell r="I103">
            <v>6400000</v>
          </cell>
          <cell r="L103">
            <v>0</v>
          </cell>
          <cell r="M103">
            <v>6400000</v>
          </cell>
        </row>
        <row r="104">
          <cell r="E104" t="str">
            <v>Kampung Tani/Aguk</v>
          </cell>
          <cell r="I104">
            <v>2350000</v>
          </cell>
          <cell r="L104">
            <v>0</v>
          </cell>
          <cell r="M104">
            <v>2350000</v>
          </cell>
        </row>
        <row r="105">
          <cell r="E105" t="str">
            <v>Lanta Bura</v>
          </cell>
          <cell r="I105">
            <v>215000000</v>
          </cell>
          <cell r="L105">
            <v>0</v>
          </cell>
          <cell r="M105">
            <v>215000000</v>
          </cell>
        </row>
        <row r="106">
          <cell r="E106" t="str">
            <v>Mulya Tani/Slamet</v>
          </cell>
          <cell r="I106">
            <v>4200000</v>
          </cell>
          <cell r="L106">
            <v>2700000</v>
          </cell>
          <cell r="M106">
            <v>1500000</v>
          </cell>
        </row>
        <row r="107">
          <cell r="E107" t="str">
            <v>Radel Tani</v>
          </cell>
          <cell r="I107">
            <v>4900000</v>
          </cell>
          <cell r="L107">
            <v>0</v>
          </cell>
          <cell r="M107">
            <v>4900000</v>
          </cell>
        </row>
        <row r="108">
          <cell r="E108" t="str">
            <v>Mitra Tani/Suharto</v>
          </cell>
          <cell r="I108">
            <v>22345000</v>
          </cell>
          <cell r="L108">
            <v>0</v>
          </cell>
          <cell r="M108">
            <v>22345000</v>
          </cell>
        </row>
        <row r="109">
          <cell r="E109" t="str">
            <v>Mitra Tani/Suharto</v>
          </cell>
          <cell r="I109">
            <v>5280000</v>
          </cell>
          <cell r="L109">
            <v>0</v>
          </cell>
          <cell r="M109">
            <v>5280000</v>
          </cell>
        </row>
        <row r="110">
          <cell r="E110" t="str">
            <v>Sumber Tani/Widi, H II</v>
          </cell>
          <cell r="I110">
            <v>79200000</v>
          </cell>
          <cell r="L110">
            <v>79200000</v>
          </cell>
          <cell r="M110">
            <v>0</v>
          </cell>
        </row>
        <row r="111">
          <cell r="E111" t="str">
            <v>Hikmah Agung Tuban, CV</v>
          </cell>
          <cell r="I111">
            <v>162653825</v>
          </cell>
          <cell r="L111">
            <v>71887500</v>
          </cell>
          <cell r="M111">
            <v>90766325</v>
          </cell>
        </row>
        <row r="112">
          <cell r="E112" t="str">
            <v>Wiyono, Kios</v>
          </cell>
          <cell r="I112">
            <v>2850000</v>
          </cell>
          <cell r="L112">
            <v>1900000</v>
          </cell>
          <cell r="M112">
            <v>950000</v>
          </cell>
        </row>
        <row r="113">
          <cell r="E113" t="str">
            <v>Wiyono, Kios</v>
          </cell>
          <cell r="I113">
            <v>6625000</v>
          </cell>
          <cell r="L113">
            <v>0</v>
          </cell>
          <cell r="M113">
            <v>6625000</v>
          </cell>
        </row>
        <row r="114">
          <cell r="E114" t="str">
            <v>Hikmah Agung Tuban, CV</v>
          </cell>
          <cell r="I114">
            <v>9500000</v>
          </cell>
          <cell r="L114">
            <v>9500000</v>
          </cell>
          <cell r="M114">
            <v>0</v>
          </cell>
        </row>
        <row r="115">
          <cell r="E115" t="str">
            <v>Sumber Waras/Celinda</v>
          </cell>
          <cell r="I115">
            <v>1300000</v>
          </cell>
          <cell r="L115">
            <v>1300000</v>
          </cell>
          <cell r="M115">
            <v>0</v>
          </cell>
        </row>
        <row r="116">
          <cell r="E116" t="str">
            <v>Balen Rejo</v>
          </cell>
          <cell r="I116">
            <v>24000000</v>
          </cell>
          <cell r="L116">
            <v>0</v>
          </cell>
          <cell r="M116">
            <v>24000000</v>
          </cell>
        </row>
        <row r="117">
          <cell r="E117" t="str">
            <v>Berkah Tani Lestari/Kuncoro</v>
          </cell>
          <cell r="I117">
            <v>1608750</v>
          </cell>
          <cell r="L117">
            <v>0</v>
          </cell>
          <cell r="M117">
            <v>1608750</v>
          </cell>
        </row>
        <row r="118">
          <cell r="E118" t="str">
            <v>Berkah Tani/Dhita</v>
          </cell>
          <cell r="I118">
            <v>2680000</v>
          </cell>
          <cell r="L118">
            <v>2680000</v>
          </cell>
          <cell r="M118">
            <v>0</v>
          </cell>
        </row>
        <row r="119">
          <cell r="E119" t="str">
            <v>Citra Tani, UD/Zaenal</v>
          </cell>
          <cell r="I119">
            <v>13270000</v>
          </cell>
          <cell r="L119">
            <v>13270000</v>
          </cell>
          <cell r="M119">
            <v>0</v>
          </cell>
        </row>
        <row r="120">
          <cell r="E120" t="str">
            <v>Hikmah Agung Tuban, CV</v>
          </cell>
          <cell r="I120">
            <v>36500000</v>
          </cell>
          <cell r="L120">
            <v>0</v>
          </cell>
          <cell r="M120">
            <v>36500000</v>
          </cell>
        </row>
        <row r="121">
          <cell r="E121" t="str">
            <v>Hikmah Agung Tuban, CV</v>
          </cell>
          <cell r="I121">
            <v>217800000</v>
          </cell>
          <cell r="L121">
            <v>0</v>
          </cell>
          <cell r="M121">
            <v>217800000</v>
          </cell>
        </row>
        <row r="122">
          <cell r="E122" t="str">
            <v>Hikmah Agung Tuban, CV</v>
          </cell>
          <cell r="I122">
            <v>94000000</v>
          </cell>
          <cell r="L122">
            <v>0</v>
          </cell>
          <cell r="M122">
            <v>94000000</v>
          </cell>
        </row>
        <row r="123">
          <cell r="E123" t="str">
            <v>Kawan Tani/Priyo</v>
          </cell>
          <cell r="I123">
            <v>10200000</v>
          </cell>
          <cell r="L123">
            <v>0</v>
          </cell>
          <cell r="M123">
            <v>10200000</v>
          </cell>
        </row>
        <row r="124">
          <cell r="E124" t="str">
            <v>Ridho Tani/Irwansyah</v>
          </cell>
          <cell r="I124">
            <v>1375000</v>
          </cell>
          <cell r="L124">
            <v>1375000</v>
          </cell>
          <cell r="M124">
            <v>0</v>
          </cell>
        </row>
        <row r="125">
          <cell r="E125" t="str">
            <v>Sumber Makmur/Masrokib</v>
          </cell>
          <cell r="I125">
            <v>5810000</v>
          </cell>
          <cell r="L125">
            <v>0</v>
          </cell>
          <cell r="M125">
            <v>5810000</v>
          </cell>
        </row>
        <row r="126">
          <cell r="E126" t="str">
            <v>Sumber Mulya/Eko</v>
          </cell>
          <cell r="I126">
            <v>8000000</v>
          </cell>
          <cell r="L126">
            <v>0</v>
          </cell>
          <cell r="M126">
            <v>8000000</v>
          </cell>
        </row>
        <row r="127">
          <cell r="E127" t="str">
            <v>Sumber Waras/Celinda</v>
          </cell>
          <cell r="I127">
            <v>4680000</v>
          </cell>
          <cell r="L127">
            <v>4680000</v>
          </cell>
          <cell r="M127">
            <v>0</v>
          </cell>
        </row>
        <row r="128">
          <cell r="E128" t="str">
            <v>Agro Jaya Makmur Abadi/Delia</v>
          </cell>
          <cell r="I128">
            <v>1500000</v>
          </cell>
          <cell r="L128">
            <v>0</v>
          </cell>
          <cell r="M128">
            <v>1500000</v>
          </cell>
        </row>
        <row r="129">
          <cell r="E129" t="str">
            <v>Agro Jaya Makmur Abadi/Delia</v>
          </cell>
          <cell r="I129">
            <v>2110000</v>
          </cell>
          <cell r="L129">
            <v>0</v>
          </cell>
          <cell r="M129">
            <v>2110000</v>
          </cell>
        </row>
        <row r="130">
          <cell r="E130" t="str">
            <v>Duta Buah Putra/Furkon</v>
          </cell>
          <cell r="I130">
            <v>22400000</v>
          </cell>
          <cell r="L130">
            <v>0</v>
          </cell>
          <cell r="M130">
            <v>22400000</v>
          </cell>
        </row>
        <row r="131">
          <cell r="E131" t="str">
            <v>Harian Jaya</v>
          </cell>
          <cell r="I131">
            <v>4280000</v>
          </cell>
          <cell r="L131">
            <v>0</v>
          </cell>
          <cell r="M131">
            <v>4280000</v>
          </cell>
        </row>
        <row r="132">
          <cell r="E132" t="str">
            <v>Hikmah Agung Tuban, CV</v>
          </cell>
          <cell r="I132">
            <v>46000000</v>
          </cell>
          <cell r="L132">
            <v>0</v>
          </cell>
          <cell r="M132">
            <v>46000000</v>
          </cell>
        </row>
        <row r="133">
          <cell r="E133" t="str">
            <v>Hikmah Agung Tuban, CV</v>
          </cell>
          <cell r="I133">
            <v>5700000</v>
          </cell>
          <cell r="L133">
            <v>0</v>
          </cell>
          <cell r="M133">
            <v>5700000</v>
          </cell>
        </row>
        <row r="134">
          <cell r="E134" t="str">
            <v>Kawan Tani/Priyo</v>
          </cell>
          <cell r="I134">
            <v>5100000</v>
          </cell>
          <cell r="L134">
            <v>0</v>
          </cell>
          <cell r="M134">
            <v>5100000</v>
          </cell>
        </row>
        <row r="135">
          <cell r="E135" t="str">
            <v>Paknam, Toko</v>
          </cell>
          <cell r="I135">
            <v>4500000</v>
          </cell>
          <cell r="L135">
            <v>4500000</v>
          </cell>
          <cell r="M135">
            <v>0</v>
          </cell>
        </row>
        <row r="136">
          <cell r="E136" t="str">
            <v>Sumber Tani Makmur, CV/Muslim</v>
          </cell>
          <cell r="I136">
            <v>9600000</v>
          </cell>
          <cell r="L136">
            <v>9600000</v>
          </cell>
          <cell r="M136">
            <v>0</v>
          </cell>
        </row>
        <row r="137">
          <cell r="E137" t="str">
            <v>Sumber Tani/Sugeng</v>
          </cell>
          <cell r="I137">
            <v>9250000</v>
          </cell>
          <cell r="L137">
            <v>0</v>
          </cell>
          <cell r="M137">
            <v>9250000</v>
          </cell>
        </row>
        <row r="138">
          <cell r="E138" t="str">
            <v>Tani Jaya/Firza</v>
          </cell>
          <cell r="I138">
            <v>3900000</v>
          </cell>
          <cell r="L138">
            <v>3900000</v>
          </cell>
          <cell r="M138">
            <v>0</v>
          </cell>
        </row>
        <row r="139">
          <cell r="E139" t="str">
            <v>Tani Makmur/Syain</v>
          </cell>
          <cell r="I139">
            <v>251510000</v>
          </cell>
          <cell r="L139">
            <v>251510000</v>
          </cell>
          <cell r="M139">
            <v>0</v>
          </cell>
        </row>
        <row r="140">
          <cell r="E140" t="str">
            <v>Tani Makmur/Syain</v>
          </cell>
          <cell r="I140">
            <v>25920000</v>
          </cell>
          <cell r="L140">
            <v>25920000</v>
          </cell>
          <cell r="M140">
            <v>0</v>
          </cell>
        </row>
        <row r="141">
          <cell r="E141" t="str">
            <v>Unggul Jaya/Sholekun</v>
          </cell>
          <cell r="I141">
            <v>268000000</v>
          </cell>
          <cell r="L141">
            <v>268000000</v>
          </cell>
          <cell r="M141">
            <v>0</v>
          </cell>
        </row>
        <row r="142">
          <cell r="E142" t="str">
            <v>Benih Jaya</v>
          </cell>
          <cell r="I142">
            <v>1612500</v>
          </cell>
          <cell r="L142">
            <v>0</v>
          </cell>
          <cell r="M142">
            <v>1612500</v>
          </cell>
        </row>
        <row r="143">
          <cell r="E143" t="str">
            <v>Hikmah Agung Tuban, CV</v>
          </cell>
          <cell r="I143">
            <v>165000000</v>
          </cell>
          <cell r="L143">
            <v>0</v>
          </cell>
          <cell r="M143">
            <v>165000000</v>
          </cell>
        </row>
        <row r="144">
          <cell r="E144" t="str">
            <v>Tani Makmur/Syain</v>
          </cell>
          <cell r="I144">
            <v>237000000</v>
          </cell>
          <cell r="L144">
            <v>0</v>
          </cell>
          <cell r="M144">
            <v>237000000</v>
          </cell>
        </row>
        <row r="145">
          <cell r="E145" t="str">
            <v>Agrikultur Gelora Nusantara, PT/Eric</v>
          </cell>
          <cell r="I145">
            <v>12670000</v>
          </cell>
          <cell r="L145">
            <v>12670000</v>
          </cell>
          <cell r="M145">
            <v>0</v>
          </cell>
        </row>
        <row r="146">
          <cell r="E146" t="str">
            <v>Arkha Jaya Makmur/Atma</v>
          </cell>
          <cell r="I146">
            <v>2250000</v>
          </cell>
          <cell r="L146">
            <v>0</v>
          </cell>
          <cell r="M146">
            <v>2250000</v>
          </cell>
        </row>
        <row r="147">
          <cell r="E147" t="str">
            <v>Balen Rejo</v>
          </cell>
          <cell r="I147">
            <v>30200000</v>
          </cell>
          <cell r="L147">
            <v>0</v>
          </cell>
          <cell r="M147">
            <v>30200000</v>
          </cell>
        </row>
        <row r="148">
          <cell r="E148" t="str">
            <v>Benih Jaya</v>
          </cell>
          <cell r="I148">
            <v>190000</v>
          </cell>
          <cell r="L148">
            <v>0</v>
          </cell>
          <cell r="M148">
            <v>190000</v>
          </cell>
        </row>
        <row r="149">
          <cell r="E149" t="str">
            <v>Hikmah Agung Tuban, CV</v>
          </cell>
          <cell r="I149">
            <v>158000000</v>
          </cell>
          <cell r="L149">
            <v>158000000</v>
          </cell>
          <cell r="M149">
            <v>0</v>
          </cell>
        </row>
        <row r="150">
          <cell r="E150" t="str">
            <v>Jaya Makmur/Rama</v>
          </cell>
          <cell r="I150">
            <v>10000000</v>
          </cell>
          <cell r="L150">
            <v>0</v>
          </cell>
          <cell r="M150">
            <v>10000000</v>
          </cell>
        </row>
        <row r="151">
          <cell r="E151" t="str">
            <v>Rejo Jaya</v>
          </cell>
          <cell r="I151">
            <v>3000000</v>
          </cell>
          <cell r="L151">
            <v>3000000</v>
          </cell>
          <cell r="M151">
            <v>0</v>
          </cell>
        </row>
        <row r="152">
          <cell r="E152" t="str">
            <v>Sahabat Tani, UD/Edy</v>
          </cell>
          <cell r="I152">
            <v>1350000</v>
          </cell>
          <cell r="L152">
            <v>1350000</v>
          </cell>
          <cell r="M152">
            <v>0</v>
          </cell>
        </row>
        <row r="153">
          <cell r="E153" t="str">
            <v>Sumber Makmur Tani</v>
          </cell>
          <cell r="I153">
            <v>35112000</v>
          </cell>
          <cell r="L153">
            <v>35112000</v>
          </cell>
          <cell r="M153">
            <v>0</v>
          </cell>
        </row>
        <row r="154">
          <cell r="E154" t="str">
            <v>Sumber Makmur/Masrokib</v>
          </cell>
          <cell r="I154">
            <v>8550000</v>
          </cell>
          <cell r="L154">
            <v>0</v>
          </cell>
          <cell r="M154">
            <v>8550000</v>
          </cell>
        </row>
        <row r="155">
          <cell r="E155" t="str">
            <v>Unggul Jaya/Sholekun</v>
          </cell>
          <cell r="I155">
            <v>28440000</v>
          </cell>
          <cell r="L155">
            <v>28440000</v>
          </cell>
          <cell r="M155">
            <v>0</v>
          </cell>
        </row>
        <row r="156">
          <cell r="E156" t="str">
            <v>Wisdomargo/Wiwi Anggraeni</v>
          </cell>
          <cell r="I156">
            <v>4306500</v>
          </cell>
          <cell r="L156">
            <v>4306500</v>
          </cell>
          <cell r="M156">
            <v>0</v>
          </cell>
        </row>
        <row r="157">
          <cell r="E157" t="str">
            <v>Zifa Tani/Purwanto</v>
          </cell>
          <cell r="I157">
            <v>8394800</v>
          </cell>
          <cell r="L157">
            <v>8394800</v>
          </cell>
          <cell r="M157">
            <v>0</v>
          </cell>
        </row>
        <row r="158">
          <cell r="E158" t="str">
            <v>Agro Tani/Rusdi</v>
          </cell>
          <cell r="I158">
            <v>8190000</v>
          </cell>
          <cell r="L158">
            <v>8190000</v>
          </cell>
          <cell r="M158">
            <v>0</v>
          </cell>
        </row>
        <row r="159">
          <cell r="E159" t="str">
            <v>Berkah Tani/Agnes</v>
          </cell>
          <cell r="I159">
            <v>33955000</v>
          </cell>
          <cell r="L159">
            <v>33955000</v>
          </cell>
          <cell r="M159">
            <v>0</v>
          </cell>
        </row>
        <row r="160">
          <cell r="E160" t="str">
            <v>Duta Buah Putra/Furkon</v>
          </cell>
          <cell r="I160">
            <v>940000</v>
          </cell>
          <cell r="L160">
            <v>940000</v>
          </cell>
          <cell r="M160">
            <v>0</v>
          </cell>
        </row>
        <row r="161">
          <cell r="E161" t="str">
            <v>Fajar Tani Muliya/Ibnu</v>
          </cell>
          <cell r="I161">
            <v>29300000</v>
          </cell>
          <cell r="L161">
            <v>0</v>
          </cell>
          <cell r="M161">
            <v>29300000</v>
          </cell>
        </row>
        <row r="162">
          <cell r="E162" t="str">
            <v>Fajar Tani Muliya/Ibnu</v>
          </cell>
          <cell r="I162">
            <v>50780000</v>
          </cell>
          <cell r="L162">
            <v>0</v>
          </cell>
          <cell r="M162">
            <v>50780000</v>
          </cell>
        </row>
        <row r="163">
          <cell r="E163" t="str">
            <v>Hikmah Agung Tuban, CV</v>
          </cell>
          <cell r="I163">
            <v>2190000</v>
          </cell>
          <cell r="L163">
            <v>0</v>
          </cell>
          <cell r="M163">
            <v>2190000</v>
          </cell>
        </row>
        <row r="164">
          <cell r="E164" t="str">
            <v>Metro Tani/Imam</v>
          </cell>
          <cell r="I164">
            <v>1090000</v>
          </cell>
          <cell r="L164">
            <v>1050000</v>
          </cell>
          <cell r="M164">
            <v>40000</v>
          </cell>
        </row>
        <row r="165">
          <cell r="E165" t="str">
            <v>Restu Jaya/Haris</v>
          </cell>
          <cell r="I165">
            <v>2000000</v>
          </cell>
          <cell r="L165">
            <v>2000000</v>
          </cell>
          <cell r="M165">
            <v>0</v>
          </cell>
        </row>
        <row r="166">
          <cell r="E166" t="str">
            <v>Sari Tani/Tukirin</v>
          </cell>
          <cell r="I166">
            <v>3235000</v>
          </cell>
          <cell r="L166">
            <v>3235000</v>
          </cell>
          <cell r="M166">
            <v>0</v>
          </cell>
        </row>
        <row r="167">
          <cell r="E167" t="str">
            <v>Sumber Tani Makmur, UD/Suyitno, H</v>
          </cell>
          <cell r="I167">
            <v>328500000</v>
          </cell>
          <cell r="L167">
            <v>0</v>
          </cell>
          <cell r="M167">
            <v>328500000</v>
          </cell>
        </row>
        <row r="168">
          <cell r="E168" t="str">
            <v>Sumber Tani, UD/Basuni</v>
          </cell>
          <cell r="I168">
            <v>140720000</v>
          </cell>
          <cell r="L168">
            <v>0</v>
          </cell>
          <cell r="M168">
            <v>140720000</v>
          </cell>
        </row>
        <row r="169">
          <cell r="E169" t="str">
            <v>Sumber Tani/Widi, H II</v>
          </cell>
          <cell r="I169">
            <v>158000000</v>
          </cell>
          <cell r="L169">
            <v>0</v>
          </cell>
          <cell r="M169">
            <v>158000000</v>
          </cell>
        </row>
        <row r="170">
          <cell r="E170" t="str">
            <v>Wisdomargo/Wiwi Anggraeni</v>
          </cell>
          <cell r="I170">
            <v>2357500</v>
          </cell>
          <cell r="L170">
            <v>2357500</v>
          </cell>
          <cell r="M170">
            <v>0</v>
          </cell>
        </row>
        <row r="171">
          <cell r="L171">
            <v>0</v>
          </cell>
          <cell r="M171">
            <v>0</v>
          </cell>
        </row>
        <row r="172">
          <cell r="L172">
            <v>0</v>
          </cell>
          <cell r="M172">
            <v>0</v>
          </cell>
        </row>
        <row r="173">
          <cell r="L173">
            <v>0</v>
          </cell>
          <cell r="M173">
            <v>0</v>
          </cell>
        </row>
        <row r="174">
          <cell r="L174">
            <v>0</v>
          </cell>
          <cell r="M174">
            <v>0</v>
          </cell>
        </row>
        <row r="175">
          <cell r="L175">
            <v>0</v>
          </cell>
          <cell r="M175">
            <v>0</v>
          </cell>
        </row>
        <row r="176">
          <cell r="L176">
            <v>0</v>
          </cell>
          <cell r="M176">
            <v>0</v>
          </cell>
        </row>
        <row r="177">
          <cell r="L177">
            <v>0</v>
          </cell>
          <cell r="M177">
            <v>0</v>
          </cell>
        </row>
        <row r="178">
          <cell r="L178">
            <v>0</v>
          </cell>
          <cell r="M178">
            <v>0</v>
          </cell>
        </row>
        <row r="179">
          <cell r="L179">
            <v>0</v>
          </cell>
          <cell r="M179">
            <v>0</v>
          </cell>
        </row>
        <row r="180">
          <cell r="L180">
            <v>0</v>
          </cell>
          <cell r="M180">
            <v>0</v>
          </cell>
        </row>
        <row r="181">
          <cell r="L181">
            <v>0</v>
          </cell>
          <cell r="M181">
            <v>0</v>
          </cell>
        </row>
        <row r="182">
          <cell r="L182">
            <v>0</v>
          </cell>
          <cell r="M182">
            <v>0</v>
          </cell>
        </row>
        <row r="183">
          <cell r="L183">
            <v>0</v>
          </cell>
          <cell r="M183">
            <v>0</v>
          </cell>
        </row>
        <row r="184">
          <cell r="L184">
            <v>0</v>
          </cell>
          <cell r="M184">
            <v>0</v>
          </cell>
        </row>
        <row r="185">
          <cell r="L185">
            <v>0</v>
          </cell>
          <cell r="M185">
            <v>0</v>
          </cell>
        </row>
        <row r="186">
          <cell r="L186">
            <v>0</v>
          </cell>
          <cell r="M186">
            <v>0</v>
          </cell>
        </row>
        <row r="187">
          <cell r="L187">
            <v>0</v>
          </cell>
          <cell r="M187">
            <v>0</v>
          </cell>
        </row>
        <row r="188">
          <cell r="L188">
            <v>0</v>
          </cell>
          <cell r="M188">
            <v>0</v>
          </cell>
        </row>
        <row r="189">
          <cell r="L189">
            <v>0</v>
          </cell>
          <cell r="M189">
            <v>0</v>
          </cell>
        </row>
        <row r="190">
          <cell r="L190">
            <v>0</v>
          </cell>
          <cell r="M190">
            <v>0</v>
          </cell>
        </row>
        <row r="191">
          <cell r="L191">
            <v>0</v>
          </cell>
          <cell r="M191">
            <v>0</v>
          </cell>
        </row>
        <row r="192">
          <cell r="L192">
            <v>0</v>
          </cell>
          <cell r="M192">
            <v>0</v>
          </cell>
        </row>
        <row r="193">
          <cell r="L193">
            <v>0</v>
          </cell>
          <cell r="M193">
            <v>0</v>
          </cell>
        </row>
        <row r="194">
          <cell r="L194">
            <v>0</v>
          </cell>
          <cell r="M194">
            <v>0</v>
          </cell>
        </row>
        <row r="195">
          <cell r="L195">
            <v>0</v>
          </cell>
          <cell r="M195">
            <v>0</v>
          </cell>
        </row>
        <row r="196">
          <cell r="L196">
            <v>0</v>
          </cell>
          <cell r="M196">
            <v>0</v>
          </cell>
        </row>
        <row r="197">
          <cell r="L197">
            <v>0</v>
          </cell>
          <cell r="M197">
            <v>0</v>
          </cell>
        </row>
        <row r="198">
          <cell r="L198">
            <v>0</v>
          </cell>
          <cell r="M198">
            <v>0</v>
          </cell>
        </row>
        <row r="199">
          <cell r="L199">
            <v>0</v>
          </cell>
          <cell r="M199">
            <v>0</v>
          </cell>
        </row>
        <row r="200">
          <cell r="L200">
            <v>0</v>
          </cell>
          <cell r="M200">
            <v>0</v>
          </cell>
        </row>
        <row r="201">
          <cell r="L201">
            <v>0</v>
          </cell>
          <cell r="M201">
            <v>0</v>
          </cell>
        </row>
        <row r="202">
          <cell r="L202">
            <v>0</v>
          </cell>
          <cell r="M202">
            <v>0</v>
          </cell>
        </row>
        <row r="203">
          <cell r="L203">
            <v>0</v>
          </cell>
          <cell r="M203">
            <v>0</v>
          </cell>
        </row>
        <row r="204">
          <cell r="L204">
            <v>0</v>
          </cell>
          <cell r="M204">
            <v>0</v>
          </cell>
        </row>
        <row r="205">
          <cell r="L205">
            <v>0</v>
          </cell>
          <cell r="M205">
            <v>0</v>
          </cell>
        </row>
        <row r="206">
          <cell r="L206">
            <v>0</v>
          </cell>
          <cell r="M206">
            <v>0</v>
          </cell>
        </row>
        <row r="207">
          <cell r="L207">
            <v>0</v>
          </cell>
          <cell r="M207">
            <v>0</v>
          </cell>
        </row>
        <row r="208">
          <cell r="L208">
            <v>0</v>
          </cell>
          <cell r="M208">
            <v>0</v>
          </cell>
        </row>
        <row r="209">
          <cell r="L209">
            <v>0</v>
          </cell>
          <cell r="M209">
            <v>0</v>
          </cell>
        </row>
        <row r="210">
          <cell r="L210">
            <v>0</v>
          </cell>
          <cell r="M210">
            <v>0</v>
          </cell>
        </row>
        <row r="211">
          <cell r="L211">
            <v>0</v>
          </cell>
          <cell r="M211">
            <v>0</v>
          </cell>
        </row>
        <row r="212">
          <cell r="L212">
            <v>0</v>
          </cell>
          <cell r="M212">
            <v>0</v>
          </cell>
        </row>
        <row r="213">
          <cell r="L213">
            <v>0</v>
          </cell>
          <cell r="M213">
            <v>0</v>
          </cell>
        </row>
        <row r="214">
          <cell r="L214">
            <v>0</v>
          </cell>
          <cell r="M214">
            <v>0</v>
          </cell>
        </row>
        <row r="215">
          <cell r="L215">
            <v>0</v>
          </cell>
          <cell r="M215">
            <v>0</v>
          </cell>
        </row>
        <row r="216">
          <cell r="L216">
            <v>0</v>
          </cell>
          <cell r="M216">
            <v>0</v>
          </cell>
        </row>
        <row r="217">
          <cell r="L217">
            <v>0</v>
          </cell>
          <cell r="M217">
            <v>0</v>
          </cell>
        </row>
        <row r="218">
          <cell r="L218">
            <v>0</v>
          </cell>
          <cell r="M218">
            <v>0</v>
          </cell>
        </row>
        <row r="219">
          <cell r="L219">
            <v>0</v>
          </cell>
          <cell r="M219">
            <v>0</v>
          </cell>
        </row>
        <row r="220">
          <cell r="L220">
            <v>0</v>
          </cell>
          <cell r="M220">
            <v>0</v>
          </cell>
        </row>
        <row r="221">
          <cell r="L221">
            <v>0</v>
          </cell>
          <cell r="M221">
            <v>0</v>
          </cell>
        </row>
        <row r="222">
          <cell r="L222">
            <v>0</v>
          </cell>
          <cell r="M222">
            <v>0</v>
          </cell>
        </row>
        <row r="223">
          <cell r="L223">
            <v>0</v>
          </cell>
          <cell r="M223">
            <v>0</v>
          </cell>
        </row>
        <row r="224">
          <cell r="L224">
            <v>0</v>
          </cell>
          <cell r="M224">
            <v>0</v>
          </cell>
        </row>
        <row r="225">
          <cell r="L225">
            <v>0</v>
          </cell>
          <cell r="M225">
            <v>0</v>
          </cell>
        </row>
        <row r="226">
          <cell r="L226">
            <v>0</v>
          </cell>
          <cell r="M226">
            <v>0</v>
          </cell>
        </row>
        <row r="227">
          <cell r="L227">
            <v>0</v>
          </cell>
          <cell r="M227">
            <v>0</v>
          </cell>
        </row>
        <row r="228">
          <cell r="L228">
            <v>0</v>
          </cell>
          <cell r="M228">
            <v>0</v>
          </cell>
        </row>
        <row r="229">
          <cell r="L229">
            <v>0</v>
          </cell>
          <cell r="M229">
            <v>0</v>
          </cell>
        </row>
        <row r="230">
          <cell r="L230">
            <v>0</v>
          </cell>
          <cell r="M230">
            <v>0</v>
          </cell>
        </row>
        <row r="231">
          <cell r="L231">
            <v>0</v>
          </cell>
          <cell r="M231">
            <v>0</v>
          </cell>
        </row>
        <row r="232">
          <cell r="L232">
            <v>0</v>
          </cell>
          <cell r="M232">
            <v>0</v>
          </cell>
        </row>
        <row r="233">
          <cell r="L233">
            <v>0</v>
          </cell>
          <cell r="M233">
            <v>0</v>
          </cell>
        </row>
        <row r="234">
          <cell r="L234">
            <v>0</v>
          </cell>
          <cell r="M234">
            <v>0</v>
          </cell>
        </row>
        <row r="235">
          <cell r="L235">
            <v>0</v>
          </cell>
          <cell r="M235">
            <v>0</v>
          </cell>
        </row>
        <row r="236">
          <cell r="L236">
            <v>0</v>
          </cell>
          <cell r="M236">
            <v>0</v>
          </cell>
        </row>
        <row r="237">
          <cell r="L237">
            <v>0</v>
          </cell>
          <cell r="M237">
            <v>0</v>
          </cell>
        </row>
        <row r="238">
          <cell r="L238">
            <v>0</v>
          </cell>
          <cell r="M238">
            <v>0</v>
          </cell>
        </row>
        <row r="239">
          <cell r="L239">
            <v>0</v>
          </cell>
          <cell r="M239">
            <v>0</v>
          </cell>
        </row>
        <row r="240">
          <cell r="L240">
            <v>0</v>
          </cell>
          <cell r="M240">
            <v>0</v>
          </cell>
        </row>
        <row r="241">
          <cell r="L241">
            <v>0</v>
          </cell>
          <cell r="M241">
            <v>0</v>
          </cell>
        </row>
        <row r="242">
          <cell r="L242">
            <v>0</v>
          </cell>
          <cell r="M242">
            <v>0</v>
          </cell>
        </row>
        <row r="243">
          <cell r="L243">
            <v>0</v>
          </cell>
          <cell r="M243">
            <v>0</v>
          </cell>
        </row>
        <row r="244">
          <cell r="L244">
            <v>0</v>
          </cell>
          <cell r="M244">
            <v>0</v>
          </cell>
        </row>
        <row r="245">
          <cell r="L245">
            <v>0</v>
          </cell>
          <cell r="M245">
            <v>0</v>
          </cell>
        </row>
        <row r="246">
          <cell r="L246">
            <v>0</v>
          </cell>
          <cell r="M246">
            <v>0</v>
          </cell>
        </row>
        <row r="247">
          <cell r="L247">
            <v>0</v>
          </cell>
          <cell r="M247">
            <v>0</v>
          </cell>
        </row>
        <row r="248">
          <cell r="L248">
            <v>0</v>
          </cell>
          <cell r="M248">
            <v>0</v>
          </cell>
        </row>
        <row r="249">
          <cell r="L249">
            <v>0</v>
          </cell>
          <cell r="M249">
            <v>0</v>
          </cell>
        </row>
        <row r="250">
          <cell r="L250">
            <v>0</v>
          </cell>
          <cell r="M250">
            <v>0</v>
          </cell>
        </row>
        <row r="251">
          <cell r="L251">
            <v>0</v>
          </cell>
          <cell r="M251">
            <v>0</v>
          </cell>
        </row>
        <row r="252">
          <cell r="L252">
            <v>0</v>
          </cell>
          <cell r="M252">
            <v>0</v>
          </cell>
        </row>
        <row r="253">
          <cell r="L253">
            <v>0</v>
          </cell>
          <cell r="M253">
            <v>0</v>
          </cell>
        </row>
        <row r="254">
          <cell r="L254">
            <v>0</v>
          </cell>
          <cell r="M254">
            <v>0</v>
          </cell>
        </row>
        <row r="255">
          <cell r="L255">
            <v>0</v>
          </cell>
          <cell r="M255">
            <v>0</v>
          </cell>
        </row>
        <row r="256">
          <cell r="L256">
            <v>0</v>
          </cell>
          <cell r="M256">
            <v>0</v>
          </cell>
        </row>
        <row r="257">
          <cell r="L257">
            <v>0</v>
          </cell>
          <cell r="M257">
            <v>0</v>
          </cell>
        </row>
        <row r="258">
          <cell r="L258">
            <v>0</v>
          </cell>
          <cell r="M258">
            <v>0</v>
          </cell>
        </row>
        <row r="259">
          <cell r="L259">
            <v>0</v>
          </cell>
          <cell r="M259">
            <v>0</v>
          </cell>
        </row>
        <row r="260">
          <cell r="L260">
            <v>0</v>
          </cell>
          <cell r="M260">
            <v>0</v>
          </cell>
        </row>
        <row r="261">
          <cell r="L261">
            <v>0</v>
          </cell>
          <cell r="M261">
            <v>0</v>
          </cell>
        </row>
        <row r="262">
          <cell r="L262">
            <v>0</v>
          </cell>
          <cell r="M262">
            <v>0</v>
          </cell>
        </row>
        <row r="263">
          <cell r="L263">
            <v>0</v>
          </cell>
          <cell r="M263">
            <v>0</v>
          </cell>
        </row>
        <row r="264">
          <cell r="L264">
            <v>0</v>
          </cell>
          <cell r="M264">
            <v>0</v>
          </cell>
        </row>
        <row r="265">
          <cell r="L265">
            <v>0</v>
          </cell>
          <cell r="M265">
            <v>0</v>
          </cell>
        </row>
        <row r="266">
          <cell r="L266">
            <v>0</v>
          </cell>
          <cell r="M266">
            <v>0</v>
          </cell>
        </row>
        <row r="267">
          <cell r="L267">
            <v>0</v>
          </cell>
          <cell r="M267">
            <v>0</v>
          </cell>
        </row>
        <row r="268">
          <cell r="L268">
            <v>0</v>
          </cell>
          <cell r="M268">
            <v>0</v>
          </cell>
        </row>
        <row r="269">
          <cell r="L269">
            <v>0</v>
          </cell>
          <cell r="M269">
            <v>0</v>
          </cell>
        </row>
        <row r="270">
          <cell r="L270">
            <v>0</v>
          </cell>
          <cell r="M270">
            <v>0</v>
          </cell>
        </row>
        <row r="271">
          <cell r="L271">
            <v>0</v>
          </cell>
          <cell r="M271">
            <v>0</v>
          </cell>
        </row>
        <row r="272">
          <cell r="L272">
            <v>0</v>
          </cell>
          <cell r="M272">
            <v>0</v>
          </cell>
        </row>
        <row r="273">
          <cell r="L273">
            <v>0</v>
          </cell>
          <cell r="M273">
            <v>0</v>
          </cell>
        </row>
        <row r="274">
          <cell r="L274">
            <v>0</v>
          </cell>
          <cell r="M274">
            <v>0</v>
          </cell>
        </row>
        <row r="275">
          <cell r="L275">
            <v>0</v>
          </cell>
          <cell r="M275">
            <v>0</v>
          </cell>
        </row>
        <row r="276">
          <cell r="L276">
            <v>0</v>
          </cell>
          <cell r="M276">
            <v>0</v>
          </cell>
        </row>
        <row r="277">
          <cell r="L277">
            <v>0</v>
          </cell>
          <cell r="M277">
            <v>0</v>
          </cell>
        </row>
        <row r="278">
          <cell r="L278">
            <v>0</v>
          </cell>
          <cell r="M278">
            <v>0</v>
          </cell>
        </row>
        <row r="279">
          <cell r="L279">
            <v>0</v>
          </cell>
          <cell r="M279">
            <v>0</v>
          </cell>
        </row>
        <row r="280">
          <cell r="L280">
            <v>0</v>
          </cell>
          <cell r="M280">
            <v>0</v>
          </cell>
        </row>
        <row r="281">
          <cell r="L281">
            <v>0</v>
          </cell>
          <cell r="M281">
            <v>0</v>
          </cell>
        </row>
        <row r="282">
          <cell r="L282">
            <v>0</v>
          </cell>
          <cell r="M282">
            <v>0</v>
          </cell>
        </row>
        <row r="283">
          <cell r="L283">
            <v>0</v>
          </cell>
          <cell r="M283">
            <v>0</v>
          </cell>
        </row>
        <row r="284">
          <cell r="L284">
            <v>0</v>
          </cell>
          <cell r="M284">
            <v>0</v>
          </cell>
        </row>
        <row r="285">
          <cell r="L285">
            <v>0</v>
          </cell>
          <cell r="M285">
            <v>0</v>
          </cell>
        </row>
        <row r="286">
          <cell r="L286">
            <v>0</v>
          </cell>
          <cell r="M286">
            <v>0</v>
          </cell>
        </row>
        <row r="287">
          <cell r="L287">
            <v>0</v>
          </cell>
          <cell r="M287">
            <v>0</v>
          </cell>
        </row>
        <row r="288">
          <cell r="L288">
            <v>0</v>
          </cell>
          <cell r="M288">
            <v>0</v>
          </cell>
        </row>
        <row r="289">
          <cell r="L289">
            <v>0</v>
          </cell>
          <cell r="M289">
            <v>0</v>
          </cell>
        </row>
        <row r="290">
          <cell r="L290">
            <v>0</v>
          </cell>
          <cell r="M290">
            <v>0</v>
          </cell>
        </row>
        <row r="291">
          <cell r="L291">
            <v>0</v>
          </cell>
          <cell r="M291">
            <v>0</v>
          </cell>
        </row>
        <row r="292">
          <cell r="L292">
            <v>0</v>
          </cell>
          <cell r="M292">
            <v>0</v>
          </cell>
        </row>
        <row r="293">
          <cell r="L293">
            <v>0</v>
          </cell>
          <cell r="M293">
            <v>0</v>
          </cell>
        </row>
        <row r="294">
          <cell r="L294">
            <v>0</v>
          </cell>
          <cell r="M294">
            <v>0</v>
          </cell>
        </row>
        <row r="295">
          <cell r="L295">
            <v>0</v>
          </cell>
          <cell r="M295">
            <v>0</v>
          </cell>
        </row>
        <row r="296">
          <cell r="L296">
            <v>0</v>
          </cell>
          <cell r="M296">
            <v>0</v>
          </cell>
        </row>
        <row r="297">
          <cell r="L297">
            <v>0</v>
          </cell>
          <cell r="M297">
            <v>0</v>
          </cell>
        </row>
        <row r="298">
          <cell r="L298">
            <v>0</v>
          </cell>
          <cell r="M298">
            <v>0</v>
          </cell>
        </row>
        <row r="299">
          <cell r="L299">
            <v>0</v>
          </cell>
          <cell r="M299">
            <v>0</v>
          </cell>
        </row>
        <row r="300">
          <cell r="L300">
            <v>0</v>
          </cell>
          <cell r="M300">
            <v>0</v>
          </cell>
        </row>
        <row r="301">
          <cell r="L301">
            <v>0</v>
          </cell>
          <cell r="M301">
            <v>0</v>
          </cell>
        </row>
        <row r="302">
          <cell r="L302">
            <v>0</v>
          </cell>
          <cell r="M302">
            <v>0</v>
          </cell>
        </row>
        <row r="303">
          <cell r="L303">
            <v>0</v>
          </cell>
          <cell r="M303">
            <v>0</v>
          </cell>
        </row>
        <row r="304">
          <cell r="L304">
            <v>0</v>
          </cell>
          <cell r="M304">
            <v>0</v>
          </cell>
        </row>
        <row r="305">
          <cell r="L305">
            <v>0</v>
          </cell>
          <cell r="M305">
            <v>0</v>
          </cell>
        </row>
        <row r="306">
          <cell r="L306">
            <v>0</v>
          </cell>
          <cell r="M306">
            <v>0</v>
          </cell>
        </row>
        <row r="307">
          <cell r="L307">
            <v>0</v>
          </cell>
          <cell r="M307">
            <v>0</v>
          </cell>
        </row>
        <row r="308">
          <cell r="L308">
            <v>0</v>
          </cell>
          <cell r="M308">
            <v>0</v>
          </cell>
        </row>
        <row r="309">
          <cell r="L309">
            <v>0</v>
          </cell>
          <cell r="M309">
            <v>0</v>
          </cell>
        </row>
        <row r="310">
          <cell r="L310">
            <v>0</v>
          </cell>
          <cell r="M310">
            <v>0</v>
          </cell>
        </row>
        <row r="311">
          <cell r="L311">
            <v>0</v>
          </cell>
          <cell r="M311">
            <v>0</v>
          </cell>
        </row>
        <row r="312">
          <cell r="L312">
            <v>0</v>
          </cell>
          <cell r="M312">
            <v>0</v>
          </cell>
        </row>
        <row r="313">
          <cell r="L313">
            <v>0</v>
          </cell>
          <cell r="M313">
            <v>0</v>
          </cell>
        </row>
        <row r="314">
          <cell r="L314">
            <v>0</v>
          </cell>
          <cell r="M314">
            <v>0</v>
          </cell>
        </row>
        <row r="315">
          <cell r="L315">
            <v>0</v>
          </cell>
          <cell r="M315">
            <v>0</v>
          </cell>
        </row>
        <row r="316">
          <cell r="L316">
            <v>0</v>
          </cell>
          <cell r="M316">
            <v>0</v>
          </cell>
        </row>
        <row r="317">
          <cell r="L317">
            <v>0</v>
          </cell>
          <cell r="M317">
            <v>0</v>
          </cell>
        </row>
        <row r="318">
          <cell r="L318">
            <v>0</v>
          </cell>
          <cell r="M318">
            <v>0</v>
          </cell>
        </row>
        <row r="319">
          <cell r="L319">
            <v>0</v>
          </cell>
          <cell r="M319">
            <v>0</v>
          </cell>
        </row>
        <row r="320">
          <cell r="L320">
            <v>0</v>
          </cell>
          <cell r="M320">
            <v>0</v>
          </cell>
        </row>
        <row r="321">
          <cell r="L321">
            <v>0</v>
          </cell>
          <cell r="M321">
            <v>0</v>
          </cell>
        </row>
        <row r="322">
          <cell r="L322">
            <v>0</v>
          </cell>
          <cell r="M322">
            <v>0</v>
          </cell>
        </row>
        <row r="323">
          <cell r="L323">
            <v>0</v>
          </cell>
          <cell r="M323">
            <v>0</v>
          </cell>
        </row>
        <row r="324">
          <cell r="L324">
            <v>0</v>
          </cell>
          <cell r="M324">
            <v>0</v>
          </cell>
        </row>
        <row r="325">
          <cell r="L325">
            <v>0</v>
          </cell>
          <cell r="M325">
            <v>0</v>
          </cell>
        </row>
        <row r="326">
          <cell r="L326">
            <v>0</v>
          </cell>
          <cell r="M326">
            <v>0</v>
          </cell>
        </row>
        <row r="327">
          <cell r="L327">
            <v>0</v>
          </cell>
          <cell r="M327">
            <v>0</v>
          </cell>
        </row>
        <row r="328">
          <cell r="L328">
            <v>0</v>
          </cell>
          <cell r="M328">
            <v>0</v>
          </cell>
        </row>
        <row r="329">
          <cell r="L329">
            <v>0</v>
          </cell>
          <cell r="M329">
            <v>0</v>
          </cell>
        </row>
        <row r="330">
          <cell r="L330">
            <v>0</v>
          </cell>
          <cell r="M330">
            <v>0</v>
          </cell>
        </row>
        <row r="331">
          <cell r="L331">
            <v>0</v>
          </cell>
          <cell r="M331">
            <v>0</v>
          </cell>
        </row>
        <row r="332">
          <cell r="L332">
            <v>0</v>
          </cell>
          <cell r="M332">
            <v>0</v>
          </cell>
        </row>
        <row r="333">
          <cell r="L333">
            <v>0</v>
          </cell>
          <cell r="M333">
            <v>0</v>
          </cell>
        </row>
        <row r="334">
          <cell r="L334">
            <v>0</v>
          </cell>
          <cell r="M334">
            <v>0</v>
          </cell>
        </row>
        <row r="335">
          <cell r="L335">
            <v>0</v>
          </cell>
          <cell r="M335">
            <v>0</v>
          </cell>
        </row>
        <row r="336">
          <cell r="L336">
            <v>0</v>
          </cell>
          <cell r="M336">
            <v>0</v>
          </cell>
        </row>
        <row r="337">
          <cell r="L337">
            <v>0</v>
          </cell>
          <cell r="M337">
            <v>0</v>
          </cell>
        </row>
        <row r="338">
          <cell r="L338">
            <v>0</v>
          </cell>
          <cell r="M338">
            <v>0</v>
          </cell>
        </row>
        <row r="339">
          <cell r="L339">
            <v>0</v>
          </cell>
          <cell r="M339">
            <v>0</v>
          </cell>
        </row>
        <row r="340">
          <cell r="L340">
            <v>0</v>
          </cell>
          <cell r="M340">
            <v>0</v>
          </cell>
        </row>
        <row r="341">
          <cell r="L341">
            <v>0</v>
          </cell>
          <cell r="M341">
            <v>0</v>
          </cell>
        </row>
        <row r="342">
          <cell r="L342">
            <v>0</v>
          </cell>
          <cell r="M342">
            <v>0</v>
          </cell>
        </row>
        <row r="343">
          <cell r="L343">
            <v>0</v>
          </cell>
          <cell r="M343">
            <v>0</v>
          </cell>
        </row>
        <row r="344">
          <cell r="L344">
            <v>0</v>
          </cell>
          <cell r="M344">
            <v>0</v>
          </cell>
        </row>
        <row r="345">
          <cell r="L345">
            <v>0</v>
          </cell>
          <cell r="M345">
            <v>0</v>
          </cell>
        </row>
        <row r="346">
          <cell r="L346">
            <v>0</v>
          </cell>
          <cell r="M346">
            <v>0</v>
          </cell>
        </row>
        <row r="347">
          <cell r="L347">
            <v>0</v>
          </cell>
          <cell r="M347">
            <v>0</v>
          </cell>
        </row>
        <row r="348">
          <cell r="L348">
            <v>0</v>
          </cell>
          <cell r="M348">
            <v>0</v>
          </cell>
        </row>
        <row r="349">
          <cell r="L349">
            <v>0</v>
          </cell>
          <cell r="M349">
            <v>0</v>
          </cell>
        </row>
        <row r="350">
          <cell r="L350">
            <v>0</v>
          </cell>
          <cell r="M350">
            <v>0</v>
          </cell>
        </row>
        <row r="351">
          <cell r="L351">
            <v>0</v>
          </cell>
          <cell r="M351">
            <v>0</v>
          </cell>
        </row>
        <row r="352">
          <cell r="L352">
            <v>0</v>
          </cell>
          <cell r="M352">
            <v>0</v>
          </cell>
        </row>
        <row r="353">
          <cell r="L353">
            <v>0</v>
          </cell>
          <cell r="M353">
            <v>0</v>
          </cell>
        </row>
        <row r="354">
          <cell r="L354">
            <v>0</v>
          </cell>
          <cell r="M354">
            <v>0</v>
          </cell>
        </row>
        <row r="355">
          <cell r="L355">
            <v>0</v>
          </cell>
          <cell r="M355">
            <v>0</v>
          </cell>
        </row>
        <row r="356">
          <cell r="L356">
            <v>0</v>
          </cell>
          <cell r="M356">
            <v>0</v>
          </cell>
        </row>
        <row r="357">
          <cell r="L357">
            <v>0</v>
          </cell>
          <cell r="M357">
            <v>0</v>
          </cell>
        </row>
        <row r="358">
          <cell r="L358">
            <v>0</v>
          </cell>
          <cell r="M358">
            <v>0</v>
          </cell>
        </row>
        <row r="359">
          <cell r="L359">
            <v>0</v>
          </cell>
          <cell r="M359">
            <v>0</v>
          </cell>
        </row>
        <row r="360">
          <cell r="L360">
            <v>0</v>
          </cell>
          <cell r="M360">
            <v>0</v>
          </cell>
        </row>
        <row r="361">
          <cell r="L361">
            <v>0</v>
          </cell>
          <cell r="M361">
            <v>0</v>
          </cell>
        </row>
        <row r="362">
          <cell r="L362">
            <v>0</v>
          </cell>
          <cell r="M362">
            <v>0</v>
          </cell>
        </row>
        <row r="363">
          <cell r="L363">
            <v>0</v>
          </cell>
          <cell r="M363">
            <v>0</v>
          </cell>
        </row>
        <row r="364">
          <cell r="L364">
            <v>0</v>
          </cell>
          <cell r="M364">
            <v>0</v>
          </cell>
        </row>
        <row r="365">
          <cell r="L365">
            <v>0</v>
          </cell>
          <cell r="M365">
            <v>0</v>
          </cell>
        </row>
        <row r="366">
          <cell r="L366">
            <v>0</v>
          </cell>
          <cell r="M366">
            <v>0</v>
          </cell>
        </row>
        <row r="367">
          <cell r="L367">
            <v>0</v>
          </cell>
          <cell r="M367">
            <v>0</v>
          </cell>
        </row>
        <row r="368">
          <cell r="L368">
            <v>0</v>
          </cell>
          <cell r="M368">
            <v>0</v>
          </cell>
        </row>
        <row r="369">
          <cell r="L369">
            <v>0</v>
          </cell>
          <cell r="M369">
            <v>0</v>
          </cell>
        </row>
        <row r="370">
          <cell r="L370">
            <v>0</v>
          </cell>
          <cell r="M370">
            <v>0</v>
          </cell>
        </row>
        <row r="371">
          <cell r="L371">
            <v>0</v>
          </cell>
          <cell r="M371">
            <v>0</v>
          </cell>
        </row>
        <row r="372">
          <cell r="L372">
            <v>0</v>
          </cell>
          <cell r="M372">
            <v>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 refreshError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B26003229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D26004570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T26000385K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D26004144</v>
          </cell>
          <cell r="AP12">
            <v>0</v>
          </cell>
          <cell r="AQ12">
            <v>0</v>
          </cell>
          <cell r="AV12">
            <v>0</v>
          </cell>
        </row>
        <row r="13">
          <cell r="E13" t="str">
            <v>D26004196</v>
          </cell>
          <cell r="AP13">
            <v>0</v>
          </cell>
          <cell r="AQ13">
            <v>0</v>
          </cell>
          <cell r="AV13">
            <v>0</v>
          </cell>
        </row>
        <row r="14">
          <cell r="E14" t="str">
            <v>D26001258</v>
          </cell>
          <cell r="AP14">
            <v>0</v>
          </cell>
          <cell r="AQ14">
            <v>0</v>
          </cell>
          <cell r="AV14">
            <v>9760000</v>
          </cell>
        </row>
        <row r="15">
          <cell r="E15" t="str">
            <v>B26002962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D26003743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D26003913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D26004392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D25013604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B26001775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B26002516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B26002892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D26003118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D26003305</v>
          </cell>
          <cell r="AP24">
            <v>0</v>
          </cell>
          <cell r="AQ24">
            <v>0</v>
          </cell>
          <cell r="AV24">
            <v>0</v>
          </cell>
        </row>
        <row r="25">
          <cell r="E25">
            <v>260022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D26003444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D26004037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B26003922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B26004130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B26000698</v>
          </cell>
          <cell r="AP30">
            <v>0</v>
          </cell>
          <cell r="AQ30">
            <v>0</v>
          </cell>
          <cell r="AV30">
            <v>8000000</v>
          </cell>
        </row>
        <row r="31">
          <cell r="E31" t="str">
            <v>D26003121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D26004673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T25000266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B25013635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B25013636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D25016962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B26002807</v>
          </cell>
          <cell r="AP37">
            <v>0</v>
          </cell>
          <cell r="AQ37">
            <v>0</v>
          </cell>
          <cell r="AV37">
            <v>12300000</v>
          </cell>
        </row>
        <row r="38">
          <cell r="E38" t="str">
            <v>D26002949</v>
          </cell>
          <cell r="AP38">
            <v>0</v>
          </cell>
          <cell r="AQ38">
            <v>0</v>
          </cell>
          <cell r="AV38">
            <v>2960000</v>
          </cell>
        </row>
        <row r="39">
          <cell r="E39" t="str">
            <v>T26000221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T26000334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B26003796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T26000393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T26000394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T26000404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D26005035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R25000092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D26001073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D26001074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D26001142</v>
          </cell>
          <cell r="AP49">
            <v>0</v>
          </cell>
          <cell r="AQ49">
            <v>0</v>
          </cell>
          <cell r="AV49">
            <v>190000000</v>
          </cell>
        </row>
        <row r="50">
          <cell r="E50" t="str">
            <v>D26002954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D26002955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D26003335</v>
          </cell>
          <cell r="AP52">
            <v>0</v>
          </cell>
          <cell r="AQ52">
            <v>0</v>
          </cell>
          <cell r="AV52">
            <v>47400000</v>
          </cell>
        </row>
        <row r="53">
          <cell r="E53" t="str">
            <v>D26004576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D26003212</v>
          </cell>
          <cell r="AP54">
            <v>0</v>
          </cell>
          <cell r="AQ54">
            <v>0</v>
          </cell>
          <cell r="AV54">
            <v>12670000</v>
          </cell>
        </row>
        <row r="55">
          <cell r="E55" t="str">
            <v>D26004989</v>
          </cell>
          <cell r="AP55">
            <v>0</v>
          </cell>
          <cell r="AQ55">
            <v>0</v>
          </cell>
          <cell r="AV55">
            <v>530000</v>
          </cell>
        </row>
        <row r="56">
          <cell r="E56" t="str">
            <v>T26000164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D26003081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D26003101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D26003266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D26003327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D26005048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D26003293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D26003294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D26003940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D26004013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B26003154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D26003796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D26003894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D26004400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D26004406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B26004007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B26004008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D26004771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D26004786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D26004873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B26002420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D26002694</v>
          </cell>
          <cell r="AP77">
            <v>0</v>
          </cell>
          <cell r="AQ77">
            <v>0</v>
          </cell>
          <cell r="AV77">
            <v>0</v>
          </cell>
        </row>
        <row r="78">
          <cell r="E78" t="str">
            <v>D26004702</v>
          </cell>
          <cell r="AP78">
            <v>0</v>
          </cell>
          <cell r="AQ78">
            <v>0</v>
          </cell>
          <cell r="AV78">
            <v>0</v>
          </cell>
        </row>
        <row r="79">
          <cell r="E79" t="str">
            <v>B26002540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B26003942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D26004980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T25001869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D26000099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B26003078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D26003464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B26003426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B26003439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L26000016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D26004351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D26004389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D26004694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D26004695</v>
          </cell>
          <cell r="AP92">
            <v>0</v>
          </cell>
          <cell r="AQ92">
            <v>0</v>
          </cell>
          <cell r="AV92">
            <v>0</v>
          </cell>
        </row>
        <row r="93">
          <cell r="E93" t="str">
            <v>D26004939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D26005040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D26004040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T26000098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D26001603</v>
          </cell>
          <cell r="AP97">
            <v>0</v>
          </cell>
          <cell r="AQ97">
            <v>0</v>
          </cell>
          <cell r="AV97">
            <v>7780000</v>
          </cell>
        </row>
        <row r="98">
          <cell r="E98" t="str">
            <v>B26002030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B26002428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D26002628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B26002916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D26003680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D26003818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D26003819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B26003564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B26003629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D26004489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D26001939</v>
          </cell>
          <cell r="AP108">
            <v>0</v>
          </cell>
          <cell r="AQ108">
            <v>0</v>
          </cell>
          <cell r="AV108">
            <v>33320000</v>
          </cell>
        </row>
        <row r="109">
          <cell r="E109" t="str">
            <v>B26001843</v>
          </cell>
          <cell r="AP109">
            <v>0</v>
          </cell>
          <cell r="AQ109">
            <v>0</v>
          </cell>
          <cell r="AV109">
            <v>1680000</v>
          </cell>
        </row>
        <row r="110">
          <cell r="E110" t="str">
            <v>D26002381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D26002382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D26002720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N26000024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B26003016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B26003017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B26003018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B26003270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D26003598</v>
          </cell>
          <cell r="AP118">
            <v>0</v>
          </cell>
          <cell r="AQ118">
            <v>0</v>
          </cell>
          <cell r="AV118">
            <v>0</v>
          </cell>
        </row>
        <row r="119">
          <cell r="E119" t="str">
            <v>B26003742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B26003748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B26003749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B26003750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 t="str">
            <v>B26003751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D26004342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D26004379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N26000038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B26004095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B26004096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B26004112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B26004113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B26001925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D26003875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D26003876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D26004034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B26003822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B26003935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D26004765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T26000351</v>
          </cell>
          <cell r="AP138">
            <v>0</v>
          </cell>
          <cell r="AQ138">
            <v>0</v>
          </cell>
          <cell r="AV138">
            <v>2800000</v>
          </cell>
        </row>
        <row r="139">
          <cell r="E139" t="str">
            <v>D26004707</v>
          </cell>
          <cell r="AP139">
            <v>0</v>
          </cell>
          <cell r="AQ139">
            <v>0</v>
          </cell>
          <cell r="AV139">
            <v>6462000</v>
          </cell>
        </row>
        <row r="140">
          <cell r="E140" t="str">
            <v>D26001706</v>
          </cell>
          <cell r="AP140">
            <v>0</v>
          </cell>
          <cell r="AQ140">
            <v>0</v>
          </cell>
          <cell r="AV140">
            <v>8190000</v>
          </cell>
        </row>
        <row r="141">
          <cell r="E141" t="str">
            <v>D26002751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B26002698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D26003051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D26004041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D26000074</v>
          </cell>
          <cell r="AP145">
            <v>0</v>
          </cell>
          <cell r="AQ145">
            <v>0</v>
          </cell>
          <cell r="AV145">
            <v>76125000</v>
          </cell>
        </row>
        <row r="146">
          <cell r="E146" t="str">
            <v>D26000109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D26000207</v>
          </cell>
          <cell r="AP147">
            <v>0</v>
          </cell>
          <cell r="AQ147">
            <v>0</v>
          </cell>
          <cell r="AV147">
            <v>57000000</v>
          </cell>
        </row>
        <row r="148">
          <cell r="E148" t="str">
            <v>B26000766</v>
          </cell>
          <cell r="AP148">
            <v>0</v>
          </cell>
          <cell r="AQ148">
            <v>0</v>
          </cell>
          <cell r="AV148">
            <v>20400000</v>
          </cell>
        </row>
        <row r="149">
          <cell r="E149" t="str">
            <v>D26001183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B26001162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B26001461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B26001838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B26003614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D26002746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D26004541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B26003887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B26002558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D26003522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B26002799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L23000053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B26002570</v>
          </cell>
          <cell r="AP161">
            <v>0</v>
          </cell>
          <cell r="AQ161">
            <v>0</v>
          </cell>
          <cell r="AV161">
            <v>0</v>
          </cell>
        </row>
        <row r="162">
          <cell r="E162" t="str">
            <v>B26003589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B26003625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B26003766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B26004015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D26004867</v>
          </cell>
          <cell r="AP166">
            <v>0</v>
          </cell>
          <cell r="AQ166">
            <v>0</v>
          </cell>
          <cell r="AV166">
            <v>5880000</v>
          </cell>
        </row>
        <row r="167">
          <cell r="E167" t="str">
            <v>D26001977</v>
          </cell>
          <cell r="AP167">
            <v>0</v>
          </cell>
          <cell r="AQ167">
            <v>0</v>
          </cell>
          <cell r="AV167">
            <v>3000000</v>
          </cell>
        </row>
        <row r="168">
          <cell r="E168" t="str">
            <v>D26002260</v>
          </cell>
          <cell r="AP168">
            <v>0</v>
          </cell>
          <cell r="AQ168">
            <v>0</v>
          </cell>
          <cell r="AV168">
            <v>5700000</v>
          </cell>
        </row>
        <row r="169">
          <cell r="E169" t="str">
            <v>B26002871</v>
          </cell>
          <cell r="AP169">
            <v>0</v>
          </cell>
          <cell r="AQ169">
            <v>0</v>
          </cell>
          <cell r="AV169">
            <v>5055000</v>
          </cell>
        </row>
        <row r="170">
          <cell r="E170" t="str">
            <v>B26003005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B26003346</v>
          </cell>
          <cell r="AP171">
            <v>0</v>
          </cell>
          <cell r="AQ171">
            <v>0</v>
          </cell>
          <cell r="AV171">
            <v>10080000</v>
          </cell>
        </row>
        <row r="172">
          <cell r="E172" t="str">
            <v>B26003429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D26004353</v>
          </cell>
          <cell r="AP173">
            <v>0</v>
          </cell>
          <cell r="AQ173">
            <v>0</v>
          </cell>
          <cell r="AV173">
            <v>6875000</v>
          </cell>
        </row>
        <row r="174">
          <cell r="E174" t="str">
            <v>B26003789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D26004504</v>
          </cell>
          <cell r="AP175">
            <v>0</v>
          </cell>
          <cell r="AQ175">
            <v>0</v>
          </cell>
          <cell r="AV175">
            <v>19200000</v>
          </cell>
        </row>
        <row r="176">
          <cell r="E176" t="str">
            <v>B26003948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D26004571</v>
          </cell>
          <cell r="AP177">
            <v>0</v>
          </cell>
          <cell r="AQ177">
            <v>0</v>
          </cell>
          <cell r="AV177">
            <v>18400000</v>
          </cell>
        </row>
        <row r="178">
          <cell r="E178" t="str">
            <v>D26004676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D26001245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D26001249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D26001321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D26001350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D26001617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B26002292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B26002297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B26002900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B26002976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D26003189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B26003331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B26003332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D26003836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D26003837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D26004211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B26003654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D26004642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B26004065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B26002606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T25000256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D25018076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D25018077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D25018249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D25018249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D25018250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D25018468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D25018526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D25018527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D25018895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D25018895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D25018895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D25019161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D25019167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D25019167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D25019260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D25019260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D25019260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D25019261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D25019262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D25019262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D25019519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D25019519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D25019519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D25019519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D25019520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D25019715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D25019716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D25019716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D26000239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D26000239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D26000240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D26000240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D26000543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D26000544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D26000544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D26000545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D26000545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D26000990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D26000991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D26000991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D26000991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D26000992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D26000992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D26000992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D26001308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D26001308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D26001309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D26001550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D26001550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D26001550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D26001550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D26001551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D26001552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D26001711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D26001712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D26001712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D26001712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D26001713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D26001952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D26001952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D26001952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D26001952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D26001953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D26001953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D26002263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D26002263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D26002264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D26002475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D26002475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D26002669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D26002669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D26002669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D26002670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D26002670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D26002671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D26002671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D26002742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D26002743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D26002930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D26002930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D26002930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D26002930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D26002930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D26002930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D26002931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D26002931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D26002989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D26002989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D26003172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D26003172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D26003172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D26003172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D26003172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D26003172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B26003171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B26003171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B26003172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B26003173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D26003391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D26003391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D26003392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D26003392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D26003393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D26003393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B26003223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B26003223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B26003223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D26003404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D26003404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D26003887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D26003887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D26003887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D26003888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D26003889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D26003889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D26003889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D26003889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D26003890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D26003890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D26004103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D26004103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D26004104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D26004105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D26004105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D26004105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D26004105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D26004105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D26004106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D26004106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D26004163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D26004270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D26004272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D26004273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D26004273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D26004274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D26004274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D26004275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D26004275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D26004275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D26004275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D26004276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D26004276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D26004663</v>
          </cell>
          <cell r="AP341">
            <v>0</v>
          </cell>
          <cell r="AQ341">
            <v>114236000</v>
          </cell>
          <cell r="AV341">
            <v>0</v>
          </cell>
        </row>
        <row r="342">
          <cell r="E342" t="str">
            <v>D26004663</v>
          </cell>
          <cell r="AP342">
            <v>0</v>
          </cell>
          <cell r="AQ342">
            <v>255364000</v>
          </cell>
          <cell r="AV342">
            <v>0</v>
          </cell>
        </row>
        <row r="343">
          <cell r="E343" t="str">
            <v>D26004664</v>
          </cell>
          <cell r="AP343">
            <v>0</v>
          </cell>
          <cell r="AQ343">
            <v>184636000</v>
          </cell>
          <cell r="AV343">
            <v>0</v>
          </cell>
        </row>
        <row r="344">
          <cell r="E344" t="str">
            <v>D26004664</v>
          </cell>
          <cell r="AP344">
            <v>0</v>
          </cell>
          <cell r="AQ344">
            <v>166614000</v>
          </cell>
          <cell r="AV344">
            <v>0</v>
          </cell>
        </row>
        <row r="345">
          <cell r="E345" t="str">
            <v>D26004665</v>
          </cell>
          <cell r="AP345">
            <v>0</v>
          </cell>
          <cell r="AQ345">
            <v>314264000</v>
          </cell>
          <cell r="AV345">
            <v>0</v>
          </cell>
        </row>
        <row r="346">
          <cell r="E346" t="str">
            <v>D26004666</v>
          </cell>
          <cell r="AP346">
            <v>0</v>
          </cell>
          <cell r="AQ346">
            <v>46976000</v>
          </cell>
          <cell r="AV346">
            <v>0</v>
          </cell>
        </row>
        <row r="347">
          <cell r="E347" t="str">
            <v>D26004666</v>
          </cell>
          <cell r="AP347">
            <v>0</v>
          </cell>
          <cell r="AQ347">
            <v>325764000</v>
          </cell>
          <cell r="AV347">
            <v>0</v>
          </cell>
        </row>
        <row r="348">
          <cell r="E348" t="str">
            <v>D26005066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D26005067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D26001075</v>
          </cell>
          <cell r="AP350">
            <v>0</v>
          </cell>
          <cell r="AQ350">
            <v>0</v>
          </cell>
          <cell r="AV350">
            <v>40000000</v>
          </cell>
        </row>
        <row r="351">
          <cell r="E351" t="str">
            <v>D26001150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D26001849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D26001872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D26001904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B26003177</v>
          </cell>
          <cell r="AP355">
            <v>0</v>
          </cell>
          <cell r="AQ355">
            <v>0</v>
          </cell>
          <cell r="AV355">
            <v>1900000</v>
          </cell>
        </row>
        <row r="356">
          <cell r="E356" t="str">
            <v>D26003958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D26004128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D26004282</v>
          </cell>
          <cell r="AP358">
            <v>0</v>
          </cell>
          <cell r="AQ358">
            <v>0</v>
          </cell>
          <cell r="AV358">
            <v>20045000</v>
          </cell>
        </row>
        <row r="359">
          <cell r="E359" t="str">
            <v>D26004838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D26004839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B26004051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D26003288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Z26000794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Z26000897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Z26000902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T26000243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T26000244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B26000646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B26000648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B26001037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B26001038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B26001062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D25016698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C26000269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D26001773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B26001794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B26002720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B26003144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D26003856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B26003869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D26005026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D26002456</v>
          </cell>
          <cell r="AP382">
            <v>0</v>
          </cell>
          <cell r="AQ382">
            <v>0</v>
          </cell>
          <cell r="AV382">
            <v>2000000</v>
          </cell>
        </row>
        <row r="383">
          <cell r="E383" t="str">
            <v>D26002953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B26003110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T26000342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D26004207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D26004783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D25006386</v>
          </cell>
          <cell r="AP388">
            <v>0</v>
          </cell>
          <cell r="AQ388">
            <v>0</v>
          </cell>
          <cell r="AV388">
            <v>0</v>
          </cell>
        </row>
        <row r="389">
          <cell r="E389" t="str">
            <v>D26000905</v>
          </cell>
          <cell r="AP389">
            <v>0</v>
          </cell>
          <cell r="AQ389">
            <v>0</v>
          </cell>
          <cell r="AV389">
            <v>14482500</v>
          </cell>
        </row>
        <row r="390">
          <cell r="E390" t="str">
            <v>B26001177</v>
          </cell>
          <cell r="AP390">
            <v>0</v>
          </cell>
          <cell r="AQ390">
            <v>0</v>
          </cell>
          <cell r="AV390">
            <v>0</v>
          </cell>
        </row>
        <row r="391">
          <cell r="E391" t="str">
            <v>D26001671</v>
          </cell>
          <cell r="AP391">
            <v>0</v>
          </cell>
          <cell r="AQ391">
            <v>0</v>
          </cell>
          <cell r="AV391">
            <v>0</v>
          </cell>
        </row>
        <row r="392">
          <cell r="E392" t="str">
            <v>B26001724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B26002319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B26003256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B26003739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B26003740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B26000334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B26000384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B26000390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B26000860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D26002031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D26002105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D26002145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D26002163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B26002669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D26004430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D26004475</v>
          </cell>
          <cell r="AP407">
            <v>0</v>
          </cell>
          <cell r="AQ407">
            <v>0</v>
          </cell>
          <cell r="AV407">
            <v>0</v>
          </cell>
        </row>
        <row r="408">
          <cell r="E408" t="str">
            <v>D26001757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D26003278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Z26000511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T26000285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Z26000713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B25012277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B26000535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B26001514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B26001516</v>
          </cell>
          <cell r="AP416">
            <v>0</v>
          </cell>
          <cell r="AQ416">
            <v>0</v>
          </cell>
          <cell r="AV416">
            <v>64000000</v>
          </cell>
        </row>
        <row r="417">
          <cell r="E417" t="str">
            <v>B26001549</v>
          </cell>
          <cell r="AP417">
            <v>0</v>
          </cell>
          <cell r="AQ417">
            <v>0</v>
          </cell>
          <cell r="AV417">
            <v>63600000</v>
          </cell>
        </row>
        <row r="418">
          <cell r="E418" t="str">
            <v>D26001806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D26001818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>
            <v>260011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D26002028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D26002057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D26002189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D26002190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B26002541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B26002542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B26002627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B26002628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B26002630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D26002957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D26003262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D26003268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D26003279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D26003296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D26003297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D26003324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D26003331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D26003332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B26003178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D26003711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D26003712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D26003877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D26003909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D26003910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B26003516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D26003994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D26004005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D26004011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D26004447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B26004020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B26004075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D26004914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Z26000359</v>
          </cell>
          <cell r="AP453">
            <v>0</v>
          </cell>
          <cell r="AQ453">
            <v>0</v>
          </cell>
          <cell r="AV453">
            <v>1690000</v>
          </cell>
        </row>
        <row r="454">
          <cell r="E454" t="str">
            <v>Z26000673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Z26000714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D26001473</v>
          </cell>
          <cell r="AP456">
            <v>0</v>
          </cell>
          <cell r="AQ456">
            <v>0</v>
          </cell>
          <cell r="AV456">
            <v>1610000</v>
          </cell>
        </row>
        <row r="457">
          <cell r="E457" t="str">
            <v>D26001474</v>
          </cell>
          <cell r="AP457">
            <v>0</v>
          </cell>
          <cell r="AQ457">
            <v>0</v>
          </cell>
          <cell r="AV457">
            <v>6400000</v>
          </cell>
        </row>
        <row r="458">
          <cell r="E458" t="str">
            <v>B26001423</v>
          </cell>
          <cell r="AP458">
            <v>0</v>
          </cell>
          <cell r="AQ458">
            <v>0</v>
          </cell>
          <cell r="AV458">
            <v>21990000</v>
          </cell>
        </row>
        <row r="459">
          <cell r="E459" t="str">
            <v>D26002590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D26003896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B26003815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D26004535</v>
          </cell>
          <cell r="AP462">
            <v>0</v>
          </cell>
          <cell r="AQ462">
            <v>0</v>
          </cell>
          <cell r="AV462">
            <v>0</v>
          </cell>
        </row>
        <row r="463">
          <cell r="E463" t="str">
            <v>D26004709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D26004882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D26001484</v>
          </cell>
          <cell r="AP465">
            <v>0</v>
          </cell>
          <cell r="AQ465">
            <v>0</v>
          </cell>
          <cell r="AV465">
            <v>14910000</v>
          </cell>
        </row>
        <row r="466">
          <cell r="E466" t="str">
            <v>D26003152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B26003701</v>
          </cell>
          <cell r="AP467">
            <v>0</v>
          </cell>
          <cell r="AQ467">
            <v>0</v>
          </cell>
          <cell r="AV467">
            <v>0</v>
          </cell>
        </row>
        <row r="468">
          <cell r="E468" t="str">
            <v>B26003702</v>
          </cell>
          <cell r="AP468">
            <v>0</v>
          </cell>
          <cell r="AQ468">
            <v>0</v>
          </cell>
          <cell r="AV468">
            <v>0</v>
          </cell>
        </row>
        <row r="469">
          <cell r="E469" t="str">
            <v>C26000252</v>
          </cell>
          <cell r="AP469">
            <v>15</v>
          </cell>
          <cell r="AQ469">
            <v>0</v>
          </cell>
          <cell r="AV469">
            <v>1699985</v>
          </cell>
        </row>
        <row r="470">
          <cell r="E470" t="str">
            <v>C26000267</v>
          </cell>
          <cell r="AP470">
            <v>0</v>
          </cell>
          <cell r="AQ470">
            <v>0</v>
          </cell>
          <cell r="AV470">
            <v>16000000</v>
          </cell>
        </row>
        <row r="471">
          <cell r="E471" t="str">
            <v>R25000117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R25000118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R25000123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R25000137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R25000139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R26000010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R26000011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R26000012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R26000013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D25017747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B26003984</v>
          </cell>
          <cell r="AP481">
            <v>0</v>
          </cell>
          <cell r="AQ481">
            <v>0</v>
          </cell>
          <cell r="AV481">
            <v>1060000</v>
          </cell>
        </row>
        <row r="482">
          <cell r="E482" t="str">
            <v>D26004744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D26004929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T26000376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D26004375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D26004713</v>
          </cell>
          <cell r="AP486">
            <v>0</v>
          </cell>
          <cell r="AQ486">
            <v>0</v>
          </cell>
          <cell r="AV486">
            <v>3900000</v>
          </cell>
        </row>
        <row r="487">
          <cell r="E487" t="str">
            <v>D26004779</v>
          </cell>
          <cell r="AP487">
            <v>0</v>
          </cell>
          <cell r="AQ487">
            <v>0</v>
          </cell>
          <cell r="AV487">
            <v>1560000</v>
          </cell>
        </row>
        <row r="488">
          <cell r="E488" t="str">
            <v>D26003726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B26003521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B26004154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D26003528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D26002458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D26003120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D26003270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D26003434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B26003588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D26004870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B26002556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D26004512</v>
          </cell>
          <cell r="AP499">
            <v>0</v>
          </cell>
          <cell r="AQ499">
            <v>0</v>
          </cell>
          <cell r="AV499">
            <v>3660000</v>
          </cell>
        </row>
        <row r="500">
          <cell r="E500" t="str">
            <v>D26004513</v>
          </cell>
          <cell r="AP500">
            <v>0</v>
          </cell>
          <cell r="AQ500">
            <v>0</v>
          </cell>
          <cell r="AV500">
            <v>876000</v>
          </cell>
        </row>
        <row r="501">
          <cell r="E501" t="str">
            <v>D26005024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B25016541</v>
          </cell>
          <cell r="AP502">
            <v>0</v>
          </cell>
          <cell r="AQ502">
            <v>0</v>
          </cell>
          <cell r="AV502">
            <v>0</v>
          </cell>
        </row>
        <row r="503">
          <cell r="E503" t="str">
            <v>D25019609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B26000809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B26001272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D26002126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D26002127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D26002853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B26003031</v>
          </cell>
          <cell r="AP509">
            <v>0</v>
          </cell>
          <cell r="AQ509">
            <v>0</v>
          </cell>
          <cell r="AV509">
            <v>0</v>
          </cell>
        </row>
        <row r="510">
          <cell r="E510" t="str">
            <v>T26000250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D26004696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B26004084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D26000133</v>
          </cell>
          <cell r="AP513">
            <v>0</v>
          </cell>
          <cell r="AQ513">
            <v>0</v>
          </cell>
          <cell r="AV513">
            <v>12700000</v>
          </cell>
        </row>
        <row r="514">
          <cell r="E514" t="str">
            <v>B26001156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D26002611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D26004650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D26004651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B26001356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B26001361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B26002311</v>
          </cell>
          <cell r="AP520">
            <v>0</v>
          </cell>
          <cell r="AQ520">
            <v>0</v>
          </cell>
          <cell r="AV520">
            <v>0</v>
          </cell>
        </row>
        <row r="521">
          <cell r="E521" t="str">
            <v>D26002519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D26003149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D26003150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D26003179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B26003858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D26004539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D26004540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B26004052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T26000362</v>
          </cell>
          <cell r="AP529">
            <v>0</v>
          </cell>
          <cell r="AQ529">
            <v>0</v>
          </cell>
          <cell r="AV529">
            <v>7000000</v>
          </cell>
        </row>
        <row r="530">
          <cell r="E530" t="str">
            <v>B26002604</v>
          </cell>
          <cell r="AP530">
            <v>0</v>
          </cell>
          <cell r="AQ530">
            <v>0</v>
          </cell>
          <cell r="AV530">
            <v>4200000</v>
          </cell>
        </row>
        <row r="531">
          <cell r="E531" t="str">
            <v>C26000243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B26000138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D26000224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D26000755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D26000858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D26001091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B26001141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B26001288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D26001535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D26001594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D26001609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D26001683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D26001715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D26001857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B26001812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B26001813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B26001918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B26001964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D26002205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D26002400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D26002838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D26002872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D26002948</v>
          </cell>
          <cell r="AP553">
            <v>0</v>
          </cell>
          <cell r="AQ553">
            <v>0</v>
          </cell>
          <cell r="AV553">
            <v>0</v>
          </cell>
        </row>
        <row r="554">
          <cell r="E554" t="str">
            <v>B26002886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D26003223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D26003271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D26003272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B26003774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D26004483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D26004569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D26004584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D26004969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D26005017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D26003298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D26005002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D26003280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D26003281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D26004139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B26002010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B26002013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D26002323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B26002282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D26002478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B26002406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D26002719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D26002792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B26002694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T26000198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D26003006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B26002872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B26002877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B26002950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D26003171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B26003077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D26003238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D26003479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D26003607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T26000333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B26003551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B26003562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D26004325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D26004326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D26004457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B26003866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B26004017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B26004018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B26004006</v>
          </cell>
          <cell r="AP597">
            <v>0</v>
          </cell>
          <cell r="AQ597">
            <v>0</v>
          </cell>
          <cell r="AV597">
            <v>4600000</v>
          </cell>
        </row>
        <row r="598">
          <cell r="E598" t="str">
            <v>B26002567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T26000186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B26003198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B26003199</v>
          </cell>
          <cell r="AP601">
            <v>0</v>
          </cell>
          <cell r="AQ601">
            <v>0</v>
          </cell>
          <cell r="AV601">
            <v>4700000</v>
          </cell>
        </row>
        <row r="602">
          <cell r="E602" t="str">
            <v>B26003211</v>
          </cell>
          <cell r="AP602">
            <v>0</v>
          </cell>
          <cell r="AQ602">
            <v>0</v>
          </cell>
          <cell r="AV602">
            <v>3400000</v>
          </cell>
        </row>
        <row r="603">
          <cell r="E603" t="str">
            <v>B26002532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D26002819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B26003354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D25017245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T25001852k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B26001729</v>
          </cell>
          <cell r="AP608">
            <v>0</v>
          </cell>
          <cell r="AQ608">
            <v>0</v>
          </cell>
          <cell r="AV608">
            <v>6425000</v>
          </cell>
        </row>
        <row r="609">
          <cell r="E609" t="str">
            <v>B26002566</v>
          </cell>
          <cell r="AP609">
            <v>0</v>
          </cell>
          <cell r="AQ609">
            <v>0</v>
          </cell>
          <cell r="AV609">
            <v>4275000</v>
          </cell>
        </row>
        <row r="610">
          <cell r="E610" t="str">
            <v>T26000207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B26003604</v>
          </cell>
          <cell r="AP611">
            <v>0</v>
          </cell>
          <cell r="AQ611">
            <v>0</v>
          </cell>
          <cell r="AV611">
            <v>4700000</v>
          </cell>
        </row>
        <row r="612">
          <cell r="E612" t="str">
            <v>D26004197</v>
          </cell>
          <cell r="AP612">
            <v>0</v>
          </cell>
          <cell r="AQ612">
            <v>0</v>
          </cell>
          <cell r="AV612">
            <v>1900000</v>
          </cell>
        </row>
        <row r="613">
          <cell r="E613" t="str">
            <v>B26003757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B26003951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B26004138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D26005013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T26000415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R26000002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B26003634</v>
          </cell>
          <cell r="AP619">
            <v>0</v>
          </cell>
          <cell r="AQ619">
            <v>0</v>
          </cell>
          <cell r="AV619">
            <v>1600000</v>
          </cell>
        </row>
        <row r="620">
          <cell r="E620" t="str">
            <v>B26003717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B26003761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B26003865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D26004710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D26005038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D26002566</v>
          </cell>
          <cell r="AP625">
            <v>0</v>
          </cell>
          <cell r="AQ625">
            <v>0</v>
          </cell>
          <cell r="AV625">
            <v>5460000</v>
          </cell>
        </row>
        <row r="626">
          <cell r="E626" t="str">
            <v>D26003508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D26003509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B26003845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B26003846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R25000110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R25000112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B26001470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B26002614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D26003061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D26003062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D26003213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D26004865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N26000042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D26000624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D26001160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D26001161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D26001996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D26002101</v>
          </cell>
          <cell r="AP643">
            <v>0</v>
          </cell>
          <cell r="AQ643">
            <v>0</v>
          </cell>
          <cell r="AV643">
            <v>0</v>
          </cell>
        </row>
        <row r="644">
          <cell r="E644" t="str">
            <v>D26002102</v>
          </cell>
          <cell r="AP644">
            <v>0</v>
          </cell>
          <cell r="AQ644">
            <v>0</v>
          </cell>
          <cell r="AV644">
            <v>0</v>
          </cell>
        </row>
        <row r="645">
          <cell r="E645" t="str">
            <v>D26002369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D26002474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B26002896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D26003138</v>
          </cell>
          <cell r="AP648">
            <v>0</v>
          </cell>
          <cell r="AQ648">
            <v>0</v>
          </cell>
          <cell r="AV648">
            <v>0</v>
          </cell>
        </row>
        <row r="649">
          <cell r="E649" t="str">
            <v>D26003301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D26003488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D26003620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D26003882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B26003558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B26003940</v>
          </cell>
          <cell r="AP654">
            <v>0</v>
          </cell>
          <cell r="AQ654">
            <v>0</v>
          </cell>
          <cell r="AV654">
            <v>0</v>
          </cell>
        </row>
        <row r="655">
          <cell r="E655" t="str">
            <v>D26004590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D26004904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D26004905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D26004906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D26001338</v>
          </cell>
          <cell r="AP659">
            <v>0</v>
          </cell>
          <cell r="AQ659">
            <v>0</v>
          </cell>
          <cell r="AV659">
            <v>51750000</v>
          </cell>
        </row>
        <row r="660">
          <cell r="E660" t="str">
            <v>D26004733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D26004778</v>
          </cell>
          <cell r="AP661">
            <v>0</v>
          </cell>
          <cell r="AQ661">
            <v>0</v>
          </cell>
          <cell r="AV661">
            <v>281960000</v>
          </cell>
        </row>
        <row r="662">
          <cell r="E662" t="str">
            <v>D25017231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D26004935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D26002813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B26002975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B26003434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D26003852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D26004510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B26004089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T26000360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D25018813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D25018838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D25019180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D25019218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B25016789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B25016790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D25019273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D25019547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D25019548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D26000094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D26001588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D26001629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D26001673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B26001596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B26001912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D26002087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B26001952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D26002121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D26002137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D26002286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D26002383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D26002879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D26003197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D26003198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D26003203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B26003195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B26003260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D26003829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D26004127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D26004428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D26004429</v>
          </cell>
          <cell r="AP701">
            <v>0</v>
          </cell>
          <cell r="AQ701">
            <v>0</v>
          </cell>
          <cell r="AV701">
            <v>159500000</v>
          </cell>
        </row>
        <row r="702">
          <cell r="E702" t="str">
            <v>D26004469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D26004770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D26004774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D26004861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D26004900</v>
          </cell>
          <cell r="AP706">
            <v>0</v>
          </cell>
          <cell r="AQ706">
            <v>0</v>
          </cell>
          <cell r="AV706">
            <v>0</v>
          </cell>
        </row>
        <row r="707">
          <cell r="E707" t="str">
            <v>T26000389</v>
          </cell>
          <cell r="AP707">
            <v>0</v>
          </cell>
          <cell r="AQ707">
            <v>0</v>
          </cell>
          <cell r="AV707">
            <v>33955000</v>
          </cell>
        </row>
        <row r="708">
          <cell r="E708" t="str">
            <v>D26004678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D26003230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Z26000840</v>
          </cell>
          <cell r="AP710">
            <v>0</v>
          </cell>
          <cell r="AQ710">
            <v>0</v>
          </cell>
          <cell r="AV710">
            <v>8300000</v>
          </cell>
        </row>
        <row r="711">
          <cell r="E711" t="str">
            <v>Z26000914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B26003714</v>
          </cell>
          <cell r="AP712">
            <v>0</v>
          </cell>
          <cell r="AQ712">
            <v>0</v>
          </cell>
          <cell r="AV712">
            <v>2680000</v>
          </cell>
        </row>
        <row r="713">
          <cell r="E713" t="str">
            <v>D26003678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D26004524</v>
          </cell>
          <cell r="AP714">
            <v>0</v>
          </cell>
          <cell r="AQ714">
            <v>0</v>
          </cell>
          <cell r="AV714">
            <v>4560000</v>
          </cell>
        </row>
        <row r="715">
          <cell r="E715" t="str">
            <v>D26004732</v>
          </cell>
          <cell r="AP715">
            <v>0</v>
          </cell>
          <cell r="AQ715">
            <v>0</v>
          </cell>
          <cell r="AV715">
            <v>11250000</v>
          </cell>
        </row>
        <row r="716">
          <cell r="E716" t="str">
            <v>D26004740</v>
          </cell>
          <cell r="AP716">
            <v>0</v>
          </cell>
          <cell r="AQ716">
            <v>0</v>
          </cell>
          <cell r="AV716">
            <v>3500000</v>
          </cell>
        </row>
        <row r="717">
          <cell r="E717" t="str">
            <v>T26000396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B26002202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D26001778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D26003547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D26004083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B26003841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B26003857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D26004595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B26003990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B26004078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D26002603</v>
          </cell>
          <cell r="AP727">
            <v>0</v>
          </cell>
          <cell r="AQ727">
            <v>0</v>
          </cell>
          <cell r="AV727">
            <v>1687500</v>
          </cell>
        </row>
        <row r="728">
          <cell r="E728" t="str">
            <v>D26004701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D26004380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D26004423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D26004573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T26000321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B26003698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B26003805</v>
          </cell>
          <cell r="AP734">
            <v>0</v>
          </cell>
          <cell r="AQ734">
            <v>0</v>
          </cell>
          <cell r="AV734">
            <v>1900000</v>
          </cell>
        </row>
        <row r="735">
          <cell r="E735" t="str">
            <v>D26004437</v>
          </cell>
          <cell r="AP735">
            <v>0</v>
          </cell>
          <cell r="AQ735">
            <v>0</v>
          </cell>
          <cell r="AV735">
            <v>4250000</v>
          </cell>
        </row>
        <row r="736">
          <cell r="E736" t="str">
            <v>T26000371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B26003932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D26004637</v>
          </cell>
          <cell r="AP738">
            <v>0</v>
          </cell>
          <cell r="AQ738">
            <v>0</v>
          </cell>
          <cell r="AV738">
            <v>3720000</v>
          </cell>
        </row>
        <row r="739">
          <cell r="E739" t="str">
            <v>D26004638</v>
          </cell>
          <cell r="AP739">
            <v>0</v>
          </cell>
          <cell r="AQ739">
            <v>0</v>
          </cell>
          <cell r="AV739">
            <v>1920000</v>
          </cell>
        </row>
        <row r="740">
          <cell r="E740" t="str">
            <v>T26000392</v>
          </cell>
          <cell r="AP740">
            <v>0</v>
          </cell>
          <cell r="AQ740">
            <v>0</v>
          </cell>
          <cell r="AV740">
            <v>1900000</v>
          </cell>
        </row>
        <row r="741">
          <cell r="E741" t="str">
            <v>B26003968</v>
          </cell>
          <cell r="AP741">
            <v>0</v>
          </cell>
          <cell r="AQ741">
            <v>0</v>
          </cell>
          <cell r="AV741">
            <v>7440000</v>
          </cell>
        </row>
        <row r="742">
          <cell r="E742" t="str">
            <v>B26003976</v>
          </cell>
          <cell r="AP742">
            <v>0</v>
          </cell>
          <cell r="AQ742">
            <v>0</v>
          </cell>
          <cell r="AV742">
            <v>1205000</v>
          </cell>
        </row>
        <row r="743">
          <cell r="E743" t="str">
            <v>B26003977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D26004738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D26004739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D26004752</v>
          </cell>
          <cell r="AP746">
            <v>0</v>
          </cell>
          <cell r="AQ746">
            <v>0</v>
          </cell>
          <cell r="AV746">
            <v>900000</v>
          </cell>
        </row>
        <row r="747">
          <cell r="E747" t="str">
            <v>T26000400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B26004119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D26004995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D26004999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T26000413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T26000414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D25018463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D25019071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 t="str">
            <v>T25001890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B25016953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D25019632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D25019655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B25017134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B26001260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B26001261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B26001279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D26001464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B26001473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B26001564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B26001654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D26001836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B26001734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D26001865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B26001874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D26002073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B26002068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B26002121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D26002315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D26002342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D26002426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B26002302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D26002479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D26003322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D26003548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D26003554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T26000327K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B26000563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B26000564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B26000717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B26000888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D26000960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D26001019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D26001020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B26002503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B26002504</v>
          </cell>
          <cell r="AP791">
            <v>0</v>
          </cell>
          <cell r="AQ791">
            <v>0</v>
          </cell>
          <cell r="AV791">
            <v>0</v>
          </cell>
        </row>
        <row r="792">
          <cell r="E792" t="str">
            <v>D26002816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B26002739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B26002740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B26002772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B26002808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D26003027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B26003023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D26003986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B26003565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B26003901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B26003902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T26000386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D26004805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D26004819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D26004896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D26004897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D26005007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D26001465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B26002691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B26002778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B26002783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B26003200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D26004036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D26004077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D26004164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D26002253</v>
          </cell>
          <cell r="AP817">
            <v>0</v>
          </cell>
          <cell r="AQ817">
            <v>0</v>
          </cell>
          <cell r="AV817">
            <v>48540000</v>
          </cell>
        </row>
        <row r="818">
          <cell r="E818" t="str">
            <v>D26002970</v>
          </cell>
          <cell r="AP818">
            <v>0</v>
          </cell>
          <cell r="AQ818">
            <v>0</v>
          </cell>
          <cell r="AV818">
            <v>35900000</v>
          </cell>
        </row>
        <row r="819">
          <cell r="E819" t="str">
            <v>B26002836</v>
          </cell>
          <cell r="AP819">
            <v>0</v>
          </cell>
          <cell r="AQ819">
            <v>0</v>
          </cell>
          <cell r="AV819">
            <v>8520000</v>
          </cell>
        </row>
        <row r="820">
          <cell r="E820" t="str">
            <v>D26004977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D26005004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D26005047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B26002834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B26001542</v>
          </cell>
          <cell r="AP824">
            <v>0</v>
          </cell>
          <cell r="AQ824">
            <v>0</v>
          </cell>
          <cell r="AV824">
            <v>2460000</v>
          </cell>
        </row>
        <row r="825">
          <cell r="E825" t="str">
            <v>B26002475</v>
          </cell>
          <cell r="AP825">
            <v>0</v>
          </cell>
          <cell r="AQ825">
            <v>0</v>
          </cell>
          <cell r="AV825">
            <v>1800000</v>
          </cell>
        </row>
        <row r="826">
          <cell r="E826" t="str">
            <v>B26002535</v>
          </cell>
          <cell r="AP826">
            <v>0</v>
          </cell>
          <cell r="AQ826">
            <v>0</v>
          </cell>
          <cell r="AV826">
            <v>5040000</v>
          </cell>
        </row>
        <row r="827">
          <cell r="E827" t="str">
            <v>B26002536</v>
          </cell>
          <cell r="AP827">
            <v>0</v>
          </cell>
          <cell r="AQ827">
            <v>0</v>
          </cell>
          <cell r="AV827">
            <v>1809600</v>
          </cell>
        </row>
        <row r="828">
          <cell r="E828" t="str">
            <v>B26002537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D26003578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D26003980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B26003181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D26003751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D26004574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D26004799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B26003148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B26003221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D26003532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D26003812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D26003988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D26004176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B26003813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B26003957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D26004811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B26004165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D26005029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T26000203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B26003039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B26003089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D26003931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D26004531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D26004532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B26003930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D26004844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D26004845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D26004846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B26004059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D26001498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D26001843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D26002308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D26004490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D26004753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D26004954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B26002195</v>
          </cell>
          <cell r="AP863">
            <v>0</v>
          </cell>
          <cell r="AQ863">
            <v>0</v>
          </cell>
          <cell r="AV863">
            <v>3500000</v>
          </cell>
        </row>
        <row r="864">
          <cell r="E864" t="str">
            <v>B26003165</v>
          </cell>
          <cell r="AP864">
            <v>0</v>
          </cell>
          <cell r="AQ864">
            <v>0</v>
          </cell>
          <cell r="AV864">
            <v>900000</v>
          </cell>
        </row>
        <row r="865">
          <cell r="E865" t="str">
            <v>B26000914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B26001150</v>
          </cell>
          <cell r="AP866">
            <v>0</v>
          </cell>
          <cell r="AQ866">
            <v>0</v>
          </cell>
          <cell r="AV866">
            <v>1950000</v>
          </cell>
        </row>
        <row r="867">
          <cell r="E867" t="str">
            <v>D26001233</v>
          </cell>
          <cell r="AP867">
            <v>0</v>
          </cell>
          <cell r="AQ867">
            <v>0</v>
          </cell>
          <cell r="AV867">
            <v>1660000</v>
          </cell>
        </row>
        <row r="868">
          <cell r="E868">
            <v>260009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B26002303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>
            <v>260015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B26002360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B26002404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D26002577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D26002963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D26003045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B26003147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D26003372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D26003382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B26003263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B26003393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B26003394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B26003499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B26003500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L26000014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D26004033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D26004071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B26003608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B26003609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L26000015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D26004506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D26004892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B26004121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B26003993</v>
          </cell>
          <cell r="AP893">
            <v>0</v>
          </cell>
          <cell r="AQ893">
            <v>0</v>
          </cell>
          <cell r="AV893">
            <v>2420000</v>
          </cell>
        </row>
        <row r="894">
          <cell r="E894" t="str">
            <v>B26003884</v>
          </cell>
          <cell r="AP894">
            <v>0</v>
          </cell>
          <cell r="AQ894">
            <v>0</v>
          </cell>
          <cell r="AV894">
            <v>560000</v>
          </cell>
        </row>
        <row r="895">
          <cell r="E895" t="str">
            <v>T26000274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B26002137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B26002138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B26003230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B26003231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D26003497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B26003400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B26003401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B26003752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D26004775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D26004791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D26001610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D26003764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D25019292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B26001031</v>
          </cell>
          <cell r="AP909">
            <v>7500000</v>
          </cell>
          <cell r="AQ909">
            <v>0</v>
          </cell>
          <cell r="AV909">
            <v>0</v>
          </cell>
        </row>
        <row r="910">
          <cell r="E910" t="str">
            <v>B26002383</v>
          </cell>
          <cell r="AP910">
            <v>7125000</v>
          </cell>
          <cell r="AQ910">
            <v>0</v>
          </cell>
          <cell r="AV910">
            <v>0</v>
          </cell>
        </row>
        <row r="911">
          <cell r="E911" t="str">
            <v>B26002663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 t="str">
            <v>B26002687</v>
          </cell>
          <cell r="AP912">
            <v>0</v>
          </cell>
          <cell r="AQ912">
            <v>0</v>
          </cell>
          <cell r="AV912">
            <v>0</v>
          </cell>
        </row>
        <row r="913">
          <cell r="E913" t="str">
            <v>D26002883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 t="str">
            <v>B26002837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D26003088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D26003124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B26002958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D26003395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D26003453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D26003507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D26003700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D26003756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D26004511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D26005023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D26005046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D26004714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B26002371</v>
          </cell>
          <cell r="AP927">
            <v>500</v>
          </cell>
          <cell r="AQ927">
            <v>0</v>
          </cell>
          <cell r="AV927">
            <v>2762000</v>
          </cell>
        </row>
        <row r="928">
          <cell r="E928" t="str">
            <v>B26002449</v>
          </cell>
          <cell r="AP928">
            <v>0</v>
          </cell>
          <cell r="AQ928">
            <v>0</v>
          </cell>
          <cell r="AV928">
            <v>26400000</v>
          </cell>
        </row>
        <row r="929">
          <cell r="E929" t="str">
            <v>B26002450</v>
          </cell>
          <cell r="AP929">
            <v>0</v>
          </cell>
          <cell r="AQ929">
            <v>0</v>
          </cell>
          <cell r="AV929">
            <v>3190000</v>
          </cell>
        </row>
        <row r="930">
          <cell r="E930" t="str">
            <v>B26002461</v>
          </cell>
          <cell r="AP930">
            <v>0</v>
          </cell>
          <cell r="AQ930">
            <v>0</v>
          </cell>
          <cell r="AV930">
            <v>18480000</v>
          </cell>
        </row>
        <row r="931">
          <cell r="E931" t="str">
            <v>D26002646</v>
          </cell>
          <cell r="AP931">
            <v>0</v>
          </cell>
          <cell r="AQ931">
            <v>0</v>
          </cell>
          <cell r="AV931">
            <v>3460000</v>
          </cell>
        </row>
        <row r="932">
          <cell r="E932" t="str">
            <v>B26002533</v>
          </cell>
          <cell r="AP932">
            <v>0</v>
          </cell>
          <cell r="AQ932">
            <v>0</v>
          </cell>
          <cell r="AV932">
            <v>5400000</v>
          </cell>
        </row>
        <row r="933">
          <cell r="E933" t="str">
            <v>B26002603</v>
          </cell>
          <cell r="AP933">
            <v>0</v>
          </cell>
          <cell r="AQ933">
            <v>0</v>
          </cell>
          <cell r="AV933">
            <v>6920000</v>
          </cell>
        </row>
        <row r="934">
          <cell r="E934" t="str">
            <v>B26003176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D26003399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B26003246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D26003504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B26003329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D26003738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D26003906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D26003908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B26003511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B26003518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D26004027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B26003545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D26004148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B26003638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D26004206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D26004225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B26003664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B26003720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D26004404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D26004777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D26004790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B26004103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B26004104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D26005034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D26005036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B25017070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D26000070</v>
          </cell>
          <cell r="AP960">
            <v>0</v>
          </cell>
          <cell r="AQ960">
            <v>0</v>
          </cell>
          <cell r="AV960">
            <v>5600000</v>
          </cell>
        </row>
        <row r="961">
          <cell r="E961" t="str">
            <v>B26000391</v>
          </cell>
          <cell r="AP961">
            <v>0</v>
          </cell>
          <cell r="AQ961">
            <v>0</v>
          </cell>
          <cell r="AV961">
            <v>8090000</v>
          </cell>
        </row>
        <row r="962">
          <cell r="E962" t="str">
            <v>B26000720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B26000748</v>
          </cell>
          <cell r="AP963">
            <v>0</v>
          </cell>
          <cell r="AQ963">
            <v>0</v>
          </cell>
          <cell r="AV963">
            <v>2860000</v>
          </cell>
        </row>
        <row r="964">
          <cell r="E964" t="str">
            <v>B26000776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B26000866</v>
          </cell>
          <cell r="AP965">
            <v>0</v>
          </cell>
          <cell r="AQ965">
            <v>0</v>
          </cell>
          <cell r="AV965">
            <v>2780000</v>
          </cell>
        </row>
        <row r="966">
          <cell r="E966" t="str">
            <v>D26000946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B26001227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B26001240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B26001285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D26001403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B26001463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D26001691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B26001656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D26001780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B26001768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B26002104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B26002132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D26002239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B26002621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B26002622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D26002863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D26002987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D26003020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D26003483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D26003501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D26003536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D26004022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D26004023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D26004031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B26003706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B26003707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D26004672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B26003216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D26002230</v>
          </cell>
          <cell r="AP994">
            <v>0</v>
          </cell>
          <cell r="AQ994">
            <v>0</v>
          </cell>
          <cell r="AV994">
            <v>2360000</v>
          </cell>
        </row>
        <row r="995">
          <cell r="E995" t="str">
            <v>D26002558</v>
          </cell>
          <cell r="AP995">
            <v>0</v>
          </cell>
          <cell r="AQ995">
            <v>0</v>
          </cell>
          <cell r="AV995">
            <v>1280000</v>
          </cell>
        </row>
        <row r="996">
          <cell r="E996" t="str">
            <v>B26003602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D26004425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B26001103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D25017712</v>
          </cell>
          <cell r="AP999">
            <v>0</v>
          </cell>
          <cell r="AQ999">
            <v>0</v>
          </cell>
          <cell r="AV999">
            <v>4995000</v>
          </cell>
        </row>
        <row r="1000">
          <cell r="E1000" t="str">
            <v>B26000012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B26000534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B26000987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B26001168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D26003468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D26004917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D26005030</v>
          </cell>
          <cell r="AP1006">
            <v>0</v>
          </cell>
          <cell r="AQ1006">
            <v>0</v>
          </cell>
          <cell r="AV1006">
            <v>9200000</v>
          </cell>
        </row>
        <row r="1007">
          <cell r="E1007" t="str">
            <v>B26002322</v>
          </cell>
          <cell r="AP1007">
            <v>0</v>
          </cell>
          <cell r="AQ1007">
            <v>0</v>
          </cell>
          <cell r="AV1007">
            <v>7900000</v>
          </cell>
        </row>
        <row r="1008">
          <cell r="E1008" t="str">
            <v>B26002500</v>
          </cell>
          <cell r="AP1008">
            <v>0</v>
          </cell>
          <cell r="AQ1008">
            <v>0</v>
          </cell>
          <cell r="AV1008">
            <v>1380000</v>
          </cell>
        </row>
        <row r="1009">
          <cell r="E1009" t="str">
            <v>D26003828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B26003680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B26003762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D26005011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D26004921 TF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B26004019</v>
          </cell>
          <cell r="AP1014">
            <v>0</v>
          </cell>
          <cell r="AQ1014">
            <v>0</v>
          </cell>
          <cell r="AV1014">
            <v>9120000</v>
          </cell>
        </row>
        <row r="1015">
          <cell r="E1015" t="str">
            <v>B26002116</v>
          </cell>
          <cell r="AP1015">
            <v>0</v>
          </cell>
          <cell r="AQ1015">
            <v>0</v>
          </cell>
          <cell r="AV1015">
            <v>13800000</v>
          </cell>
        </row>
        <row r="1016">
          <cell r="E1016" t="str">
            <v>B26002117</v>
          </cell>
          <cell r="AP1016">
            <v>0</v>
          </cell>
          <cell r="AQ1016">
            <v>0</v>
          </cell>
          <cell r="AV1016">
            <v>20792500</v>
          </cell>
        </row>
        <row r="1017">
          <cell r="E1017" t="str">
            <v>B26002118</v>
          </cell>
          <cell r="AP1017">
            <v>0</v>
          </cell>
          <cell r="AQ1017">
            <v>0</v>
          </cell>
          <cell r="AV1017">
            <v>9570000</v>
          </cell>
        </row>
        <row r="1018">
          <cell r="E1018" t="str">
            <v>B26002476</v>
          </cell>
          <cell r="AP1018">
            <v>0</v>
          </cell>
          <cell r="AQ1018">
            <v>0</v>
          </cell>
          <cell r="AV1018">
            <v>3060000</v>
          </cell>
        </row>
        <row r="1019">
          <cell r="E1019" t="str">
            <v>D26002772</v>
          </cell>
          <cell r="AP1019">
            <v>0</v>
          </cell>
          <cell r="AQ1019">
            <v>0</v>
          </cell>
          <cell r="AV1019">
            <v>19580000</v>
          </cell>
        </row>
        <row r="1020">
          <cell r="E1020" t="str">
            <v>D26002773</v>
          </cell>
          <cell r="AP1020">
            <v>0</v>
          </cell>
          <cell r="AQ1020">
            <v>0</v>
          </cell>
          <cell r="AV1020">
            <v>11400000</v>
          </cell>
        </row>
        <row r="1021">
          <cell r="E1021" t="str">
            <v>B26002682</v>
          </cell>
          <cell r="AP1021">
            <v>0</v>
          </cell>
          <cell r="AQ1021">
            <v>0</v>
          </cell>
          <cell r="AV1021">
            <v>2250000</v>
          </cell>
        </row>
        <row r="1022">
          <cell r="E1022" t="str">
            <v>D26002934</v>
          </cell>
          <cell r="AP1022">
            <v>0</v>
          </cell>
          <cell r="AQ1022">
            <v>0</v>
          </cell>
          <cell r="AV1022">
            <v>2375000</v>
          </cell>
        </row>
        <row r="1023">
          <cell r="E1023" t="str">
            <v>B26002971</v>
          </cell>
          <cell r="AP1023">
            <v>0</v>
          </cell>
          <cell r="AQ1023">
            <v>0</v>
          </cell>
          <cell r="AV1023">
            <v>14875000</v>
          </cell>
        </row>
        <row r="1024">
          <cell r="E1024" t="str">
            <v>B26003168</v>
          </cell>
          <cell r="AP1024">
            <v>0</v>
          </cell>
          <cell r="AQ1024">
            <v>0</v>
          </cell>
          <cell r="AV1024">
            <v>21510000</v>
          </cell>
        </row>
        <row r="1025">
          <cell r="E1025" t="str">
            <v>B26003169</v>
          </cell>
          <cell r="AP1025">
            <v>0</v>
          </cell>
          <cell r="AQ1025">
            <v>0</v>
          </cell>
          <cell r="AV1025">
            <v>2300000</v>
          </cell>
        </row>
        <row r="1026">
          <cell r="E1026" t="str">
            <v>B26003170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L26000012</v>
          </cell>
          <cell r="AP1027">
            <v>0</v>
          </cell>
          <cell r="AQ1027">
            <v>0</v>
          </cell>
          <cell r="AV1027">
            <v>840000</v>
          </cell>
        </row>
        <row r="1028">
          <cell r="E1028" t="str">
            <v>D26003577</v>
          </cell>
          <cell r="AP1028">
            <v>0</v>
          </cell>
          <cell r="AQ1028">
            <v>0</v>
          </cell>
          <cell r="AV1028">
            <v>2250000</v>
          </cell>
        </row>
        <row r="1029">
          <cell r="E1029" t="str">
            <v>B26003470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B26003471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B26003474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D26004044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B26003619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B26003908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B26003909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B26003910</v>
          </cell>
          <cell r="AP1036">
            <v>0</v>
          </cell>
          <cell r="AQ1036">
            <v>0</v>
          </cell>
          <cell r="AV1036">
            <v>5880000</v>
          </cell>
        </row>
        <row r="1037">
          <cell r="E1037" t="str">
            <v>B26003911</v>
          </cell>
          <cell r="AP1037">
            <v>0</v>
          </cell>
          <cell r="AQ1037">
            <v>0</v>
          </cell>
          <cell r="AV1037">
            <v>5500000</v>
          </cell>
        </row>
        <row r="1038">
          <cell r="E1038" t="str">
            <v>B26003912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D26004766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B25009852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D26000095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B26000435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B26000767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D26001251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D26001556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D26001557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D26002538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T25001794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D26003163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B26001795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B26001820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D26003633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T26000297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T26000378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D26003857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D26003862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N26000033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D26003573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D26004699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>
            <v>260020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B26003010</v>
          </cell>
          <cell r="AP1061">
            <v>0</v>
          </cell>
          <cell r="AQ1061">
            <v>0</v>
          </cell>
          <cell r="AV1061">
            <v>1730000</v>
          </cell>
        </row>
        <row r="1062">
          <cell r="E1062" t="str">
            <v>B26003991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C26000253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C26000254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B26004171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D25019205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D26001869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D26003782</v>
          </cell>
          <cell r="AP1068">
            <v>0</v>
          </cell>
          <cell r="AQ1068">
            <v>0</v>
          </cell>
          <cell r="AV1068">
            <v>474000000</v>
          </cell>
        </row>
        <row r="1069">
          <cell r="E1069" t="str">
            <v>D26004063</v>
          </cell>
          <cell r="AP1069">
            <v>0</v>
          </cell>
          <cell r="AQ1069">
            <v>0</v>
          </cell>
          <cell r="AV1069">
            <v>200000000</v>
          </cell>
        </row>
        <row r="1070">
          <cell r="E1070" t="str">
            <v>D26004065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D26004172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D26004408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D26004421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D26004422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D26004530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D26004591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D26004816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D26004879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B26004142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T26000148</v>
          </cell>
          <cell r="AP1080">
            <v>0</v>
          </cell>
          <cell r="AQ1080">
            <v>0</v>
          </cell>
          <cell r="AV1080">
            <v>2000000</v>
          </cell>
        </row>
        <row r="1081">
          <cell r="E1081" t="str">
            <v>T26000171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B26002930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B26003797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B26003850</v>
          </cell>
          <cell r="AP1084">
            <v>0</v>
          </cell>
          <cell r="AQ1084">
            <v>0</v>
          </cell>
          <cell r="AV1084">
            <v>0</v>
          </cell>
        </row>
        <row r="1085">
          <cell r="E1085" t="str">
            <v>B26003851</v>
          </cell>
          <cell r="AP1085">
            <v>0</v>
          </cell>
          <cell r="AQ1085">
            <v>0</v>
          </cell>
          <cell r="AV1085">
            <v>0</v>
          </cell>
        </row>
        <row r="1086">
          <cell r="E1086" t="str">
            <v>B26001307</v>
          </cell>
          <cell r="AP1086">
            <v>0</v>
          </cell>
          <cell r="AQ1086">
            <v>0</v>
          </cell>
          <cell r="AV1086">
            <v>13270000</v>
          </cell>
        </row>
        <row r="1087">
          <cell r="E1087" t="str">
            <v>B26004086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D26002713</v>
          </cell>
          <cell r="AP1088">
            <v>0</v>
          </cell>
          <cell r="AQ1088">
            <v>0</v>
          </cell>
          <cell r="AV1088">
            <v>5732000</v>
          </cell>
        </row>
        <row r="1089">
          <cell r="E1089" t="str">
            <v>D26002714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T24001625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D24017664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T25001722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D25019599</v>
          </cell>
          <cell r="AP1093">
            <v>0</v>
          </cell>
          <cell r="AQ1093">
            <v>0</v>
          </cell>
          <cell r="AV1093">
            <v>11470000</v>
          </cell>
        </row>
        <row r="1094">
          <cell r="E1094" t="str">
            <v>D26000152</v>
          </cell>
          <cell r="AP1094">
            <v>0</v>
          </cell>
          <cell r="AQ1094">
            <v>0</v>
          </cell>
          <cell r="AV1094">
            <v>161530000</v>
          </cell>
        </row>
        <row r="1095">
          <cell r="E1095" t="str">
            <v>D26000153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D26000257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D26000590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B26000573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D26000830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B26000819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B26000881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D26000937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T26000065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D26001210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B26001129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D26001333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D26001437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D26001533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D26001636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T26000104</v>
          </cell>
          <cell r="AP1110">
            <v>0</v>
          </cell>
          <cell r="AQ1110">
            <v>0</v>
          </cell>
          <cell r="AV1110">
            <v>0</v>
          </cell>
        </row>
        <row r="1111">
          <cell r="E1111" t="str">
            <v>B26001741</v>
          </cell>
          <cell r="AP1111">
            <v>0</v>
          </cell>
          <cell r="AQ1111">
            <v>0</v>
          </cell>
          <cell r="AV1111">
            <v>0</v>
          </cell>
        </row>
        <row r="1112">
          <cell r="E1112" t="str">
            <v>D26001845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D26001988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D26002036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D26002142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D26002144</v>
          </cell>
          <cell r="AP1116">
            <v>0</v>
          </cell>
          <cell r="AQ1116">
            <v>0</v>
          </cell>
          <cell r="AV1116">
            <v>0</v>
          </cell>
        </row>
        <row r="1117">
          <cell r="E1117" t="str">
            <v>D26002274</v>
          </cell>
          <cell r="AP1117">
            <v>0</v>
          </cell>
          <cell r="AQ1117">
            <v>0</v>
          </cell>
          <cell r="AV1117">
            <v>0</v>
          </cell>
        </row>
        <row r="1118">
          <cell r="E1118" t="str">
            <v>D26002292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B26002204</v>
          </cell>
          <cell r="AP1119">
            <v>0</v>
          </cell>
          <cell r="AQ1119">
            <v>0</v>
          </cell>
          <cell r="AV1119">
            <v>0</v>
          </cell>
        </row>
        <row r="1120">
          <cell r="E1120" t="str">
            <v>D26002432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D26002662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D26002924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D26002959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D26002978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D26003055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B26002931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D26003308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D26003460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D26003486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D26003538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D26003604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B26003369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D26003855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D26003891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D26004102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D26004267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D26004277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D26004303</v>
          </cell>
          <cell r="AP1138">
            <v>0</v>
          </cell>
          <cell r="AQ1138">
            <v>0</v>
          </cell>
          <cell r="AV1138">
            <v>27000000</v>
          </cell>
        </row>
        <row r="1139">
          <cell r="E1139" t="str">
            <v>D26004343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D26004344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D26004373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B26003803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D26004463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B26003974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D26004760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B26000800</v>
          </cell>
          <cell r="AP1146">
            <v>0</v>
          </cell>
          <cell r="AQ1146">
            <v>0</v>
          </cell>
          <cell r="AV1146">
            <v>6700000</v>
          </cell>
        </row>
        <row r="1147">
          <cell r="E1147" t="str">
            <v>T26000215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B26003832</v>
          </cell>
          <cell r="AP1148">
            <v>0</v>
          </cell>
          <cell r="AQ1148">
            <v>0</v>
          </cell>
          <cell r="AV1148">
            <v>17640000</v>
          </cell>
        </row>
        <row r="1149">
          <cell r="E1149" t="str">
            <v>D26000219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B26001024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B26001427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D26002113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B26003238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B26003310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T26000063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D25018991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B25016636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B25016679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B25016699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D25019570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B26000367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B26000411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B26000490</v>
          </cell>
          <cell r="AP1163">
            <v>0</v>
          </cell>
          <cell r="AQ1163">
            <v>0</v>
          </cell>
          <cell r="AV1163">
            <v>0</v>
          </cell>
        </row>
        <row r="1164">
          <cell r="E1164" t="str">
            <v>B26000588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B26000683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B26000863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D26001139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B26001399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D26001433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D26001490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B26001553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B26001554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D26001765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B26001803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B26001909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B26001929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B26001930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B26002090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Z26000411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Z26000412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Z26000413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Z26000414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Z26000415</v>
          </cell>
          <cell r="AP1183">
            <v>0</v>
          </cell>
          <cell r="AQ1183">
            <v>0</v>
          </cell>
          <cell r="AV1183">
            <v>0</v>
          </cell>
        </row>
        <row r="1184">
          <cell r="E1184" t="str">
            <v>Z26000418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Z26000478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Z26000492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Z26000764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Z26000765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Z26000766</v>
          </cell>
          <cell r="AP1189">
            <v>0</v>
          </cell>
          <cell r="AQ1189">
            <v>0</v>
          </cell>
          <cell r="AV1189">
            <v>100000000</v>
          </cell>
        </row>
        <row r="1190">
          <cell r="E1190" t="str">
            <v>Z26000766</v>
          </cell>
          <cell r="AP1190">
            <v>0</v>
          </cell>
          <cell r="AQ1190">
            <v>0</v>
          </cell>
          <cell r="AV1190">
            <v>35000000</v>
          </cell>
        </row>
        <row r="1191">
          <cell r="E1191" t="str">
            <v>Z26000766</v>
          </cell>
          <cell r="AP1191">
            <v>0</v>
          </cell>
          <cell r="AQ1191">
            <v>0</v>
          </cell>
          <cell r="AV1191">
            <v>100000000</v>
          </cell>
        </row>
        <row r="1192">
          <cell r="E1192" t="str">
            <v>Z26000767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Z26000856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Z26000857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Z26000858</v>
          </cell>
          <cell r="AP1195">
            <v>0</v>
          </cell>
          <cell r="AQ1195">
            <v>0</v>
          </cell>
          <cell r="AV1195">
            <v>0</v>
          </cell>
        </row>
        <row r="1196">
          <cell r="E1196" t="str">
            <v>Z26000862</v>
          </cell>
          <cell r="AP1196">
            <v>0</v>
          </cell>
          <cell r="AQ1196">
            <v>0</v>
          </cell>
          <cell r="AV1196">
            <v>0</v>
          </cell>
        </row>
        <row r="1197">
          <cell r="E1197" t="str">
            <v>Z26000867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Z26000870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Z26000872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Z26000873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 t="str">
            <v>Z26000880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Z26000896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D26001682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D26003068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T26000220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D26004499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B26004155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C26000271</v>
          </cell>
          <cell r="AP1208">
            <v>0</v>
          </cell>
          <cell r="AQ1208">
            <v>0</v>
          </cell>
          <cell r="AV1208">
            <v>1200000</v>
          </cell>
        </row>
        <row r="1209">
          <cell r="E1209" t="str">
            <v>B25014223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D25017624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B25015823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D25018213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Z25003356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D25019620</v>
          </cell>
          <cell r="AP1214">
            <v>0</v>
          </cell>
          <cell r="AQ1214">
            <v>0</v>
          </cell>
          <cell r="AV1214">
            <v>0</v>
          </cell>
        </row>
        <row r="1215">
          <cell r="E1215" t="str">
            <v>Z25003374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Z25003397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B26000429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D26000565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Z26000091</v>
          </cell>
          <cell r="AP1219">
            <v>0</v>
          </cell>
          <cell r="AQ1219">
            <v>0</v>
          </cell>
          <cell r="AV1219">
            <v>0</v>
          </cell>
        </row>
        <row r="1220">
          <cell r="E1220" t="str">
            <v>D26000711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D26000775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D26000776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D26001205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Z26000194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B26001638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D26001751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D26001824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D26001832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B26001738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D26001880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D26001881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D26001882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D26001883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Z26000329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Z26000349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D26002089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D26002192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D26002316</v>
          </cell>
          <cell r="AP1238">
            <v>0</v>
          </cell>
          <cell r="AQ1238">
            <v>0</v>
          </cell>
          <cell r="AV1238">
            <v>0</v>
          </cell>
        </row>
        <row r="1239">
          <cell r="E1239" t="str">
            <v>Z26000466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B26002534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B26002605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D26003226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Z26000807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D26004398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B26002505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B26003618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T26000280K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D26004866</v>
          </cell>
          <cell r="AP1248">
            <v>0</v>
          </cell>
          <cell r="AQ1248">
            <v>0</v>
          </cell>
          <cell r="AV1248">
            <v>3480000</v>
          </cell>
        </row>
        <row r="1249">
          <cell r="E1249" t="str">
            <v>D26003496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D26004792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D26003200</v>
          </cell>
          <cell r="AP1251">
            <v>0</v>
          </cell>
          <cell r="AQ1251">
            <v>0</v>
          </cell>
          <cell r="AV1251">
            <v>2225000</v>
          </cell>
        </row>
        <row r="1252">
          <cell r="E1252" t="str">
            <v>D26003218</v>
          </cell>
          <cell r="AP1252">
            <v>0</v>
          </cell>
          <cell r="AQ1252">
            <v>0</v>
          </cell>
          <cell r="AV1252">
            <v>175000</v>
          </cell>
        </row>
        <row r="1253">
          <cell r="E1253" t="str">
            <v>B26003652</v>
          </cell>
          <cell r="AP1253">
            <v>0</v>
          </cell>
          <cell r="AQ1253">
            <v>0</v>
          </cell>
          <cell r="AV1253">
            <v>5800000</v>
          </cell>
        </row>
        <row r="1254">
          <cell r="E1254" t="str">
            <v>B26004090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D26002887</v>
          </cell>
          <cell r="AP1255">
            <v>0</v>
          </cell>
          <cell r="AQ1255">
            <v>0</v>
          </cell>
          <cell r="AV1255">
            <v>12325000</v>
          </cell>
        </row>
        <row r="1256">
          <cell r="E1256" t="str">
            <v>D26002888</v>
          </cell>
          <cell r="AP1256">
            <v>0</v>
          </cell>
          <cell r="AQ1256">
            <v>0</v>
          </cell>
          <cell r="AV1256">
            <v>6035000</v>
          </cell>
        </row>
        <row r="1257">
          <cell r="E1257" t="str">
            <v>B26002884</v>
          </cell>
          <cell r="AP1257">
            <v>0</v>
          </cell>
          <cell r="AQ1257">
            <v>0</v>
          </cell>
          <cell r="AV1257">
            <v>225000</v>
          </cell>
        </row>
        <row r="1258">
          <cell r="E1258" t="str">
            <v>B26002953</v>
          </cell>
          <cell r="AP1258">
            <v>0</v>
          </cell>
          <cell r="AQ1258">
            <v>0</v>
          </cell>
          <cell r="AV1258">
            <v>3920000</v>
          </cell>
        </row>
        <row r="1259">
          <cell r="E1259" t="str">
            <v>B26003060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D26003323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B26003255</v>
          </cell>
          <cell r="AP1261">
            <v>0</v>
          </cell>
          <cell r="AQ1261">
            <v>0</v>
          </cell>
          <cell r="AV1261">
            <v>0</v>
          </cell>
        </row>
        <row r="1262">
          <cell r="E1262" t="str">
            <v>D26003543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B26003382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B26003385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B26003386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D26004173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D26004174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D26004545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D26004546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D26005062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D26005063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D26005064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T26000403</v>
          </cell>
          <cell r="AP1273">
            <v>0</v>
          </cell>
          <cell r="AQ1273">
            <v>0</v>
          </cell>
          <cell r="AV1273">
            <v>2400000</v>
          </cell>
        </row>
        <row r="1274">
          <cell r="E1274" t="str">
            <v>T26000025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B26003056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D26003873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B26002262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B26003773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B26003934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D26005015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D26003518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B26003408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B26003409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B26004092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B26004093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D26001212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T26000218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B26002907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B26003254</v>
          </cell>
          <cell r="AP1289">
            <v>0</v>
          </cell>
          <cell r="AQ1289">
            <v>0</v>
          </cell>
          <cell r="AV1289">
            <v>4000000</v>
          </cell>
        </row>
        <row r="1290">
          <cell r="E1290" t="str">
            <v>D26003747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B26004088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B26002918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T26000235k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T26000237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B26002358</v>
          </cell>
          <cell r="AP1295">
            <v>0</v>
          </cell>
          <cell r="AQ1295">
            <v>0</v>
          </cell>
          <cell r="AV1295">
            <v>0</v>
          </cell>
        </row>
        <row r="1296">
          <cell r="E1296" t="str">
            <v>T26000189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B26003025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B26003259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D26003601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B26003348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B26003381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L26000013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B26003456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B26003476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D26003923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D26003979</v>
          </cell>
          <cell r="AP1306">
            <v>0</v>
          </cell>
          <cell r="AQ1306">
            <v>0</v>
          </cell>
          <cell r="AV1306">
            <v>0</v>
          </cell>
        </row>
        <row r="1307">
          <cell r="E1307" t="str">
            <v>B26003793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B26003794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D26004876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B26004139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B26000701</v>
          </cell>
          <cell r="AP1311">
            <v>0</v>
          </cell>
          <cell r="AQ1311">
            <v>0</v>
          </cell>
          <cell r="AV1311">
            <v>0</v>
          </cell>
        </row>
        <row r="1312">
          <cell r="E1312" t="str">
            <v>D26000758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B26001359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D26002457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D26002552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B26002879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B26003307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D26003749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D26004317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D26004318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B26003936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B26003937</v>
          </cell>
          <cell r="AP1322">
            <v>0</v>
          </cell>
          <cell r="AQ1322">
            <v>0</v>
          </cell>
          <cell r="AV1322">
            <v>940000</v>
          </cell>
        </row>
        <row r="1323">
          <cell r="E1323" t="str">
            <v>T26000317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D26000237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B26000783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B26001561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D26003097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B26002996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B26003398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D26003783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D26004551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D26004552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D26004818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B26004062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B26004143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D26004928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T25001720K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B25016519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B26000268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D26000737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D26000873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B26000831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B26000872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D26001016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B26001032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B26001047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D26001214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B26001239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D26001742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B26001730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D26001867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B26001840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B26001854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B26001859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T26000139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B26002153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D26002256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B26002228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D26002440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B26002270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B26002324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B26002346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D26002522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D26002622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D26002648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D26002811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D26003032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D26003033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D26003048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T26000231k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B26002959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B26002960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B26002973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D26003187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D26003196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D26003321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B26003123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B26003124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B26003167</v>
          </cell>
          <cell r="AP1379">
            <v>0</v>
          </cell>
          <cell r="AQ1379">
            <v>0</v>
          </cell>
          <cell r="AV1379">
            <v>0</v>
          </cell>
        </row>
        <row r="1380">
          <cell r="E1380" t="str">
            <v>D26003495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D26003512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D26003591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B26003326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D26003634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B26003391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D26003795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D26003799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B26003448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B26003504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D26003959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D26003960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D26003983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B26003542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B26003543</v>
          </cell>
          <cell r="AP1394">
            <v>0</v>
          </cell>
          <cell r="AQ1394">
            <v>0</v>
          </cell>
          <cell r="AV1394">
            <v>0</v>
          </cell>
        </row>
        <row r="1395">
          <cell r="E1395" t="str">
            <v>B26003573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B26003690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B26003730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D26004372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D26004407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D26004466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B26003830</v>
          </cell>
          <cell r="AP1401">
            <v>0</v>
          </cell>
          <cell r="AQ1401">
            <v>0</v>
          </cell>
          <cell r="AV1401">
            <v>9600000</v>
          </cell>
        </row>
        <row r="1402">
          <cell r="E1402" t="str">
            <v>D26004528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D26004529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D26004554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D26004555</v>
          </cell>
          <cell r="AP1405">
            <v>0</v>
          </cell>
          <cell r="AQ1405">
            <v>0</v>
          </cell>
          <cell r="AV1405">
            <v>1890000</v>
          </cell>
        </row>
        <row r="1406">
          <cell r="E1406" t="str">
            <v>D26004561</v>
          </cell>
          <cell r="AP1406">
            <v>0</v>
          </cell>
          <cell r="AQ1406">
            <v>0</v>
          </cell>
          <cell r="AV1406">
            <v>1845000</v>
          </cell>
        </row>
        <row r="1407">
          <cell r="E1407" t="str">
            <v>B26003985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B26003986</v>
          </cell>
          <cell r="AP1408">
            <v>0</v>
          </cell>
          <cell r="AQ1408">
            <v>0</v>
          </cell>
          <cell r="AV1408">
            <v>9600000</v>
          </cell>
        </row>
        <row r="1409">
          <cell r="E1409" t="str">
            <v>B26003987</v>
          </cell>
          <cell r="AP1409">
            <v>0</v>
          </cell>
          <cell r="AQ1409">
            <v>0</v>
          </cell>
          <cell r="AV1409">
            <v>9600000</v>
          </cell>
        </row>
        <row r="1410">
          <cell r="E1410" t="str">
            <v>B26004012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D26004793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D26004794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D26004932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B26004123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B26004124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D26005016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D26005042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D26005060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D26005061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B26003650</v>
          </cell>
          <cell r="AP1420">
            <v>0</v>
          </cell>
          <cell r="AQ1420">
            <v>9860000</v>
          </cell>
          <cell r="AV1420">
            <v>0</v>
          </cell>
        </row>
        <row r="1421">
          <cell r="E1421" t="str">
            <v>B26003650</v>
          </cell>
          <cell r="AP1421">
            <v>0</v>
          </cell>
          <cell r="AQ1421">
            <v>0</v>
          </cell>
          <cell r="AV1421">
            <v>600000</v>
          </cell>
        </row>
        <row r="1422">
          <cell r="E1422" t="str">
            <v>B26003689</v>
          </cell>
          <cell r="AP1422">
            <v>0</v>
          </cell>
          <cell r="AQ1422">
            <v>7410000</v>
          </cell>
          <cell r="AV1422">
            <v>0</v>
          </cell>
        </row>
        <row r="1423">
          <cell r="E1423" t="str">
            <v>B26003697</v>
          </cell>
          <cell r="AP1423">
            <v>0</v>
          </cell>
          <cell r="AQ1423">
            <v>1995000</v>
          </cell>
          <cell r="AV1423">
            <v>0</v>
          </cell>
        </row>
        <row r="1424">
          <cell r="E1424" t="str">
            <v>D26004341</v>
          </cell>
          <cell r="AP1424">
            <v>0</v>
          </cell>
          <cell r="AQ1424">
            <v>1360000</v>
          </cell>
          <cell r="AV1424">
            <v>0</v>
          </cell>
        </row>
        <row r="1425">
          <cell r="E1425" t="str">
            <v>B26003760</v>
          </cell>
          <cell r="AP1425">
            <v>0</v>
          </cell>
          <cell r="AQ1425">
            <v>2375000</v>
          </cell>
          <cell r="AV1425">
            <v>0</v>
          </cell>
        </row>
        <row r="1426">
          <cell r="E1426" t="str">
            <v>D26004723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D26004724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B26004049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B26004050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C26000142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B26002317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T26000348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T26000229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T26000192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D26003242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D26003435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D26004113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D26004219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B26003927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B26003931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D26004588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B26004010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D26004847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D26004910</v>
          </cell>
          <cell r="AP1444">
            <v>0</v>
          </cell>
          <cell r="AQ1444">
            <v>0</v>
          </cell>
          <cell r="AV1444">
            <v>11400000</v>
          </cell>
        </row>
        <row r="1445">
          <cell r="E1445" t="str">
            <v>D26004911</v>
          </cell>
          <cell r="AP1445">
            <v>0</v>
          </cell>
          <cell r="AQ1445">
            <v>0</v>
          </cell>
          <cell r="AV1445">
            <v>3900000</v>
          </cell>
        </row>
        <row r="1446">
          <cell r="E1446" t="str">
            <v>B26003103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B26003135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B26003136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B26003137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B26003139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L26000010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D26003403</v>
          </cell>
          <cell r="AP1452">
            <v>0</v>
          </cell>
          <cell r="AQ1452">
            <v>0</v>
          </cell>
          <cell r="AV1452">
            <v>0</v>
          </cell>
        </row>
        <row r="1453">
          <cell r="E1453" t="str">
            <v>D26003664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D26003665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D26003690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D26004086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D26004087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B26003710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B26003711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B26003712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B26003713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B26003950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D26004582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D26004996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D26004997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B26001901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B26002107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C26000151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D26003586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T26000395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D26004851</v>
          </cell>
          <cell r="AP1471">
            <v>0</v>
          </cell>
          <cell r="AQ1471">
            <v>0</v>
          </cell>
          <cell r="AV1471">
            <v>8200000</v>
          </cell>
        </row>
        <row r="1472">
          <cell r="E1472" t="str">
            <v>B26002062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B26003247</v>
          </cell>
          <cell r="AP1473">
            <v>0</v>
          </cell>
          <cell r="AQ1473">
            <v>0</v>
          </cell>
          <cell r="AV1473">
            <v>0</v>
          </cell>
        </row>
        <row r="1474">
          <cell r="E1474" t="str">
            <v>D26003628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D26002410</v>
          </cell>
          <cell r="AP1475">
            <v>0</v>
          </cell>
          <cell r="AQ1475">
            <v>0</v>
          </cell>
          <cell r="AV1475">
            <v>14850000</v>
          </cell>
        </row>
        <row r="1476">
          <cell r="E1476" t="str">
            <v>D26003732</v>
          </cell>
          <cell r="AP1476">
            <v>0</v>
          </cell>
          <cell r="AQ1476">
            <v>0</v>
          </cell>
          <cell r="AV1476">
            <v>3120000</v>
          </cell>
        </row>
        <row r="1477">
          <cell r="E1477" t="str">
            <v>B26003829</v>
          </cell>
          <cell r="AP1477">
            <v>0</v>
          </cell>
          <cell r="AQ1477">
            <v>0</v>
          </cell>
          <cell r="AV1477">
            <v>15800000</v>
          </cell>
        </row>
        <row r="1478">
          <cell r="E1478" t="str">
            <v>D26004872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D26003527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D26003123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D26003390</v>
          </cell>
          <cell r="AP1481">
            <v>0</v>
          </cell>
          <cell r="AQ1481">
            <v>0</v>
          </cell>
          <cell r="AV1481">
            <v>0</v>
          </cell>
        </row>
        <row r="1482">
          <cell r="E1482" t="str">
            <v>D26004477</v>
          </cell>
          <cell r="AP1482">
            <v>0</v>
          </cell>
          <cell r="AQ1482">
            <v>0</v>
          </cell>
          <cell r="AV1482">
            <v>456000000</v>
          </cell>
        </row>
        <row r="1483">
          <cell r="E1483" t="str">
            <v>B26003924</v>
          </cell>
          <cell r="AP1483">
            <v>0</v>
          </cell>
          <cell r="AQ1483">
            <v>0</v>
          </cell>
          <cell r="AV1483">
            <v>241400000</v>
          </cell>
        </row>
        <row r="1484">
          <cell r="E1484" t="str">
            <v>D26004594</v>
          </cell>
          <cell r="AP1484">
            <v>0</v>
          </cell>
          <cell r="AQ1484">
            <v>0</v>
          </cell>
          <cell r="AV1484">
            <v>457500000</v>
          </cell>
        </row>
        <row r="1485">
          <cell r="E1485" t="str">
            <v>B25005869</v>
          </cell>
          <cell r="AP1485">
            <v>0</v>
          </cell>
          <cell r="AQ1485">
            <v>0</v>
          </cell>
          <cell r="AV1485">
            <v>0</v>
          </cell>
        </row>
        <row r="1486">
          <cell r="E1486" t="str">
            <v>D25010517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D26004505</v>
          </cell>
          <cell r="AP1487">
            <v>0</v>
          </cell>
          <cell r="AQ1487">
            <v>0</v>
          </cell>
          <cell r="AV1487">
            <v>340000</v>
          </cell>
        </row>
        <row r="1488">
          <cell r="E1488" t="str">
            <v>D26002255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D26003104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D26003515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B26002777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D26004864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D25018930</v>
          </cell>
          <cell r="AP1493">
            <v>0</v>
          </cell>
          <cell r="AQ1493">
            <v>0</v>
          </cell>
          <cell r="AV1493">
            <v>103175000</v>
          </cell>
        </row>
        <row r="1494">
          <cell r="E1494" t="str">
            <v>D26004498</v>
          </cell>
          <cell r="AP1494">
            <v>0</v>
          </cell>
          <cell r="AQ1494">
            <v>0</v>
          </cell>
          <cell r="AV1494">
            <v>10350000</v>
          </cell>
        </row>
        <row r="1495">
          <cell r="E1495" t="str">
            <v>D26004735</v>
          </cell>
          <cell r="AP1495">
            <v>0</v>
          </cell>
          <cell r="AQ1495">
            <v>0</v>
          </cell>
          <cell r="AV1495">
            <v>3500000</v>
          </cell>
        </row>
        <row r="1496">
          <cell r="E1496" t="str">
            <v>C26000250</v>
          </cell>
          <cell r="AP1496">
            <v>0</v>
          </cell>
          <cell r="AQ1496">
            <v>0</v>
          </cell>
          <cell r="AV1496">
            <v>783000</v>
          </cell>
        </row>
        <row r="1497">
          <cell r="E1497" t="str">
            <v>C26000251</v>
          </cell>
          <cell r="AP1497">
            <v>0</v>
          </cell>
          <cell r="AQ1497">
            <v>0</v>
          </cell>
          <cell r="AV1497">
            <v>129000</v>
          </cell>
        </row>
        <row r="1498">
          <cell r="E1498" t="str">
            <v>C26000262</v>
          </cell>
          <cell r="AP1498">
            <v>0</v>
          </cell>
          <cell r="AQ1498">
            <v>0</v>
          </cell>
          <cell r="AV1498">
            <v>132000</v>
          </cell>
        </row>
        <row r="1499">
          <cell r="E1499" t="str">
            <v>C26000264</v>
          </cell>
          <cell r="AP1499">
            <v>0</v>
          </cell>
          <cell r="AQ1499">
            <v>0</v>
          </cell>
          <cell r="AV1499">
            <v>1365000</v>
          </cell>
        </row>
        <row r="1500">
          <cell r="E1500" t="str">
            <v>C26000265</v>
          </cell>
          <cell r="AP1500">
            <v>0</v>
          </cell>
          <cell r="AQ1500">
            <v>0</v>
          </cell>
          <cell r="AV1500">
            <v>37000</v>
          </cell>
        </row>
        <row r="1501">
          <cell r="E1501" t="str">
            <v>C26000273</v>
          </cell>
          <cell r="AP1501">
            <v>0</v>
          </cell>
          <cell r="AQ1501">
            <v>0</v>
          </cell>
          <cell r="AV1501">
            <v>1646500</v>
          </cell>
        </row>
        <row r="1502">
          <cell r="E1502" t="str">
            <v>C26000274</v>
          </cell>
          <cell r="AP1502">
            <v>0</v>
          </cell>
          <cell r="AQ1502">
            <v>0</v>
          </cell>
          <cell r="AV1502">
            <v>622000</v>
          </cell>
        </row>
        <row r="1503">
          <cell r="E1503" t="str">
            <v>T26000149K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B26001889</v>
          </cell>
          <cell r="AP1504">
            <v>0</v>
          </cell>
          <cell r="AQ1504">
            <v>0</v>
          </cell>
          <cell r="AV1504">
            <v>1112000</v>
          </cell>
        </row>
        <row r="1505">
          <cell r="E1505" t="str">
            <v>D26002000</v>
          </cell>
          <cell r="AP1505">
            <v>0</v>
          </cell>
          <cell r="AQ1505">
            <v>0</v>
          </cell>
          <cell r="AV1505">
            <v>1175000</v>
          </cell>
        </row>
        <row r="1506">
          <cell r="E1506" t="str">
            <v>B26002156</v>
          </cell>
          <cell r="AP1506">
            <v>0</v>
          </cell>
          <cell r="AQ1506">
            <v>0</v>
          </cell>
          <cell r="AV1506">
            <v>713000</v>
          </cell>
        </row>
        <row r="1507">
          <cell r="E1507" t="str">
            <v>B26002156</v>
          </cell>
          <cell r="AP1507">
            <v>0</v>
          </cell>
          <cell r="AQ1507">
            <v>0</v>
          </cell>
          <cell r="AV1507">
            <v>249000</v>
          </cell>
        </row>
        <row r="1508">
          <cell r="E1508" t="str">
            <v>B26002509</v>
          </cell>
          <cell r="AP1508">
            <v>0</v>
          </cell>
          <cell r="AQ1508">
            <v>0</v>
          </cell>
          <cell r="AV1508">
            <v>1454000</v>
          </cell>
        </row>
        <row r="1509">
          <cell r="E1509" t="str">
            <v>D26002749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D26003092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B26003119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B26003442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D26003885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B26003981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B26003982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B26004030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D26004781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D26001386</v>
          </cell>
          <cell r="AP1518">
            <v>0</v>
          </cell>
          <cell r="AQ1518">
            <v>0</v>
          </cell>
          <cell r="AV1518">
            <v>22893500</v>
          </cell>
        </row>
        <row r="1519">
          <cell r="E1519" t="str">
            <v>D26001392</v>
          </cell>
          <cell r="AP1519">
            <v>0</v>
          </cell>
          <cell r="AQ1519">
            <v>0</v>
          </cell>
          <cell r="AV1519">
            <v>1445550</v>
          </cell>
        </row>
        <row r="1520">
          <cell r="E1520" t="str">
            <v>B26002785</v>
          </cell>
          <cell r="AP1520">
            <v>0</v>
          </cell>
          <cell r="AQ1520">
            <v>0</v>
          </cell>
          <cell r="AV1520">
            <v>17400000</v>
          </cell>
        </row>
        <row r="1521">
          <cell r="E1521" t="str">
            <v>D26003116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B26003356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B26003357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D26003769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D26003806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B26003775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D26004982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D26004983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D26004780</v>
          </cell>
          <cell r="AP1529">
            <v>0</v>
          </cell>
          <cell r="AQ1529">
            <v>0</v>
          </cell>
          <cell r="AV1529">
            <v>13000000</v>
          </cell>
        </row>
        <row r="1530">
          <cell r="E1530" t="str">
            <v>T26000406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B26003890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B26004135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B26004136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Z26000520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Z26000617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Z26000895</v>
          </cell>
          <cell r="AP1536">
            <v>0</v>
          </cell>
          <cell r="AQ1536">
            <v>0</v>
          </cell>
          <cell r="AV1536">
            <v>2025000</v>
          </cell>
        </row>
        <row r="1537">
          <cell r="E1537" t="str">
            <v>D26002848</v>
          </cell>
          <cell r="AP1537">
            <v>0</v>
          </cell>
          <cell r="AQ1537">
            <v>0</v>
          </cell>
          <cell r="AV1537">
            <v>1650000</v>
          </cell>
        </row>
        <row r="1538">
          <cell r="E1538" t="str">
            <v>B26003303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B26003587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D26004509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B26004100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B26002247</v>
          </cell>
          <cell r="AP1542">
            <v>0</v>
          </cell>
          <cell r="AQ1542">
            <v>0</v>
          </cell>
          <cell r="AV1542">
            <v>2450000</v>
          </cell>
        </row>
        <row r="1543">
          <cell r="E1543" t="str">
            <v>B26003611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D26003694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D26003517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T25001533K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T26000086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T25001556K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D26002748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B26004058</v>
          </cell>
          <cell r="AP1550">
            <v>0</v>
          </cell>
          <cell r="AQ1550">
            <v>0</v>
          </cell>
          <cell r="AV1550">
            <v>0</v>
          </cell>
        </row>
        <row r="1551">
          <cell r="E1551" t="str">
            <v>B26001136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B26001590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B26001591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D26002416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B26002645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D26004187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D26004188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B26004056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D26004875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Z26000231</v>
          </cell>
          <cell r="AP1560">
            <v>0</v>
          </cell>
          <cell r="AQ1560">
            <v>0</v>
          </cell>
          <cell r="AV1560">
            <v>20000000</v>
          </cell>
        </row>
        <row r="1561">
          <cell r="E1561" t="str">
            <v>Z26000232</v>
          </cell>
          <cell r="AP1561">
            <v>0</v>
          </cell>
          <cell r="AQ1561">
            <v>0</v>
          </cell>
          <cell r="AV1561">
            <v>6440000</v>
          </cell>
        </row>
        <row r="1562">
          <cell r="E1562" t="str">
            <v>Z26000607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Z26000821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Z26000882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D26003713</v>
          </cell>
          <cell r="AP1565">
            <v>0</v>
          </cell>
          <cell r="AQ1565">
            <v>0</v>
          </cell>
          <cell r="AV1565">
            <v>1500000</v>
          </cell>
        </row>
        <row r="1566">
          <cell r="E1566" t="str">
            <v>D26000810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B26000982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B26000983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B26001042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B26001049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D26001275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D26001314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B26001274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B26001388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B26001410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B26001446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B26001574</v>
          </cell>
          <cell r="AP1577">
            <v>0</v>
          </cell>
          <cell r="AQ1577">
            <v>0</v>
          </cell>
          <cell r="AV1577">
            <v>0</v>
          </cell>
        </row>
        <row r="1578">
          <cell r="E1578" t="str">
            <v>B26001580</v>
          </cell>
          <cell r="AP1578">
            <v>0</v>
          </cell>
          <cell r="AQ1578">
            <v>0</v>
          </cell>
          <cell r="AV1578">
            <v>0</v>
          </cell>
        </row>
        <row r="1579">
          <cell r="E1579" t="str">
            <v>D26001839</v>
          </cell>
          <cell r="AP1579">
            <v>0</v>
          </cell>
          <cell r="AQ1579">
            <v>0</v>
          </cell>
          <cell r="AV1579">
            <v>0</v>
          </cell>
        </row>
        <row r="1580">
          <cell r="E1580" t="str">
            <v>B26001745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D26002091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D26002297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D26002682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D26002683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D26002710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D26002907</v>
          </cell>
          <cell r="AP1586">
            <v>0</v>
          </cell>
          <cell r="AQ1586">
            <v>0</v>
          </cell>
          <cell r="AV1586">
            <v>0</v>
          </cell>
        </row>
        <row r="1587">
          <cell r="E1587" t="str">
            <v>D26002913</v>
          </cell>
          <cell r="AP1587">
            <v>0</v>
          </cell>
          <cell r="AQ1587">
            <v>0</v>
          </cell>
          <cell r="AV1587">
            <v>0</v>
          </cell>
        </row>
        <row r="1588">
          <cell r="E1588" t="str">
            <v>D26002914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B26002910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B26003009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B26003174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D26003593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D26003972</v>
          </cell>
          <cell r="AP1593">
            <v>0</v>
          </cell>
          <cell r="AQ1593">
            <v>0</v>
          </cell>
          <cell r="AV1593">
            <v>0</v>
          </cell>
        </row>
        <row r="1594">
          <cell r="E1594" t="str">
            <v>D26003985</v>
          </cell>
          <cell r="AP1594">
            <v>0</v>
          </cell>
          <cell r="AQ1594">
            <v>0</v>
          </cell>
          <cell r="AV1594">
            <v>0</v>
          </cell>
        </row>
        <row r="1595">
          <cell r="E1595" t="str">
            <v>B26003622</v>
          </cell>
          <cell r="AP1595">
            <v>0</v>
          </cell>
          <cell r="AQ1595">
            <v>0</v>
          </cell>
          <cell r="AV1595">
            <v>0</v>
          </cell>
        </row>
        <row r="1596">
          <cell r="E1596" t="str">
            <v>B26003807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B26003811</v>
          </cell>
          <cell r="AP1597">
            <v>0</v>
          </cell>
          <cell r="AQ1597">
            <v>0</v>
          </cell>
          <cell r="AV1597">
            <v>0</v>
          </cell>
        </row>
        <row r="1598">
          <cell r="E1598" t="str">
            <v>D26004668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B26003983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D26004907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D26004918</v>
          </cell>
          <cell r="AP1601">
            <v>0</v>
          </cell>
          <cell r="AQ1601">
            <v>0</v>
          </cell>
          <cell r="AV1601">
            <v>0</v>
          </cell>
        </row>
        <row r="1602">
          <cell r="E1602" t="str">
            <v>D26004924</v>
          </cell>
          <cell r="AP1602">
            <v>0</v>
          </cell>
          <cell r="AQ1602">
            <v>0</v>
          </cell>
          <cell r="AV1602">
            <v>0</v>
          </cell>
        </row>
        <row r="1603">
          <cell r="E1603" t="str">
            <v>B26003361</v>
          </cell>
          <cell r="AP1603">
            <v>0</v>
          </cell>
          <cell r="AQ1603">
            <v>0</v>
          </cell>
          <cell r="AV1603">
            <v>0</v>
          </cell>
        </row>
        <row r="1604">
          <cell r="E1604" t="str">
            <v>B26003744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B25013215</v>
          </cell>
          <cell r="AP1605">
            <v>0</v>
          </cell>
          <cell r="AQ1605">
            <v>0</v>
          </cell>
          <cell r="AV1605">
            <v>0</v>
          </cell>
        </row>
        <row r="1606">
          <cell r="E1606" t="str">
            <v>B25013285</v>
          </cell>
          <cell r="AP1606">
            <v>0</v>
          </cell>
          <cell r="AQ1606">
            <v>0</v>
          </cell>
          <cell r="AV1606">
            <v>0</v>
          </cell>
        </row>
        <row r="1607">
          <cell r="E1607" t="str">
            <v>D26004801</v>
          </cell>
          <cell r="AP1607">
            <v>0</v>
          </cell>
          <cell r="AQ1607">
            <v>0</v>
          </cell>
          <cell r="AV1607">
            <v>17800000</v>
          </cell>
        </row>
        <row r="1608">
          <cell r="E1608" t="str">
            <v>B25008183</v>
          </cell>
          <cell r="AP1608">
            <v>0</v>
          </cell>
          <cell r="AQ1608">
            <v>0</v>
          </cell>
          <cell r="AV1608">
            <v>0</v>
          </cell>
        </row>
        <row r="1609">
          <cell r="E1609" t="str">
            <v>D26004970</v>
          </cell>
          <cell r="AP1609">
            <v>0</v>
          </cell>
          <cell r="AQ1609">
            <v>0</v>
          </cell>
          <cell r="AV1609">
            <v>1900000</v>
          </cell>
        </row>
        <row r="1610">
          <cell r="E1610" t="str">
            <v>B26001004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D26002404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B26002150</v>
          </cell>
          <cell r="AP1612">
            <v>0</v>
          </cell>
          <cell r="AQ1612">
            <v>0</v>
          </cell>
          <cell r="AV1612">
            <v>1832500</v>
          </cell>
        </row>
        <row r="1613">
          <cell r="E1613" t="str">
            <v>B26003980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B26002728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D26004757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B26002496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B26003241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D26005020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D26005021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D26004517</v>
          </cell>
          <cell r="AP1620">
            <v>0</v>
          </cell>
          <cell r="AQ1620">
            <v>0</v>
          </cell>
          <cell r="AV1620">
            <v>2000000</v>
          </cell>
        </row>
        <row r="1621">
          <cell r="E1621" t="str">
            <v>D26005044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Z26000868</v>
          </cell>
          <cell r="AP1622">
            <v>0</v>
          </cell>
          <cell r="AQ1622">
            <v>0</v>
          </cell>
          <cell r="AV1622">
            <v>13000000</v>
          </cell>
        </row>
        <row r="1623">
          <cell r="E1623" t="str">
            <v>B26003118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D26004321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D26002401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B26000125</v>
          </cell>
          <cell r="AP1626">
            <v>0</v>
          </cell>
          <cell r="AQ1626">
            <v>0</v>
          </cell>
          <cell r="AV1626">
            <v>940000</v>
          </cell>
        </row>
        <row r="1627">
          <cell r="E1627" t="str">
            <v>B26000508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B26001344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D26002160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B26002874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B26003549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D26004185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D26001318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Z26000424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D26000848</v>
          </cell>
          <cell r="AP1635">
            <v>0</v>
          </cell>
          <cell r="AQ1635">
            <v>0</v>
          </cell>
          <cell r="AV1635">
            <v>165295000</v>
          </cell>
        </row>
        <row r="1636">
          <cell r="E1636" t="str">
            <v>B26000811</v>
          </cell>
          <cell r="AP1636">
            <v>0</v>
          </cell>
          <cell r="AQ1636">
            <v>0</v>
          </cell>
          <cell r="AV1636">
            <v>1150000</v>
          </cell>
        </row>
        <row r="1637">
          <cell r="E1637" t="str">
            <v>B26000842</v>
          </cell>
          <cell r="AP1637">
            <v>0</v>
          </cell>
          <cell r="AQ1637">
            <v>0</v>
          </cell>
          <cell r="AV1637">
            <v>109850000</v>
          </cell>
        </row>
        <row r="1638">
          <cell r="E1638" t="str">
            <v>B26000843</v>
          </cell>
          <cell r="AP1638">
            <v>0</v>
          </cell>
          <cell r="AQ1638">
            <v>0</v>
          </cell>
          <cell r="AV1638">
            <v>420000</v>
          </cell>
        </row>
        <row r="1639">
          <cell r="E1639" t="str">
            <v>B26000894</v>
          </cell>
          <cell r="AP1639">
            <v>0</v>
          </cell>
          <cell r="AQ1639">
            <v>0</v>
          </cell>
          <cell r="AV1639">
            <v>142750000</v>
          </cell>
        </row>
        <row r="1640">
          <cell r="E1640" t="str">
            <v>B26000895</v>
          </cell>
          <cell r="AP1640">
            <v>0</v>
          </cell>
          <cell r="AQ1640">
            <v>0</v>
          </cell>
          <cell r="AV1640">
            <v>6750000</v>
          </cell>
        </row>
        <row r="1641">
          <cell r="E1641" t="str">
            <v>B26000907</v>
          </cell>
          <cell r="AP1641">
            <v>0</v>
          </cell>
          <cell r="AQ1641">
            <v>0</v>
          </cell>
          <cell r="AV1641">
            <v>1150000</v>
          </cell>
        </row>
        <row r="1642">
          <cell r="E1642" t="str">
            <v>D26001026</v>
          </cell>
          <cell r="AP1642">
            <v>0</v>
          </cell>
          <cell r="AQ1642">
            <v>0</v>
          </cell>
          <cell r="AV1642">
            <v>3740000</v>
          </cell>
        </row>
        <row r="1643">
          <cell r="E1643" t="str">
            <v>D26001084</v>
          </cell>
          <cell r="AP1643">
            <v>0</v>
          </cell>
          <cell r="AQ1643">
            <v>0</v>
          </cell>
          <cell r="AV1643">
            <v>10080000</v>
          </cell>
        </row>
        <row r="1644">
          <cell r="E1644" t="str">
            <v>B26001113</v>
          </cell>
          <cell r="AP1644">
            <v>0</v>
          </cell>
          <cell r="AQ1644">
            <v>0</v>
          </cell>
          <cell r="AV1644">
            <v>58815000</v>
          </cell>
        </row>
        <row r="1645">
          <cell r="E1645" t="str">
            <v>B26001113</v>
          </cell>
          <cell r="AP1645">
            <v>0</v>
          </cell>
          <cell r="AQ1645">
            <v>0</v>
          </cell>
          <cell r="AV1645">
            <v>76185000</v>
          </cell>
        </row>
        <row r="1646">
          <cell r="E1646" t="str">
            <v>D26001153</v>
          </cell>
          <cell r="AP1646">
            <v>0</v>
          </cell>
          <cell r="AQ1646">
            <v>0</v>
          </cell>
          <cell r="AV1646">
            <v>2700000</v>
          </cell>
        </row>
        <row r="1647">
          <cell r="E1647" t="str">
            <v>D26001171</v>
          </cell>
          <cell r="AP1647">
            <v>0</v>
          </cell>
          <cell r="AQ1647">
            <v>0</v>
          </cell>
          <cell r="AV1647">
            <v>11640000</v>
          </cell>
        </row>
        <row r="1648">
          <cell r="E1648" t="str">
            <v>D26001172</v>
          </cell>
          <cell r="AP1648">
            <v>0</v>
          </cell>
          <cell r="AQ1648">
            <v>0</v>
          </cell>
          <cell r="AV1648">
            <v>4500000</v>
          </cell>
        </row>
        <row r="1649">
          <cell r="E1649" t="str">
            <v>B26001146</v>
          </cell>
          <cell r="AP1649">
            <v>0</v>
          </cell>
          <cell r="AQ1649">
            <v>0</v>
          </cell>
          <cell r="AV1649">
            <v>3000000</v>
          </cell>
        </row>
        <row r="1650">
          <cell r="E1650" t="str">
            <v>D26001224</v>
          </cell>
          <cell r="AP1650">
            <v>0</v>
          </cell>
          <cell r="AQ1650">
            <v>0</v>
          </cell>
          <cell r="AV1650">
            <v>68423200</v>
          </cell>
        </row>
        <row r="1651">
          <cell r="E1651" t="str">
            <v>B26001218</v>
          </cell>
          <cell r="AP1651">
            <v>0</v>
          </cell>
          <cell r="AQ1651">
            <v>0</v>
          </cell>
          <cell r="AV1651">
            <v>420000</v>
          </cell>
        </row>
        <row r="1652">
          <cell r="E1652" t="str">
            <v>B26001219</v>
          </cell>
          <cell r="AP1652">
            <v>0</v>
          </cell>
          <cell r="AQ1652">
            <v>0</v>
          </cell>
          <cell r="AV1652">
            <v>50625000</v>
          </cell>
        </row>
        <row r="1653">
          <cell r="E1653" t="str">
            <v>D26001283</v>
          </cell>
          <cell r="AP1653">
            <v>0</v>
          </cell>
          <cell r="AQ1653">
            <v>0</v>
          </cell>
          <cell r="AV1653">
            <v>6300000</v>
          </cell>
        </row>
        <row r="1654">
          <cell r="E1654" t="str">
            <v>D26001297</v>
          </cell>
          <cell r="AP1654">
            <v>0</v>
          </cell>
          <cell r="AQ1654">
            <v>0</v>
          </cell>
          <cell r="AV1654">
            <v>2100000</v>
          </cell>
        </row>
        <row r="1655">
          <cell r="E1655" t="str">
            <v>B26001238</v>
          </cell>
          <cell r="AP1655">
            <v>0</v>
          </cell>
          <cell r="AQ1655">
            <v>0</v>
          </cell>
          <cell r="AV1655">
            <v>1150000</v>
          </cell>
        </row>
        <row r="1656">
          <cell r="E1656" t="str">
            <v>B26001295</v>
          </cell>
          <cell r="AP1656">
            <v>0</v>
          </cell>
          <cell r="AQ1656">
            <v>0</v>
          </cell>
          <cell r="AV1656">
            <v>2070000</v>
          </cell>
        </row>
        <row r="1657">
          <cell r="E1657" t="str">
            <v>D26001383</v>
          </cell>
          <cell r="AP1657">
            <v>0</v>
          </cell>
          <cell r="AQ1657">
            <v>0</v>
          </cell>
          <cell r="AV1657">
            <v>107170000</v>
          </cell>
        </row>
        <row r="1658">
          <cell r="E1658" t="str">
            <v>D26001466</v>
          </cell>
          <cell r="AP1658">
            <v>0</v>
          </cell>
          <cell r="AQ1658">
            <v>0</v>
          </cell>
          <cell r="AV1658">
            <v>28480000</v>
          </cell>
        </row>
        <row r="1659">
          <cell r="E1659" t="str">
            <v>B26001433</v>
          </cell>
          <cell r="AP1659">
            <v>0</v>
          </cell>
          <cell r="AQ1659">
            <v>0</v>
          </cell>
          <cell r="AV1659">
            <v>38800000</v>
          </cell>
        </row>
        <row r="1660">
          <cell r="E1660" t="str">
            <v>B26001434</v>
          </cell>
          <cell r="AP1660">
            <v>0</v>
          </cell>
          <cell r="AQ1660">
            <v>0</v>
          </cell>
          <cell r="AV1660">
            <v>2768000</v>
          </cell>
        </row>
        <row r="1661">
          <cell r="E1661" t="str">
            <v>B26001459</v>
          </cell>
          <cell r="AP1661">
            <v>0</v>
          </cell>
          <cell r="AQ1661">
            <v>0</v>
          </cell>
          <cell r="AV1661">
            <v>25000000</v>
          </cell>
        </row>
        <row r="1662">
          <cell r="E1662" t="str">
            <v>D26001631</v>
          </cell>
          <cell r="AP1662">
            <v>0</v>
          </cell>
          <cell r="AQ1662">
            <v>0</v>
          </cell>
          <cell r="AV1662">
            <v>9200000</v>
          </cell>
        </row>
        <row r="1663">
          <cell r="E1663" t="str">
            <v>D26001632</v>
          </cell>
          <cell r="AP1663">
            <v>0</v>
          </cell>
          <cell r="AQ1663">
            <v>0</v>
          </cell>
          <cell r="AV1663">
            <v>3000000</v>
          </cell>
        </row>
        <row r="1664">
          <cell r="E1664" t="str">
            <v>D26001684</v>
          </cell>
          <cell r="AP1664">
            <v>0</v>
          </cell>
          <cell r="AQ1664">
            <v>0</v>
          </cell>
          <cell r="AV1664">
            <v>1900000</v>
          </cell>
        </row>
        <row r="1665">
          <cell r="E1665" t="str">
            <v>D26001732</v>
          </cell>
          <cell r="AP1665">
            <v>0</v>
          </cell>
          <cell r="AQ1665">
            <v>0</v>
          </cell>
          <cell r="AV1665">
            <v>24100000</v>
          </cell>
        </row>
        <row r="1666">
          <cell r="E1666" t="str">
            <v>B26001655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B26001670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D26001858</v>
          </cell>
          <cell r="AP1668">
            <v>0</v>
          </cell>
          <cell r="AQ1668">
            <v>0</v>
          </cell>
          <cell r="AV1668">
            <v>0</v>
          </cell>
        </row>
        <row r="1669">
          <cell r="E1669" t="str">
            <v>D26001859</v>
          </cell>
          <cell r="AP1669">
            <v>0</v>
          </cell>
          <cell r="AQ1669">
            <v>0</v>
          </cell>
          <cell r="AV1669">
            <v>0</v>
          </cell>
        </row>
        <row r="1670">
          <cell r="E1670" t="str">
            <v>D26001902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B26001821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B26001822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B26001869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B26001870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D26002052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B26001985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B26001986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B26002054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B26002055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B26002133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B26002134</v>
          </cell>
          <cell r="AP1681">
            <v>0</v>
          </cell>
          <cell r="AQ1681">
            <v>0</v>
          </cell>
          <cell r="AV1681">
            <v>0</v>
          </cell>
        </row>
        <row r="1682">
          <cell r="E1682" t="str">
            <v>D26002277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D26002374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B26002209</v>
          </cell>
          <cell r="AP1684">
            <v>0</v>
          </cell>
          <cell r="AQ1684">
            <v>0</v>
          </cell>
          <cell r="AV1684">
            <v>0</v>
          </cell>
        </row>
        <row r="1685">
          <cell r="E1685" t="str">
            <v>B26002291</v>
          </cell>
          <cell r="AP1685">
            <v>0</v>
          </cell>
          <cell r="AQ1685">
            <v>0</v>
          </cell>
          <cell r="AV1685">
            <v>0</v>
          </cell>
        </row>
        <row r="1686">
          <cell r="E1686" t="str">
            <v>B26002318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B26002327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B26002334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B26002335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D26002656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B26002549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D26002680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D26002736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D26002737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B26002619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B26002620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D26002845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B26002737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B26002738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D26002984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D26002985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D26003050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B26002897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B26002898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B26002965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B26002970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D26003169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B26003000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B26003024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D26003232</v>
          </cell>
          <cell r="AP1710">
            <v>0</v>
          </cell>
          <cell r="AQ1710">
            <v>0</v>
          </cell>
          <cell r="AV1710">
            <v>0</v>
          </cell>
        </row>
        <row r="1711">
          <cell r="E1711" t="str">
            <v>B26003053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B26003096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B26003143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D26003374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D26003428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D26003429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D26003498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D26003499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D26003503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D26003558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D26003559</v>
          </cell>
          <cell r="AP1721">
            <v>0</v>
          </cell>
          <cell r="AQ1721">
            <v>0</v>
          </cell>
          <cell r="AV1721">
            <v>0</v>
          </cell>
        </row>
        <row r="1722">
          <cell r="E1722" t="str">
            <v>D26003627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D26003650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D26003706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B26003435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B26003436</v>
          </cell>
          <cell r="AP1726">
            <v>0</v>
          </cell>
          <cell r="AQ1726">
            <v>0</v>
          </cell>
          <cell r="AV1726">
            <v>0</v>
          </cell>
        </row>
        <row r="1727">
          <cell r="E1727" t="str">
            <v>D26003895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D26003954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D26003955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D26003956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D26003975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D26003976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D26004029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D26004030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D26004032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D26004079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D26004080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D26004136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D26004137</v>
          </cell>
          <cell r="AP1739">
            <v>0</v>
          </cell>
          <cell r="AQ1739">
            <v>0</v>
          </cell>
          <cell r="AV1739">
            <v>0</v>
          </cell>
        </row>
        <row r="1740">
          <cell r="E1740" t="str">
            <v>D26004169</v>
          </cell>
          <cell r="AP1740">
            <v>0</v>
          </cell>
          <cell r="AQ1740">
            <v>0</v>
          </cell>
          <cell r="AV1740">
            <v>0</v>
          </cell>
        </row>
        <row r="1741">
          <cell r="E1741" t="str">
            <v>D26004202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D26004586</v>
          </cell>
          <cell r="AP1742">
            <v>0</v>
          </cell>
          <cell r="AQ1742">
            <v>0</v>
          </cell>
          <cell r="AV1742">
            <v>0</v>
          </cell>
        </row>
        <row r="1743">
          <cell r="E1743" t="str">
            <v>D26004631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D26004656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D26004741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D26004742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D26004743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D26004759</v>
          </cell>
          <cell r="AP1748">
            <v>0</v>
          </cell>
          <cell r="AQ1748">
            <v>0</v>
          </cell>
          <cell r="AV1748">
            <v>0</v>
          </cell>
        </row>
        <row r="1749">
          <cell r="E1749" t="str">
            <v>D26004848</v>
          </cell>
          <cell r="AP1749">
            <v>0</v>
          </cell>
          <cell r="AQ1749">
            <v>0</v>
          </cell>
          <cell r="AV1749">
            <v>0</v>
          </cell>
        </row>
        <row r="1750">
          <cell r="E1750" t="str">
            <v>D26004849</v>
          </cell>
          <cell r="AP1750">
            <v>0</v>
          </cell>
          <cell r="AQ1750">
            <v>0</v>
          </cell>
          <cell r="AV1750">
            <v>0</v>
          </cell>
        </row>
        <row r="1751">
          <cell r="E1751" t="str">
            <v>D26004850</v>
          </cell>
          <cell r="AP1751">
            <v>0</v>
          </cell>
          <cell r="AQ1751">
            <v>0</v>
          </cell>
          <cell r="AV1751">
            <v>0</v>
          </cell>
        </row>
        <row r="1752">
          <cell r="E1752" t="str">
            <v>B26004109</v>
          </cell>
          <cell r="AP1752">
            <v>0</v>
          </cell>
          <cell r="AQ1752">
            <v>0</v>
          </cell>
          <cell r="AV1752">
            <v>0</v>
          </cell>
        </row>
        <row r="1753">
          <cell r="E1753" t="str">
            <v>B26004110</v>
          </cell>
          <cell r="AP1753">
            <v>0</v>
          </cell>
          <cell r="AQ1753">
            <v>0</v>
          </cell>
          <cell r="AV1753">
            <v>0</v>
          </cell>
        </row>
        <row r="1754">
          <cell r="E1754" t="str">
            <v>B26004117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B26004134</v>
          </cell>
          <cell r="AP1755">
            <v>0</v>
          </cell>
          <cell r="AQ1755">
            <v>0</v>
          </cell>
          <cell r="AV1755">
            <v>0</v>
          </cell>
        </row>
        <row r="1756">
          <cell r="E1756" t="str">
            <v>B26004160</v>
          </cell>
          <cell r="AP1756">
            <v>0</v>
          </cell>
          <cell r="AQ1756">
            <v>0</v>
          </cell>
          <cell r="AV1756">
            <v>0</v>
          </cell>
        </row>
        <row r="1757">
          <cell r="E1757" t="str">
            <v>B26004161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D26003884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T26000314</v>
          </cell>
          <cell r="AP1759">
            <v>0</v>
          </cell>
          <cell r="AQ1759">
            <v>0</v>
          </cell>
          <cell r="AV1759">
            <v>0</v>
          </cell>
        </row>
        <row r="1760">
          <cell r="E1760" t="str">
            <v>D26004183</v>
          </cell>
          <cell r="AP1760">
            <v>0</v>
          </cell>
          <cell r="AQ1760">
            <v>0</v>
          </cell>
          <cell r="AV1760">
            <v>0</v>
          </cell>
        </row>
        <row r="1761">
          <cell r="E1761" t="str">
            <v>D26004692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D26004693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D26001875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D26001969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B26002625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D26001733</v>
          </cell>
          <cell r="AP1766">
            <v>0</v>
          </cell>
          <cell r="AQ1766">
            <v>0</v>
          </cell>
          <cell r="AV1766">
            <v>425000</v>
          </cell>
        </row>
        <row r="1767">
          <cell r="E1767" t="str">
            <v>B26001753</v>
          </cell>
          <cell r="AP1767">
            <v>0</v>
          </cell>
          <cell r="AQ1767">
            <v>0</v>
          </cell>
          <cell r="AV1767">
            <v>1040000</v>
          </cell>
        </row>
        <row r="1768">
          <cell r="E1768" t="str">
            <v>D26001879</v>
          </cell>
          <cell r="AP1768">
            <v>0</v>
          </cell>
          <cell r="AQ1768">
            <v>0</v>
          </cell>
          <cell r="AV1768">
            <v>945000</v>
          </cell>
        </row>
        <row r="1769">
          <cell r="E1769" t="str">
            <v>B26002716</v>
          </cell>
          <cell r="AP1769">
            <v>0</v>
          </cell>
          <cell r="AQ1769">
            <v>0</v>
          </cell>
          <cell r="AV1769">
            <v>620000</v>
          </cell>
        </row>
        <row r="1770">
          <cell r="E1770" t="str">
            <v>D26004636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B26002752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D26003246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B26003595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B26003651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B26003660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B26004028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B26004094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D26002300</v>
          </cell>
          <cell r="AP1778">
            <v>0</v>
          </cell>
          <cell r="AQ1778">
            <v>0</v>
          </cell>
          <cell r="AV1778">
            <v>4100000</v>
          </cell>
        </row>
        <row r="1779">
          <cell r="E1779" t="str">
            <v>B26002308</v>
          </cell>
          <cell r="AP1779">
            <v>0</v>
          </cell>
          <cell r="AQ1779">
            <v>0</v>
          </cell>
          <cell r="AV1779">
            <v>19500000</v>
          </cell>
        </row>
        <row r="1780">
          <cell r="E1780" t="str">
            <v>B26002309</v>
          </cell>
          <cell r="AP1780">
            <v>0</v>
          </cell>
          <cell r="AQ1780">
            <v>0</v>
          </cell>
          <cell r="AV1780">
            <v>5100000</v>
          </cell>
        </row>
        <row r="1781">
          <cell r="E1781" t="str">
            <v>B26003900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D26004645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D25016516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N25000063</v>
          </cell>
          <cell r="AP1784">
            <v>0</v>
          </cell>
          <cell r="AQ1784">
            <v>0</v>
          </cell>
          <cell r="AV1784">
            <v>0</v>
          </cell>
        </row>
        <row r="1785">
          <cell r="E1785" t="str">
            <v>D26003524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D26003535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D26004347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D26004374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B26003037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D26003487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D26004252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D26004381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B26000050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B26000726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D26000942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D26001481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D26001580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D26002530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D26004028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B26000049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B26001029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T26000092</v>
          </cell>
          <cell r="AP1802">
            <v>0</v>
          </cell>
          <cell r="AQ1802">
            <v>0</v>
          </cell>
          <cell r="AV1802">
            <v>7500000</v>
          </cell>
        </row>
        <row r="1803">
          <cell r="E1803" t="str">
            <v>D26001184</v>
          </cell>
          <cell r="AP1803">
            <v>0</v>
          </cell>
          <cell r="AQ1803">
            <v>0</v>
          </cell>
          <cell r="AV1803">
            <v>1300000</v>
          </cell>
        </row>
        <row r="1804">
          <cell r="E1804" t="str">
            <v>D26002063</v>
          </cell>
          <cell r="AP1804">
            <v>0</v>
          </cell>
          <cell r="AQ1804">
            <v>0</v>
          </cell>
          <cell r="AV1804">
            <v>1560000</v>
          </cell>
        </row>
        <row r="1805">
          <cell r="E1805" t="str">
            <v>B26002218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B26002288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D26004072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B26003921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B26003988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C26000258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Z26000094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Z26000102</v>
          </cell>
          <cell r="AP1812">
            <v>0</v>
          </cell>
          <cell r="AQ1812">
            <v>0</v>
          </cell>
          <cell r="AV1812">
            <v>0</v>
          </cell>
        </row>
        <row r="1813">
          <cell r="E1813" t="str">
            <v>Z26000130</v>
          </cell>
          <cell r="AP1813">
            <v>0</v>
          </cell>
          <cell r="AQ1813">
            <v>0</v>
          </cell>
          <cell r="AV1813">
            <v>0</v>
          </cell>
        </row>
        <row r="1814">
          <cell r="E1814" t="str">
            <v>Z26000153</v>
          </cell>
          <cell r="AP1814">
            <v>0</v>
          </cell>
          <cell r="AQ1814">
            <v>0</v>
          </cell>
          <cell r="AV1814">
            <v>0</v>
          </cell>
        </row>
        <row r="1815">
          <cell r="E1815" t="str">
            <v>Z26000177</v>
          </cell>
          <cell r="AP1815">
            <v>0</v>
          </cell>
          <cell r="AQ1815">
            <v>0</v>
          </cell>
          <cell r="AV1815">
            <v>0</v>
          </cell>
        </row>
        <row r="1816">
          <cell r="E1816" t="str">
            <v>Z26000220</v>
          </cell>
          <cell r="AP1816">
            <v>0</v>
          </cell>
          <cell r="AQ1816">
            <v>0</v>
          </cell>
          <cell r="AV1816">
            <v>0</v>
          </cell>
        </row>
        <row r="1817">
          <cell r="E1817" t="str">
            <v>Z26000279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Z26000372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Z26000427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Z26000437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Z26000549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Z26000550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Z26000787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Z26000788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Z26000813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Z26000814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B26001201</v>
          </cell>
          <cell r="AP1827">
            <v>0</v>
          </cell>
          <cell r="AQ1827">
            <v>0</v>
          </cell>
          <cell r="AV1827">
            <v>71887500</v>
          </cell>
        </row>
        <row r="1828">
          <cell r="E1828" t="str">
            <v>B26001289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B26001340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B26001341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B26001348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B26001383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B26001464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B26001551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B26001698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B26001774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B26001779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B26001782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D26002098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D26002167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D26002270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B26002210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D26002488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D26002500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D26002516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D26002615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D26002699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D26002794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D26002832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D26003078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D26003192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D26003199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D26003303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D26003478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D26003546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D26003810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B26003512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B26003554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D26004095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D26004100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D26004162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B26003649</v>
          </cell>
          <cell r="AP1862">
            <v>0</v>
          </cell>
          <cell r="AQ1862">
            <v>0</v>
          </cell>
          <cell r="AV1862">
            <v>11812500</v>
          </cell>
        </row>
        <row r="1863">
          <cell r="E1863" t="str">
            <v>D26004217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D26004218</v>
          </cell>
          <cell r="AP1864">
            <v>0</v>
          </cell>
          <cell r="AQ1864">
            <v>0</v>
          </cell>
          <cell r="AV1864">
            <v>457687500</v>
          </cell>
        </row>
        <row r="1865">
          <cell r="E1865" t="str">
            <v>D26004218</v>
          </cell>
          <cell r="AP1865">
            <v>0</v>
          </cell>
          <cell r="AQ1865">
            <v>0</v>
          </cell>
          <cell r="AV1865">
            <v>217312500</v>
          </cell>
        </row>
        <row r="1866">
          <cell r="E1866" t="str">
            <v>D26004236</v>
          </cell>
          <cell r="AP1866">
            <v>0</v>
          </cell>
          <cell r="AQ1866">
            <v>0</v>
          </cell>
          <cell r="AV1866">
            <v>21000000</v>
          </cell>
        </row>
        <row r="1867">
          <cell r="E1867" t="str">
            <v>D26004307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D26004308</v>
          </cell>
          <cell r="AP1868">
            <v>0</v>
          </cell>
          <cell r="AQ1868">
            <v>0</v>
          </cell>
          <cell r="AV1868">
            <v>9500000</v>
          </cell>
        </row>
        <row r="1869">
          <cell r="E1869" t="str">
            <v>B26003783</v>
          </cell>
          <cell r="AP1869">
            <v>0</v>
          </cell>
          <cell r="AQ1869">
            <v>0</v>
          </cell>
          <cell r="AV1869">
            <v>0</v>
          </cell>
        </row>
        <row r="1870">
          <cell r="E1870" t="str">
            <v>B26003818</v>
          </cell>
          <cell r="AP1870">
            <v>0</v>
          </cell>
          <cell r="AQ1870">
            <v>0</v>
          </cell>
          <cell r="AV1870">
            <v>0</v>
          </cell>
        </row>
        <row r="1871">
          <cell r="E1871" t="str">
            <v>B26003819</v>
          </cell>
          <cell r="AP1871">
            <v>0</v>
          </cell>
          <cell r="AQ1871">
            <v>0</v>
          </cell>
          <cell r="AV1871">
            <v>158000000</v>
          </cell>
        </row>
        <row r="1872">
          <cell r="E1872" t="str">
            <v>B26003933</v>
          </cell>
          <cell r="AP1872">
            <v>0</v>
          </cell>
          <cell r="AQ1872">
            <v>0</v>
          </cell>
          <cell r="AV1872">
            <v>0</v>
          </cell>
        </row>
        <row r="1873">
          <cell r="E1873" t="str">
            <v>D26004708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D26004895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D26004931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D26004959</v>
          </cell>
          <cell r="AP1876">
            <v>0</v>
          </cell>
          <cell r="AQ1876">
            <v>0</v>
          </cell>
          <cell r="AV1876">
            <v>0</v>
          </cell>
        </row>
        <row r="1877">
          <cell r="E1877" t="str">
            <v>B26000380</v>
          </cell>
          <cell r="AP1877">
            <v>0</v>
          </cell>
          <cell r="AQ1877">
            <v>0</v>
          </cell>
          <cell r="AV1877">
            <v>6652500</v>
          </cell>
        </row>
        <row r="1878">
          <cell r="E1878" t="str">
            <v>T26000253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T26000254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D26004968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D26004940</v>
          </cell>
          <cell r="AP1881">
            <v>0</v>
          </cell>
          <cell r="AQ1881">
            <v>0</v>
          </cell>
          <cell r="AV1881">
            <v>8650000</v>
          </cell>
        </row>
        <row r="1882">
          <cell r="E1882" t="str">
            <v>D26004962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B25002140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T26000183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D26003024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B26002908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B26003228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D26003907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B26003777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D26004471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D26004496</v>
          </cell>
          <cell r="AP1891">
            <v>0</v>
          </cell>
          <cell r="AQ1891">
            <v>0</v>
          </cell>
          <cell r="AV1891">
            <v>27000000</v>
          </cell>
        </row>
        <row r="1892">
          <cell r="E1892" t="str">
            <v>D26004496</v>
          </cell>
          <cell r="AP1892">
            <v>0</v>
          </cell>
          <cell r="AQ1892">
            <v>0</v>
          </cell>
          <cell r="AV1892">
            <v>600000</v>
          </cell>
        </row>
        <row r="1893">
          <cell r="E1893" t="str">
            <v>Z26000402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Z26000605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Z26000609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B26003363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B26003973</v>
          </cell>
          <cell r="AP1897">
            <v>0</v>
          </cell>
          <cell r="AQ1897">
            <v>0</v>
          </cell>
          <cell r="AV1897">
            <v>0</v>
          </cell>
        </row>
        <row r="1898">
          <cell r="E1898" t="str">
            <v>D25019399</v>
          </cell>
          <cell r="AP1898">
            <v>0</v>
          </cell>
          <cell r="AQ1898">
            <v>0</v>
          </cell>
          <cell r="AV1898">
            <v>0</v>
          </cell>
        </row>
        <row r="1899">
          <cell r="E1899" t="str">
            <v>B26001649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B26001714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D26002696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B26002616</v>
          </cell>
          <cell r="AP1902">
            <v>0</v>
          </cell>
          <cell r="AQ1902">
            <v>0</v>
          </cell>
          <cell r="AV1902">
            <v>0</v>
          </cell>
        </row>
        <row r="1903">
          <cell r="E1903" t="str">
            <v>D24015365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D24015541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C25000192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C25000195</v>
          </cell>
          <cell r="AP1906">
            <v>0</v>
          </cell>
          <cell r="AQ1906">
            <v>0</v>
          </cell>
          <cell r="AV1906">
            <v>0</v>
          </cell>
        </row>
        <row r="1907">
          <cell r="E1907" t="str">
            <v>C25000196</v>
          </cell>
          <cell r="AP1907">
            <v>0</v>
          </cell>
          <cell r="AQ1907">
            <v>0</v>
          </cell>
          <cell r="AV1907">
            <v>0</v>
          </cell>
        </row>
        <row r="1908">
          <cell r="E1908" t="str">
            <v>C25000197</v>
          </cell>
          <cell r="AP1908">
            <v>0</v>
          </cell>
          <cell r="AQ1908">
            <v>0</v>
          </cell>
          <cell r="AV1908">
            <v>0</v>
          </cell>
        </row>
        <row r="1909">
          <cell r="E1909" t="str">
            <v>C25000198</v>
          </cell>
          <cell r="AP1909">
            <v>0</v>
          </cell>
          <cell r="AQ1909">
            <v>0</v>
          </cell>
          <cell r="AV1909">
            <v>0</v>
          </cell>
        </row>
        <row r="1910">
          <cell r="E1910" t="str">
            <v>C25000445</v>
          </cell>
          <cell r="AP1910">
            <v>0</v>
          </cell>
          <cell r="AQ1910">
            <v>0</v>
          </cell>
          <cell r="AV1910">
            <v>0</v>
          </cell>
        </row>
        <row r="1911">
          <cell r="E1911" t="str">
            <v>B25008299</v>
          </cell>
          <cell r="AP1911">
            <v>0</v>
          </cell>
          <cell r="AQ1911">
            <v>0</v>
          </cell>
          <cell r="AV1911">
            <v>0</v>
          </cell>
        </row>
        <row r="1912">
          <cell r="E1912" t="str">
            <v>B25008808</v>
          </cell>
          <cell r="AP1912">
            <v>0</v>
          </cell>
          <cell r="AQ1912">
            <v>0</v>
          </cell>
          <cell r="AV1912">
            <v>0</v>
          </cell>
        </row>
        <row r="1913">
          <cell r="E1913" t="str">
            <v>B25009712</v>
          </cell>
          <cell r="AP1913">
            <v>0</v>
          </cell>
          <cell r="AQ1913">
            <v>0</v>
          </cell>
          <cell r="AV1913">
            <v>0</v>
          </cell>
        </row>
        <row r="1914">
          <cell r="E1914" t="str">
            <v>M25000081</v>
          </cell>
          <cell r="AP1914">
            <v>0</v>
          </cell>
          <cell r="AQ1914">
            <v>0</v>
          </cell>
          <cell r="AV1914">
            <v>0</v>
          </cell>
        </row>
        <row r="1915">
          <cell r="E1915" t="str">
            <v>D25018593</v>
          </cell>
          <cell r="AP1915">
            <v>0</v>
          </cell>
          <cell r="AQ1915">
            <v>0</v>
          </cell>
          <cell r="AV1915">
            <v>0</v>
          </cell>
        </row>
        <row r="1916">
          <cell r="E1916" t="str">
            <v>T26000338</v>
          </cell>
          <cell r="AP1916">
            <v>0</v>
          </cell>
          <cell r="AQ1916">
            <v>0</v>
          </cell>
          <cell r="AV1916">
            <v>0</v>
          </cell>
        </row>
        <row r="1917">
          <cell r="E1917" t="str">
            <v>T26000339</v>
          </cell>
          <cell r="AP1917">
            <v>0</v>
          </cell>
          <cell r="AQ1917">
            <v>0</v>
          </cell>
          <cell r="AV1917">
            <v>0</v>
          </cell>
        </row>
        <row r="1918">
          <cell r="E1918" t="str">
            <v>B26003843</v>
          </cell>
          <cell r="AP1918">
            <v>0</v>
          </cell>
          <cell r="AQ1918">
            <v>0</v>
          </cell>
          <cell r="AV1918">
            <v>1400000</v>
          </cell>
        </row>
        <row r="1919">
          <cell r="E1919">
            <v>260027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B26004032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D26004936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D26004949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D26001327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D26003701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D26003708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D26002752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D26002753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B26003370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B26003371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B26003379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B26003384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D26003731</v>
          </cell>
          <cell r="AP1932">
            <v>0</v>
          </cell>
          <cell r="AQ1932">
            <v>0</v>
          </cell>
          <cell r="AV1932">
            <v>0</v>
          </cell>
        </row>
        <row r="1933">
          <cell r="E1933" t="str">
            <v>T26000124</v>
          </cell>
          <cell r="AP1933">
            <v>0</v>
          </cell>
          <cell r="AQ1933">
            <v>0</v>
          </cell>
          <cell r="AV1933">
            <v>5200000</v>
          </cell>
        </row>
        <row r="1934">
          <cell r="E1934" t="str">
            <v>D26003355</v>
          </cell>
          <cell r="AP1934">
            <v>0</v>
          </cell>
          <cell r="AQ1934">
            <v>0</v>
          </cell>
          <cell r="AV1934">
            <v>4460000</v>
          </cell>
        </row>
        <row r="1935">
          <cell r="E1935" t="str">
            <v>D26003371</v>
          </cell>
          <cell r="AP1935">
            <v>0</v>
          </cell>
          <cell r="AQ1935">
            <v>0</v>
          </cell>
          <cell r="AV1935">
            <v>6830000</v>
          </cell>
        </row>
        <row r="1936">
          <cell r="E1936" t="str">
            <v>D26003541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D26004108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D26004112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B26003675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D26004301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D26004335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B26003925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D26004898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D26004899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D26001745</v>
          </cell>
          <cell r="AP1945">
            <v>0</v>
          </cell>
          <cell r="AQ1945">
            <v>0</v>
          </cell>
          <cell r="AV1945">
            <v>140000000</v>
          </cell>
        </row>
        <row r="1946">
          <cell r="E1946" t="str">
            <v>D26001800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D26001801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D26002019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B26001898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D26002042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B26002167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B26002168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D26002971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D26003067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D26003126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B26003180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D26003481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D26003808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D26004061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D26004062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B26003847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D26004698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B26001765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D26002387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D26002388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B26004098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B26004099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T26000122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Z26000519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Z26000652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Z26000757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B26003998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D26003087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D26003122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B26003601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B26002988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T26000251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B26003462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T26000284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T26000331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B26002313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D26005009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D26003451</v>
          </cell>
          <cell r="AP1983">
            <v>0</v>
          </cell>
          <cell r="AQ1983">
            <v>0</v>
          </cell>
          <cell r="AV1983">
            <v>36000000</v>
          </cell>
        </row>
        <row r="1984">
          <cell r="E1984" t="str">
            <v>D26004299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D26003452</v>
          </cell>
          <cell r="AP1985">
            <v>0</v>
          </cell>
          <cell r="AQ1985">
            <v>0</v>
          </cell>
          <cell r="AV1985">
            <v>125550000</v>
          </cell>
        </row>
        <row r="1986">
          <cell r="E1986" t="str">
            <v>D26004493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D26001781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B26002909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B26002911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B26003275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T25001881k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B26001319</v>
          </cell>
          <cell r="AP1992">
            <v>0</v>
          </cell>
          <cell r="AQ1992">
            <v>0</v>
          </cell>
          <cell r="AV1992">
            <v>0</v>
          </cell>
        </row>
        <row r="1993">
          <cell r="E1993" t="str">
            <v>D26002055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D26003730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D26001633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D26001633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D26001633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D26001633</v>
          </cell>
          <cell r="AP1998">
            <v>0</v>
          </cell>
          <cell r="AQ1998">
            <v>0</v>
          </cell>
          <cell r="AV1998">
            <v>0</v>
          </cell>
        </row>
        <row r="1999">
          <cell r="E1999" t="str">
            <v>D26001633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D26001633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D26001633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D26001633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D26001633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D26001633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B26002847</v>
          </cell>
          <cell r="AP2005">
            <v>0</v>
          </cell>
          <cell r="AQ2005">
            <v>0</v>
          </cell>
          <cell r="AV2005">
            <v>5825000</v>
          </cell>
        </row>
        <row r="2006">
          <cell r="E2006" t="str">
            <v>B26003057</v>
          </cell>
          <cell r="AP2006">
            <v>0</v>
          </cell>
          <cell r="AQ2006">
            <v>0</v>
          </cell>
          <cell r="AV2006">
            <v>1300000</v>
          </cell>
        </row>
        <row r="2007">
          <cell r="E2007" t="str">
            <v>D26003319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D26004756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B26001613</v>
          </cell>
          <cell r="AP2009">
            <v>0</v>
          </cell>
          <cell r="AQ2009">
            <v>0</v>
          </cell>
          <cell r="AV2009">
            <v>0</v>
          </cell>
        </row>
        <row r="2010">
          <cell r="E2010" t="str">
            <v>T26000165</v>
          </cell>
          <cell r="AP2010">
            <v>0</v>
          </cell>
          <cell r="AQ2010">
            <v>0</v>
          </cell>
          <cell r="AV2010">
            <v>0</v>
          </cell>
        </row>
        <row r="2011">
          <cell r="E2011" t="str">
            <v>D26003030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D26003031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D26003040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T26000216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D26004721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T26000402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D26003356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B26003928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D26001854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B26001851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D26002080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B26002052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B26002100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D26002778</v>
          </cell>
          <cell r="AP2024">
            <v>0</v>
          </cell>
          <cell r="AQ2024">
            <v>0</v>
          </cell>
          <cell r="AV2024">
            <v>0</v>
          </cell>
        </row>
        <row r="2025">
          <cell r="E2025" t="str">
            <v>T26000222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D26003688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D26004889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D26004945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D26004500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D26003344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D26003353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D26003655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D26003737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D26003757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D26004990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D26004991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D26005057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B26003687</v>
          </cell>
          <cell r="AP2038">
            <v>0</v>
          </cell>
          <cell r="AQ2038">
            <v>0</v>
          </cell>
          <cell r="AV2038">
            <v>17786250</v>
          </cell>
        </row>
        <row r="2039">
          <cell r="E2039" t="str">
            <v>B26002893</v>
          </cell>
          <cell r="AP2039">
            <v>0</v>
          </cell>
          <cell r="AQ2039">
            <v>0</v>
          </cell>
          <cell r="AV2039">
            <v>3700000</v>
          </cell>
        </row>
        <row r="2040">
          <cell r="E2040" t="str">
            <v>D26004210</v>
          </cell>
          <cell r="AP2040">
            <v>0</v>
          </cell>
          <cell r="AQ2040">
            <v>0</v>
          </cell>
          <cell r="AV2040">
            <v>0</v>
          </cell>
        </row>
        <row r="2041">
          <cell r="E2041" t="str">
            <v>B26002323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D26003585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D26003702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D26003814</v>
          </cell>
          <cell r="AP2044">
            <v>0</v>
          </cell>
          <cell r="AQ2044">
            <v>0</v>
          </cell>
          <cell r="AV2044">
            <v>0</v>
          </cell>
        </row>
        <row r="2045">
          <cell r="E2045" t="str">
            <v>B26003917</v>
          </cell>
          <cell r="AP2045">
            <v>0</v>
          </cell>
          <cell r="AQ2045">
            <v>0</v>
          </cell>
          <cell r="AV2045">
            <v>0</v>
          </cell>
        </row>
        <row r="2046">
          <cell r="E2046" t="str">
            <v>B26003963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D26004927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D26005033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D26004481</v>
          </cell>
          <cell r="AP2049">
            <v>0</v>
          </cell>
          <cell r="AQ2049">
            <v>0</v>
          </cell>
          <cell r="AV2049">
            <v>2860000</v>
          </cell>
        </row>
        <row r="2050">
          <cell r="E2050" t="str">
            <v>D26004737</v>
          </cell>
          <cell r="AP2050">
            <v>0</v>
          </cell>
          <cell r="AQ2050">
            <v>0</v>
          </cell>
          <cell r="AV2050">
            <v>7000000</v>
          </cell>
        </row>
        <row r="2051">
          <cell r="E2051" t="str">
            <v>T25000698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T25000700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D25017210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D25018775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D25018776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D25019491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B25016962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D26001199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B26003446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B26003447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B26001039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D26001222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B25016629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D25019258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B25017107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B25017109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D26000485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D26000506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D26000575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D26000852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D26001446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D26001587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D26001625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D26001850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D26002100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D26002356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D26002976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D26003028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D26003039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D26003086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B26003035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D26003206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D26003767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D26004000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D26004180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D26004434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D26004581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D26004599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B26003958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T22000046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T22000053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T22000087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T22000122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T22000134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T22000139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T22000141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T22000167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T22000207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T22000231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T22000254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T22000265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T22000282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T22000316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T22000338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T22000378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T22000394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T22000405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T22000425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T22000456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T22000472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T22000491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T22000520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T22000560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T22000561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T22000580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T22000604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T22000664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T22000725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T22000772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T22000799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T23000003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T23000012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T23000013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T23000057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T23000064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T23000087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T23000120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D23001207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T23000149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T23000180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T23000184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T23000187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T23000252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T23000257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T23000275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T23000285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T23000332</v>
          </cell>
          <cell r="AP2137">
            <v>0</v>
          </cell>
          <cell r="AQ2137">
            <v>0</v>
          </cell>
          <cell r="AV2137">
            <v>0</v>
          </cell>
        </row>
        <row r="2138">
          <cell r="E2138" t="str">
            <v>T23000355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T23000382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T23000419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T23000426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T23000485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T23000492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T23000504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T23000507</v>
          </cell>
          <cell r="AP2145">
            <v>0</v>
          </cell>
          <cell r="AQ2145">
            <v>0</v>
          </cell>
          <cell r="AV2145">
            <v>0</v>
          </cell>
        </row>
        <row r="2146">
          <cell r="E2146" t="str">
            <v>T23000508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T23000509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T23000522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T23000524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T23000577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T23000584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T23000594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T23000630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T23000644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T23000686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T23000695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T23000741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T23000742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T23000772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T23000781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T23000782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T23000809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T23000845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T23000846</v>
          </cell>
          <cell r="AP2164">
            <v>0</v>
          </cell>
          <cell r="AQ2164">
            <v>0</v>
          </cell>
          <cell r="AV2164">
            <v>0</v>
          </cell>
        </row>
        <row r="2165">
          <cell r="E2165" t="str">
            <v>T23000860</v>
          </cell>
          <cell r="AP2165">
            <v>0</v>
          </cell>
          <cell r="AQ2165">
            <v>0</v>
          </cell>
          <cell r="AV2165">
            <v>0</v>
          </cell>
        </row>
        <row r="2166">
          <cell r="E2166" t="str">
            <v>T23000881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T23000884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T23000911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T23000912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T23000914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T23000919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T23000924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T23000935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T23000936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T23000986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T23000989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T23000994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T23000998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T23000999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T23001024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T23001025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T23001026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T23001057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T23001090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T23001094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T23001095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T23001103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T24000001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T24000018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T24000040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T24000113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T24000118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T24000126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T24000149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T24000166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T24000175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T24000176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T24000250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T24000251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T24000260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T24000265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T24000279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T24000299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T24000376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T24000384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T24000391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T24000392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T24000419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T24000448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T24000488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T24000489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T24000495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T24000496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T24000497</v>
          </cell>
          <cell r="AP2214">
            <v>0</v>
          </cell>
          <cell r="AQ2214">
            <v>0</v>
          </cell>
          <cell r="AV2214">
            <v>0</v>
          </cell>
        </row>
        <row r="2215">
          <cell r="E2215" t="str">
            <v>T24000498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T24000499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T24000519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T24000527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T24000598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T24000600</v>
          </cell>
          <cell r="AP2220">
            <v>0</v>
          </cell>
          <cell r="AQ2220">
            <v>0</v>
          </cell>
          <cell r="AV2220">
            <v>0</v>
          </cell>
        </row>
        <row r="2221">
          <cell r="E2221" t="str">
            <v>T24000601</v>
          </cell>
          <cell r="AP2221">
            <v>0</v>
          </cell>
          <cell r="AQ2221">
            <v>0</v>
          </cell>
          <cell r="AV2221">
            <v>0</v>
          </cell>
        </row>
        <row r="2222">
          <cell r="E2222" t="str">
            <v>T24000602</v>
          </cell>
          <cell r="AP2222">
            <v>0</v>
          </cell>
          <cell r="AQ2222">
            <v>0</v>
          </cell>
          <cell r="AV2222">
            <v>0</v>
          </cell>
        </row>
        <row r="2223">
          <cell r="E2223" t="str">
            <v>T24000603</v>
          </cell>
          <cell r="AP2223">
            <v>0</v>
          </cell>
          <cell r="AQ2223">
            <v>0</v>
          </cell>
          <cell r="AV2223">
            <v>0</v>
          </cell>
        </row>
        <row r="2224">
          <cell r="E2224" t="str">
            <v>T24000612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T24000631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T24000635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T24000673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T24000717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T24000718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T24000719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T24000720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T24000726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T24000727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T24000754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T24000755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T24000787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T24000936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T24000937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T24000938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T24000939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T24000946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T24000983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T24000984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T24000985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T24001077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T24001078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T24001079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T24001085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T24001086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T24001087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T24001088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T24001108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T24001119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T24001120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T24001121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T24001210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T24001211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T24001215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T24001220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T24001241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T24001249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T24001250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T24001265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T24001359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T24001360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T24001361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T24001369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T24001372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T24001380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T24001423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T24001424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T24001446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T24001447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T24001638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T24001639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T24001651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T24001652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T24001653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T24001654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T24001655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T24001697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T24001717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T24001721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T24001842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T25000023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T25000025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T25000026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T25000027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T25000028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T25000029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T25000035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T25000036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T25000091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T25000142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T25000157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T25000158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T25000161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T25000171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T25000172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T25000178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T25000328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T25000329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T25000357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T25000363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T25000364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T25000365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T25000366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T25000367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T25000368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T25000372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T25000432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T25000523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T25000546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T25000547</v>
          </cell>
          <cell r="AP2314">
            <v>0</v>
          </cell>
          <cell r="AQ2314">
            <v>0</v>
          </cell>
          <cell r="AV2314">
            <v>0</v>
          </cell>
        </row>
        <row r="2315">
          <cell r="E2315" t="str">
            <v>T25000548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T25000558</v>
          </cell>
          <cell r="AP2316">
            <v>0</v>
          </cell>
          <cell r="AQ2316">
            <v>0</v>
          </cell>
          <cell r="AV2316">
            <v>0</v>
          </cell>
        </row>
        <row r="2317">
          <cell r="E2317" t="str">
            <v>T25000559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T25000563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T25000564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T25000578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T25000626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T25000685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T25000686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T25000702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T25000706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T25000707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T25000734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T25000735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T25000740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T25000764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T25000770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R25000015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T25000878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T25000886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T25000887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T25000888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T25000895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T25000902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T25000903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T25000912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T25000914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T25000915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C25000475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T25000936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T25000956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T25000957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T25000958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D25009205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T25000988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T25000997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T25000999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T25001020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T25001022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T25001023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T25001024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T25001025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T25001033</v>
          </cell>
          <cell r="AP2357">
            <v>0</v>
          </cell>
          <cell r="AQ2357">
            <v>0</v>
          </cell>
          <cell r="AV2357">
            <v>0</v>
          </cell>
        </row>
        <row r="2358">
          <cell r="E2358" t="str">
            <v>T25001062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T25001078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T25001110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T25001162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T25001165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T25001173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T25001189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T25001203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T25001207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T25001222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T25001269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T25001294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T25001317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T25001323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T25001329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T25001330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T25001336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T25001343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T25001395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T25001408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T25001452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T25001456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T25001457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T25001458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T25001459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T25001460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T25001463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T25001464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T25001485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T25001497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T25001546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T25001592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T25001593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T25001604</v>
          </cell>
          <cell r="AP2391">
            <v>0</v>
          </cell>
          <cell r="AQ2391">
            <v>0</v>
          </cell>
          <cell r="AV2391">
            <v>0</v>
          </cell>
        </row>
        <row r="2392">
          <cell r="E2392" t="str">
            <v>T25001608</v>
          </cell>
          <cell r="AP2392">
            <v>0</v>
          </cell>
          <cell r="AQ2392">
            <v>0</v>
          </cell>
          <cell r="AV2392">
            <v>0</v>
          </cell>
        </row>
        <row r="2393">
          <cell r="E2393" t="str">
            <v>T25001627</v>
          </cell>
          <cell r="AP2393">
            <v>0</v>
          </cell>
          <cell r="AQ2393">
            <v>0</v>
          </cell>
          <cell r="AV2393">
            <v>0</v>
          </cell>
        </row>
        <row r="2394">
          <cell r="E2394" t="str">
            <v>T25001628</v>
          </cell>
          <cell r="AP2394">
            <v>0</v>
          </cell>
          <cell r="AQ2394">
            <v>0</v>
          </cell>
          <cell r="AV2394">
            <v>0</v>
          </cell>
        </row>
        <row r="2395">
          <cell r="E2395" t="str">
            <v>T25001629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T25001630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T25001683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T25001712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T25001729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T25001741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T25001742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T25001746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T25001750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T25001751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T25001752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T25001756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T25001757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T25001764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T25001765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T25001766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T25001767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T25001768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T25001769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T25001807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T25001832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T25001896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T26000004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T26000005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T26000007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T26000011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T26000012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T26000015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T26000020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T26000048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T26000069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T26000080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T26000084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T26000112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T26000113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T26000119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T26000130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T26000131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T26000137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T26000138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T26000141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T26000260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T26000266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T26000267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T26000276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T26000277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T26000278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T26000282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T26000322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C26000216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T26000357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T26000358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T26000359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T26000390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T26000391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C26000266</v>
          </cell>
          <cell r="AP2450">
            <v>0</v>
          </cell>
          <cell r="AQ2450">
            <v>0</v>
          </cell>
          <cell r="AV2450">
            <v>6337600</v>
          </cell>
        </row>
        <row r="2451">
          <cell r="E2451" t="str">
            <v>T26000409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T26000410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C26000272</v>
          </cell>
          <cell r="AP2453">
            <v>0</v>
          </cell>
          <cell r="AQ2453">
            <v>0</v>
          </cell>
          <cell r="AV2453">
            <v>4598000</v>
          </cell>
        </row>
        <row r="2454">
          <cell r="E2454" t="str">
            <v>B26004067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B26004122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B25016903</v>
          </cell>
          <cell r="AP2456">
            <v>0</v>
          </cell>
          <cell r="AQ2456">
            <v>0</v>
          </cell>
          <cell r="AV2456">
            <v>1540000</v>
          </cell>
        </row>
        <row r="2457">
          <cell r="E2457" t="str">
            <v>D25019699</v>
          </cell>
          <cell r="AP2457">
            <v>0</v>
          </cell>
          <cell r="AQ2457">
            <v>0</v>
          </cell>
          <cell r="AV2457">
            <v>1175000</v>
          </cell>
        </row>
        <row r="2458">
          <cell r="E2458" t="str">
            <v>T26000001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D26004938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M26000059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M26000060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M26000061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D26004840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Z26000815</v>
          </cell>
          <cell r="AP2464">
            <v>0</v>
          </cell>
          <cell r="AQ2464">
            <v>0</v>
          </cell>
          <cell r="AV2464">
            <v>57024000</v>
          </cell>
        </row>
        <row r="2465">
          <cell r="E2465" t="str">
            <v>Z26000844</v>
          </cell>
          <cell r="AP2465">
            <v>0</v>
          </cell>
          <cell r="AQ2465">
            <v>0</v>
          </cell>
          <cell r="AV2465">
            <v>19800000</v>
          </cell>
        </row>
        <row r="2466">
          <cell r="E2466" t="str">
            <v>Z26000879</v>
          </cell>
          <cell r="AP2466">
            <v>0</v>
          </cell>
          <cell r="AQ2466">
            <v>0</v>
          </cell>
          <cell r="AV2466">
            <v>1350000</v>
          </cell>
        </row>
        <row r="2467">
          <cell r="E2467" t="str">
            <v>Z26000903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Z26000904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Z26000919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Z26000923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B26001830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B26002061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B26002811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B26002815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B26003344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T26000306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B26003570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B26003571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D26004247</v>
          </cell>
          <cell r="AP2479">
            <v>0</v>
          </cell>
          <cell r="AQ2479">
            <v>0</v>
          </cell>
          <cell r="AV2479">
            <v>22370000</v>
          </cell>
        </row>
        <row r="2480">
          <cell r="E2480" t="str">
            <v>B26002599</v>
          </cell>
          <cell r="AP2480">
            <v>0</v>
          </cell>
          <cell r="AQ2480">
            <v>0</v>
          </cell>
          <cell r="AV2480">
            <v>4776000</v>
          </cell>
        </row>
        <row r="2481">
          <cell r="E2481" t="str">
            <v>B26003280</v>
          </cell>
          <cell r="AP2481">
            <v>0</v>
          </cell>
          <cell r="AQ2481">
            <v>0</v>
          </cell>
          <cell r="AV2481">
            <v>2750000</v>
          </cell>
        </row>
        <row r="2482">
          <cell r="E2482" t="str">
            <v>T26000125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Z26000633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T26000401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T26000405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Z26000881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D26003231</v>
          </cell>
          <cell r="AP2487">
            <v>0</v>
          </cell>
          <cell r="AQ2487">
            <v>0</v>
          </cell>
          <cell r="AV2487">
            <v>99195000</v>
          </cell>
        </row>
        <row r="2488">
          <cell r="E2488" t="str">
            <v>B26003155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D26003354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D26004261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B26003814</v>
          </cell>
          <cell r="AP2491">
            <v>0</v>
          </cell>
          <cell r="AQ2491">
            <v>0</v>
          </cell>
          <cell r="AV2491">
            <v>13500000</v>
          </cell>
        </row>
        <row r="2492">
          <cell r="E2492" t="str">
            <v>D26004470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D26004485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D26004486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B26002445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T26000182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B26002527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B26000464</v>
          </cell>
          <cell r="AP2498">
            <v>0</v>
          </cell>
          <cell r="AQ2498">
            <v>0</v>
          </cell>
          <cell r="AV2498">
            <v>17040000</v>
          </cell>
        </row>
        <row r="2499">
          <cell r="E2499" t="str">
            <v>B26001015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B26001016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D26002143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D26002276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B26001686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D26002213</v>
          </cell>
          <cell r="AP2504">
            <v>0</v>
          </cell>
          <cell r="AQ2504">
            <v>0</v>
          </cell>
          <cell r="AV2504">
            <v>4140000</v>
          </cell>
        </row>
        <row r="2505">
          <cell r="E2505" t="str">
            <v>B26002946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D26004683</v>
          </cell>
          <cell r="AP2506">
            <v>0</v>
          </cell>
          <cell r="AQ2506">
            <v>0</v>
          </cell>
          <cell r="AV2506">
            <v>100000000</v>
          </cell>
        </row>
        <row r="2507">
          <cell r="E2507" t="str">
            <v>D26004684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D26004685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D26004758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T26000028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D26002037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D26002038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D26003346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B26003352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B26003941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B26004016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B26002128</v>
          </cell>
          <cell r="AP2517">
            <v>0</v>
          </cell>
          <cell r="AQ2517">
            <v>0</v>
          </cell>
          <cell r="AV2517">
            <v>4239000</v>
          </cell>
        </row>
        <row r="2518">
          <cell r="E2518" t="str">
            <v>D26003430</v>
          </cell>
          <cell r="AP2518">
            <v>0</v>
          </cell>
          <cell r="AQ2518">
            <v>0</v>
          </cell>
          <cell r="AV2518">
            <v>56950000</v>
          </cell>
        </row>
        <row r="2519">
          <cell r="E2519" t="str">
            <v>B26003304</v>
          </cell>
          <cell r="AP2519">
            <v>0</v>
          </cell>
          <cell r="AQ2519">
            <v>0</v>
          </cell>
          <cell r="AV2519">
            <v>27200000</v>
          </cell>
        </row>
        <row r="2520">
          <cell r="E2520" t="str">
            <v>B26003305</v>
          </cell>
          <cell r="AP2520">
            <v>0</v>
          </cell>
          <cell r="AQ2520">
            <v>0</v>
          </cell>
          <cell r="AV2520">
            <v>66611000</v>
          </cell>
        </row>
        <row r="2521">
          <cell r="E2521" t="str">
            <v>D26004934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D26005056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D26004519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D26004520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D26000920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B26000897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D26000963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B26001369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D26001450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D26001453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D26001482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D26001492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D26002109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D26002495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D26003144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D26004283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B26003718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D26004577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D26004617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D26003870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B26001296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D26001432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T26000298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T26000289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B26003236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T26000311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D26000628</v>
          </cell>
          <cell r="AP2547">
            <v>0</v>
          </cell>
          <cell r="AQ2547">
            <v>0</v>
          </cell>
          <cell r="AV2547">
            <v>6900000</v>
          </cell>
        </row>
        <row r="2548">
          <cell r="E2548" t="str">
            <v>D26000641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T26000077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B26001913</v>
          </cell>
          <cell r="AP2550">
            <v>0</v>
          </cell>
          <cell r="AQ2550">
            <v>0</v>
          </cell>
          <cell r="AV2550">
            <v>9100000</v>
          </cell>
        </row>
        <row r="2551">
          <cell r="E2551" t="str">
            <v>B26001914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D26003263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D26003264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D26003345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B26001807</v>
          </cell>
          <cell r="AP2555">
            <v>0</v>
          </cell>
          <cell r="AQ2555">
            <v>0</v>
          </cell>
          <cell r="AV2555">
            <v>4000000</v>
          </cell>
        </row>
        <row r="2556">
          <cell r="E2556" t="str">
            <v>B26002193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B26002580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D26002835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Z26000596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Z26000744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Z26000753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Z26000790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Z26000791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Z26000826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Z26000850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D26001951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B26002417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D26002739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D26002740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D26002759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D26002760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D26002761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D26002762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D26002763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D26002837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D26002877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D26002878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D26002884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D26002894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D26003211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D26003240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D26003241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B26003138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D26003339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D26003401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D26003402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D26003621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D26003817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D26003851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D26004193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D26004212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D26004213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D26004260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D26004324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D26004433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D26004788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D26004826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D26005003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B26004159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T25001634K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T25001713K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T26000058K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D26004769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D26003854</v>
          </cell>
          <cell r="AP2604">
            <v>0</v>
          </cell>
          <cell r="AQ2604">
            <v>0</v>
          </cell>
          <cell r="AV2604">
            <v>7400000</v>
          </cell>
        </row>
        <row r="2605">
          <cell r="E2605" t="str">
            <v>B26003577</v>
          </cell>
          <cell r="AP2605">
            <v>0</v>
          </cell>
          <cell r="AQ2605">
            <v>0</v>
          </cell>
          <cell r="AV2605">
            <v>436000</v>
          </cell>
        </row>
        <row r="2606">
          <cell r="E2606" t="str">
            <v>B26003578</v>
          </cell>
          <cell r="AP2606">
            <v>0</v>
          </cell>
          <cell r="AQ2606">
            <v>0</v>
          </cell>
          <cell r="AV2606">
            <v>2060000</v>
          </cell>
        </row>
        <row r="2607">
          <cell r="E2607" t="str">
            <v>B26004029</v>
          </cell>
          <cell r="AP2607">
            <v>0</v>
          </cell>
          <cell r="AQ2607">
            <v>0</v>
          </cell>
          <cell r="AV2607">
            <v>1420000</v>
          </cell>
        </row>
        <row r="2608">
          <cell r="E2608" t="str">
            <v>D26004831</v>
          </cell>
          <cell r="AP2608">
            <v>0</v>
          </cell>
          <cell r="AQ2608">
            <v>0</v>
          </cell>
          <cell r="AV2608">
            <v>11374000</v>
          </cell>
        </row>
        <row r="2609">
          <cell r="E2609" t="str">
            <v>D26004832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T26000031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T26000049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T26000056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D26001370</v>
          </cell>
          <cell r="AP2613">
            <v>0</v>
          </cell>
          <cell r="AQ2613">
            <v>0</v>
          </cell>
          <cell r="AV2613">
            <v>18000000</v>
          </cell>
        </row>
        <row r="2614">
          <cell r="E2614" t="str">
            <v>D26001370</v>
          </cell>
          <cell r="AP2614">
            <v>0</v>
          </cell>
          <cell r="AQ2614">
            <v>0</v>
          </cell>
          <cell r="AV2614">
            <v>36600000</v>
          </cell>
        </row>
        <row r="2615">
          <cell r="E2615" t="str">
            <v>D26001592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B26001587</v>
          </cell>
          <cell r="AP2616">
            <v>0</v>
          </cell>
          <cell r="AQ2616">
            <v>0</v>
          </cell>
          <cell r="AV2616">
            <v>22385000</v>
          </cell>
        </row>
        <row r="2617">
          <cell r="E2617" t="str">
            <v>T26000126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B26001938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D26002043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D26002069</v>
          </cell>
          <cell r="AP2620">
            <v>0</v>
          </cell>
          <cell r="AQ2620">
            <v>0</v>
          </cell>
          <cell r="AV2620">
            <v>11200000</v>
          </cell>
        </row>
        <row r="2621">
          <cell r="E2621" t="str">
            <v>D26002083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B26002591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B26002592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B26002792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B26002793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B26003279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D26004074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D26004114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D26004115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D26004143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D26002332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D26003047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B26003013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B26003672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B26004047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B26004048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D26004478</v>
          </cell>
          <cell r="AP2637">
            <v>0</v>
          </cell>
          <cell r="AQ2637">
            <v>0</v>
          </cell>
          <cell r="AV2637">
            <v>2200000</v>
          </cell>
        </row>
        <row r="2638">
          <cell r="E2638" t="str">
            <v>D25018821</v>
          </cell>
          <cell r="AP2638">
            <v>0</v>
          </cell>
          <cell r="AQ2638">
            <v>0</v>
          </cell>
          <cell r="AV2638">
            <v>13000000</v>
          </cell>
        </row>
        <row r="2639">
          <cell r="E2639" t="str">
            <v>B26000110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D26000050</v>
          </cell>
          <cell r="AP2640">
            <v>0</v>
          </cell>
          <cell r="AQ2640">
            <v>0</v>
          </cell>
          <cell r="AV2640">
            <v>6210000</v>
          </cell>
        </row>
        <row r="2641">
          <cell r="E2641" t="str">
            <v>D26000160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T26000010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B26000174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B26000547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B26000548</v>
          </cell>
          <cell r="AP2645">
            <v>0</v>
          </cell>
          <cell r="AQ2645">
            <v>0</v>
          </cell>
          <cell r="AV2645">
            <v>5160000</v>
          </cell>
        </row>
        <row r="2646">
          <cell r="E2646" t="str">
            <v>B26000549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B26000820</v>
          </cell>
          <cell r="AP2647">
            <v>0</v>
          </cell>
          <cell r="AQ2647">
            <v>0</v>
          </cell>
          <cell r="AV2647">
            <v>1200000</v>
          </cell>
        </row>
        <row r="2648">
          <cell r="E2648" t="str">
            <v>D26000934</v>
          </cell>
          <cell r="AP2648">
            <v>0</v>
          </cell>
          <cell r="AQ2648">
            <v>0</v>
          </cell>
          <cell r="AV2648">
            <v>2250000</v>
          </cell>
        </row>
        <row r="2649">
          <cell r="E2649" t="str">
            <v>D26001000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D26001001</v>
          </cell>
          <cell r="AP2650">
            <v>0</v>
          </cell>
          <cell r="AQ2650">
            <v>0</v>
          </cell>
          <cell r="AV2650">
            <v>1000000</v>
          </cell>
        </row>
        <row r="2651">
          <cell r="E2651" t="str">
            <v>D26001252</v>
          </cell>
          <cell r="AP2651">
            <v>0</v>
          </cell>
          <cell r="AQ2651">
            <v>0</v>
          </cell>
          <cell r="AV2651">
            <v>11950000</v>
          </cell>
        </row>
        <row r="2652">
          <cell r="E2652" t="str">
            <v>D26001253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D26001397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D26001406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B26001746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B26001747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B26001748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B26001749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B26001827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B26001828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B26002469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D26002604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D26002605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D26002606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D26002667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D26002668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B26002869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B26002905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B26002906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B26002989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B26003325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B26003327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B26003555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B26003556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D26004059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B26003808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B26003809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B26003810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D26004575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B26004046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D26004871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B26004091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T26000081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T26000107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B26001915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D26002738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B26003746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D26003693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D26003807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D26004930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D26002810</v>
          </cell>
          <cell r="AP2691">
            <v>0</v>
          </cell>
          <cell r="AQ2691">
            <v>0</v>
          </cell>
          <cell r="AV2691">
            <v>14600000</v>
          </cell>
        </row>
        <row r="2692">
          <cell r="E2692" t="str">
            <v>D26003549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B26003383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D26003696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D26004190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D26002886</v>
          </cell>
          <cell r="AP2696">
            <v>0</v>
          </cell>
          <cell r="AQ2696">
            <v>0</v>
          </cell>
          <cell r="AV2696">
            <v>4680000</v>
          </cell>
        </row>
        <row r="2697">
          <cell r="E2697" t="str">
            <v>D26004750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D26004837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B26004083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B26002459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B26003283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T26000388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B26004037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Z26000825</v>
          </cell>
          <cell r="AP2704">
            <v>0</v>
          </cell>
          <cell r="AQ2704">
            <v>0</v>
          </cell>
          <cell r="AV2704">
            <v>11400000</v>
          </cell>
        </row>
        <row r="2705">
          <cell r="E2705" t="str">
            <v>C26000248</v>
          </cell>
          <cell r="AP2705">
            <v>0</v>
          </cell>
          <cell r="AQ2705">
            <v>0</v>
          </cell>
          <cell r="AV2705">
            <v>8563680</v>
          </cell>
        </row>
        <row r="2706">
          <cell r="E2706" t="str">
            <v>Z26000845</v>
          </cell>
          <cell r="AP2706">
            <v>0</v>
          </cell>
          <cell r="AQ2706">
            <v>0</v>
          </cell>
          <cell r="AV2706">
            <v>2700000</v>
          </cell>
        </row>
        <row r="2707">
          <cell r="E2707" t="str">
            <v>Z26000846</v>
          </cell>
          <cell r="AP2707">
            <v>0</v>
          </cell>
          <cell r="AQ2707">
            <v>0</v>
          </cell>
          <cell r="AV2707">
            <v>1680000</v>
          </cell>
        </row>
        <row r="2708">
          <cell r="E2708" t="str">
            <v>Z26000851</v>
          </cell>
          <cell r="AP2708">
            <v>0</v>
          </cell>
          <cell r="AQ2708">
            <v>0</v>
          </cell>
          <cell r="AV2708">
            <v>19800000</v>
          </cell>
        </row>
        <row r="2709">
          <cell r="E2709" t="str">
            <v>B26003967</v>
          </cell>
          <cell r="AP2709">
            <v>0</v>
          </cell>
          <cell r="AQ2709">
            <v>0</v>
          </cell>
          <cell r="AV2709">
            <v>8952000</v>
          </cell>
        </row>
        <row r="2710">
          <cell r="E2710" t="str">
            <v>Z26000863</v>
          </cell>
          <cell r="AP2710">
            <v>0</v>
          </cell>
          <cell r="AQ2710">
            <v>0</v>
          </cell>
          <cell r="AV2710">
            <v>43260000</v>
          </cell>
        </row>
        <row r="2711">
          <cell r="E2711" t="str">
            <v>Z26000878</v>
          </cell>
          <cell r="AP2711">
            <v>0</v>
          </cell>
          <cell r="AQ2711">
            <v>0</v>
          </cell>
          <cell r="AV2711">
            <v>2250000</v>
          </cell>
        </row>
        <row r="2712">
          <cell r="E2712" t="str">
            <v>Z26000905</v>
          </cell>
          <cell r="AP2712">
            <v>0</v>
          </cell>
          <cell r="AQ2712">
            <v>0</v>
          </cell>
          <cell r="AV2712">
            <v>68100000</v>
          </cell>
        </row>
        <row r="2713">
          <cell r="E2713" t="str">
            <v>Z26000906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Z26000912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Z26000915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Z26000917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Z26000924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B26001118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B26001119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B26001249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B26001250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B26001475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B26001478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B26001642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B26001643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D26001961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D26001962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D26002535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B26003494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B26003495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D26004669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D26004728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D26004729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B26001502</v>
          </cell>
          <cell r="AP2734">
            <v>0</v>
          </cell>
          <cell r="AQ2734">
            <v>0</v>
          </cell>
          <cell r="AV2734">
            <v>7380000</v>
          </cell>
        </row>
        <row r="2735">
          <cell r="E2735" t="str">
            <v>B26001502</v>
          </cell>
          <cell r="AP2735">
            <v>0</v>
          </cell>
          <cell r="AQ2735">
            <v>0</v>
          </cell>
          <cell r="AV2735">
            <v>10000000</v>
          </cell>
        </row>
        <row r="2736">
          <cell r="E2736" t="str">
            <v>D26002281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D26002367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D26002420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D26002491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B26002658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B26002700</v>
          </cell>
          <cell r="AP2741">
            <v>0</v>
          </cell>
          <cell r="AQ2741">
            <v>0</v>
          </cell>
          <cell r="AV2741">
            <v>17620000</v>
          </cell>
        </row>
        <row r="2742">
          <cell r="E2742" t="str">
            <v>B26002993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T26000247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D26003433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B26003335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D26003774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B26003531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D26004205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B26003964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D26004807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D26004909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D26001431</v>
          </cell>
          <cell r="AP2752">
            <v>0</v>
          </cell>
          <cell r="AQ2752">
            <v>0</v>
          </cell>
          <cell r="AV2752">
            <v>9000000</v>
          </cell>
        </row>
        <row r="2753">
          <cell r="E2753" t="str">
            <v>D26003320</v>
          </cell>
          <cell r="AP2753">
            <v>0</v>
          </cell>
          <cell r="AQ2753">
            <v>0</v>
          </cell>
          <cell r="AV2753">
            <v>2250000</v>
          </cell>
        </row>
        <row r="2754">
          <cell r="E2754" t="str">
            <v>B26003306</v>
          </cell>
          <cell r="AP2754">
            <v>0</v>
          </cell>
          <cell r="AQ2754">
            <v>0</v>
          </cell>
          <cell r="AV2754">
            <v>7920000</v>
          </cell>
        </row>
        <row r="2755">
          <cell r="E2755" t="str">
            <v>B26003388</v>
          </cell>
          <cell r="AP2755">
            <v>0</v>
          </cell>
          <cell r="AQ2755">
            <v>0</v>
          </cell>
          <cell r="AV2755">
            <v>1809600</v>
          </cell>
        </row>
        <row r="2756">
          <cell r="E2756" t="str">
            <v>D26004178</v>
          </cell>
          <cell r="AP2756">
            <v>0</v>
          </cell>
          <cell r="AQ2756">
            <v>0</v>
          </cell>
          <cell r="AV2756">
            <v>11320000</v>
          </cell>
        </row>
        <row r="2757">
          <cell r="E2757" t="str">
            <v>B26003835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T26000067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T26000286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D26001703</v>
          </cell>
          <cell r="AP2760">
            <v>0</v>
          </cell>
          <cell r="AQ2760">
            <v>0</v>
          </cell>
          <cell r="AV2760">
            <v>7567500</v>
          </cell>
        </row>
        <row r="2761">
          <cell r="E2761" t="str">
            <v>B26003907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B26004002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B26004003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B26004005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D26000742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T26000037K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T26000087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D26001362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D26002235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T26000154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B26002224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B26002286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B26002287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D26002905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T26000212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B26003145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D26003351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T26000272k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D26003622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D26003934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D26004004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D26004177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D26004198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B26003786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T26000380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B26003943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T26000387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D26004641</v>
          </cell>
          <cell r="AP2788">
            <v>0</v>
          </cell>
          <cell r="AQ2788">
            <v>0</v>
          </cell>
          <cell r="AV2788">
            <v>1860000</v>
          </cell>
        </row>
        <row r="2789">
          <cell r="E2789" t="str">
            <v>D26000546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D26000623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D26001522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D26002825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B26003569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B26004129</v>
          </cell>
          <cell r="AP2794">
            <v>0</v>
          </cell>
          <cell r="AQ2794">
            <v>0</v>
          </cell>
          <cell r="AV2794">
            <v>12900000</v>
          </cell>
        </row>
        <row r="2795">
          <cell r="E2795" t="str">
            <v>D26004981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R26000001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B25014771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D25019221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T26000072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T26000075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B26002165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T26000159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D26003686</v>
          </cell>
          <cell r="AP2803">
            <v>0</v>
          </cell>
          <cell r="AQ2803">
            <v>0</v>
          </cell>
          <cell r="AV2803">
            <v>50000000</v>
          </cell>
        </row>
        <row r="2804">
          <cell r="E2804" t="str">
            <v>B26003410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B26003868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D26004912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D26004464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B25016978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D25019626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B26000278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B26000628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B26003643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B26003645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B26003646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D26004235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D26002359</v>
          </cell>
          <cell r="AP2816">
            <v>0</v>
          </cell>
          <cell r="AQ2816">
            <v>0</v>
          </cell>
          <cell r="AV2816">
            <v>30600000</v>
          </cell>
        </row>
        <row r="2817">
          <cell r="E2817" t="str">
            <v>D26004479</v>
          </cell>
          <cell r="AP2817">
            <v>0</v>
          </cell>
          <cell r="AQ2817">
            <v>0</v>
          </cell>
          <cell r="AV2817">
            <v>6350000</v>
          </cell>
        </row>
        <row r="2818">
          <cell r="E2818" t="str">
            <v>B26004057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B26004127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B26003158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D26003582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D26003609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B26003848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B26003849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D26004671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D26004745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D26004751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B26004151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T25001873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D25019721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B26000452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D26001889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D26004893</v>
          </cell>
          <cell r="AP2833">
            <v>0</v>
          </cell>
          <cell r="AQ2833">
            <v>0</v>
          </cell>
          <cell r="AV2833">
            <v>17000000</v>
          </cell>
        </row>
        <row r="2834">
          <cell r="E2834" t="str">
            <v>T25001857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D26002005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B26002546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D26004958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D26005041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B26003090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B26003091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L26000009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B26003817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B26003828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D26004497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C26000244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B26004149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D26004058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D26004221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D26004334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D26002718</v>
          </cell>
          <cell r="AP2850">
            <v>0</v>
          </cell>
          <cell r="AQ2850">
            <v>0</v>
          </cell>
          <cell r="AV2850">
            <v>18120000</v>
          </cell>
        </row>
        <row r="2851">
          <cell r="E2851" t="str">
            <v>D26003207</v>
          </cell>
          <cell r="AP2851">
            <v>0</v>
          </cell>
          <cell r="AQ2851">
            <v>0</v>
          </cell>
          <cell r="AV2851">
            <v>9362000</v>
          </cell>
        </row>
        <row r="2852">
          <cell r="E2852" t="str">
            <v>B26003268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B26003269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D26003685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B26003729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L26000017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B26004080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B26004081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B26004082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B26004125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B26003772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D26003965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B26002026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B26002098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B26002493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B26002718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B26004148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B26003415</v>
          </cell>
          <cell r="AP2868">
            <v>0</v>
          </cell>
          <cell r="AQ2868">
            <v>0</v>
          </cell>
          <cell r="AV2868">
            <v>0</v>
          </cell>
        </row>
        <row r="2869">
          <cell r="E2869" t="str">
            <v>D26003784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B26002099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B26002119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B26002501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D26003260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B26003505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B26003871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D26000787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B26001474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B26002102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B26003151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B26002393</v>
          </cell>
          <cell r="AP2880">
            <v>0</v>
          </cell>
          <cell r="AQ2880">
            <v>0</v>
          </cell>
          <cell r="AV2880">
            <v>1900000</v>
          </cell>
        </row>
        <row r="2881">
          <cell r="E2881" t="str">
            <v>D26002554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D26002578</v>
          </cell>
          <cell r="AP2882">
            <v>0</v>
          </cell>
          <cell r="AQ2882">
            <v>0</v>
          </cell>
          <cell r="AV2882">
            <v>5100000</v>
          </cell>
        </row>
        <row r="2883">
          <cell r="E2883" t="str">
            <v>D26003437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D26003661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D26003668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C26000245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C26000246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B26002865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B26002889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D26004782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D26004902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D26002318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B26002644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B26002824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B26002825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B26003127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B26003491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B26003994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D26004953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B26003635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D26001958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D26003529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D21000994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B25016767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B25016768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B25016769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T25001878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D25019426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D25019525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D26000138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D26000258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D26000379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D26000443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T26000091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D26001793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D26001799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B26002045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B26002046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D26002265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D26002568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B26002666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B26002686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T26000193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B26002708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D26003021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B26002878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B26003146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D26003493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D26003531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D26003758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D26004014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T26000336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B26002382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D26004017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T26000337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B26002609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D26003422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B26004071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D26002654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D26002655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B26003319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B26003721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D26001346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B26001871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B26002586</v>
          </cell>
          <cell r="AP2945">
            <v>0</v>
          </cell>
          <cell r="AQ2945">
            <v>0</v>
          </cell>
          <cell r="AV2945">
            <v>6240000</v>
          </cell>
        </row>
        <row r="2946">
          <cell r="E2946" t="str">
            <v>B26002587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D26003064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B26002902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B26002947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B26002995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T26000269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B26003353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D26003881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B26003617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D26004184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D26004250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B26003753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B26003758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B26003836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D26004557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T26000383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T26000384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D26004715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T26000398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B26004108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D26004877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Z26000254</v>
          </cell>
          <cell r="AP2967">
            <v>36657500</v>
          </cell>
          <cell r="AQ2967">
            <v>0</v>
          </cell>
          <cell r="AV2967">
            <v>0</v>
          </cell>
        </row>
        <row r="2968">
          <cell r="E2968" t="str">
            <v>Z26000354</v>
          </cell>
          <cell r="AP2968">
            <v>0</v>
          </cell>
          <cell r="AQ2968">
            <v>0</v>
          </cell>
          <cell r="AV2968">
            <v>228000000</v>
          </cell>
        </row>
        <row r="2969">
          <cell r="E2969" t="str">
            <v>Z26000394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Z26000428</v>
          </cell>
          <cell r="AP2970">
            <v>0</v>
          </cell>
          <cell r="AQ2970">
            <v>0</v>
          </cell>
          <cell r="AV2970">
            <v>56000000</v>
          </cell>
        </row>
        <row r="2971">
          <cell r="E2971" t="str">
            <v>Z26000429</v>
          </cell>
          <cell r="AP2971">
            <v>0</v>
          </cell>
          <cell r="AQ2971">
            <v>0</v>
          </cell>
          <cell r="AV2971">
            <v>68625000</v>
          </cell>
        </row>
        <row r="2972">
          <cell r="E2972" t="str">
            <v>Z26000432</v>
          </cell>
          <cell r="AP2972">
            <v>0</v>
          </cell>
          <cell r="AQ2972">
            <v>0</v>
          </cell>
          <cell r="AV2972">
            <v>2250000</v>
          </cell>
        </row>
        <row r="2973">
          <cell r="E2973" t="str">
            <v>Z26000461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Z26000462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Z26000474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Z26000486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Z26000502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Z26000503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Z26000506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Z26000510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Z26000515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Z26000528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Z26000532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Z26000533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Z26000534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Z26000541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Z26000553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Z26000554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Z26000564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Z26000566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Z26000572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Z26000573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Z26000580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Z26000582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Z26000603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Z26000608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Z26000610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Z26000611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Z26000622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Z26000625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Z26000643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Z26000644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Z26000653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Z26000666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Z26000675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Z26000677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Z26000678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Z26000687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Z26000695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Z26000698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Z26000709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Z26000717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Z26000749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Z26000751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Z26000776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Z26000778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Z26000780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Z26000796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Z26000797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Z26000802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Z26000810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Z26000811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Z26000832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Z260010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Z26000838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Z26000852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Z26000853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Z26000854</v>
          </cell>
          <cell r="AP3028">
            <v>0</v>
          </cell>
          <cell r="AQ3028">
            <v>0</v>
          </cell>
          <cell r="AV3028">
            <v>56250000</v>
          </cell>
        </row>
        <row r="3029">
          <cell r="E3029" t="str">
            <v>Z26000855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Z26000861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Z260011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Z26000877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Z26000884</v>
          </cell>
          <cell r="AP3033">
            <v>0</v>
          </cell>
          <cell r="AQ3033">
            <v>0</v>
          </cell>
          <cell r="AV3033">
            <v>74900000</v>
          </cell>
        </row>
        <row r="3034">
          <cell r="E3034" t="str">
            <v>Z26000898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Z26000907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Z26000908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Z26000909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Z26000910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Z26000921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Z26000922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B26003187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D26003788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D26004614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D26004649</v>
          </cell>
          <cell r="AP3044">
            <v>0</v>
          </cell>
          <cell r="AQ3044">
            <v>0</v>
          </cell>
          <cell r="AV3044">
            <v>1050000</v>
          </cell>
        </row>
        <row r="3045">
          <cell r="E3045" t="str">
            <v>D26004589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D26004620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D26004621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B26004038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D26002498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D26003168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D26004808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D26004809</v>
          </cell>
          <cell r="AP3052">
            <v>0</v>
          </cell>
          <cell r="AQ3052">
            <v>0</v>
          </cell>
          <cell r="AV3052">
            <v>970000</v>
          </cell>
        </row>
        <row r="3053">
          <cell r="E3053" t="str">
            <v>D26004810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D26004675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D26004681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D26004869</v>
          </cell>
          <cell r="AP3056">
            <v>0</v>
          </cell>
          <cell r="AQ3056">
            <v>0</v>
          </cell>
          <cell r="AV3056">
            <v>7400000</v>
          </cell>
        </row>
        <row r="3057">
          <cell r="E3057" t="str">
            <v>B26001617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D26002275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D26002319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D26003676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T26000179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B26002754</v>
          </cell>
          <cell r="AP3062">
            <v>0</v>
          </cell>
          <cell r="AQ3062">
            <v>0</v>
          </cell>
          <cell r="AV3062">
            <v>2760000</v>
          </cell>
        </row>
        <row r="3063">
          <cell r="E3063" t="str">
            <v>B26002755</v>
          </cell>
          <cell r="AP3063">
            <v>0</v>
          </cell>
          <cell r="AQ3063">
            <v>0</v>
          </cell>
          <cell r="AV3063">
            <v>18990000</v>
          </cell>
        </row>
        <row r="3064">
          <cell r="E3064" t="str">
            <v>B26002756</v>
          </cell>
          <cell r="AP3064">
            <v>0</v>
          </cell>
          <cell r="AQ3064">
            <v>0</v>
          </cell>
          <cell r="AV3064">
            <v>8906400</v>
          </cell>
        </row>
        <row r="3065">
          <cell r="E3065" t="str">
            <v>B26002757</v>
          </cell>
          <cell r="AP3065">
            <v>0</v>
          </cell>
          <cell r="AQ3065">
            <v>0</v>
          </cell>
          <cell r="AV3065">
            <v>1790000</v>
          </cell>
        </row>
        <row r="3066">
          <cell r="E3066" t="str">
            <v>B26002883</v>
          </cell>
          <cell r="AP3066">
            <v>0</v>
          </cell>
          <cell r="AQ3066">
            <v>0</v>
          </cell>
          <cell r="AV3066">
            <v>7180000</v>
          </cell>
        </row>
        <row r="3067">
          <cell r="E3067" t="str">
            <v>B26003075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B26003076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B26003378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D26004152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B26003893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B26003894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B26003895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B26003896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B26003992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D26003949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D26003950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D26003951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D26003952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T26000127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T26000128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D26003564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Z25003155</v>
          </cell>
          <cell r="AP3083">
            <v>0</v>
          </cell>
          <cell r="AQ3083">
            <v>0</v>
          </cell>
          <cell r="AV3083">
            <v>57750000</v>
          </cell>
        </row>
        <row r="3084">
          <cell r="E3084" t="str">
            <v>Z25003160</v>
          </cell>
          <cell r="AP3084">
            <v>0</v>
          </cell>
          <cell r="AQ3084">
            <v>0</v>
          </cell>
          <cell r="AV3084">
            <v>3045000</v>
          </cell>
        </row>
        <row r="3085">
          <cell r="E3085" t="str">
            <v>Z25003231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Z26000132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Z26000165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Z26000295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Z26000760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Z26000869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D26002520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B26002454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D26002624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D26004438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D26004446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B26003888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B26003947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D26004727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D26004748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T26000399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B26001151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B26001152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D26004098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T26000343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T26000039</v>
          </cell>
          <cell r="AP3105">
            <v>0</v>
          </cell>
          <cell r="AQ3105">
            <v>0</v>
          </cell>
          <cell r="AV3105">
            <v>8600000</v>
          </cell>
        </row>
        <row r="3106">
          <cell r="E3106" t="str">
            <v>T26000303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D26004862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B26003043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B26003918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D25017877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D26002843</v>
          </cell>
          <cell r="AP3111">
            <v>0</v>
          </cell>
          <cell r="AQ3111">
            <v>0</v>
          </cell>
          <cell r="AV3111">
            <v>3187500</v>
          </cell>
        </row>
        <row r="3112">
          <cell r="E3112" t="str">
            <v>D26002844</v>
          </cell>
          <cell r="AP3112">
            <v>0</v>
          </cell>
          <cell r="AQ3112">
            <v>0</v>
          </cell>
          <cell r="AV3112">
            <v>3400000</v>
          </cell>
        </row>
        <row r="3113">
          <cell r="E3113" t="str">
            <v>B26002742</v>
          </cell>
          <cell r="AP3113">
            <v>0</v>
          </cell>
          <cell r="AQ3113">
            <v>0</v>
          </cell>
          <cell r="AV3113">
            <v>1700000</v>
          </cell>
        </row>
        <row r="3114">
          <cell r="E3114" t="str">
            <v>B26002768</v>
          </cell>
          <cell r="AP3114">
            <v>0</v>
          </cell>
          <cell r="AQ3114">
            <v>0</v>
          </cell>
          <cell r="AV3114">
            <v>6150000</v>
          </cell>
        </row>
        <row r="3115">
          <cell r="E3115" t="str">
            <v>B26002779</v>
          </cell>
          <cell r="AP3115">
            <v>0</v>
          </cell>
          <cell r="AQ3115">
            <v>0</v>
          </cell>
          <cell r="AV3115">
            <v>3640000</v>
          </cell>
        </row>
        <row r="3116">
          <cell r="E3116" t="str">
            <v>B26002829</v>
          </cell>
          <cell r="AP3116">
            <v>0</v>
          </cell>
          <cell r="AQ3116">
            <v>0</v>
          </cell>
          <cell r="AV3116">
            <v>1490000</v>
          </cell>
        </row>
        <row r="3117">
          <cell r="E3117" t="str">
            <v>T26000239</v>
          </cell>
          <cell r="AP3117">
            <v>0</v>
          </cell>
          <cell r="AQ3117">
            <v>0</v>
          </cell>
          <cell r="AV3117">
            <v>1240000</v>
          </cell>
        </row>
        <row r="3118">
          <cell r="E3118" t="str">
            <v>B26003015</v>
          </cell>
          <cell r="AP3118">
            <v>0</v>
          </cell>
          <cell r="AQ3118">
            <v>0</v>
          </cell>
          <cell r="AV3118">
            <v>970000</v>
          </cell>
        </row>
        <row r="3119">
          <cell r="E3119" t="str">
            <v>B26003041</v>
          </cell>
          <cell r="AP3119">
            <v>0</v>
          </cell>
          <cell r="AQ3119">
            <v>0</v>
          </cell>
          <cell r="AV3119">
            <v>5940000</v>
          </cell>
        </row>
        <row r="3120">
          <cell r="E3120" t="str">
            <v>D26003244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D26003245</v>
          </cell>
          <cell r="AP3121">
            <v>0</v>
          </cell>
          <cell r="AQ3121">
            <v>0</v>
          </cell>
          <cell r="AV3121">
            <v>315000</v>
          </cell>
        </row>
        <row r="3122">
          <cell r="E3122" t="str">
            <v>D26003289</v>
          </cell>
          <cell r="AP3122">
            <v>0</v>
          </cell>
          <cell r="AQ3122">
            <v>0</v>
          </cell>
          <cell r="AV3122">
            <v>4200000</v>
          </cell>
        </row>
        <row r="3123">
          <cell r="E3123" t="str">
            <v>B26003225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D26003914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B26003559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D26004066</v>
          </cell>
          <cell r="AP3126">
            <v>0</v>
          </cell>
          <cell r="AQ3126">
            <v>0</v>
          </cell>
          <cell r="AV3126">
            <v>0</v>
          </cell>
        </row>
        <row r="3127">
          <cell r="E3127" t="str">
            <v>D26004358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D26004359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 t="str">
            <v>D26004456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D26004534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D26004543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D26004544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D26004597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D26004598</v>
          </cell>
          <cell r="AP3134">
            <v>0</v>
          </cell>
          <cell r="AQ3134">
            <v>0</v>
          </cell>
          <cell r="AV3134">
            <v>4240000</v>
          </cell>
        </row>
        <row r="3135">
          <cell r="E3135" t="str">
            <v>D26004803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D26004923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D26005019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B26004009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D26002803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D26002804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D26002805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B26003284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B26003285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B26003372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D26003839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D26003840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N26000041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D26005006</v>
          </cell>
          <cell r="AP3148">
            <v>0</v>
          </cell>
          <cell r="AQ3148">
            <v>0</v>
          </cell>
          <cell r="AV3148">
            <v>15960000</v>
          </cell>
        </row>
        <row r="3149">
          <cell r="E3149" t="str">
            <v>C26000268</v>
          </cell>
          <cell r="AP3149">
            <v>0</v>
          </cell>
          <cell r="AQ3149">
            <v>0</v>
          </cell>
          <cell r="AV3149">
            <v>3440000</v>
          </cell>
        </row>
        <row r="3150">
          <cell r="E3150" t="str">
            <v>C26000275</v>
          </cell>
          <cell r="AP3150">
            <v>0</v>
          </cell>
          <cell r="AQ3150">
            <v>0</v>
          </cell>
          <cell r="AV3150">
            <v>3440000</v>
          </cell>
        </row>
        <row r="3151">
          <cell r="E3151" t="str">
            <v>B25016719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T25001870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D25019687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D26000794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B26000762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B26000763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B26000789</v>
          </cell>
          <cell r="AP3157">
            <v>0</v>
          </cell>
          <cell r="AQ3157">
            <v>0</v>
          </cell>
          <cell r="AV3157">
            <v>0</v>
          </cell>
        </row>
        <row r="3158">
          <cell r="E3158" t="str">
            <v>B26001310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B26001316</v>
          </cell>
          <cell r="AP3159">
            <v>0</v>
          </cell>
          <cell r="AQ3159">
            <v>0</v>
          </cell>
          <cell r="AV3159">
            <v>0</v>
          </cell>
        </row>
        <row r="3160">
          <cell r="E3160" t="str">
            <v>D26001513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B26001625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B26001648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D26001764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 t="str">
            <v>D26001893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D26002056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D26002258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B26002199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B26002241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D26002635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B26002574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B26002575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B26002922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B26002923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B26002940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B26003156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B26003157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D26003376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B26003315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D26004298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D26004382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D26004383</v>
          </cell>
          <cell r="AP3181">
            <v>0</v>
          </cell>
          <cell r="AQ3181">
            <v>0</v>
          </cell>
          <cell r="AV3181">
            <v>0</v>
          </cell>
        </row>
        <row r="3182">
          <cell r="E3182" t="str">
            <v>D26004384</v>
          </cell>
          <cell r="AP3182">
            <v>0</v>
          </cell>
          <cell r="AQ3182">
            <v>0</v>
          </cell>
          <cell r="AV3182">
            <v>0</v>
          </cell>
        </row>
        <row r="3183">
          <cell r="E3183" t="str">
            <v>D26004385</v>
          </cell>
          <cell r="AP3183">
            <v>0</v>
          </cell>
          <cell r="AQ3183">
            <v>0</v>
          </cell>
          <cell r="AV3183">
            <v>0</v>
          </cell>
        </row>
        <row r="3184">
          <cell r="E3184" t="str">
            <v>T26000085</v>
          </cell>
          <cell r="AP3184">
            <v>0</v>
          </cell>
          <cell r="AQ3184">
            <v>0</v>
          </cell>
          <cell r="AV3184">
            <v>6720000</v>
          </cell>
        </row>
        <row r="3185">
          <cell r="E3185" t="str">
            <v>B26002044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D25018352</v>
          </cell>
          <cell r="AP3186">
            <v>0</v>
          </cell>
          <cell r="AQ3186">
            <v>0</v>
          </cell>
          <cell r="AV3186">
            <v>0</v>
          </cell>
        </row>
        <row r="3187">
          <cell r="E3187" t="str">
            <v>T26000246</v>
          </cell>
          <cell r="AP3187">
            <v>0</v>
          </cell>
          <cell r="AQ3187">
            <v>0</v>
          </cell>
          <cell r="AV3187">
            <v>0</v>
          </cell>
        </row>
        <row r="3188">
          <cell r="E3188" t="str">
            <v>B26003044</v>
          </cell>
          <cell r="AP3188">
            <v>0</v>
          </cell>
          <cell r="AQ3188">
            <v>0</v>
          </cell>
          <cell r="AV3188">
            <v>0</v>
          </cell>
        </row>
        <row r="3189">
          <cell r="E3189" t="str">
            <v>B26003046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B26003117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B26003201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B26003202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B26003350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B26003424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D26003824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D26003905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B26003526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D26004025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D26004302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D26004436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D26004454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D26004812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B26000904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B26002696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B26002638</v>
          </cell>
          <cell r="AP3205">
            <v>0</v>
          </cell>
          <cell r="AQ3205">
            <v>0</v>
          </cell>
          <cell r="AV3205">
            <v>13800000</v>
          </cell>
        </row>
        <row r="3206">
          <cell r="E3206" t="str">
            <v>D26003057</v>
          </cell>
          <cell r="AP3206">
            <v>0</v>
          </cell>
          <cell r="AQ3206">
            <v>0</v>
          </cell>
          <cell r="AV3206">
            <v>1200000</v>
          </cell>
        </row>
        <row r="3207">
          <cell r="E3207" t="str">
            <v>D26003057</v>
          </cell>
          <cell r="AP3207">
            <v>0</v>
          </cell>
          <cell r="AQ3207">
            <v>0</v>
          </cell>
          <cell r="AV3207">
            <v>15000000</v>
          </cell>
        </row>
        <row r="3208">
          <cell r="E3208" t="str">
            <v>B26003460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B26002615</v>
          </cell>
          <cell r="AP3209">
            <v>0</v>
          </cell>
          <cell r="AQ3209">
            <v>0</v>
          </cell>
          <cell r="AV3209">
            <v>2700000</v>
          </cell>
        </row>
        <row r="3210">
          <cell r="E3210" t="str">
            <v>B26003189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D26000841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B26002220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B25015514</v>
          </cell>
          <cell r="AP3213">
            <v>0</v>
          </cell>
          <cell r="AQ3213">
            <v>0</v>
          </cell>
          <cell r="AV3213">
            <v>244050000</v>
          </cell>
        </row>
        <row r="3214">
          <cell r="E3214" t="str">
            <v>B25015835</v>
          </cell>
          <cell r="AP3214">
            <v>0</v>
          </cell>
          <cell r="AQ3214">
            <v>0</v>
          </cell>
          <cell r="AV3214">
            <v>55950000</v>
          </cell>
        </row>
        <row r="3215">
          <cell r="E3215" t="str">
            <v>B25015835</v>
          </cell>
          <cell r="AP3215">
            <v>0</v>
          </cell>
          <cell r="AQ3215">
            <v>0</v>
          </cell>
          <cell r="AV3215">
            <v>61550000</v>
          </cell>
        </row>
        <row r="3216">
          <cell r="E3216" t="str">
            <v>D25018981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D25018982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B25016652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D25019412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B26002130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B26002131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D26002290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D26002298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D26002306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B26002265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B26002266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D26002471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T26000166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D26002518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T26000177K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B26002557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D26002755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D26002800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D26002806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D26002814</v>
          </cell>
          <cell r="AP3235">
            <v>0</v>
          </cell>
          <cell r="AQ3235">
            <v>0</v>
          </cell>
          <cell r="AV3235">
            <v>0</v>
          </cell>
        </row>
        <row r="3236">
          <cell r="E3236" t="str">
            <v>D26002815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B26002802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B26002803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D26003008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D26003129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B26002942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B26002943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B26002977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D26003228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D26003229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T26000281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D26003571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D26003572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D26003580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D26003600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D26003733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B26003396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B26003397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D26004020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D26004021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D26004047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D26004049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B26003628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D26004843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D26004852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D26004853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D26004854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D26004855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B26004055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D26005065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B26002408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D26003465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B26003266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B26003515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B26003798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Z26000445</v>
          </cell>
          <cell r="AP3271">
            <v>0</v>
          </cell>
          <cell r="AQ3271">
            <v>0</v>
          </cell>
          <cell r="AV3271">
            <v>0</v>
          </cell>
        </row>
        <row r="3272">
          <cell r="E3272" t="str">
            <v>Z26000537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Z26000551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Z26000658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Z26000706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Z26000719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Z26000720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Z26000795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Z26000829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Z26000830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Z26000831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Z26000836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Z26000837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Z26000891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Z26000892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Z26000893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Z26000894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Z26000916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Z26000918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D26004501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D26004508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D26004527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D26003773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D25018111</v>
          </cell>
          <cell r="AP3294">
            <v>0</v>
          </cell>
          <cell r="AQ3294">
            <v>0</v>
          </cell>
          <cell r="AV3294">
            <v>569290000</v>
          </cell>
        </row>
        <row r="3295">
          <cell r="E3295" t="str">
            <v>D26002343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D26002344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D26002345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B26000121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T26000009</v>
          </cell>
          <cell r="AP3299">
            <v>0</v>
          </cell>
          <cell r="AQ3299">
            <v>0</v>
          </cell>
          <cell r="AV3299">
            <v>1775000</v>
          </cell>
        </row>
        <row r="3300">
          <cell r="E3300" t="str">
            <v>B26001639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D26002196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T26000151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T26000302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C26000263</v>
          </cell>
          <cell r="AP3304">
            <v>0</v>
          </cell>
          <cell r="AQ3304">
            <v>0</v>
          </cell>
          <cell r="AV3304">
            <v>37500</v>
          </cell>
        </row>
        <row r="3305">
          <cell r="E3305" t="str">
            <v>D26004842</v>
          </cell>
          <cell r="AP3305">
            <v>0</v>
          </cell>
          <cell r="AQ3305">
            <v>0</v>
          </cell>
          <cell r="AV3305">
            <v>800000</v>
          </cell>
        </row>
        <row r="3306">
          <cell r="E3306" t="str">
            <v>B25016323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B25016323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B25016368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D25019153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D25019210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D25019264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D25019264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D25019264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D25019268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D25019268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D25019269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D25019356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D25019356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D25019394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D25019394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D25019517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D25019517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D25019595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D25019595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D25019595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D25019596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D25019596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D25019596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D25019596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B25017086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B25017135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D26000080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D26000080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D26000080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D26000080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D26000080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D26000080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D26000081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D26000081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D26000083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D26000083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D26000536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D26000583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D26001285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D26001285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D26001494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D26001494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D26001494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D26001494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D26001508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D26001508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D26001675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D26001675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D26001675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D26001675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D26001675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D26001675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D26001675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D26001676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D26001770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D26001770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D26001802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D26001802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D26002025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D26002025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D26002025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D26002430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D26002430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D26002430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D26002430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D26002430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D26002443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D26002443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D26002512</v>
          </cell>
          <cell r="AP3374">
            <v>0</v>
          </cell>
          <cell r="AQ3374">
            <v>76600000</v>
          </cell>
          <cell r="AV3374">
            <v>0</v>
          </cell>
        </row>
        <row r="3375">
          <cell r="E3375" t="str">
            <v>D26002512</v>
          </cell>
          <cell r="AP3375">
            <v>0</v>
          </cell>
          <cell r="AQ3375">
            <v>100000000</v>
          </cell>
          <cell r="AV3375">
            <v>0</v>
          </cell>
        </row>
        <row r="3376">
          <cell r="E3376" t="str">
            <v>D26002512</v>
          </cell>
          <cell r="AP3376">
            <v>0</v>
          </cell>
          <cell r="AQ3376">
            <v>100000000</v>
          </cell>
          <cell r="AV3376">
            <v>0</v>
          </cell>
        </row>
        <row r="3377">
          <cell r="E3377" t="str">
            <v>D26002512</v>
          </cell>
          <cell r="AP3377">
            <v>0</v>
          </cell>
          <cell r="AQ3377">
            <v>100000000</v>
          </cell>
          <cell r="AV3377">
            <v>0</v>
          </cell>
        </row>
        <row r="3378">
          <cell r="E3378" t="str">
            <v>D26002512</v>
          </cell>
          <cell r="AP3378">
            <v>0</v>
          </cell>
          <cell r="AQ3378">
            <v>100000000</v>
          </cell>
          <cell r="AV3378">
            <v>0</v>
          </cell>
        </row>
        <row r="3379">
          <cell r="E3379" t="str">
            <v>D26002512</v>
          </cell>
          <cell r="AP3379">
            <v>0</v>
          </cell>
          <cell r="AQ3379">
            <v>100000000</v>
          </cell>
          <cell r="AV3379">
            <v>0</v>
          </cell>
        </row>
        <row r="3380">
          <cell r="E3380" t="str">
            <v>D26002512</v>
          </cell>
          <cell r="AP3380">
            <v>0</v>
          </cell>
          <cell r="AQ3380">
            <v>100000000</v>
          </cell>
          <cell r="AV3380">
            <v>0</v>
          </cell>
        </row>
        <row r="3381">
          <cell r="E3381" t="str">
            <v>D26002512</v>
          </cell>
          <cell r="AP3381">
            <v>0</v>
          </cell>
          <cell r="AQ3381">
            <v>100000000</v>
          </cell>
          <cell r="AV3381">
            <v>0</v>
          </cell>
        </row>
        <row r="3382">
          <cell r="E3382" t="str">
            <v>D26002512</v>
          </cell>
          <cell r="AP3382">
            <v>0</v>
          </cell>
          <cell r="AQ3382">
            <v>58250000</v>
          </cell>
          <cell r="AV3382">
            <v>0</v>
          </cell>
        </row>
        <row r="3383">
          <cell r="E3383" t="str">
            <v>D26002513</v>
          </cell>
          <cell r="AP3383">
            <v>0</v>
          </cell>
          <cell r="AQ3383">
            <v>41750000</v>
          </cell>
          <cell r="AV3383">
            <v>0</v>
          </cell>
        </row>
        <row r="3384">
          <cell r="E3384" t="str">
            <v>D26002513</v>
          </cell>
          <cell r="AP3384">
            <v>0</v>
          </cell>
          <cell r="AQ3384">
            <v>100000000</v>
          </cell>
          <cell r="AV3384">
            <v>0</v>
          </cell>
        </row>
        <row r="3385">
          <cell r="E3385" t="str">
            <v>D26002513</v>
          </cell>
          <cell r="AP3385">
            <v>0</v>
          </cell>
          <cell r="AQ3385">
            <v>91500000</v>
          </cell>
          <cell r="AV3385">
            <v>0</v>
          </cell>
        </row>
        <row r="3386">
          <cell r="E3386" t="str">
            <v>D26002626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D26002627</v>
          </cell>
          <cell r="AP3387">
            <v>0</v>
          </cell>
          <cell r="AQ3387">
            <v>92400000</v>
          </cell>
          <cell r="AV3387">
            <v>0</v>
          </cell>
        </row>
        <row r="3388">
          <cell r="E3388" t="str">
            <v>D26002681</v>
          </cell>
          <cell r="AP3388">
            <v>0</v>
          </cell>
          <cell r="AQ3388">
            <v>7600000</v>
          </cell>
          <cell r="AV3388">
            <v>0</v>
          </cell>
        </row>
        <row r="3389">
          <cell r="E3389" t="str">
            <v>D26002681</v>
          </cell>
          <cell r="AP3389">
            <v>0</v>
          </cell>
          <cell r="AQ3389">
            <v>100000000</v>
          </cell>
          <cell r="AV3389">
            <v>0</v>
          </cell>
        </row>
        <row r="3390">
          <cell r="E3390" t="str">
            <v>D26002681</v>
          </cell>
          <cell r="AP3390">
            <v>0</v>
          </cell>
          <cell r="AQ3390">
            <v>100000000</v>
          </cell>
          <cell r="AV3390">
            <v>0</v>
          </cell>
        </row>
        <row r="3391">
          <cell r="E3391" t="str">
            <v>D26002681</v>
          </cell>
          <cell r="AP3391">
            <v>0</v>
          </cell>
          <cell r="AQ3391">
            <v>23400000</v>
          </cell>
          <cell r="AV3391">
            <v>0</v>
          </cell>
        </row>
        <row r="3392">
          <cell r="E3392" t="str">
            <v>D26002691</v>
          </cell>
          <cell r="AP3392">
            <v>0</v>
          </cell>
          <cell r="AQ3392">
            <v>0</v>
          </cell>
          <cell r="AV3392">
            <v>0</v>
          </cell>
        </row>
        <row r="3393">
          <cell r="E3393" t="str">
            <v>B26002751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B26002775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D26002962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D26002986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D26003007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B26003188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D26003643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D26003646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D26003736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D26003968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D26004209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B26003657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D26004386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D26004403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D26004427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D26004592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D26004615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D26004616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D26004874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B26004141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D26004961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D25007908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D25015340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D25010159</v>
          </cell>
          <cell r="AP3416">
            <v>0</v>
          </cell>
          <cell r="AQ3416">
            <v>0</v>
          </cell>
          <cell r="AV3416">
            <v>0</v>
          </cell>
        </row>
        <row r="3417">
          <cell r="E3417" t="str">
            <v>B26003067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D26003306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B26001143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D26004609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D26004610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D26004611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D24016641</v>
          </cell>
          <cell r="AP3423">
            <v>0</v>
          </cell>
          <cell r="AQ3423">
            <v>0</v>
          </cell>
          <cell r="AV3423">
            <v>3000000</v>
          </cell>
        </row>
        <row r="3424">
          <cell r="E3424" t="str">
            <v>T26000346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A26000385</v>
          </cell>
          <cell r="AP3425">
            <v>0</v>
          </cell>
          <cell r="AQ3425">
            <v>0</v>
          </cell>
          <cell r="AV3425">
            <v>36394.85</v>
          </cell>
        </row>
        <row r="3426">
          <cell r="E3426" t="str">
            <v>A26000385</v>
          </cell>
          <cell r="AP3426">
            <v>0</v>
          </cell>
          <cell r="AQ3426">
            <v>0</v>
          </cell>
          <cell r="AV3426">
            <v>9795.1500000000015</v>
          </cell>
        </row>
        <row r="3427">
          <cell r="E3427" t="str">
            <v>A26000431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A26000437</v>
          </cell>
          <cell r="AP3428">
            <v>0</v>
          </cell>
          <cell r="AQ3428">
            <v>0</v>
          </cell>
          <cell r="AV3428">
            <v>20714.25</v>
          </cell>
        </row>
        <row r="3429">
          <cell r="E3429" t="str">
            <v>A26000437</v>
          </cell>
          <cell r="AP3429">
            <v>0</v>
          </cell>
          <cell r="AQ3429">
            <v>0</v>
          </cell>
          <cell r="AV3429">
            <v>6235.75</v>
          </cell>
        </row>
        <row r="3430">
          <cell r="E3430" t="str">
            <v>A26000475</v>
          </cell>
          <cell r="AP3430">
            <v>0</v>
          </cell>
          <cell r="AQ3430">
            <v>0</v>
          </cell>
          <cell r="AV3430">
            <v>91899.61</v>
          </cell>
        </row>
        <row r="3431">
          <cell r="E3431" t="str">
            <v>A26000475</v>
          </cell>
          <cell r="AP3431">
            <v>0</v>
          </cell>
          <cell r="AQ3431">
            <v>0</v>
          </cell>
          <cell r="AV3431">
            <v>22394.39</v>
          </cell>
        </row>
        <row r="3432">
          <cell r="E3432" t="str">
            <v>A26000482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A26000488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A26000489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A26000490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A26000491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A26000492</v>
          </cell>
          <cell r="AP3437">
            <v>0</v>
          </cell>
          <cell r="AQ3437">
            <v>0</v>
          </cell>
          <cell r="AV3437">
            <v>18096.47</v>
          </cell>
        </row>
        <row r="3438">
          <cell r="E3438" t="str">
            <v>A26000492</v>
          </cell>
          <cell r="AP3438">
            <v>0</v>
          </cell>
          <cell r="AQ3438">
            <v>0</v>
          </cell>
          <cell r="AV3438">
            <v>5641.5299999999988</v>
          </cell>
        </row>
        <row r="3439">
          <cell r="E3439" t="str">
            <v>A26000493</v>
          </cell>
          <cell r="AP3439">
            <v>0</v>
          </cell>
          <cell r="AQ3439">
            <v>0</v>
          </cell>
          <cell r="AV3439">
            <v>11841.345000000001</v>
          </cell>
        </row>
        <row r="3440">
          <cell r="E3440" t="str">
            <v>A26000493</v>
          </cell>
          <cell r="AP3440">
            <v>0</v>
          </cell>
          <cell r="AQ3440">
            <v>0</v>
          </cell>
          <cell r="AV3440">
            <v>4221.6549999999988</v>
          </cell>
        </row>
        <row r="3441">
          <cell r="E3441" t="str">
            <v>A26000495</v>
          </cell>
          <cell r="AP3441">
            <v>0</v>
          </cell>
          <cell r="AQ3441">
            <v>0</v>
          </cell>
          <cell r="AV3441">
            <v>61301.25</v>
          </cell>
        </row>
        <row r="3442">
          <cell r="E3442" t="str">
            <v>A26000495</v>
          </cell>
          <cell r="AP3442">
            <v>0</v>
          </cell>
          <cell r="AQ3442">
            <v>0</v>
          </cell>
          <cell r="AV3442">
            <v>15448.75</v>
          </cell>
        </row>
        <row r="3443">
          <cell r="E3443" t="str">
            <v>A26000496</v>
          </cell>
          <cell r="AP3443">
            <v>0</v>
          </cell>
          <cell r="AQ3443">
            <v>0</v>
          </cell>
          <cell r="AV3443">
            <v>11841.345000000001</v>
          </cell>
        </row>
        <row r="3444">
          <cell r="E3444" t="str">
            <v>A26000496</v>
          </cell>
          <cell r="AP3444">
            <v>0</v>
          </cell>
          <cell r="AQ3444">
            <v>0</v>
          </cell>
          <cell r="AV3444">
            <v>4221.6549999999988</v>
          </cell>
        </row>
        <row r="3445">
          <cell r="E3445" t="str">
            <v>A26000501</v>
          </cell>
          <cell r="AP3445">
            <v>0</v>
          </cell>
          <cell r="AQ3445">
            <v>0</v>
          </cell>
          <cell r="AV3445">
            <v>563765.05000000005</v>
          </cell>
        </row>
        <row r="3446">
          <cell r="E3446" t="str">
            <v>A26000501</v>
          </cell>
          <cell r="AP3446">
            <v>0</v>
          </cell>
          <cell r="AQ3446">
            <v>0</v>
          </cell>
          <cell r="AV3446">
            <v>129504.94999999995</v>
          </cell>
        </row>
        <row r="3447">
          <cell r="E3447" t="str">
            <v>A26000502</v>
          </cell>
          <cell r="AP3447">
            <v>0</v>
          </cell>
          <cell r="AQ3447">
            <v>0</v>
          </cell>
          <cell r="AV3447">
            <v>21761.525000000001</v>
          </cell>
        </row>
        <row r="3448">
          <cell r="E3448" t="str">
            <v>A26000502</v>
          </cell>
          <cell r="AP3448">
            <v>0</v>
          </cell>
          <cell r="AQ3448">
            <v>0</v>
          </cell>
          <cell r="AV3448">
            <v>6473.4749999999985</v>
          </cell>
        </row>
        <row r="3449">
          <cell r="E3449" t="str">
            <v>A26000503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A26000504</v>
          </cell>
          <cell r="AP3450">
            <v>0</v>
          </cell>
          <cell r="AQ3450">
            <v>0</v>
          </cell>
          <cell r="AV3450">
            <v>12082.584999999999</v>
          </cell>
        </row>
        <row r="3451">
          <cell r="E3451" t="str">
            <v>A26000504</v>
          </cell>
          <cell r="AP3451">
            <v>0</v>
          </cell>
          <cell r="AQ3451">
            <v>0</v>
          </cell>
          <cell r="AV3451">
            <v>4276.4150000000009</v>
          </cell>
        </row>
        <row r="3452">
          <cell r="E3452" t="str">
            <v>A26000505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A26000506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A26000507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A26000508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A26000509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A26000510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A26000511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A26000512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A26000513</v>
          </cell>
          <cell r="AP3460">
            <v>0</v>
          </cell>
          <cell r="AQ3460">
            <v>0</v>
          </cell>
          <cell r="AV3460">
            <v>37994.695</v>
          </cell>
        </row>
        <row r="3461">
          <cell r="E3461" t="str">
            <v>A26000513</v>
          </cell>
          <cell r="AP3461">
            <v>0</v>
          </cell>
          <cell r="AQ3461">
            <v>0</v>
          </cell>
          <cell r="AV3461">
            <v>10158.305</v>
          </cell>
        </row>
        <row r="3462">
          <cell r="E3462" t="str">
            <v>A26000514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A26000515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A26000516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A26000517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A26000518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A26000519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A26000520</v>
          </cell>
          <cell r="AP3468">
            <v>0</v>
          </cell>
          <cell r="AQ3468">
            <v>0</v>
          </cell>
          <cell r="AV3468">
            <v>19981.565000000002</v>
          </cell>
        </row>
        <row r="3469">
          <cell r="E3469" t="str">
            <v>A26000520</v>
          </cell>
          <cell r="AP3469">
            <v>0</v>
          </cell>
          <cell r="AQ3469">
            <v>0</v>
          </cell>
          <cell r="AV3469">
            <v>6069.4349999999977</v>
          </cell>
        </row>
        <row r="3470">
          <cell r="E3470" t="str">
            <v>A26000521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A26000522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A26000526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A26000527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A26000528</v>
          </cell>
          <cell r="AP3474">
            <v>0</v>
          </cell>
          <cell r="AQ3474">
            <v>0</v>
          </cell>
          <cell r="AV3474">
            <v>19981.565000000002</v>
          </cell>
        </row>
        <row r="3475">
          <cell r="E3475" t="str">
            <v>A26000528</v>
          </cell>
          <cell r="AP3475">
            <v>0</v>
          </cell>
          <cell r="AQ3475">
            <v>0</v>
          </cell>
          <cell r="AV3475">
            <v>6069.4349999999977</v>
          </cell>
        </row>
        <row r="3476">
          <cell r="E3476" t="str">
            <v>A26000529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A26000530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A26000531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A26000532</v>
          </cell>
          <cell r="AP3479">
            <v>0</v>
          </cell>
          <cell r="AQ3479">
            <v>0</v>
          </cell>
          <cell r="AV3479">
            <v>281229</v>
          </cell>
        </row>
        <row r="3480">
          <cell r="E3480" t="str">
            <v>A26000532</v>
          </cell>
          <cell r="AP3480">
            <v>0</v>
          </cell>
          <cell r="AQ3480">
            <v>0</v>
          </cell>
          <cell r="AV3480">
            <v>65371</v>
          </cell>
        </row>
        <row r="3481">
          <cell r="E3481" t="str">
            <v>A26000535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A26000536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A26000537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A26000538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A26000539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A26000540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A26000541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A26000542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A26000543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A26000544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A26000547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A26000548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A26000549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A26000550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A26000551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A26000552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A26000553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A26000554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A26000555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A26000556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A26000557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A26000558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A26000559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A26000565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A26000408</v>
          </cell>
          <cell r="AP3505">
            <v>0</v>
          </cell>
          <cell r="AQ3505">
            <v>0</v>
          </cell>
          <cell r="AV3505">
            <v>0</v>
          </cell>
        </row>
        <row r="3506">
          <cell r="E3506" t="str">
            <v>A26000478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A26000483</v>
          </cell>
          <cell r="AP3507">
            <v>0</v>
          </cell>
          <cell r="AQ3507">
            <v>0</v>
          </cell>
          <cell r="AV3507">
            <v>160425</v>
          </cell>
        </row>
        <row r="3508">
          <cell r="E3508" t="str">
            <v>A26000483</v>
          </cell>
          <cell r="AP3508">
            <v>0</v>
          </cell>
          <cell r="AQ3508">
            <v>0</v>
          </cell>
          <cell r="AV3508">
            <v>30075</v>
          </cell>
        </row>
        <row r="3509">
          <cell r="E3509" t="str">
            <v>A26000484</v>
          </cell>
          <cell r="AP3509">
            <v>0</v>
          </cell>
          <cell r="AQ3509">
            <v>0</v>
          </cell>
          <cell r="AV3509">
            <v>579900</v>
          </cell>
        </row>
        <row r="3510">
          <cell r="E3510" t="str">
            <v>A26000484</v>
          </cell>
          <cell r="AP3510">
            <v>0</v>
          </cell>
          <cell r="AQ3510">
            <v>0</v>
          </cell>
          <cell r="AV3510">
            <v>104100</v>
          </cell>
        </row>
        <row r="3511">
          <cell r="E3511" t="str">
            <v>A26000486</v>
          </cell>
          <cell r="AP3511">
            <v>0</v>
          </cell>
          <cell r="AQ3511">
            <v>0</v>
          </cell>
          <cell r="AV3511">
            <v>79462.5</v>
          </cell>
        </row>
        <row r="3512">
          <cell r="E3512" t="str">
            <v>A26000486</v>
          </cell>
          <cell r="AP3512">
            <v>0</v>
          </cell>
          <cell r="AQ3512">
            <v>0</v>
          </cell>
          <cell r="AV3512">
            <v>15787.5</v>
          </cell>
        </row>
        <row r="3513">
          <cell r="E3513" t="str">
            <v>A26000487</v>
          </cell>
          <cell r="AP3513">
            <v>0</v>
          </cell>
          <cell r="AQ3513">
            <v>0</v>
          </cell>
          <cell r="AV3513">
            <v>206962.5</v>
          </cell>
        </row>
        <row r="3514">
          <cell r="E3514" t="str">
            <v>A26000487</v>
          </cell>
          <cell r="AP3514">
            <v>0</v>
          </cell>
          <cell r="AQ3514">
            <v>0</v>
          </cell>
          <cell r="AV3514">
            <v>38287.5</v>
          </cell>
        </row>
        <row r="3515">
          <cell r="E3515" t="str">
            <v>A26000494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A26000497</v>
          </cell>
          <cell r="AP3516">
            <v>0</v>
          </cell>
          <cell r="AQ3516">
            <v>0</v>
          </cell>
          <cell r="AV3516">
            <v>34837.5</v>
          </cell>
        </row>
        <row r="3517">
          <cell r="E3517" t="str">
            <v>A26000497</v>
          </cell>
          <cell r="AP3517">
            <v>0</v>
          </cell>
          <cell r="AQ3517">
            <v>0</v>
          </cell>
          <cell r="AV3517">
            <v>7912.5</v>
          </cell>
        </row>
        <row r="3518">
          <cell r="E3518" t="str">
            <v>A26000498</v>
          </cell>
          <cell r="AP3518">
            <v>0</v>
          </cell>
          <cell r="AQ3518">
            <v>0</v>
          </cell>
          <cell r="AV3518">
            <v>137900</v>
          </cell>
        </row>
        <row r="3519">
          <cell r="E3519" t="str">
            <v>A26000498</v>
          </cell>
          <cell r="AP3519">
            <v>0</v>
          </cell>
          <cell r="AQ3519">
            <v>0</v>
          </cell>
          <cell r="AV3519">
            <v>26100</v>
          </cell>
        </row>
        <row r="3520">
          <cell r="E3520" t="str">
            <v>A26000499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A26000500</v>
          </cell>
          <cell r="AP3521">
            <v>0</v>
          </cell>
          <cell r="AQ3521">
            <v>0</v>
          </cell>
          <cell r="AV3521">
            <v>160425</v>
          </cell>
        </row>
        <row r="3522">
          <cell r="E3522" t="str">
            <v>A26000500</v>
          </cell>
          <cell r="AP3522">
            <v>0</v>
          </cell>
          <cell r="AQ3522">
            <v>0</v>
          </cell>
          <cell r="AV3522">
            <v>30075</v>
          </cell>
        </row>
        <row r="3523">
          <cell r="E3523" t="str">
            <v>A26000523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A26000524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A26000525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A26000533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A26000534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A26000545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A26000546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A26000560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A26000561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A26000562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A26000563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A26000564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D26003860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T26000374</v>
          </cell>
          <cell r="AP3536">
            <v>0</v>
          </cell>
          <cell r="AQ3536">
            <v>0</v>
          </cell>
          <cell r="AV3536">
            <v>4500000</v>
          </cell>
        </row>
        <row r="3537">
          <cell r="E3537" t="str">
            <v>D26002468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D26002992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D26002993</v>
          </cell>
          <cell r="AP3539">
            <v>0</v>
          </cell>
          <cell r="AQ3539">
            <v>0</v>
          </cell>
          <cell r="AV3539">
            <v>2390000</v>
          </cell>
        </row>
        <row r="3540">
          <cell r="E3540" t="str">
            <v>D26003581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B26003768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B26004120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D26004804</v>
          </cell>
          <cell r="AP3543">
            <v>0</v>
          </cell>
          <cell r="AQ3543">
            <v>0</v>
          </cell>
          <cell r="AV3543">
            <v>4860000</v>
          </cell>
        </row>
        <row r="3544">
          <cell r="E3544" t="str">
            <v>B26002295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B26002299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B26002781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D26003369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D26003370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D26004908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D26003112</v>
          </cell>
          <cell r="AP3550">
            <v>0</v>
          </cell>
          <cell r="AQ3550">
            <v>0</v>
          </cell>
          <cell r="AV3550">
            <v>10000000</v>
          </cell>
        </row>
        <row r="3551">
          <cell r="E3551" t="str">
            <v>B26003196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B26003458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B26003469</v>
          </cell>
          <cell r="AP3553">
            <v>0</v>
          </cell>
          <cell r="AQ3553">
            <v>0</v>
          </cell>
          <cell r="AV3553">
            <v>0</v>
          </cell>
        </row>
        <row r="3554">
          <cell r="E3554" t="str">
            <v>D26001342</v>
          </cell>
          <cell r="AP3554">
            <v>0</v>
          </cell>
          <cell r="AQ3554">
            <v>0</v>
          </cell>
          <cell r="AV3554">
            <v>0</v>
          </cell>
        </row>
        <row r="3555">
          <cell r="E3555" t="str">
            <v>D26001717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D26001786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D26001823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D26002044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B26002552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B26002774</v>
          </cell>
          <cell r="AP3560">
            <v>0</v>
          </cell>
          <cell r="AQ3560">
            <v>92400000</v>
          </cell>
          <cell r="AV3560">
            <v>0</v>
          </cell>
        </row>
        <row r="3561">
          <cell r="E3561" t="str">
            <v>B26002952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B26003209</v>
          </cell>
          <cell r="AP3562">
            <v>0</v>
          </cell>
          <cell r="AQ3562">
            <v>92400000</v>
          </cell>
          <cell r="AV3562">
            <v>0</v>
          </cell>
        </row>
        <row r="3563">
          <cell r="E3563" t="str">
            <v>D26003569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D26003658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D26003728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D26003878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D26003879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B26003486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B26003525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D26004019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B26003539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B26003855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B26003856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D26004606</v>
          </cell>
          <cell r="AP3574">
            <v>0</v>
          </cell>
          <cell r="AQ3574">
            <v>0</v>
          </cell>
          <cell r="AV3574">
            <v>0</v>
          </cell>
        </row>
        <row r="3575">
          <cell r="E3575" t="str">
            <v>B26003975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B26004001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D26004919</v>
          </cell>
          <cell r="AP3577">
            <v>0</v>
          </cell>
          <cell r="AQ3577">
            <v>0</v>
          </cell>
          <cell r="AV3577">
            <v>0</v>
          </cell>
        </row>
        <row r="3578">
          <cell r="E3578" t="str">
            <v>D26005014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D25013126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D26002392</v>
          </cell>
          <cell r="AP3580">
            <v>0</v>
          </cell>
          <cell r="AQ3580">
            <v>0</v>
          </cell>
          <cell r="AV3580">
            <v>0</v>
          </cell>
        </row>
        <row r="3581">
          <cell r="E3581" t="str">
            <v>D26002555</v>
          </cell>
          <cell r="AP3581">
            <v>0</v>
          </cell>
          <cell r="AQ3581">
            <v>0</v>
          </cell>
          <cell r="AV3581">
            <v>0</v>
          </cell>
        </row>
        <row r="3582">
          <cell r="E3582" t="str">
            <v>D26002608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D26002608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D26002974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D26003381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D26003456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D26003456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D26003457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D26003457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D26003659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D26003833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D26004076</v>
          </cell>
          <cell r="AP3592">
            <v>0</v>
          </cell>
          <cell r="AQ3592">
            <v>0</v>
          </cell>
          <cell r="AV3592">
            <v>100000000</v>
          </cell>
        </row>
        <row r="3593">
          <cell r="E3593" t="str">
            <v>D26004140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C26000232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D26004417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D26004474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B26004042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B26004043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B26004044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B26004045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T26000120</v>
          </cell>
          <cell r="AP3601">
            <v>0</v>
          </cell>
          <cell r="AQ3601">
            <v>0</v>
          </cell>
          <cell r="AV3601">
            <v>70000</v>
          </cell>
        </row>
        <row r="3602">
          <cell r="E3602" t="str">
            <v>T26000121k</v>
          </cell>
          <cell r="AP3602">
            <v>0</v>
          </cell>
          <cell r="AQ3602">
            <v>0</v>
          </cell>
          <cell r="AV3602">
            <v>575000</v>
          </cell>
        </row>
        <row r="3603">
          <cell r="E3603" t="str">
            <v>B26003402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T26000325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D26004016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D26004216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B26003862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B26001719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B26001720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B26001721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B26001823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B26002517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B26002518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B26002519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D26003718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D26003719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B26003945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B26003946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B26003949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B26004069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B26002758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B26002759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T26000205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T26000206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T26000209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T26000219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T26000233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D26003191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B26003081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D26004562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D26004563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D26004564</v>
          </cell>
          <cell r="AP3632">
            <v>0</v>
          </cell>
          <cell r="AQ3632">
            <v>0</v>
          </cell>
          <cell r="AV3632">
            <v>20000000</v>
          </cell>
        </row>
        <row r="3633">
          <cell r="E3633" t="str">
            <v>B26001756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D26001848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B26002221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B26002985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D26003666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T26000181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Z26000886</v>
          </cell>
          <cell r="AP3639">
            <v>0</v>
          </cell>
          <cell r="AQ3639">
            <v>0</v>
          </cell>
          <cell r="AV3639">
            <v>0</v>
          </cell>
        </row>
        <row r="3640">
          <cell r="E3640" t="str">
            <v>D26001198</v>
          </cell>
          <cell r="AP3640">
            <v>0</v>
          </cell>
          <cell r="AQ3640">
            <v>0</v>
          </cell>
          <cell r="AV3640">
            <v>0</v>
          </cell>
        </row>
        <row r="3641">
          <cell r="E3641" t="str">
            <v>D26003421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T26000324</v>
          </cell>
          <cell r="AP3642">
            <v>0</v>
          </cell>
          <cell r="AQ3642">
            <v>0</v>
          </cell>
          <cell r="AV3642">
            <v>0</v>
          </cell>
        </row>
        <row r="3643">
          <cell r="E3643" t="str">
            <v>B26001979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B26003149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B26004156</v>
          </cell>
          <cell r="AP3645">
            <v>0</v>
          </cell>
          <cell r="AQ3645">
            <v>0</v>
          </cell>
          <cell r="AV3645">
            <v>0</v>
          </cell>
        </row>
        <row r="3646">
          <cell r="E3646" t="str">
            <v>B25016555</v>
          </cell>
          <cell r="AP3646">
            <v>0</v>
          </cell>
          <cell r="AQ3646">
            <v>0</v>
          </cell>
          <cell r="AV3646">
            <v>36188750</v>
          </cell>
        </row>
        <row r="3647">
          <cell r="E3647" t="str">
            <v>B26001771</v>
          </cell>
          <cell r="AP3647">
            <v>0</v>
          </cell>
          <cell r="AQ3647">
            <v>0</v>
          </cell>
          <cell r="AV3647">
            <v>0</v>
          </cell>
        </row>
        <row r="3648">
          <cell r="E3648" t="str">
            <v>D26002214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D26002702</v>
          </cell>
          <cell r="AP3649">
            <v>0</v>
          </cell>
          <cell r="AQ3649">
            <v>0</v>
          </cell>
          <cell r="AV3649">
            <v>2250000</v>
          </cell>
        </row>
        <row r="3650">
          <cell r="E3650" t="str">
            <v>B26002676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D26002893</v>
          </cell>
          <cell r="AP3651">
            <v>0</v>
          </cell>
          <cell r="AQ3651">
            <v>0</v>
          </cell>
          <cell r="AV3651">
            <v>2250000</v>
          </cell>
        </row>
        <row r="3652">
          <cell r="E3652" t="str">
            <v>D26002995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T26000223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B26003245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B26003309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B26003594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B26003785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D26004416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B26003881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D26004660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B26004031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B26002154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D26004556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B26004162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B26004111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T26000412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B26004126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B26002894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B26002895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D26001461</v>
          </cell>
          <cell r="AP3670">
            <v>927500</v>
          </cell>
          <cell r="AQ3670">
            <v>0</v>
          </cell>
          <cell r="AV3670">
            <v>0</v>
          </cell>
        </row>
        <row r="3671">
          <cell r="E3671" t="str">
            <v>D26003637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B26001598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B26003563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B25016462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B25016462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B25016462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B25017144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B26000223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D26000251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D26000296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D26000305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D26000307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D26000320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D26000328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D26000458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D26000465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D26000468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B26000576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D26000677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D26000727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D26000777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B26000792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D26000871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D26000986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D26000986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B26001097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B26001097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D26001331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B26001276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B26001349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B26001401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D26001429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D26001430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D26001447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D26001485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D26001493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D26001512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B26001493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D26001600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D26001623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D26001635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B26001573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D26001672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B26001616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D26001798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D26001809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D26001809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B26001711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B26001716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D26001860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D26002016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B26001953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D26002116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D26002118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B26002006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D26002186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D26002186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D26002186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D26002187</v>
          </cell>
          <cell r="AP3729">
            <v>0</v>
          </cell>
          <cell r="AQ3729">
            <v>0</v>
          </cell>
          <cell r="AV3729">
            <v>0</v>
          </cell>
        </row>
        <row r="3730">
          <cell r="E3730" t="str">
            <v>D26002187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D26002212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B26002192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D26002435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D26002436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D26002481</v>
          </cell>
          <cell r="AP3735">
            <v>0</v>
          </cell>
          <cell r="AQ3735">
            <v>0</v>
          </cell>
          <cell r="AV3735">
            <v>0</v>
          </cell>
        </row>
        <row r="3736">
          <cell r="E3736" t="str">
            <v>B26002378</v>
          </cell>
          <cell r="AP3736">
            <v>0</v>
          </cell>
          <cell r="AQ3736">
            <v>0</v>
          </cell>
          <cell r="AV3736">
            <v>0</v>
          </cell>
        </row>
        <row r="3737">
          <cell r="E3737" t="str">
            <v>B26002411</v>
          </cell>
          <cell r="AP3737">
            <v>0</v>
          </cell>
          <cell r="AQ3737">
            <v>0</v>
          </cell>
          <cell r="AV3737">
            <v>0</v>
          </cell>
        </row>
        <row r="3738">
          <cell r="E3738" t="str">
            <v>D26002570</v>
          </cell>
          <cell r="AP3738">
            <v>0</v>
          </cell>
          <cell r="AQ3738">
            <v>0</v>
          </cell>
          <cell r="AV3738">
            <v>0</v>
          </cell>
        </row>
        <row r="3739">
          <cell r="E3739" t="str">
            <v>D26002661</v>
          </cell>
          <cell r="AP3739">
            <v>0</v>
          </cell>
          <cell r="AQ3739">
            <v>0</v>
          </cell>
          <cell r="AV3739">
            <v>0</v>
          </cell>
        </row>
        <row r="3740">
          <cell r="E3740" t="str">
            <v>D26002734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D26002735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D26002756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D26002757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D26002847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D26002864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D26002897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D26002979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D26002979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D26003060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D26003182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D26003224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B26003064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B26003079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B26003080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B26003083</v>
          </cell>
          <cell r="AP3755">
            <v>0</v>
          </cell>
          <cell r="AQ3755">
            <v>0</v>
          </cell>
          <cell r="AV3755">
            <v>0</v>
          </cell>
        </row>
        <row r="3756">
          <cell r="E3756" t="str">
            <v>D26003505</v>
          </cell>
          <cell r="AP3756">
            <v>0</v>
          </cell>
          <cell r="AQ3756">
            <v>0</v>
          </cell>
          <cell r="AV3756">
            <v>0</v>
          </cell>
        </row>
        <row r="3757">
          <cell r="E3757" t="str">
            <v>D26003505</v>
          </cell>
          <cell r="AP3757">
            <v>0</v>
          </cell>
          <cell r="AQ3757">
            <v>0</v>
          </cell>
          <cell r="AV3757">
            <v>0</v>
          </cell>
        </row>
        <row r="3758">
          <cell r="E3758" t="str">
            <v>D26003670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D26003717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T26000308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D26003797</v>
          </cell>
          <cell r="AP3761">
            <v>0</v>
          </cell>
          <cell r="AQ3761">
            <v>0</v>
          </cell>
          <cell r="AV3761">
            <v>0</v>
          </cell>
        </row>
        <row r="3762">
          <cell r="E3762" t="str">
            <v>T26000309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B26003427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B26003430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B26003459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D26003841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B26003478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B26003519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D26004081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D26004093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D26004099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D26004099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D26004101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B26003567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D26004150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D26004166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D26004223</v>
          </cell>
          <cell r="AP3777">
            <v>0</v>
          </cell>
          <cell r="AQ3777">
            <v>78000000</v>
          </cell>
          <cell r="AV3777">
            <v>0</v>
          </cell>
        </row>
        <row r="3778">
          <cell r="E3778" t="str">
            <v>D26004237</v>
          </cell>
          <cell r="AP3778">
            <v>0</v>
          </cell>
          <cell r="AQ3778">
            <v>67365000</v>
          </cell>
          <cell r="AV3778">
            <v>0</v>
          </cell>
        </row>
        <row r="3779">
          <cell r="E3779" t="str">
            <v>D26004238</v>
          </cell>
          <cell r="AP3779">
            <v>0</v>
          </cell>
          <cell r="AQ3779">
            <v>16230000</v>
          </cell>
          <cell r="AV3779">
            <v>0</v>
          </cell>
        </row>
        <row r="3780">
          <cell r="E3780" t="str">
            <v>D26004241</v>
          </cell>
          <cell r="AP3780">
            <v>0</v>
          </cell>
          <cell r="AQ3780">
            <v>26625000</v>
          </cell>
          <cell r="AV3780">
            <v>0</v>
          </cell>
        </row>
        <row r="3781">
          <cell r="E3781" t="str">
            <v>D26004242</v>
          </cell>
          <cell r="AP3781">
            <v>0</v>
          </cell>
          <cell r="AQ3781">
            <v>11210000</v>
          </cell>
          <cell r="AV3781">
            <v>0</v>
          </cell>
        </row>
        <row r="3782">
          <cell r="E3782" t="str">
            <v>D26004245</v>
          </cell>
          <cell r="AP3782">
            <v>0</v>
          </cell>
          <cell r="AQ3782">
            <v>21750000</v>
          </cell>
          <cell r="AV3782">
            <v>0</v>
          </cell>
        </row>
        <row r="3783">
          <cell r="E3783" t="str">
            <v>D26004248</v>
          </cell>
          <cell r="AP3783">
            <v>0</v>
          </cell>
          <cell r="AQ3783">
            <v>5180000</v>
          </cell>
          <cell r="AV3783">
            <v>0</v>
          </cell>
        </row>
        <row r="3784">
          <cell r="E3784" t="str">
            <v>D26004265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B26003688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D26004271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D26004279</v>
          </cell>
          <cell r="AP3787">
            <v>0</v>
          </cell>
          <cell r="AQ3787">
            <v>100000000</v>
          </cell>
          <cell r="AV3787">
            <v>0</v>
          </cell>
        </row>
        <row r="3788">
          <cell r="E3788" t="str">
            <v>D26004279</v>
          </cell>
          <cell r="AP3788">
            <v>0</v>
          </cell>
          <cell r="AQ3788">
            <v>104000000</v>
          </cell>
          <cell r="AV3788">
            <v>0</v>
          </cell>
        </row>
        <row r="3789">
          <cell r="E3789" t="str">
            <v>D26004279</v>
          </cell>
          <cell r="AP3789">
            <v>0</v>
          </cell>
          <cell r="AQ3789">
            <v>115000000</v>
          </cell>
          <cell r="AV3789">
            <v>0</v>
          </cell>
        </row>
        <row r="3790">
          <cell r="E3790" t="str">
            <v>D26004279</v>
          </cell>
          <cell r="AP3790">
            <v>0</v>
          </cell>
          <cell r="AQ3790">
            <v>101000000</v>
          </cell>
          <cell r="AV3790">
            <v>0</v>
          </cell>
        </row>
        <row r="3791">
          <cell r="E3791" t="str">
            <v>D26004285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B26003767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B26003802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D26004405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D26004458</v>
          </cell>
          <cell r="AP3795">
            <v>0</v>
          </cell>
          <cell r="AQ3795">
            <v>183600000</v>
          </cell>
          <cell r="AV3795">
            <v>0</v>
          </cell>
        </row>
        <row r="3796">
          <cell r="E3796" t="str">
            <v>D26004460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D26004465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B26003831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B26003852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B26003853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B26003854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D26004522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D26004523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D26004566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B26003906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D26004662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D26004682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D26004784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D26004785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D26004787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B26004133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D26005000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D26005001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D26001269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D26004613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B26001286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B26001659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B26001681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T25001792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B26000836</v>
          </cell>
          <cell r="AP3820">
            <v>0</v>
          </cell>
          <cell r="AQ3820">
            <v>0</v>
          </cell>
          <cell r="AV3820">
            <v>35875000</v>
          </cell>
        </row>
        <row r="3821">
          <cell r="E3821" t="str">
            <v>B26000877</v>
          </cell>
          <cell r="AP3821">
            <v>0</v>
          </cell>
          <cell r="AQ3821">
            <v>0</v>
          </cell>
          <cell r="AV3821">
            <v>11260000</v>
          </cell>
        </row>
        <row r="3822">
          <cell r="E3822" t="str">
            <v>B26001354</v>
          </cell>
          <cell r="AP3822">
            <v>0</v>
          </cell>
          <cell r="AQ3822">
            <v>0</v>
          </cell>
          <cell r="AV3822">
            <v>5430000</v>
          </cell>
        </row>
        <row r="3823">
          <cell r="E3823" t="str">
            <v>B26001354</v>
          </cell>
          <cell r="AP3823">
            <v>0</v>
          </cell>
          <cell r="AQ3823">
            <v>0</v>
          </cell>
          <cell r="AV3823">
            <v>45820000</v>
          </cell>
        </row>
        <row r="3824">
          <cell r="E3824" t="str">
            <v>B26001995</v>
          </cell>
          <cell r="AP3824">
            <v>0</v>
          </cell>
          <cell r="AQ3824">
            <v>0</v>
          </cell>
          <cell r="AV3824">
            <v>10000000</v>
          </cell>
        </row>
        <row r="3825">
          <cell r="E3825" t="str">
            <v>D26002110</v>
          </cell>
          <cell r="AP3825">
            <v>0</v>
          </cell>
          <cell r="AQ3825">
            <v>0</v>
          </cell>
          <cell r="AV3825">
            <v>4180000</v>
          </cell>
        </row>
        <row r="3826">
          <cell r="E3826" t="str">
            <v>D26004578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D26004579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D26004580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D26001720</v>
          </cell>
          <cell r="AP3829">
            <v>0</v>
          </cell>
          <cell r="AQ3829">
            <v>0</v>
          </cell>
          <cell r="AV3829">
            <v>68300000</v>
          </cell>
        </row>
        <row r="3830">
          <cell r="E3830" t="str">
            <v>D26002818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D26003974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D26004117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T26000345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D26004461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D26004632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D26004633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D26004670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B26004004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D26001106</v>
          </cell>
          <cell r="AP3839">
            <v>0</v>
          </cell>
          <cell r="AQ3839">
            <v>0</v>
          </cell>
          <cell r="AV3839">
            <v>20000000</v>
          </cell>
        </row>
        <row r="3840">
          <cell r="E3840" t="str">
            <v>B26001700</v>
          </cell>
          <cell r="AP3840">
            <v>0</v>
          </cell>
          <cell r="AQ3840">
            <v>0</v>
          </cell>
          <cell r="AV3840">
            <v>5040000</v>
          </cell>
        </row>
        <row r="3841">
          <cell r="E3841" t="str">
            <v>D26003291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D26003714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B26004068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B26000599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D26000627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B26003636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D25019702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D26000943</v>
          </cell>
          <cell r="AP3848">
            <v>0</v>
          </cell>
          <cell r="AQ3848">
            <v>0</v>
          </cell>
          <cell r="AV3848">
            <v>4700000</v>
          </cell>
        </row>
        <row r="3849">
          <cell r="E3849" t="str">
            <v>D26000943</v>
          </cell>
          <cell r="AP3849">
            <v>0</v>
          </cell>
          <cell r="AQ3849">
            <v>0</v>
          </cell>
          <cell r="AV3849">
            <v>4094700</v>
          </cell>
        </row>
        <row r="3850">
          <cell r="E3850" t="str">
            <v>D26000944</v>
          </cell>
          <cell r="AP3850">
            <v>0</v>
          </cell>
          <cell r="AQ3850">
            <v>0</v>
          </cell>
          <cell r="AV3850">
            <v>3800000</v>
          </cell>
        </row>
        <row r="3851">
          <cell r="E3851" t="str">
            <v>D26000964</v>
          </cell>
          <cell r="AP3851">
            <v>0</v>
          </cell>
          <cell r="AQ3851">
            <v>0</v>
          </cell>
          <cell r="AV3851">
            <v>4905300</v>
          </cell>
        </row>
        <row r="3852">
          <cell r="E3852" t="str">
            <v>D26000964</v>
          </cell>
          <cell r="AP3852">
            <v>0</v>
          </cell>
          <cell r="AQ3852">
            <v>0</v>
          </cell>
          <cell r="AV3852">
            <v>5000000</v>
          </cell>
        </row>
        <row r="3853">
          <cell r="E3853" t="str">
            <v>D26001117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B26001287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B26001508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B26001757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B26002181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B26002229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D26002657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B26002548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D26002790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D26002875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B26002706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D26002926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B26003129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B26003130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B26003206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D26003632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D26003647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B26003482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B26003483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Z26000750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D26004369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D26004705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B26002237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D26002453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D26004761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D26004762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D26002925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T26000197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T26000226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D26000178</v>
          </cell>
          <cell r="AP3882">
            <v>0</v>
          </cell>
          <cell r="AQ3882">
            <v>0</v>
          </cell>
          <cell r="AV3882">
            <v>18400000</v>
          </cell>
        </row>
        <row r="3883">
          <cell r="E3883" t="str">
            <v>D26000883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B26001109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B26001281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B26001456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D26002750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B26003428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D26003883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D26004680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D26004836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B26002430</v>
          </cell>
          <cell r="AP3892">
            <v>0</v>
          </cell>
          <cell r="AQ3892">
            <v>0</v>
          </cell>
          <cell r="AV3892">
            <v>1640000</v>
          </cell>
        </row>
        <row r="3893">
          <cell r="E3893" t="str">
            <v>D26003967</v>
          </cell>
          <cell r="AP3893">
            <v>0</v>
          </cell>
          <cell r="AQ3893">
            <v>0</v>
          </cell>
          <cell r="AV3893">
            <v>0</v>
          </cell>
        </row>
        <row r="3894">
          <cell r="E3894" t="str">
            <v>D26004903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B26001947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B26002002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D26002403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B26002294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B26003052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B26003061</v>
          </cell>
          <cell r="AP3900">
            <v>0</v>
          </cell>
          <cell r="AQ3900">
            <v>0</v>
          </cell>
          <cell r="AV3900">
            <v>0</v>
          </cell>
        </row>
        <row r="3901">
          <cell r="E3901" t="str">
            <v>D26003247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B26003885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B26003954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D26004834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D26004868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B26004066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B26004146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D26003691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D26004376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D26005031</v>
          </cell>
          <cell r="AP3910">
            <v>0</v>
          </cell>
          <cell r="AQ3910">
            <v>0</v>
          </cell>
          <cell r="AV3910">
            <v>0</v>
          </cell>
        </row>
        <row r="3911">
          <cell r="E3911" t="str">
            <v>B26001376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T25001374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B26001076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B26003302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B26000310</v>
          </cell>
          <cell r="AP3915">
            <v>0</v>
          </cell>
          <cell r="AQ3915">
            <v>0</v>
          </cell>
          <cell r="AV3915">
            <v>5250000</v>
          </cell>
        </row>
        <row r="3916">
          <cell r="E3916" t="str">
            <v>D26001175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D26001615</v>
          </cell>
          <cell r="AP3917">
            <v>0</v>
          </cell>
          <cell r="AQ3917">
            <v>0</v>
          </cell>
          <cell r="AV3917">
            <v>1410000</v>
          </cell>
        </row>
        <row r="3918">
          <cell r="E3918" t="str">
            <v>D26002248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D26003537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B26003406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D26004612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D26002917</v>
          </cell>
          <cell r="AP3922">
            <v>0</v>
          </cell>
          <cell r="AQ3922">
            <v>0</v>
          </cell>
          <cell r="AV3922">
            <v>191250000</v>
          </cell>
        </row>
        <row r="3923">
          <cell r="E3923" t="str">
            <v>D26002917</v>
          </cell>
          <cell r="AP3923">
            <v>0</v>
          </cell>
          <cell r="AQ3923">
            <v>0</v>
          </cell>
          <cell r="AV3923">
            <v>63750000</v>
          </cell>
        </row>
        <row r="3924">
          <cell r="E3924" t="str">
            <v>D26002919</v>
          </cell>
          <cell r="AP3924">
            <v>0</v>
          </cell>
          <cell r="AQ3924">
            <v>0</v>
          </cell>
          <cell r="AV3924">
            <v>63750000</v>
          </cell>
        </row>
        <row r="3925">
          <cell r="E3925" t="str">
            <v>B26003833</v>
          </cell>
          <cell r="AP3925">
            <v>0</v>
          </cell>
          <cell r="AQ3925">
            <v>0</v>
          </cell>
          <cell r="AV3925">
            <v>2880000</v>
          </cell>
        </row>
        <row r="3926">
          <cell r="E3926" t="str">
            <v>D26004798</v>
          </cell>
          <cell r="AP3926">
            <v>0</v>
          </cell>
          <cell r="AQ3926">
            <v>0</v>
          </cell>
          <cell r="AV3926">
            <v>2540000</v>
          </cell>
        </row>
        <row r="3927">
          <cell r="E3927" t="str">
            <v>B26004153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Z26000473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Z26000487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Z26000500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Z26000522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Z26000635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Z26000683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Z26000684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Z26000689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Z26000707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Z26000733</v>
          </cell>
          <cell r="AP3937">
            <v>0</v>
          </cell>
          <cell r="AQ3937">
            <v>0</v>
          </cell>
          <cell r="AV3937">
            <v>0</v>
          </cell>
        </row>
        <row r="3938">
          <cell r="E3938" t="str">
            <v>Z26000887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D26001941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D26001942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D26001820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D26004973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B25016985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B26004115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B26004116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D26002354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B26003022</v>
          </cell>
          <cell r="AP3947">
            <v>663000</v>
          </cell>
          <cell r="AQ3947">
            <v>0</v>
          </cell>
          <cell r="AV3947">
            <v>0</v>
          </cell>
        </row>
        <row r="3948">
          <cell r="E3948" t="str">
            <v>D26003599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D26003742</v>
          </cell>
          <cell r="AP3949">
            <v>0</v>
          </cell>
          <cell r="AQ3949">
            <v>0</v>
          </cell>
          <cell r="AV3949">
            <v>0</v>
          </cell>
        </row>
        <row r="3950">
          <cell r="E3950" t="str">
            <v>T26000313</v>
          </cell>
          <cell r="AP3950">
            <v>0</v>
          </cell>
          <cell r="AQ3950">
            <v>0</v>
          </cell>
          <cell r="AV3950">
            <v>0</v>
          </cell>
        </row>
        <row r="3951">
          <cell r="E3951" t="str">
            <v>T26000361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B26003861</v>
          </cell>
          <cell r="AP3952">
            <v>0</v>
          </cell>
          <cell r="AQ3952">
            <v>0</v>
          </cell>
          <cell r="AV3952">
            <v>3000000</v>
          </cell>
        </row>
        <row r="3953">
          <cell r="E3953" t="str">
            <v>D26004822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D26004823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D26000829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D26002013</v>
          </cell>
          <cell r="AP3956">
            <v>0</v>
          </cell>
          <cell r="AQ3956">
            <v>0</v>
          </cell>
          <cell r="AV3956">
            <v>263000000</v>
          </cell>
        </row>
        <row r="3957">
          <cell r="E3957" t="str">
            <v>D26002218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D26002219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D26002226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D26002242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D26002282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D26002431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D26003056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D26003106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D26003671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D26003672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D26003673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D26003674</v>
          </cell>
          <cell r="AP3968">
            <v>0</v>
          </cell>
          <cell r="AQ3968">
            <v>0</v>
          </cell>
          <cell r="AV3968">
            <v>0</v>
          </cell>
        </row>
        <row r="3969">
          <cell r="E3969" t="str">
            <v>D26003675</v>
          </cell>
          <cell r="AP3969">
            <v>0</v>
          </cell>
          <cell r="AQ3969">
            <v>0</v>
          </cell>
          <cell r="AV3969">
            <v>0</v>
          </cell>
        </row>
        <row r="3970">
          <cell r="E3970" t="str">
            <v>B26003345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D26004319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D26004320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D26004338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D26004445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D26004467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D26004730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D26004731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T26000234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B26002348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D26004536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B26004164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T25001236</v>
          </cell>
          <cell r="AP3982">
            <v>0</v>
          </cell>
          <cell r="AQ3982">
            <v>0</v>
          </cell>
          <cell r="AV3982">
            <v>2000000</v>
          </cell>
        </row>
        <row r="3983">
          <cell r="E3983" t="str">
            <v>D26001993</v>
          </cell>
          <cell r="AP3983">
            <v>0</v>
          </cell>
          <cell r="AQ3983">
            <v>0</v>
          </cell>
          <cell r="AV3983">
            <v>1455000</v>
          </cell>
        </row>
        <row r="3984">
          <cell r="E3984" t="str">
            <v>T25000648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R25000130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B26003059</v>
          </cell>
          <cell r="AP3986">
            <v>0</v>
          </cell>
          <cell r="AQ3986">
            <v>0</v>
          </cell>
          <cell r="AV3986">
            <v>4560000</v>
          </cell>
        </row>
        <row r="3987">
          <cell r="E3987" t="str">
            <v>B26003432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D26003925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B26003905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D26004883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D26004886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B26002196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B26002489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D26000103</v>
          </cell>
          <cell r="AP3994">
            <v>0</v>
          </cell>
          <cell r="AQ3994">
            <v>0</v>
          </cell>
          <cell r="AV3994">
            <v>4000000</v>
          </cell>
        </row>
        <row r="3995">
          <cell r="E3995" t="str">
            <v>B26000774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T26000047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T26000109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B26002678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D26003412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B26004079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B26001297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B26003007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D26003474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D26004366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N26000037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B26004074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B26002268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T26000363</v>
          </cell>
          <cell r="AP4008">
            <v>0</v>
          </cell>
          <cell r="AQ4008">
            <v>0</v>
          </cell>
          <cell r="AV4008">
            <v>1375000</v>
          </cell>
        </row>
        <row r="4009">
          <cell r="E4009" t="str">
            <v>T25001726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T25001727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D26002809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D26003961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T26000365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T25001499k</v>
          </cell>
          <cell r="AP4014">
            <v>0</v>
          </cell>
          <cell r="AQ4014">
            <v>0</v>
          </cell>
          <cell r="AV4014">
            <v>1700000</v>
          </cell>
        </row>
        <row r="4015">
          <cell r="E4015" t="str">
            <v>D25017560</v>
          </cell>
          <cell r="AP4015">
            <v>0</v>
          </cell>
          <cell r="AQ4015">
            <v>0</v>
          </cell>
          <cell r="AV4015">
            <v>3408000</v>
          </cell>
        </row>
        <row r="4016">
          <cell r="E4016" t="str">
            <v>T25001743</v>
          </cell>
          <cell r="AP4016">
            <v>0</v>
          </cell>
          <cell r="AQ4016">
            <v>0</v>
          </cell>
          <cell r="AV4016">
            <v>5100000</v>
          </cell>
        </row>
        <row r="4017">
          <cell r="E4017" t="str">
            <v>B25015759</v>
          </cell>
          <cell r="AP4017">
            <v>0</v>
          </cell>
          <cell r="AQ4017">
            <v>0</v>
          </cell>
          <cell r="AV4017">
            <v>25232500</v>
          </cell>
        </row>
        <row r="4018">
          <cell r="E4018" t="str">
            <v>B25015760</v>
          </cell>
          <cell r="AP4018">
            <v>0</v>
          </cell>
          <cell r="AQ4018">
            <v>0</v>
          </cell>
          <cell r="AV4018">
            <v>1259500</v>
          </cell>
        </row>
        <row r="4019">
          <cell r="E4019" t="str">
            <v>B25015760</v>
          </cell>
          <cell r="AP4019">
            <v>0</v>
          </cell>
          <cell r="AQ4019">
            <v>0</v>
          </cell>
          <cell r="AV4019">
            <v>6540500</v>
          </cell>
        </row>
        <row r="4020">
          <cell r="E4020" t="str">
            <v>B25016494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B25016495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B26000065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B26000407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B26000801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B26000802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T26000052k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T26000053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B26000919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B26001531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B26001532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B26001543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B26002424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B26002426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D26002609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D26003827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D26004878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D26004154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D26004168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B26001811</v>
          </cell>
          <cell r="AP4039">
            <v>0</v>
          </cell>
          <cell r="AQ4039">
            <v>0</v>
          </cell>
          <cell r="AV4039">
            <v>2232000</v>
          </cell>
        </row>
        <row r="4040">
          <cell r="E4040" t="str">
            <v>B26001868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B26001920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B26002861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B26002863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T26000295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D26004409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D26004410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D26004435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B25015134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B26003997</v>
          </cell>
          <cell r="AP4049">
            <v>0</v>
          </cell>
          <cell r="AQ4049">
            <v>0</v>
          </cell>
          <cell r="AV4049">
            <v>635000</v>
          </cell>
        </row>
        <row r="4050">
          <cell r="E4050" t="str">
            <v>B26003997</v>
          </cell>
          <cell r="AP4050">
            <v>0</v>
          </cell>
          <cell r="AQ4050">
            <v>0</v>
          </cell>
          <cell r="AV4050">
            <v>40000</v>
          </cell>
        </row>
        <row r="4051">
          <cell r="E4051" t="str">
            <v>D26004841</v>
          </cell>
          <cell r="AP4051">
            <v>0</v>
          </cell>
          <cell r="AQ4051">
            <v>0</v>
          </cell>
          <cell r="AV4051">
            <v>400000</v>
          </cell>
        </row>
        <row r="4052">
          <cell r="E4052" t="str">
            <v>D25017600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D26001819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D26001838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D26001897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B26001899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D26002405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D26002406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D26002504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D26002882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B26002843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B26002928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B26002939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D26003286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B26003208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D26003466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D26003506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D26003639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D26003682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D26004090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D26004091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B26003764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D26004415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D26004746</v>
          </cell>
          <cell r="AP4074">
            <v>0</v>
          </cell>
          <cell r="AQ4074">
            <v>0</v>
          </cell>
          <cell r="AV4074">
            <v>0</v>
          </cell>
        </row>
        <row r="4075">
          <cell r="E4075" t="str">
            <v>D26002791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B26002860</v>
          </cell>
          <cell r="AP4076">
            <v>0</v>
          </cell>
          <cell r="AQ4076">
            <v>0</v>
          </cell>
          <cell r="AV4076">
            <v>3920000</v>
          </cell>
        </row>
        <row r="4077">
          <cell r="E4077" t="str">
            <v>D26003652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D26003653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D26004719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B26003182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B26003183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B26003185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B26002648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T26000240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B26003070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>
            <v>260023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D26003811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B26003452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D26004199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T25001747</v>
          </cell>
          <cell r="AP4090">
            <v>0</v>
          </cell>
          <cell r="AQ4090">
            <v>0</v>
          </cell>
          <cell r="AV4090">
            <v>3000000</v>
          </cell>
        </row>
        <row r="4091">
          <cell r="E4091" t="str">
            <v>T26000236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D26000923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D26001396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B26001431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B26001878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D26002007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D26002008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D26002009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B26001921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D26002465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D26002466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B26002646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D26002827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D26002828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D26002829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B26002786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B26003042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B26003192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B26003193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D26003651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D26003867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D26003868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D26004200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B26003791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B26003792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D26004441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D26004442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D26004449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D25019464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D25019543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D25019589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D25019589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D25019590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D25019590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D25019591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D25019600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D25019608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D25019608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D26000006</v>
          </cell>
          <cell r="AP4129">
            <v>0</v>
          </cell>
          <cell r="AQ4129">
            <v>0</v>
          </cell>
          <cell r="AV4129">
            <v>0</v>
          </cell>
        </row>
        <row r="4130">
          <cell r="E4130" t="str">
            <v>D26000068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D26000463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D26000494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D26000523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D26000523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D26000616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D26000617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D26000618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D26000746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D26000842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D26000842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D26000842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D26000842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D26000995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D26000995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D26000996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D26000996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D26001094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D26001094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D26001095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D26001095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D26001095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D26001095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D26001096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D26001096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B26001106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B26001106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B26001107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B26001107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D26001336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D26001372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D26001372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D26001495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D26001495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D26001496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D26001517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D26001517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D26001688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D26001688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D26001689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D26001689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D26001718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D26001718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D26001743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D26001744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D26001744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D26001888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D26002034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D26002035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D26002035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D26002148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D26002148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D26002149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D26002149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D26002150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D26002150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D26002166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D26002207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T26000150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D26002240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D26002284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D26002340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D26002341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D26002346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D26002346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B26002213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B26002214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D26002428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D26002428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D26002510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D26002583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D26002583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B26002468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B26002468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B26002473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D26002625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D26002625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D26002674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D26002675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D26002676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D26002677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B26002633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B26002633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D26002865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D26003000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D26003001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D26003108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D26003109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D26003110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D26003137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D26003161</v>
          </cell>
          <cell r="AP4220">
            <v>0</v>
          </cell>
          <cell r="AQ4220">
            <v>0</v>
          </cell>
          <cell r="AV4220">
            <v>0</v>
          </cell>
        </row>
        <row r="4221">
          <cell r="E4221" t="str">
            <v>D26003162</v>
          </cell>
          <cell r="AP4221">
            <v>0</v>
          </cell>
          <cell r="AQ4221">
            <v>0</v>
          </cell>
          <cell r="AV4221">
            <v>0</v>
          </cell>
        </row>
        <row r="4222">
          <cell r="E4222" t="str">
            <v>D26003176</v>
          </cell>
          <cell r="AP4222">
            <v>0</v>
          </cell>
          <cell r="AQ4222">
            <v>0</v>
          </cell>
          <cell r="AV4222">
            <v>0</v>
          </cell>
        </row>
        <row r="4223">
          <cell r="E4223" t="str">
            <v>D26003177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D26003178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D26003235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D26003256</v>
          </cell>
          <cell r="AP4226">
            <v>0</v>
          </cell>
          <cell r="AQ4226">
            <v>0</v>
          </cell>
          <cell r="AV4226">
            <v>0</v>
          </cell>
        </row>
        <row r="4227">
          <cell r="E4227" t="str">
            <v>D26003282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D26003283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D26003383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D26003384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D26003385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D26003386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D26003416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D26003426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D26003539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D26003605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D26003606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D26003640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D26003679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D26003794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C26000203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C26000204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D26004046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D26004203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D26004204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D26004346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D26004507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D26004754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D26004755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D26004827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D26004828</v>
          </cell>
          <cell r="AP4251">
            <v>0</v>
          </cell>
          <cell r="AQ4251">
            <v>0</v>
          </cell>
          <cell r="AV4251">
            <v>0</v>
          </cell>
        </row>
        <row r="4252">
          <cell r="E4252" t="str">
            <v>D26004829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 t="str">
            <v>D26005049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D26005050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D26005055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D26004763</v>
          </cell>
          <cell r="AP4256">
            <v>0</v>
          </cell>
          <cell r="AQ4256">
            <v>0</v>
          </cell>
          <cell r="AV4256">
            <v>920000</v>
          </cell>
        </row>
        <row r="4257">
          <cell r="E4257" t="str">
            <v>D26005005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T26000071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B26002171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D26003183</v>
          </cell>
          <cell r="AP4260">
            <v>0</v>
          </cell>
          <cell r="AQ4260">
            <v>0</v>
          </cell>
          <cell r="AV4260">
            <v>0</v>
          </cell>
        </row>
        <row r="4261">
          <cell r="E4261" t="str">
            <v>D26003184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D26004390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D26004639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D26004640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D26004915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B26004137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D26003300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T26000335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B26004167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B26004168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B26002818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D26003729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D26004393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D26004132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D26004718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D26004979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D26003567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B26003585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D26004142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D26004722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B26001826</v>
          </cell>
          <cell r="AP4281">
            <v>0</v>
          </cell>
          <cell r="AQ4281">
            <v>0</v>
          </cell>
          <cell r="AV4281">
            <v>600000</v>
          </cell>
        </row>
        <row r="4282">
          <cell r="E4282" t="str">
            <v>D26002065</v>
          </cell>
          <cell r="AP4282">
            <v>0</v>
          </cell>
          <cell r="AQ4282">
            <v>0</v>
          </cell>
          <cell r="AV4282">
            <v>1600000</v>
          </cell>
        </row>
        <row r="4283">
          <cell r="E4283" t="str">
            <v>B26002059</v>
          </cell>
          <cell r="AP4283">
            <v>0</v>
          </cell>
          <cell r="AQ4283">
            <v>0</v>
          </cell>
          <cell r="AV4283">
            <v>10210000</v>
          </cell>
        </row>
        <row r="4284">
          <cell r="E4284" t="str">
            <v>D26002329</v>
          </cell>
          <cell r="AP4284">
            <v>0</v>
          </cell>
          <cell r="AQ4284">
            <v>0</v>
          </cell>
          <cell r="AV4284">
            <v>1260000</v>
          </cell>
        </row>
        <row r="4285">
          <cell r="E4285" t="str">
            <v>B26002197</v>
          </cell>
          <cell r="AP4285">
            <v>0</v>
          </cell>
          <cell r="AQ4285">
            <v>0</v>
          </cell>
          <cell r="AV4285">
            <v>2442400</v>
          </cell>
        </row>
        <row r="4286">
          <cell r="E4286" t="str">
            <v>D26002851</v>
          </cell>
          <cell r="AP4286">
            <v>0</v>
          </cell>
          <cell r="AQ4286">
            <v>0</v>
          </cell>
          <cell r="AV4286">
            <v>3100000</v>
          </cell>
        </row>
        <row r="4287">
          <cell r="E4287" t="str">
            <v>D26002981</v>
          </cell>
          <cell r="AP4287">
            <v>0</v>
          </cell>
          <cell r="AQ4287">
            <v>0</v>
          </cell>
          <cell r="AV4287">
            <v>2720000</v>
          </cell>
        </row>
        <row r="4288">
          <cell r="E4288" t="str">
            <v>D26003540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D26003687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D26003917</v>
          </cell>
          <cell r="AP4290">
            <v>0</v>
          </cell>
          <cell r="AQ4290">
            <v>0</v>
          </cell>
          <cell r="AV4290">
            <v>0</v>
          </cell>
        </row>
        <row r="4291">
          <cell r="E4291" t="str">
            <v>D26004082</v>
          </cell>
          <cell r="AP4291">
            <v>0</v>
          </cell>
          <cell r="AQ4291">
            <v>0</v>
          </cell>
          <cell r="AV4291">
            <v>0</v>
          </cell>
        </row>
        <row r="4292">
          <cell r="E4292" t="str">
            <v>B26003669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D26004514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D26005022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B26000779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B26002827</v>
          </cell>
          <cell r="AP4296">
            <v>0</v>
          </cell>
          <cell r="AQ4296">
            <v>0</v>
          </cell>
          <cell r="AV4296">
            <v>0</v>
          </cell>
        </row>
        <row r="4297">
          <cell r="E4297" t="str">
            <v>D23006230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N25000011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B26003877</v>
          </cell>
          <cell r="AP4299">
            <v>0</v>
          </cell>
          <cell r="AQ4299">
            <v>0</v>
          </cell>
          <cell r="AV4299">
            <v>31500000</v>
          </cell>
        </row>
        <row r="4300">
          <cell r="E4300" t="str">
            <v>B26003878</v>
          </cell>
          <cell r="AP4300">
            <v>0</v>
          </cell>
          <cell r="AQ4300">
            <v>0</v>
          </cell>
          <cell r="AV4300">
            <v>1350000</v>
          </cell>
        </row>
        <row r="4301">
          <cell r="E4301" t="str">
            <v>D26004773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D26005032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D26005037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D26001425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D26001918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D26001948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B26002806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T26000210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B26004040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B26004054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D26004946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D26003287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D25019452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D26000445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D26000474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D26000498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D26000499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D26000519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B26000598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D26000741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D26001098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D26001099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D26001116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B26001236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D26001366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T26000097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D26001501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D26001501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B26001449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D26001526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D26001591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D26001815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D26001863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B26001824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D26002175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D26002203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D26002206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B26002231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B26002231</v>
          </cell>
          <cell r="AP4339">
            <v>500000</v>
          </cell>
          <cell r="AQ4339">
            <v>0</v>
          </cell>
          <cell r="AV4339">
            <v>0</v>
          </cell>
        </row>
        <row r="4340">
          <cell r="E4340" t="str">
            <v>D26002450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B26002340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D26002553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D26002632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D26002643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D26002643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D26002715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D26002721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D26002975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D26003105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B26003006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D26003227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D26003251</v>
          </cell>
          <cell r="AP4352">
            <v>626250</v>
          </cell>
          <cell r="AQ4352">
            <v>0</v>
          </cell>
          <cell r="AV4352">
            <v>0</v>
          </cell>
        </row>
        <row r="4353">
          <cell r="E4353" t="str">
            <v>D26003252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D26003596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D26004296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D26004339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D26004340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D26004600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D26004884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D26004885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D26004956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B26003321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B26003322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D26004795</v>
          </cell>
          <cell r="AP4364">
            <v>0</v>
          </cell>
          <cell r="AQ4364">
            <v>0</v>
          </cell>
          <cell r="AV4364">
            <v>2180000</v>
          </cell>
        </row>
        <row r="4365">
          <cell r="E4365" t="str">
            <v>D26004796</v>
          </cell>
          <cell r="AP4365">
            <v>0</v>
          </cell>
          <cell r="AQ4365">
            <v>0</v>
          </cell>
          <cell r="AV4365">
            <v>1240000</v>
          </cell>
        </row>
        <row r="4366">
          <cell r="E4366" t="str">
            <v>B25015963</v>
          </cell>
          <cell r="AP4366">
            <v>0</v>
          </cell>
          <cell r="AQ4366">
            <v>0</v>
          </cell>
          <cell r="AV4366">
            <v>4000000</v>
          </cell>
        </row>
        <row r="4367">
          <cell r="E4367" t="str">
            <v>D25018569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B25017002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B25017003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B25017004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B25017041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B25017046</v>
          </cell>
          <cell r="AP4372">
            <v>0</v>
          </cell>
          <cell r="AQ4372">
            <v>0</v>
          </cell>
          <cell r="AV4372">
            <v>0</v>
          </cell>
        </row>
        <row r="4373">
          <cell r="E4373" t="str">
            <v>D26001049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D26001050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B26001138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D26003166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D26003167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B26003632</v>
          </cell>
          <cell r="AP4378">
            <v>0</v>
          </cell>
          <cell r="AQ4378">
            <v>0</v>
          </cell>
          <cell r="AV4378">
            <v>0</v>
          </cell>
        </row>
        <row r="4379">
          <cell r="E4379" t="str">
            <v>Z26000166</v>
          </cell>
          <cell r="AP4379">
            <v>2150000</v>
          </cell>
          <cell r="AQ4379">
            <v>0</v>
          </cell>
          <cell r="AV4379">
            <v>0</v>
          </cell>
        </row>
        <row r="4380">
          <cell r="E4380" t="str">
            <v>Z26000407</v>
          </cell>
          <cell r="AP4380">
            <v>0</v>
          </cell>
          <cell r="AQ4380">
            <v>0</v>
          </cell>
          <cell r="AV4380">
            <v>48700000</v>
          </cell>
        </row>
        <row r="4381">
          <cell r="E4381" t="str">
            <v>Z26000410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Z26000476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Z26000477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Z26000614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Z26000672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Z26000694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Z26000696</v>
          </cell>
          <cell r="AP4387">
            <v>0</v>
          </cell>
          <cell r="AQ4387">
            <v>0</v>
          </cell>
          <cell r="AV4387">
            <v>0</v>
          </cell>
        </row>
        <row r="4388">
          <cell r="E4388" t="str">
            <v>Z26000729</v>
          </cell>
          <cell r="AP4388">
            <v>0</v>
          </cell>
          <cell r="AQ4388">
            <v>0</v>
          </cell>
          <cell r="AV4388">
            <v>0</v>
          </cell>
        </row>
        <row r="4389">
          <cell r="E4389" t="str">
            <v>Z26000734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Z26000746</v>
          </cell>
          <cell r="AP4390">
            <v>0</v>
          </cell>
          <cell r="AQ4390">
            <v>0</v>
          </cell>
          <cell r="AV4390">
            <v>50000000</v>
          </cell>
        </row>
        <row r="4391">
          <cell r="E4391" t="str">
            <v>Z26000746</v>
          </cell>
          <cell r="AP4391">
            <v>0</v>
          </cell>
          <cell r="AQ4391">
            <v>0</v>
          </cell>
          <cell r="AV4391">
            <v>100000000</v>
          </cell>
        </row>
        <row r="4392">
          <cell r="E4392" t="str">
            <v>Z26000746</v>
          </cell>
          <cell r="AP4392">
            <v>0</v>
          </cell>
          <cell r="AQ4392">
            <v>0</v>
          </cell>
          <cell r="AV4392">
            <v>81976000</v>
          </cell>
        </row>
        <row r="4393">
          <cell r="E4393" t="str">
            <v>Z26000747</v>
          </cell>
          <cell r="AP4393">
            <v>0</v>
          </cell>
          <cell r="AQ4393">
            <v>0</v>
          </cell>
          <cell r="AV4393">
            <v>69324000</v>
          </cell>
        </row>
        <row r="4394">
          <cell r="E4394" t="str">
            <v>Z26000747</v>
          </cell>
          <cell r="AP4394">
            <v>0</v>
          </cell>
          <cell r="AQ4394">
            <v>0</v>
          </cell>
          <cell r="AV4394">
            <v>350000000</v>
          </cell>
        </row>
        <row r="4395">
          <cell r="E4395" t="str">
            <v>Z26000755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Z26000785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Z26000786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Z26000812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Z26000847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Z26000848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Z26000899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Z26000901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Z26000920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D26003859</v>
          </cell>
          <cell r="AP4404">
            <v>0</v>
          </cell>
          <cell r="AQ4404">
            <v>0</v>
          </cell>
          <cell r="AV4404">
            <v>3004000</v>
          </cell>
        </row>
        <row r="4405">
          <cell r="E4405" t="str">
            <v>D26003859</v>
          </cell>
          <cell r="AP4405">
            <v>0</v>
          </cell>
          <cell r="AQ4405">
            <v>0</v>
          </cell>
          <cell r="AV4405">
            <v>45600</v>
          </cell>
        </row>
        <row r="4406">
          <cell r="E4406" t="str">
            <v>D26004133</v>
          </cell>
          <cell r="AP4406">
            <v>0</v>
          </cell>
          <cell r="AQ4406">
            <v>0</v>
          </cell>
          <cell r="AV4406">
            <v>6336000</v>
          </cell>
        </row>
        <row r="4407">
          <cell r="E4407" t="str">
            <v>D26004134</v>
          </cell>
          <cell r="AP4407">
            <v>0</v>
          </cell>
          <cell r="AQ4407">
            <v>0</v>
          </cell>
          <cell r="AV4407">
            <v>3600000</v>
          </cell>
        </row>
        <row r="4408">
          <cell r="E4408" t="str">
            <v>D26004135</v>
          </cell>
          <cell r="AP4408">
            <v>0</v>
          </cell>
          <cell r="AQ4408">
            <v>0</v>
          </cell>
          <cell r="AV4408">
            <v>460000</v>
          </cell>
        </row>
        <row r="4409">
          <cell r="E4409" t="str">
            <v>D26004472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D26004473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D26004652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D26004653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D26004654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D26004655</v>
          </cell>
          <cell r="AP4414">
            <v>0</v>
          </cell>
          <cell r="AQ4414">
            <v>0</v>
          </cell>
          <cell r="AV4414">
            <v>1600000</v>
          </cell>
        </row>
        <row r="4415">
          <cell r="E4415" t="str">
            <v>D26004655</v>
          </cell>
          <cell r="AP4415">
            <v>0</v>
          </cell>
          <cell r="AQ4415">
            <v>0</v>
          </cell>
          <cell r="AV4415">
            <v>20000</v>
          </cell>
        </row>
        <row r="4416">
          <cell r="E4416" t="str">
            <v>D26004661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T26000252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T26000347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D26004998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B26003926</v>
          </cell>
          <cell r="AP4420">
            <v>0</v>
          </cell>
          <cell r="AQ4420">
            <v>0</v>
          </cell>
          <cell r="AV4420">
            <v>1704000</v>
          </cell>
        </row>
        <row r="4421">
          <cell r="E4421" t="str">
            <v>D26004679</v>
          </cell>
          <cell r="AP4421">
            <v>0</v>
          </cell>
          <cell r="AQ4421">
            <v>0</v>
          </cell>
          <cell r="AV4421">
            <v>11600000</v>
          </cell>
        </row>
        <row r="4422">
          <cell r="E4422" t="str">
            <v>D26004797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B26004097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D26003017</v>
          </cell>
          <cell r="AP4424">
            <v>0</v>
          </cell>
          <cell r="AQ4424">
            <v>0</v>
          </cell>
          <cell r="AV4424">
            <v>5275000</v>
          </cell>
        </row>
        <row r="4425">
          <cell r="E4425" t="str">
            <v>D26003432</v>
          </cell>
          <cell r="AP4425">
            <v>0</v>
          </cell>
          <cell r="AQ4425">
            <v>0</v>
          </cell>
          <cell r="AV4425">
            <v>14777500</v>
          </cell>
        </row>
        <row r="4426">
          <cell r="E4426" t="str">
            <v>B26003523</v>
          </cell>
          <cell r="AP4426">
            <v>0</v>
          </cell>
          <cell r="AQ4426">
            <v>0</v>
          </cell>
          <cell r="AV4426">
            <v>4947500</v>
          </cell>
        </row>
        <row r="4427">
          <cell r="E4427" t="str">
            <v>T26000329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D26004703</v>
          </cell>
          <cell r="AP4428">
            <v>0</v>
          </cell>
          <cell r="AQ4428">
            <v>0</v>
          </cell>
          <cell r="AV4428">
            <v>4795000</v>
          </cell>
        </row>
        <row r="4429">
          <cell r="E4429" t="str">
            <v>B26001403</v>
          </cell>
          <cell r="AP4429">
            <v>0</v>
          </cell>
          <cell r="AQ4429">
            <v>0</v>
          </cell>
          <cell r="AV4429">
            <v>15000000</v>
          </cell>
        </row>
        <row r="4430">
          <cell r="E4430" t="str">
            <v>B26004014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B26004144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D26005008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C26000270</v>
          </cell>
          <cell r="AP4433">
            <v>0</v>
          </cell>
          <cell r="AQ4433">
            <v>0</v>
          </cell>
          <cell r="AV4433">
            <v>2320000</v>
          </cell>
        </row>
        <row r="4434">
          <cell r="E4434" t="str">
            <v>B26003665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D26002614</v>
          </cell>
          <cell r="AP4435">
            <v>0</v>
          </cell>
          <cell r="AQ4435">
            <v>0</v>
          </cell>
          <cell r="AV4435">
            <v>3400000</v>
          </cell>
        </row>
        <row r="4436">
          <cell r="E4436" t="str">
            <v>B26003355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B26004147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D26002565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B26003217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D26005058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D26005059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B26004105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B26004106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B26004107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D26003803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D26003804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D26003805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D26001724</v>
          </cell>
          <cell r="AP4448">
            <v>0</v>
          </cell>
          <cell r="AQ4448">
            <v>0</v>
          </cell>
          <cell r="AV4448">
            <v>6750000</v>
          </cell>
        </row>
        <row r="4449">
          <cell r="E4449" t="str">
            <v>D26002070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B26002601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B26002602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D26002775</v>
          </cell>
          <cell r="AP4452">
            <v>0</v>
          </cell>
          <cell r="AQ4452">
            <v>0</v>
          </cell>
          <cell r="AV4452">
            <v>15840000</v>
          </cell>
        </row>
        <row r="4453">
          <cell r="E4453" t="str">
            <v>B26002990</v>
          </cell>
          <cell r="AP4453">
            <v>0</v>
          </cell>
          <cell r="AQ4453">
            <v>0</v>
          </cell>
          <cell r="AV4453">
            <v>9100000</v>
          </cell>
        </row>
        <row r="4454">
          <cell r="E4454" t="str">
            <v>D26003945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D26003948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B26003513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D26004045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B26004024</v>
          </cell>
          <cell r="AP4458">
            <v>0</v>
          </cell>
          <cell r="AQ4458">
            <v>0</v>
          </cell>
          <cell r="AV4458">
            <v>15040000</v>
          </cell>
        </row>
        <row r="4459">
          <cell r="E4459" t="str">
            <v>D26004820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D26004821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B26003731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B26003733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B26003734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L26000018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B26002418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D26003035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D26004926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B26003919</v>
          </cell>
          <cell r="AP4468">
            <v>0</v>
          </cell>
          <cell r="AQ4468">
            <v>0</v>
          </cell>
          <cell r="AV4468">
            <v>3235000</v>
          </cell>
        </row>
        <row r="4469">
          <cell r="E4469" t="str">
            <v>B26003074</v>
          </cell>
          <cell r="AP4469">
            <v>0</v>
          </cell>
          <cell r="AQ4469">
            <v>0</v>
          </cell>
          <cell r="AV4469">
            <v>30000000</v>
          </cell>
        </row>
        <row r="4470">
          <cell r="E4470" t="str">
            <v>D26003842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D26003843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D26003844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B26003781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D26000405</v>
          </cell>
          <cell r="AP4474">
            <v>0</v>
          </cell>
          <cell r="AQ4474">
            <v>0</v>
          </cell>
          <cell r="AV4474">
            <v>14500000</v>
          </cell>
        </row>
        <row r="4475">
          <cell r="E4475" t="str">
            <v>D26000405</v>
          </cell>
          <cell r="AP4475">
            <v>663000</v>
          </cell>
          <cell r="AQ4475">
            <v>0</v>
          </cell>
          <cell r="AV4475">
            <v>0</v>
          </cell>
        </row>
        <row r="4476">
          <cell r="E4476" t="str">
            <v>D26002334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B26003232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B26004114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D26005018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Z26000841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Z26000842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B26003380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B26003825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B26003903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D26004922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D26003220</v>
          </cell>
          <cell r="AP4486">
            <v>0</v>
          </cell>
          <cell r="AQ4486">
            <v>0</v>
          </cell>
          <cell r="AV4486">
            <v>30000000</v>
          </cell>
        </row>
        <row r="4487">
          <cell r="E4487" t="str">
            <v>Z26000612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B26003939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D26004601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D26004817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D26003249</v>
          </cell>
          <cell r="AP4491">
            <v>0</v>
          </cell>
          <cell r="AQ4491">
            <v>0</v>
          </cell>
          <cell r="AV4491">
            <v>6200000</v>
          </cell>
        </row>
        <row r="4492">
          <cell r="E4492" t="str">
            <v>D26003927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D26005027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B26003308</v>
          </cell>
          <cell r="AP4494">
            <v>0</v>
          </cell>
          <cell r="AQ4494">
            <v>0</v>
          </cell>
          <cell r="AV4494">
            <v>1350000</v>
          </cell>
        </row>
        <row r="4495">
          <cell r="E4495" t="str">
            <v>B26003318</v>
          </cell>
          <cell r="AP4495">
            <v>0</v>
          </cell>
          <cell r="AQ4495">
            <v>0</v>
          </cell>
          <cell r="AV4495">
            <v>550000</v>
          </cell>
        </row>
        <row r="4496">
          <cell r="E4496" t="str">
            <v>D26003626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B26003347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D26004258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D26004259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B26003670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B26003695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B26003724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C26000249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D26004717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B26004036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T26000118</v>
          </cell>
          <cell r="AP4506">
            <v>0</v>
          </cell>
          <cell r="AQ4506">
            <v>0</v>
          </cell>
          <cell r="AV4506">
            <v>4600000</v>
          </cell>
        </row>
        <row r="4507">
          <cell r="E4507" t="str">
            <v>C26000116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B26002838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D26003342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D26003343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B26003220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B26003242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D26003608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B26003407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D26004035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T26000043</v>
          </cell>
          <cell r="AP4516">
            <v>0</v>
          </cell>
          <cell r="AQ4516">
            <v>0</v>
          </cell>
          <cell r="AV4516">
            <v>3000000</v>
          </cell>
        </row>
        <row r="4517">
          <cell r="E4517" t="str">
            <v>Z26000282</v>
          </cell>
          <cell r="AP4517">
            <v>0</v>
          </cell>
          <cell r="AQ4517">
            <v>0</v>
          </cell>
          <cell r="AV4517">
            <v>9900000</v>
          </cell>
        </row>
        <row r="4518">
          <cell r="E4518" t="str">
            <v>Z26000390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Z26000463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Z26000485</v>
          </cell>
          <cell r="AP4520">
            <v>0</v>
          </cell>
          <cell r="AQ4520">
            <v>0</v>
          </cell>
          <cell r="AV4520">
            <v>1100000</v>
          </cell>
        </row>
        <row r="4521">
          <cell r="E4521" t="str">
            <v>Z26000485</v>
          </cell>
          <cell r="AP4521">
            <v>0</v>
          </cell>
          <cell r="AQ4521">
            <v>0</v>
          </cell>
          <cell r="AV4521">
            <v>280000</v>
          </cell>
        </row>
        <row r="4522">
          <cell r="E4522" t="str">
            <v>Z26000521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Z26000587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Z26000616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Z26000621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Z26000680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Z26000798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Z26000799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Z26000805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Z26000808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Z26000809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Z26000859</v>
          </cell>
          <cell r="AP4532">
            <v>0</v>
          </cell>
          <cell r="AQ4532">
            <v>0</v>
          </cell>
          <cell r="AV4532">
            <v>0</v>
          </cell>
        </row>
        <row r="4533">
          <cell r="E4533" t="str">
            <v>Z26000860</v>
          </cell>
          <cell r="AP4533">
            <v>0</v>
          </cell>
          <cell r="AQ4533">
            <v>0</v>
          </cell>
          <cell r="AV4533">
            <v>0</v>
          </cell>
        </row>
        <row r="4534">
          <cell r="E4534" t="str">
            <v>Z26000865</v>
          </cell>
          <cell r="AP4534">
            <v>0</v>
          </cell>
          <cell r="AQ4534">
            <v>0</v>
          </cell>
          <cell r="AV4534">
            <v>0</v>
          </cell>
        </row>
        <row r="4535">
          <cell r="E4535" t="str">
            <v>Z26000866</v>
          </cell>
          <cell r="AP4535">
            <v>0</v>
          </cell>
          <cell r="AQ4535">
            <v>0</v>
          </cell>
          <cell r="AV4535">
            <v>8250000</v>
          </cell>
        </row>
        <row r="4536">
          <cell r="E4536" t="str">
            <v>Z26000888</v>
          </cell>
          <cell r="AP4536">
            <v>0</v>
          </cell>
          <cell r="AQ4536">
            <v>0</v>
          </cell>
          <cell r="AV4536">
            <v>10000000</v>
          </cell>
        </row>
        <row r="4537">
          <cell r="E4537" t="str">
            <v>Z26000889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Z26000911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T26000103</v>
          </cell>
          <cell r="AP4539">
            <v>0</v>
          </cell>
          <cell r="AQ4539">
            <v>0</v>
          </cell>
          <cell r="AV4539">
            <v>5000000</v>
          </cell>
        </row>
        <row r="4540">
          <cell r="E4540" t="str">
            <v>T26000142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B26003904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D25013643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T26000057K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D26003349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D26004677</v>
          </cell>
          <cell r="AP4545">
            <v>0</v>
          </cell>
          <cell r="AQ4545">
            <v>0</v>
          </cell>
          <cell r="AV4545">
            <v>3678000</v>
          </cell>
        </row>
        <row r="4546">
          <cell r="E4546" t="str">
            <v>D26001931</v>
          </cell>
          <cell r="AP4546">
            <v>0</v>
          </cell>
          <cell r="AQ4546">
            <v>0</v>
          </cell>
          <cell r="AV4546">
            <v>82080000</v>
          </cell>
        </row>
        <row r="4547">
          <cell r="E4547" t="str">
            <v>D26002939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D26003002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D26003853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D26003926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D26004255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B26003995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B26003996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B26001558</v>
          </cell>
          <cell r="AP4554">
            <v>3120000</v>
          </cell>
          <cell r="AQ4554">
            <v>0</v>
          </cell>
          <cell r="AV4554">
            <v>0</v>
          </cell>
        </row>
        <row r="4555">
          <cell r="E4555" t="str">
            <v>B26001708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D26001767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D26002278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D26002509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D26002575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D26002645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B26002490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B26002491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D26002846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D26003489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D26003555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D26003556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D26003587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D26004048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B26003623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B26003624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D26004333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D26004352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D26003043</v>
          </cell>
          <cell r="AP4573">
            <v>0</v>
          </cell>
          <cell r="AQ4573">
            <v>0</v>
          </cell>
          <cell r="AV4573">
            <v>4380000</v>
          </cell>
        </row>
        <row r="4574">
          <cell r="E4574" t="str">
            <v>T26000258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D26004129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D26004149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D26003902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D26004088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D26004192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D26004266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B26003667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D26004322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D26004330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D26004349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B26003806</v>
          </cell>
          <cell r="AP4585">
            <v>0</v>
          </cell>
          <cell r="AQ4585">
            <v>0</v>
          </cell>
          <cell r="AV4585">
            <v>15800000</v>
          </cell>
        </row>
        <row r="4586">
          <cell r="E4586" t="str">
            <v>B26003883</v>
          </cell>
          <cell r="AP4586">
            <v>0</v>
          </cell>
          <cell r="AQ4586">
            <v>0</v>
          </cell>
          <cell r="AV4586">
            <v>5500000</v>
          </cell>
        </row>
        <row r="4587">
          <cell r="E4587" t="str">
            <v>D26004480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D26004830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B26004145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B25016405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B25016539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B25016540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D25019392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D25019402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B26000529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B26000530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B26000643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D26000729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D26002722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D26002723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D26004547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D26004548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D26004549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D26004550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D26004587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D26001922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D26001922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D26001955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D26001956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D26002114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B26002191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B26002465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B26002465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D26002716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D26002729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D26002968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D26002968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B26002999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B26003002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D26003551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D26003595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D26003597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D26003709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D26004362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D26004363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D26004985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D26004986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D26004987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D26004988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D26005051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D26005052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B26001477</v>
          </cell>
          <cell r="AP4632">
            <v>0</v>
          </cell>
          <cell r="AQ4632">
            <v>0</v>
          </cell>
          <cell r="AV4632">
            <v>3080000</v>
          </cell>
        </row>
        <row r="4633">
          <cell r="E4633" t="str">
            <v>D26002915</v>
          </cell>
          <cell r="AP4633">
            <v>0</v>
          </cell>
          <cell r="AQ4633">
            <v>0</v>
          </cell>
          <cell r="AV4633">
            <v>1720000</v>
          </cell>
        </row>
        <row r="4634">
          <cell r="E4634" t="str">
            <v>D26002916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D26002933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D26003791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D26004394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D26004402</v>
          </cell>
          <cell r="AP4638">
            <v>0</v>
          </cell>
          <cell r="AQ4638">
            <v>0</v>
          </cell>
          <cell r="AV4638">
            <v>0</v>
          </cell>
        </row>
        <row r="4639">
          <cell r="E4639" t="str">
            <v>N26000040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D26004521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B26004013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B26004023</v>
          </cell>
          <cell r="AP4642">
            <v>0</v>
          </cell>
          <cell r="AQ4642">
            <v>0</v>
          </cell>
          <cell r="AV4642">
            <v>0</v>
          </cell>
        </row>
        <row r="4643">
          <cell r="E4643" t="str">
            <v>Z26000233</v>
          </cell>
          <cell r="AP4643">
            <v>0</v>
          </cell>
          <cell r="AQ4643">
            <v>0</v>
          </cell>
          <cell r="AV4643">
            <v>10000000</v>
          </cell>
        </row>
        <row r="4644">
          <cell r="E4644" t="str">
            <v>B26003598</v>
          </cell>
          <cell r="AP4644">
            <v>0</v>
          </cell>
          <cell r="AQ4644">
            <v>0</v>
          </cell>
          <cell r="AV4644">
            <v>1981000</v>
          </cell>
        </row>
        <row r="4645">
          <cell r="E4645" t="str">
            <v>B26003599</v>
          </cell>
          <cell r="AP4645">
            <v>0</v>
          </cell>
          <cell r="AQ4645">
            <v>0</v>
          </cell>
          <cell r="AV4645">
            <v>1590000</v>
          </cell>
        </row>
        <row r="4646">
          <cell r="E4646" t="str">
            <v>D25015258</v>
          </cell>
          <cell r="AP4646">
            <v>0</v>
          </cell>
          <cell r="AQ4646">
            <v>0</v>
          </cell>
          <cell r="AV4646">
            <v>2000000</v>
          </cell>
        </row>
        <row r="4647">
          <cell r="E4647" t="str">
            <v>D26001097</v>
          </cell>
          <cell r="AP4647">
            <v>0</v>
          </cell>
          <cell r="AQ4647">
            <v>0</v>
          </cell>
          <cell r="AV4647">
            <v>0</v>
          </cell>
        </row>
        <row r="4648">
          <cell r="E4648" t="str">
            <v>B26003970</v>
          </cell>
          <cell r="AP4648">
            <v>0</v>
          </cell>
          <cell r="AQ4648">
            <v>0</v>
          </cell>
          <cell r="AV4648">
            <v>9050000</v>
          </cell>
        </row>
        <row r="4649">
          <cell r="E4649" t="str">
            <v>B26004085</v>
          </cell>
          <cell r="AP4649">
            <v>0</v>
          </cell>
          <cell r="AQ4649">
            <v>0</v>
          </cell>
          <cell r="AV4649">
            <v>11400000</v>
          </cell>
        </row>
        <row r="4650">
          <cell r="E4650" t="str">
            <v>D26004502</v>
          </cell>
          <cell r="AP4650">
            <v>0</v>
          </cell>
          <cell r="AQ4650">
            <v>0</v>
          </cell>
          <cell r="AV4650">
            <v>1920000</v>
          </cell>
        </row>
        <row r="4651">
          <cell r="E4651" t="str">
            <v>D26004596</v>
          </cell>
          <cell r="AP4651">
            <v>0</v>
          </cell>
          <cell r="AQ4651">
            <v>0</v>
          </cell>
          <cell r="AV4651">
            <v>1920000</v>
          </cell>
        </row>
        <row r="4652">
          <cell r="E4652" t="str">
            <v>B26004076</v>
          </cell>
          <cell r="AP4652">
            <v>0</v>
          </cell>
          <cell r="AQ4652">
            <v>0</v>
          </cell>
          <cell r="AV4652">
            <v>2880000</v>
          </cell>
        </row>
        <row r="4653">
          <cell r="E4653" t="str">
            <v>D26002637</v>
          </cell>
          <cell r="AP4653">
            <v>0</v>
          </cell>
          <cell r="AQ4653">
            <v>0</v>
          </cell>
          <cell r="AV4653">
            <v>0</v>
          </cell>
        </row>
        <row r="4654">
          <cell r="E4654" t="str">
            <v>B26003484</v>
          </cell>
          <cell r="AP4654">
            <v>0</v>
          </cell>
          <cell r="AQ4654">
            <v>0</v>
          </cell>
          <cell r="AV4654">
            <v>0</v>
          </cell>
        </row>
        <row r="4655">
          <cell r="E4655" t="str">
            <v>T26000014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D26002204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D26003250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D26003864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B26003769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D26004443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B26001962</v>
          </cell>
          <cell r="AP4661">
            <v>0</v>
          </cell>
          <cell r="AQ4661">
            <v>0</v>
          </cell>
          <cell r="AV4661">
            <v>13480000</v>
          </cell>
        </row>
        <row r="4662">
          <cell r="E4662" t="str">
            <v>D26003156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D26003157</v>
          </cell>
          <cell r="AP4663">
            <v>0</v>
          </cell>
          <cell r="AQ4663">
            <v>0</v>
          </cell>
          <cell r="AV4663">
            <v>1520000</v>
          </cell>
        </row>
        <row r="4664">
          <cell r="E4664" t="str">
            <v>D26004253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D26004315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T25001866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B26002543</v>
          </cell>
          <cell r="AP4667">
            <v>0</v>
          </cell>
          <cell r="AQ4667">
            <v>0</v>
          </cell>
          <cell r="AV4667">
            <v>0</v>
          </cell>
        </row>
        <row r="4668">
          <cell r="E4668" t="str">
            <v>D26002859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T26000194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B26003747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B26003725</v>
          </cell>
          <cell r="AP4671">
            <v>0</v>
          </cell>
          <cell r="AQ4671">
            <v>0</v>
          </cell>
          <cell r="AV4671">
            <v>12000000</v>
          </cell>
        </row>
        <row r="4672">
          <cell r="E4672" t="str">
            <v>B26003726</v>
          </cell>
          <cell r="AP4672">
            <v>0</v>
          </cell>
          <cell r="AQ4672">
            <v>0</v>
          </cell>
          <cell r="AV4672">
            <v>11720000</v>
          </cell>
        </row>
        <row r="4673">
          <cell r="E4673" t="str">
            <v>B26003727</v>
          </cell>
          <cell r="AP4673">
            <v>0</v>
          </cell>
          <cell r="AQ4673">
            <v>0</v>
          </cell>
          <cell r="AV4673">
            <v>12200000</v>
          </cell>
        </row>
        <row r="4674">
          <cell r="E4674" t="str">
            <v>T26000364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B26003839</v>
          </cell>
          <cell r="AP4675">
            <v>0</v>
          </cell>
          <cell r="AQ4675">
            <v>0</v>
          </cell>
          <cell r="AV4675">
            <v>1485000</v>
          </cell>
        </row>
        <row r="4676">
          <cell r="E4676" t="str">
            <v>B26003844</v>
          </cell>
          <cell r="AP4676">
            <v>0</v>
          </cell>
          <cell r="AQ4676">
            <v>0</v>
          </cell>
          <cell r="AV4676">
            <v>3650000</v>
          </cell>
        </row>
        <row r="4677">
          <cell r="E4677" t="str">
            <v>B26002184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D26003471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D26003557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B26003728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B26003741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B26001192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D26003970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B26003944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B26002787</v>
          </cell>
          <cell r="AP4685">
            <v>0</v>
          </cell>
          <cell r="AQ4685">
            <v>0</v>
          </cell>
          <cell r="AV4685">
            <v>12000000</v>
          </cell>
        </row>
        <row r="4686">
          <cell r="E4686" t="str">
            <v>T26000201k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B26000378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D26001960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T26000133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D26002376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T26000304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D26005043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B26001528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B26002651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D26003359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D26003360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T26000328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D26000217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D26000218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B26000559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B26000560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B26000569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B26000570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D26001528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B26002039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D26003475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B26003787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B26003788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B26003126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B26000038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B26000298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B26000593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D26000625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B26001110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B26001694</v>
          </cell>
          <cell r="AP4715">
            <v>0</v>
          </cell>
          <cell r="AQ4715">
            <v>15375000</v>
          </cell>
          <cell r="AV4715">
            <v>0</v>
          </cell>
        </row>
        <row r="4716">
          <cell r="E4716" t="str">
            <v>D26001787</v>
          </cell>
          <cell r="AP4716">
            <v>0</v>
          </cell>
          <cell r="AQ4716">
            <v>40750000</v>
          </cell>
          <cell r="AV4716">
            <v>0</v>
          </cell>
        </row>
        <row r="4717">
          <cell r="E4717" t="str">
            <v>D26002030</v>
          </cell>
          <cell r="AP4717">
            <v>0</v>
          </cell>
          <cell r="AQ4717">
            <v>38269000</v>
          </cell>
          <cell r="AV4717">
            <v>0</v>
          </cell>
        </row>
        <row r="4718">
          <cell r="E4718" t="str">
            <v>D26002361</v>
          </cell>
          <cell r="AP4718">
            <v>0</v>
          </cell>
          <cell r="AQ4718">
            <v>13750000</v>
          </cell>
          <cell r="AV4718">
            <v>0</v>
          </cell>
        </row>
        <row r="4719">
          <cell r="E4719" t="str">
            <v>B26002289</v>
          </cell>
          <cell r="AP4719">
            <v>0</v>
          </cell>
          <cell r="AQ4719">
            <v>21100000</v>
          </cell>
          <cell r="AV4719">
            <v>0</v>
          </cell>
        </row>
        <row r="4720">
          <cell r="E4720" t="str">
            <v>D26002511</v>
          </cell>
          <cell r="AP4720">
            <v>0</v>
          </cell>
          <cell r="AQ4720">
            <v>126500000</v>
          </cell>
          <cell r="AV4720">
            <v>0</v>
          </cell>
        </row>
        <row r="4721">
          <cell r="E4721" t="str">
            <v>D26003477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B26003392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D26004525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T26000379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D26001851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D26001852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D26001885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B26003068</v>
          </cell>
          <cell r="AP4728">
            <v>0</v>
          </cell>
          <cell r="AQ4728">
            <v>0</v>
          </cell>
          <cell r="AV4728">
            <v>1960000</v>
          </cell>
        </row>
        <row r="4729">
          <cell r="E4729" t="str">
            <v>T26000261</v>
          </cell>
          <cell r="AP4729">
            <v>0</v>
          </cell>
          <cell r="AQ4729">
            <v>0</v>
          </cell>
          <cell r="AV4729">
            <v>1350000</v>
          </cell>
        </row>
        <row r="4730">
          <cell r="E4730" t="str">
            <v>D26004533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B26003897</v>
          </cell>
          <cell r="AP4731">
            <v>0</v>
          </cell>
          <cell r="AQ4731">
            <v>0</v>
          </cell>
          <cell r="AV4731">
            <v>4240000</v>
          </cell>
        </row>
        <row r="4732">
          <cell r="E4732" t="str">
            <v>D26004646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D26004925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D26004937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>
            <v>260029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B26004166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B26002553</v>
          </cell>
          <cell r="AP4737">
            <v>0</v>
          </cell>
          <cell r="AQ4737">
            <v>0</v>
          </cell>
          <cell r="AV4737">
            <v>42000500</v>
          </cell>
        </row>
        <row r="4738">
          <cell r="E4738" t="str">
            <v>D26002708</v>
          </cell>
          <cell r="AP4738">
            <v>0</v>
          </cell>
          <cell r="AQ4738">
            <v>0</v>
          </cell>
          <cell r="AV4738">
            <v>2250000</v>
          </cell>
        </row>
        <row r="4739">
          <cell r="E4739" t="str">
            <v>B26002635</v>
          </cell>
          <cell r="AP4739">
            <v>0</v>
          </cell>
          <cell r="AQ4739">
            <v>0</v>
          </cell>
          <cell r="AV4739">
            <v>5330000</v>
          </cell>
        </row>
        <row r="4740">
          <cell r="E4740" t="str">
            <v>B26002654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B26002668</v>
          </cell>
          <cell r="AP4741">
            <v>0</v>
          </cell>
          <cell r="AQ4741">
            <v>0</v>
          </cell>
          <cell r="AV4741">
            <v>0</v>
          </cell>
        </row>
        <row r="4742">
          <cell r="E4742" t="str">
            <v>D26002874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D26002885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B26002770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B26002773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B26002798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D26002950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B26002862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D26003089</v>
          </cell>
          <cell r="AP4749">
            <v>0</v>
          </cell>
          <cell r="AQ4749">
            <v>0</v>
          </cell>
          <cell r="AV4749">
            <v>0</v>
          </cell>
        </row>
        <row r="4750">
          <cell r="E4750" t="str">
            <v>B26003028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B26003029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B26003082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D26003248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D26003307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D26003326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B26003102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B26003106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D26003408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D26003525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B26003271</v>
          </cell>
          <cell r="AP4760">
            <v>0</v>
          </cell>
          <cell r="AQ4760">
            <v>0</v>
          </cell>
          <cell r="AV4760">
            <v>0</v>
          </cell>
        </row>
        <row r="4761">
          <cell r="E4761" t="str">
            <v>B26003336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D26003715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D26003716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D26003897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B26003487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B26003613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D26004208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D26004222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D26004251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B26003679</v>
          </cell>
          <cell r="AP4770">
            <v>0</v>
          </cell>
          <cell r="AQ4770">
            <v>0</v>
          </cell>
          <cell r="AV4770">
            <v>46250000</v>
          </cell>
        </row>
        <row r="4771">
          <cell r="E4771" t="str">
            <v>D26004294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B26003840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B26003872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B26003880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B26003886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D26004635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B26003966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B26004034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D26004950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>
            <v>260028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B26004157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B26004158</v>
          </cell>
          <cell r="AP4782">
            <v>0</v>
          </cell>
          <cell r="AQ4782">
            <v>0</v>
          </cell>
          <cell r="AV4782">
            <v>0</v>
          </cell>
        </row>
        <row r="4783">
          <cell r="E4783" t="str">
            <v>D26004964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D26004965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B26003738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D26004357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D26004856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Z26000543</v>
          </cell>
          <cell r="AP4788">
            <v>0</v>
          </cell>
          <cell r="AQ4788">
            <v>0</v>
          </cell>
          <cell r="AV4788">
            <v>14113000</v>
          </cell>
        </row>
        <row r="4789">
          <cell r="E4789" t="str">
            <v>Z26000618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Z26000871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Z26000874</v>
          </cell>
          <cell r="AP4791">
            <v>0</v>
          </cell>
          <cell r="AQ4791">
            <v>0</v>
          </cell>
          <cell r="AV4791">
            <v>0</v>
          </cell>
        </row>
        <row r="4792">
          <cell r="E4792" t="str">
            <v>Z26000875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Z26000876</v>
          </cell>
          <cell r="AP4793">
            <v>0</v>
          </cell>
          <cell r="AQ4793">
            <v>0</v>
          </cell>
          <cell r="AV4793">
            <v>23250000</v>
          </cell>
        </row>
        <row r="4794">
          <cell r="E4794" t="str">
            <v>Z26000885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D26002438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D26002497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D26002521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B26002938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B26002941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B26003674</v>
          </cell>
          <cell r="AP4800">
            <v>0</v>
          </cell>
          <cell r="AQ4800">
            <v>0</v>
          </cell>
          <cell r="AV4800">
            <v>276750000</v>
          </cell>
        </row>
        <row r="4801">
          <cell r="E4801" t="str">
            <v>D26004293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D26004312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B26004021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D26004776</v>
          </cell>
          <cell r="AP4804">
            <v>0</v>
          </cell>
          <cell r="AQ4804">
            <v>0</v>
          </cell>
          <cell r="AV4804">
            <v>380304000</v>
          </cell>
        </row>
        <row r="4805">
          <cell r="E4805" t="str">
            <v>D26004891</v>
          </cell>
          <cell r="AP4805">
            <v>0</v>
          </cell>
          <cell r="AQ4805">
            <v>0</v>
          </cell>
          <cell r="AV4805">
            <v>380304000</v>
          </cell>
        </row>
        <row r="4806">
          <cell r="E4806" t="str">
            <v>B26003913</v>
          </cell>
          <cell r="AP4806">
            <v>0</v>
          </cell>
          <cell r="AQ4806">
            <v>0</v>
          </cell>
          <cell r="AV4806">
            <v>3240000</v>
          </cell>
        </row>
        <row r="4807">
          <cell r="E4807" t="str">
            <v>B26003914</v>
          </cell>
          <cell r="AP4807">
            <v>0</v>
          </cell>
          <cell r="AQ4807">
            <v>0</v>
          </cell>
          <cell r="AV4807">
            <v>1210000</v>
          </cell>
        </row>
        <row r="4808">
          <cell r="E4808" t="str">
            <v>B26003915</v>
          </cell>
          <cell r="AP4808">
            <v>0</v>
          </cell>
          <cell r="AQ4808">
            <v>0</v>
          </cell>
          <cell r="AV4808">
            <v>13608000</v>
          </cell>
        </row>
        <row r="4809">
          <cell r="E4809" t="str">
            <v>C26000261</v>
          </cell>
          <cell r="AP4809">
            <v>0</v>
          </cell>
          <cell r="AQ4809">
            <v>0</v>
          </cell>
          <cell r="AV4809">
            <v>1350000</v>
          </cell>
        </row>
        <row r="4810">
          <cell r="E4810" t="str">
            <v>D26004947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D26003119</v>
          </cell>
          <cell r="AP4811">
            <v>0</v>
          </cell>
          <cell r="AQ4811">
            <v>0</v>
          </cell>
          <cell r="AV4811">
            <v>34100000</v>
          </cell>
        </row>
        <row r="4812">
          <cell r="E4812" t="str">
            <v>D26002961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N26000028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T26000041</v>
          </cell>
          <cell r="AP4814">
            <v>0</v>
          </cell>
          <cell r="AQ4814">
            <v>0</v>
          </cell>
          <cell r="AV4814">
            <v>5700000</v>
          </cell>
        </row>
        <row r="4815">
          <cell r="E4815" t="str">
            <v>B26000998</v>
          </cell>
          <cell r="AP4815">
            <v>0</v>
          </cell>
          <cell r="AQ4815">
            <v>0</v>
          </cell>
          <cell r="AV4815">
            <v>48477500</v>
          </cell>
        </row>
        <row r="4816">
          <cell r="E4816" t="str">
            <v>B26001226</v>
          </cell>
          <cell r="AP4816">
            <v>0</v>
          </cell>
          <cell r="AQ4816">
            <v>0</v>
          </cell>
          <cell r="AV4816">
            <v>17040000</v>
          </cell>
        </row>
        <row r="4817">
          <cell r="E4817" t="str">
            <v>D26001330</v>
          </cell>
          <cell r="AP4817">
            <v>0</v>
          </cell>
          <cell r="AQ4817">
            <v>0</v>
          </cell>
          <cell r="AV4817">
            <v>22116000</v>
          </cell>
        </row>
        <row r="4818">
          <cell r="E4818" t="str">
            <v>B26001270</v>
          </cell>
          <cell r="AP4818">
            <v>0</v>
          </cell>
          <cell r="AQ4818">
            <v>0</v>
          </cell>
          <cell r="AV4818">
            <v>3492000</v>
          </cell>
        </row>
        <row r="4819">
          <cell r="E4819" t="str">
            <v>B26001405</v>
          </cell>
          <cell r="AP4819">
            <v>0</v>
          </cell>
          <cell r="AQ4819">
            <v>0</v>
          </cell>
          <cell r="AV4819">
            <v>40750000</v>
          </cell>
        </row>
        <row r="4820">
          <cell r="E4820" t="str">
            <v>D26001530</v>
          </cell>
          <cell r="AP4820">
            <v>0</v>
          </cell>
          <cell r="AQ4820">
            <v>0</v>
          </cell>
          <cell r="AV4820">
            <v>36500000</v>
          </cell>
        </row>
        <row r="4821">
          <cell r="E4821" t="str">
            <v>B26001696</v>
          </cell>
          <cell r="AP4821">
            <v>0</v>
          </cell>
          <cell r="AQ4821">
            <v>0</v>
          </cell>
          <cell r="AV4821">
            <v>50280750</v>
          </cell>
        </row>
        <row r="4822">
          <cell r="E4822" t="str">
            <v>D26001919</v>
          </cell>
          <cell r="AP4822">
            <v>0</v>
          </cell>
          <cell r="AQ4822">
            <v>0</v>
          </cell>
          <cell r="AV4822">
            <v>28040000</v>
          </cell>
        </row>
        <row r="4823">
          <cell r="E4823" t="str">
            <v>D26001921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B26001981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B26002093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D26002244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B26002255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B26002390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D26002567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D26002602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B26002662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B26002670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B26002707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B26002735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D26002973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B26003152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B26003153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L26000011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D26003449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D26003759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B26003501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D26003987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D26004304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D26004608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D26004955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B26003978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B26003979</v>
          </cell>
          <cell r="AP4847">
            <v>0</v>
          </cell>
          <cell r="AQ4847">
            <v>0</v>
          </cell>
          <cell r="AV4847">
            <v>11500000</v>
          </cell>
        </row>
        <row r="4848">
          <cell r="E4848" t="str">
            <v>B26004000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D26004913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D26000675</v>
          </cell>
          <cell r="AP4850">
            <v>0</v>
          </cell>
          <cell r="AQ4850">
            <v>0</v>
          </cell>
          <cell r="AV4850">
            <v>390650</v>
          </cell>
        </row>
        <row r="4851">
          <cell r="E4851" t="str">
            <v>D26001080</v>
          </cell>
          <cell r="AP4851">
            <v>0</v>
          </cell>
          <cell r="AQ4851">
            <v>0</v>
          </cell>
          <cell r="AV4851">
            <v>1009350</v>
          </cell>
        </row>
        <row r="4852">
          <cell r="E4852" t="str">
            <v>D26001080</v>
          </cell>
          <cell r="AP4852">
            <v>0</v>
          </cell>
          <cell r="AQ4852">
            <v>0</v>
          </cell>
          <cell r="AV4852">
            <v>1200000</v>
          </cell>
        </row>
        <row r="4853">
          <cell r="E4853" t="str">
            <v>D26001080</v>
          </cell>
          <cell r="AP4853">
            <v>0</v>
          </cell>
          <cell r="AQ4853">
            <v>0</v>
          </cell>
          <cell r="AV4853">
            <v>2050000</v>
          </cell>
        </row>
        <row r="4854">
          <cell r="E4854" t="str">
            <v>D26001080</v>
          </cell>
          <cell r="AP4854">
            <v>0</v>
          </cell>
          <cell r="AQ4854">
            <v>0</v>
          </cell>
          <cell r="AV4854">
            <v>684650</v>
          </cell>
        </row>
        <row r="4855">
          <cell r="E4855" t="str">
            <v>D26001081</v>
          </cell>
          <cell r="AP4855">
            <v>0</v>
          </cell>
          <cell r="AQ4855">
            <v>0</v>
          </cell>
          <cell r="AV4855">
            <v>2015350</v>
          </cell>
        </row>
        <row r="4856">
          <cell r="E4856" t="str">
            <v>D26001123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D26002250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D26002251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D26002252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D26002271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D26002600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D26002601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N26000023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B26002832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B26002833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D26003629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D26003630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B26003620</v>
          </cell>
          <cell r="AP4868">
            <v>0</v>
          </cell>
          <cell r="AQ4868">
            <v>0</v>
          </cell>
          <cell r="AV4868">
            <v>0</v>
          </cell>
        </row>
        <row r="4869">
          <cell r="E4869" t="str">
            <v>B26003621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D26004941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D26004942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D26004943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D26004960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D25019432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D25019433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D25019434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D25019435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D25019436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D25019437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N25000086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D26002965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D26002999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T26000175</v>
          </cell>
          <cell r="AP4883">
            <v>0</v>
          </cell>
          <cell r="AQ4883">
            <v>0</v>
          </cell>
          <cell r="AV4883">
            <v>0</v>
          </cell>
        </row>
        <row r="4884">
          <cell r="E4884" t="str">
            <v>D26004336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D26004558</v>
          </cell>
          <cell r="AP4885">
            <v>0</v>
          </cell>
          <cell r="AQ4885">
            <v>0</v>
          </cell>
          <cell r="AV4885">
            <v>11400000</v>
          </cell>
        </row>
        <row r="4886">
          <cell r="E4886" t="str">
            <v>D26004559</v>
          </cell>
          <cell r="AP4886">
            <v>0</v>
          </cell>
          <cell r="AQ4886">
            <v>0</v>
          </cell>
          <cell r="AV4886">
            <v>9470000</v>
          </cell>
        </row>
        <row r="4887">
          <cell r="E4887" t="str">
            <v>D26001723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B26003507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D26002313</v>
          </cell>
          <cell r="AP4889">
            <v>0</v>
          </cell>
          <cell r="AQ4889">
            <v>0</v>
          </cell>
          <cell r="AV4889">
            <v>5800000</v>
          </cell>
        </row>
        <row r="4890">
          <cell r="E4890" t="str">
            <v>B26003864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D26004622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D26005010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D26003053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T25001874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D26001576</v>
          </cell>
          <cell r="AP4895">
            <v>0</v>
          </cell>
          <cell r="AQ4895">
            <v>0</v>
          </cell>
          <cell r="AV4895">
            <v>20000000</v>
          </cell>
        </row>
        <row r="4896">
          <cell r="E4896" t="str">
            <v>B26001971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B26002092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B26002251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D26002629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B26002562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D26003037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D26003054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D26003073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D26004628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D26004629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D26004634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D26004674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D26004948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B26001612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D26001821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D26002027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D26002092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B26001987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B26001987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B26001988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B26002120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B26002155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D26002305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D26002337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D26002482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B26002380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D26002612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B26002528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D26002868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B26002841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D26003125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D26003234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D26003337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D26003389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D26003410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T26000283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B26003324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D26003645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D26003787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D26004073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D26004159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B26003676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B26003756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D26004440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B26003826</v>
          </cell>
          <cell r="AP4940">
            <v>0</v>
          </cell>
          <cell r="AQ4940">
            <v>9500000</v>
          </cell>
          <cell r="AV4940">
            <v>0</v>
          </cell>
        </row>
        <row r="4941">
          <cell r="E4941" t="str">
            <v>B26003827</v>
          </cell>
          <cell r="AP4941">
            <v>0</v>
          </cell>
          <cell r="AQ4941">
            <v>24050000</v>
          </cell>
          <cell r="AV4941">
            <v>0</v>
          </cell>
        </row>
        <row r="4942">
          <cell r="E4942" t="str">
            <v>D26004542</v>
          </cell>
          <cell r="AP4942">
            <v>0</v>
          </cell>
          <cell r="AQ4942">
            <v>49800000</v>
          </cell>
          <cell r="AV4942">
            <v>0</v>
          </cell>
        </row>
        <row r="4943">
          <cell r="E4943" t="str">
            <v>B26003916</v>
          </cell>
          <cell r="AP4943">
            <v>0</v>
          </cell>
          <cell r="AQ4943">
            <v>4240000</v>
          </cell>
          <cell r="AV4943">
            <v>0</v>
          </cell>
        </row>
        <row r="4944">
          <cell r="E4944" t="str">
            <v>D26004604</v>
          </cell>
          <cell r="AP4944">
            <v>0</v>
          </cell>
          <cell r="AQ4944">
            <v>15800000</v>
          </cell>
          <cell r="AV4944">
            <v>0</v>
          </cell>
        </row>
        <row r="4945">
          <cell r="E4945" t="str">
            <v>D26004625</v>
          </cell>
          <cell r="AP4945">
            <v>0</v>
          </cell>
          <cell r="AQ4945">
            <v>14880000</v>
          </cell>
          <cell r="AV4945">
            <v>0</v>
          </cell>
        </row>
        <row r="4946">
          <cell r="E4946" t="str">
            <v>C26000257</v>
          </cell>
          <cell r="AP4946">
            <v>0</v>
          </cell>
          <cell r="AQ4946">
            <v>1800000</v>
          </cell>
          <cell r="AV4946">
            <v>0</v>
          </cell>
        </row>
        <row r="4947">
          <cell r="E4947" t="str">
            <v>D26004691</v>
          </cell>
          <cell r="AP4947">
            <v>0</v>
          </cell>
          <cell r="AQ4947">
            <v>14175000</v>
          </cell>
          <cell r="AV4947">
            <v>0</v>
          </cell>
        </row>
        <row r="4948">
          <cell r="E4948" t="str">
            <v>D26004749</v>
          </cell>
          <cell r="AP4948">
            <v>0</v>
          </cell>
          <cell r="AQ4948">
            <v>1045000</v>
          </cell>
          <cell r="AV4948">
            <v>0</v>
          </cell>
        </row>
        <row r="4949">
          <cell r="E4949" t="str">
            <v>B26004070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D26004972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D26005045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T25001880</v>
          </cell>
          <cell r="AP4952">
            <v>0</v>
          </cell>
          <cell r="AQ4952">
            <v>0</v>
          </cell>
          <cell r="AV4952">
            <v>1000000</v>
          </cell>
        </row>
        <row r="4953">
          <cell r="E4953" t="str">
            <v>B26000964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B26000965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D26002347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D26004767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D26004768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D26002858</v>
          </cell>
          <cell r="AP4958">
            <v>0</v>
          </cell>
          <cell r="AQ4958">
            <v>0</v>
          </cell>
          <cell r="AV4958">
            <v>10000000</v>
          </cell>
        </row>
        <row r="4959">
          <cell r="E4959" t="str">
            <v>T26000228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D26003754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B26003461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D26004284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D26004264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B26003799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D26004418</v>
          </cell>
          <cell r="AP4965">
            <v>0</v>
          </cell>
          <cell r="AQ4965">
            <v>0</v>
          </cell>
          <cell r="AV4965">
            <v>0</v>
          </cell>
        </row>
        <row r="4966">
          <cell r="E4966" t="str">
            <v>D26004553</v>
          </cell>
          <cell r="AP4966">
            <v>0</v>
          </cell>
          <cell r="AQ4966">
            <v>0</v>
          </cell>
          <cell r="AV4966">
            <v>35112000</v>
          </cell>
        </row>
        <row r="4967">
          <cell r="E4967" t="str">
            <v>B26001737</v>
          </cell>
          <cell r="AP4967">
            <v>0</v>
          </cell>
          <cell r="AQ4967">
            <v>0</v>
          </cell>
          <cell r="AV4967">
            <v>4240000</v>
          </cell>
        </row>
        <row r="4968">
          <cell r="E4968" t="str">
            <v>T26000294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T26000366</v>
          </cell>
          <cell r="AP4969">
            <v>0</v>
          </cell>
          <cell r="AQ4969">
            <v>0</v>
          </cell>
          <cell r="AV4969">
            <v>13000000</v>
          </cell>
        </row>
        <row r="4970">
          <cell r="E4970" t="str">
            <v>D26003026</v>
          </cell>
          <cell r="AP4970">
            <v>0</v>
          </cell>
          <cell r="AQ4970">
            <v>0</v>
          </cell>
          <cell r="AV4970">
            <v>1057500</v>
          </cell>
        </row>
        <row r="4971">
          <cell r="E4971" t="str">
            <v>B26004152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D26003602</v>
          </cell>
          <cell r="AP4972">
            <v>0</v>
          </cell>
          <cell r="AQ4972">
            <v>0</v>
          </cell>
          <cell r="AV4972">
            <v>0</v>
          </cell>
        </row>
        <row r="4973">
          <cell r="E4973" t="str">
            <v>D26003091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D26004618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B25012496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D25017825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B25015450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B25016277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D26000374</v>
          </cell>
          <cell r="AP4979">
            <v>0</v>
          </cell>
          <cell r="AQ4979">
            <v>0</v>
          </cell>
          <cell r="AV4979">
            <v>0</v>
          </cell>
        </row>
        <row r="4980">
          <cell r="E4980" t="str">
            <v>B26001931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D26002064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B26002304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B26002375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B26002376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B26002593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D26003117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D26003832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B26003776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D26004568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B26003962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D26004800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B26000622</v>
          </cell>
          <cell r="AP4992">
            <v>0</v>
          </cell>
          <cell r="AQ4992">
            <v>0</v>
          </cell>
          <cell r="AV4992">
            <v>3660000</v>
          </cell>
        </row>
        <row r="4993">
          <cell r="E4993" t="str">
            <v>B26000775</v>
          </cell>
          <cell r="AP4993">
            <v>0</v>
          </cell>
          <cell r="AQ4993">
            <v>0</v>
          </cell>
          <cell r="AV4993">
            <v>6340000</v>
          </cell>
        </row>
        <row r="4994">
          <cell r="E4994" t="str">
            <v>B26001262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T26000105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D26002855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B26002819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B26002820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D26001292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D26001420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D26001523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D26001981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D26002085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D26002140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B26002067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D26002422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D26002639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D26004230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D26004658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D26004734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D26004890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D26002333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B26002882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D26004310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B26001309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T26000248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B26003509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B26003684</v>
          </cell>
          <cell r="AP5018">
            <v>0</v>
          </cell>
          <cell r="AQ5018">
            <v>0</v>
          </cell>
          <cell r="AV5018">
            <v>9875000</v>
          </cell>
        </row>
        <row r="5019">
          <cell r="E5019" t="str">
            <v>D26004281</v>
          </cell>
          <cell r="AP5019">
            <v>0</v>
          </cell>
          <cell r="AQ5019">
            <v>0</v>
          </cell>
          <cell r="AV5019">
            <v>92400000</v>
          </cell>
        </row>
        <row r="5020">
          <cell r="E5020" t="str">
            <v>D26001994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B26001975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D26002104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D26002112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D26002201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D26002215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D26002411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D26002528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D26003058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D26003059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D26003075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D26003080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B26003286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B26003317</v>
          </cell>
          <cell r="AP5033">
            <v>0</v>
          </cell>
          <cell r="AQ5033">
            <v>0</v>
          </cell>
          <cell r="AV5033">
            <v>0</v>
          </cell>
        </row>
        <row r="5034">
          <cell r="E5034" t="str">
            <v>B26003351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B26003368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B26003547</v>
          </cell>
          <cell r="AP5036">
            <v>0</v>
          </cell>
          <cell r="AQ5036">
            <v>0</v>
          </cell>
          <cell r="AV5036">
            <v>158200000</v>
          </cell>
        </row>
        <row r="5037">
          <cell r="E5037" t="str">
            <v>D26004116</v>
          </cell>
          <cell r="AP5037">
            <v>0</v>
          </cell>
          <cell r="AQ5037">
            <v>0</v>
          </cell>
          <cell r="AV5037">
            <v>41800000</v>
          </cell>
        </row>
        <row r="5038">
          <cell r="E5038" t="str">
            <v>D26004116</v>
          </cell>
          <cell r="AP5038">
            <v>0</v>
          </cell>
          <cell r="AQ5038">
            <v>0</v>
          </cell>
          <cell r="AV5038">
            <v>9404825</v>
          </cell>
        </row>
        <row r="5039">
          <cell r="E5039" t="str">
            <v>D26004171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D26004262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D26004706</v>
          </cell>
          <cell r="AP5041">
            <v>0</v>
          </cell>
          <cell r="AQ5041">
            <v>0</v>
          </cell>
          <cell r="AV5041">
            <v>190595175</v>
          </cell>
        </row>
        <row r="5042">
          <cell r="E5042" t="str">
            <v>B26004128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B26002881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D26003111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D26004772</v>
          </cell>
          <cell r="AP5045">
            <v>0</v>
          </cell>
          <cell r="AQ5045">
            <v>0</v>
          </cell>
          <cell r="AV5045">
            <v>2860000</v>
          </cell>
        </row>
        <row r="5046">
          <cell r="E5046" t="str">
            <v>D26004802</v>
          </cell>
          <cell r="AP5046">
            <v>0</v>
          </cell>
          <cell r="AQ5046">
            <v>0</v>
          </cell>
          <cell r="AV5046">
            <v>1980000</v>
          </cell>
        </row>
        <row r="5047">
          <cell r="E5047" t="str">
            <v>T26000411</v>
          </cell>
          <cell r="AP5047">
            <v>0</v>
          </cell>
          <cell r="AQ5047">
            <v>0</v>
          </cell>
          <cell r="AV5047">
            <v>1900000</v>
          </cell>
        </row>
        <row r="5048">
          <cell r="E5048" t="str">
            <v>T26000066k</v>
          </cell>
          <cell r="AP5048">
            <v>0</v>
          </cell>
          <cell r="AQ5048">
            <v>0</v>
          </cell>
          <cell r="AV5048">
            <v>3240000</v>
          </cell>
        </row>
        <row r="5049">
          <cell r="E5049" t="str">
            <v>B26002310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B26002697</v>
          </cell>
          <cell r="AP5050">
            <v>0</v>
          </cell>
          <cell r="AQ5050">
            <v>0</v>
          </cell>
          <cell r="AV5050">
            <v>2745000</v>
          </cell>
        </row>
        <row r="5051">
          <cell r="E5051" t="str">
            <v>D26003822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B26003612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D26004311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B26003842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T25001818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B26001963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D26003084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D26004607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D26004716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D26003695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T26000307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B26003576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D26004495</v>
          </cell>
          <cell r="AP5063">
            <v>0</v>
          </cell>
          <cell r="AQ5063">
            <v>0</v>
          </cell>
          <cell r="AV5063">
            <v>1790000</v>
          </cell>
        </row>
        <row r="5064">
          <cell r="E5064" t="str">
            <v>D26004257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B26003784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T26000368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T25001515k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T25001519K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D26002285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D26002296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D26004630</v>
          </cell>
          <cell r="AP5071">
            <v>0</v>
          </cell>
          <cell r="AQ5071">
            <v>0</v>
          </cell>
          <cell r="AV5071">
            <v>7065000</v>
          </cell>
        </row>
        <row r="5072">
          <cell r="E5072" t="str">
            <v>D26004657</v>
          </cell>
          <cell r="AP5072">
            <v>0</v>
          </cell>
          <cell r="AQ5072">
            <v>0</v>
          </cell>
          <cell r="AV5072">
            <v>5100000</v>
          </cell>
        </row>
        <row r="5073">
          <cell r="E5073" t="str">
            <v>D26004690</v>
          </cell>
          <cell r="AP5073">
            <v>0</v>
          </cell>
          <cell r="AQ5073">
            <v>0</v>
          </cell>
          <cell r="AV5073">
            <v>5100000</v>
          </cell>
        </row>
        <row r="5074">
          <cell r="E5074" t="str">
            <v>D26004824</v>
          </cell>
          <cell r="AP5074">
            <v>0</v>
          </cell>
          <cell r="AQ5074">
            <v>0</v>
          </cell>
          <cell r="AV5074">
            <v>12040000</v>
          </cell>
        </row>
        <row r="5075">
          <cell r="E5075" t="str">
            <v>D26004825</v>
          </cell>
          <cell r="AP5075">
            <v>0</v>
          </cell>
          <cell r="AQ5075">
            <v>0</v>
          </cell>
          <cell r="AV5075">
            <v>675000</v>
          </cell>
        </row>
        <row r="5076">
          <cell r="E5076" t="str">
            <v>D26004966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D26004967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B25015498</v>
          </cell>
          <cell r="AP5078">
            <v>0</v>
          </cell>
          <cell r="AQ5078">
            <v>0</v>
          </cell>
          <cell r="AV5078">
            <v>7646000</v>
          </cell>
        </row>
        <row r="5079">
          <cell r="E5079" t="str">
            <v>B25015508</v>
          </cell>
          <cell r="AP5079">
            <v>0</v>
          </cell>
          <cell r="AQ5079">
            <v>0</v>
          </cell>
          <cell r="AV5079">
            <v>3460000</v>
          </cell>
        </row>
        <row r="5080">
          <cell r="E5080" t="str">
            <v>B25015667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B25015981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T25001821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B25016753</v>
          </cell>
          <cell r="AP5083">
            <v>0</v>
          </cell>
          <cell r="AQ5083">
            <v>0</v>
          </cell>
          <cell r="AV5083">
            <v>15000000</v>
          </cell>
        </row>
        <row r="5084">
          <cell r="E5084" t="str">
            <v>B25016753</v>
          </cell>
          <cell r="AP5084">
            <v>0</v>
          </cell>
          <cell r="AQ5084">
            <v>0</v>
          </cell>
          <cell r="AV5084">
            <v>4524000</v>
          </cell>
        </row>
        <row r="5085">
          <cell r="E5085" t="str">
            <v>T25001877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B25016907</v>
          </cell>
          <cell r="AP5086">
            <v>0</v>
          </cell>
          <cell r="AQ5086">
            <v>0</v>
          </cell>
          <cell r="AV5086">
            <v>1890000</v>
          </cell>
        </row>
        <row r="5087">
          <cell r="E5087" t="str">
            <v>B25016909</v>
          </cell>
          <cell r="AP5087">
            <v>0</v>
          </cell>
          <cell r="AQ5087">
            <v>0</v>
          </cell>
          <cell r="AV5087">
            <v>18480000</v>
          </cell>
        </row>
        <row r="5088">
          <cell r="E5088" t="str">
            <v>D26000033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D26000041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D26000042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B26000271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B26000335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D26000591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D26000816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D26000831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B26001161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D26001238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D26001378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D26001908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D26002060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B26002342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D26003155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D26003180</v>
          </cell>
          <cell r="AP5103">
            <v>0</v>
          </cell>
          <cell r="AQ5103">
            <v>0</v>
          </cell>
          <cell r="AV5103">
            <v>0</v>
          </cell>
        </row>
        <row r="5104">
          <cell r="E5104" t="str">
            <v>D26003363</v>
          </cell>
          <cell r="AP5104">
            <v>0</v>
          </cell>
          <cell r="AQ5104">
            <v>0</v>
          </cell>
          <cell r="AV5104">
            <v>0</v>
          </cell>
        </row>
        <row r="5105">
          <cell r="E5105" t="str">
            <v>T26000268</v>
          </cell>
          <cell r="AP5105">
            <v>0</v>
          </cell>
          <cell r="AQ5105">
            <v>0</v>
          </cell>
          <cell r="AV5105">
            <v>0</v>
          </cell>
        </row>
        <row r="5106">
          <cell r="E5106" t="str">
            <v>B26003337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D26003631</v>
          </cell>
          <cell r="AP5107">
            <v>0</v>
          </cell>
          <cell r="AQ5107">
            <v>0</v>
          </cell>
          <cell r="AV5107">
            <v>0</v>
          </cell>
        </row>
        <row r="5108">
          <cell r="E5108" t="str">
            <v>T26000299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B26003425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B26003040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B26003222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 t="str">
            <v>D26003683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D26004624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D26003358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T26000101</v>
          </cell>
          <cell r="AP5115">
            <v>0</v>
          </cell>
          <cell r="AQ5115">
            <v>0</v>
          </cell>
          <cell r="AV5115">
            <v>9600000</v>
          </cell>
        </row>
        <row r="5116">
          <cell r="E5116" t="str">
            <v>B26001926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B26001927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B26001994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D26002693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B26003159</v>
          </cell>
          <cell r="AP5120">
            <v>0</v>
          </cell>
          <cell r="AQ5120">
            <v>0</v>
          </cell>
          <cell r="AV5120">
            <v>0</v>
          </cell>
        </row>
        <row r="5121">
          <cell r="E5121" t="str">
            <v>B26003160</v>
          </cell>
          <cell r="AP5121">
            <v>0</v>
          </cell>
          <cell r="AQ5121">
            <v>0</v>
          </cell>
          <cell r="AV5121">
            <v>0</v>
          </cell>
        </row>
        <row r="5122">
          <cell r="E5122" t="str">
            <v>D26003338</v>
          </cell>
          <cell r="AP5122">
            <v>0</v>
          </cell>
          <cell r="AQ5122">
            <v>0</v>
          </cell>
          <cell r="AV5122">
            <v>0</v>
          </cell>
        </row>
        <row r="5123">
          <cell r="E5123" t="str">
            <v>D26003901</v>
          </cell>
          <cell r="AP5123">
            <v>0</v>
          </cell>
          <cell r="AQ5123">
            <v>0</v>
          </cell>
          <cell r="AV5123">
            <v>0</v>
          </cell>
        </row>
        <row r="5124">
          <cell r="E5124" t="str">
            <v>D26003916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D26003963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B26003534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D26004055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D25017643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D25018207</v>
          </cell>
          <cell r="AP5129">
            <v>0</v>
          </cell>
          <cell r="AQ5129">
            <v>0</v>
          </cell>
          <cell r="AV5129">
            <v>100000000</v>
          </cell>
        </row>
        <row r="5130">
          <cell r="E5130" t="str">
            <v>D25019018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D25019607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B26000124</v>
          </cell>
          <cell r="AP5132">
            <v>0</v>
          </cell>
          <cell r="AQ5132">
            <v>0</v>
          </cell>
          <cell r="AV5132">
            <v>0</v>
          </cell>
        </row>
        <row r="5133">
          <cell r="E5133" t="str">
            <v>B26000372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B26000495</v>
          </cell>
          <cell r="AP5134">
            <v>0</v>
          </cell>
          <cell r="AQ5134">
            <v>0</v>
          </cell>
          <cell r="AV5134">
            <v>0</v>
          </cell>
        </row>
        <row r="5135">
          <cell r="E5135" t="str">
            <v>B26001120</v>
          </cell>
          <cell r="AP5135">
            <v>0</v>
          </cell>
          <cell r="AQ5135">
            <v>0</v>
          </cell>
          <cell r="AV5135">
            <v>0</v>
          </cell>
        </row>
        <row r="5136">
          <cell r="E5136" t="str">
            <v>B26001210</v>
          </cell>
          <cell r="AP5136">
            <v>0</v>
          </cell>
          <cell r="AQ5136">
            <v>0</v>
          </cell>
          <cell r="AV5136">
            <v>0</v>
          </cell>
        </row>
        <row r="5137">
          <cell r="E5137" t="str">
            <v>B26001520</v>
          </cell>
          <cell r="AP5137">
            <v>0</v>
          </cell>
          <cell r="AQ5137">
            <v>0</v>
          </cell>
          <cell r="AV5137">
            <v>0</v>
          </cell>
        </row>
        <row r="5138">
          <cell r="E5138" t="str">
            <v>B26001579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D26003214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D26003892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D26004491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B26002685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Z26000370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Z26000526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Z26000900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Z26000913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D26000069</v>
          </cell>
          <cell r="AP5147">
            <v>0</v>
          </cell>
          <cell r="AQ5147">
            <v>0</v>
          </cell>
          <cell r="AV5147">
            <v>0</v>
          </cell>
        </row>
        <row r="5148">
          <cell r="E5148" t="str">
            <v>B26000945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B26001018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B26001594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B26003467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B26003468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B26003489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D26004859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D26004860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D26001816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D26001831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D26001913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D26002222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D26002449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B26002507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B26002753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D26002967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D26003394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B26003457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B26003535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D26004057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D26004314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B26003899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B26003956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D26004643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D26004813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B26001829</v>
          </cell>
          <cell r="AP5173">
            <v>0</v>
          </cell>
          <cell r="AQ5173">
            <v>0</v>
          </cell>
          <cell r="AV5173">
            <v>5160000</v>
          </cell>
        </row>
        <row r="5174">
          <cell r="E5174" t="str">
            <v>B26001836</v>
          </cell>
          <cell r="AP5174">
            <v>0</v>
          </cell>
          <cell r="AQ5174">
            <v>0</v>
          </cell>
          <cell r="AV5174">
            <v>2860000</v>
          </cell>
        </row>
        <row r="5175">
          <cell r="E5175" t="str">
            <v>B26001837</v>
          </cell>
          <cell r="AP5175">
            <v>0</v>
          </cell>
          <cell r="AQ5175">
            <v>0</v>
          </cell>
          <cell r="AV5175">
            <v>900000</v>
          </cell>
        </row>
        <row r="5176">
          <cell r="E5176" t="str">
            <v>D26001944</v>
          </cell>
          <cell r="AP5176">
            <v>0</v>
          </cell>
          <cell r="AQ5176">
            <v>0</v>
          </cell>
          <cell r="AV5176">
            <v>2831200</v>
          </cell>
        </row>
        <row r="5177">
          <cell r="E5177" t="str">
            <v>B26001905</v>
          </cell>
          <cell r="AP5177">
            <v>0</v>
          </cell>
          <cell r="AQ5177">
            <v>0</v>
          </cell>
          <cell r="AV5177">
            <v>3060000</v>
          </cell>
        </row>
        <row r="5178">
          <cell r="E5178" t="str">
            <v>D26002147</v>
          </cell>
          <cell r="AP5178">
            <v>0</v>
          </cell>
          <cell r="AQ5178">
            <v>0</v>
          </cell>
          <cell r="AV5178">
            <v>9200000</v>
          </cell>
        </row>
        <row r="5179">
          <cell r="E5179" t="str">
            <v>B26002158</v>
          </cell>
          <cell r="AP5179">
            <v>0</v>
          </cell>
          <cell r="AQ5179">
            <v>0</v>
          </cell>
          <cell r="AV5179">
            <v>7150000</v>
          </cell>
        </row>
        <row r="5180">
          <cell r="E5180" t="str">
            <v>D26002307</v>
          </cell>
          <cell r="AP5180">
            <v>0</v>
          </cell>
          <cell r="AQ5180">
            <v>0</v>
          </cell>
          <cell r="AV5180">
            <v>1100000</v>
          </cell>
        </row>
        <row r="5181">
          <cell r="E5181" t="str">
            <v>B26002431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B26002432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D26002642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B26002573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D26002769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D26002898</v>
          </cell>
          <cell r="AP5186">
            <v>0</v>
          </cell>
          <cell r="AQ5186">
            <v>0</v>
          </cell>
          <cell r="AV5186">
            <v>0</v>
          </cell>
        </row>
        <row r="5187">
          <cell r="E5187" t="str">
            <v>D26002899</v>
          </cell>
          <cell r="AP5187">
            <v>0</v>
          </cell>
          <cell r="AQ5187">
            <v>0</v>
          </cell>
          <cell r="AV5187">
            <v>0</v>
          </cell>
        </row>
        <row r="5188">
          <cell r="E5188" t="str">
            <v>D26002900</v>
          </cell>
          <cell r="AP5188">
            <v>0</v>
          </cell>
          <cell r="AQ5188">
            <v>0</v>
          </cell>
          <cell r="AV5188">
            <v>0</v>
          </cell>
        </row>
        <row r="5189">
          <cell r="E5189" t="str">
            <v>D26003258</v>
          </cell>
          <cell r="AP5189">
            <v>0</v>
          </cell>
          <cell r="AQ5189">
            <v>0</v>
          </cell>
          <cell r="AV5189">
            <v>0</v>
          </cell>
        </row>
        <row r="5190">
          <cell r="E5190" t="str">
            <v>B26003142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B26003190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D26003406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D26003761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B26003437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B26003438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D26003848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D26003849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D26004110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D26004111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D26004484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B26004063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B26004064</v>
          </cell>
          <cell r="AP5202">
            <v>0</v>
          </cell>
          <cell r="AQ5202">
            <v>0</v>
          </cell>
          <cell r="AV5202">
            <v>0</v>
          </cell>
        </row>
        <row r="5203">
          <cell r="E5203" t="str">
            <v>B26004101</v>
          </cell>
          <cell r="AP5203">
            <v>0</v>
          </cell>
          <cell r="AQ5203">
            <v>0</v>
          </cell>
          <cell r="AV5203">
            <v>0</v>
          </cell>
        </row>
        <row r="5204">
          <cell r="E5204" t="str">
            <v>B26004102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B25016192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B25017143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D26000064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D26000065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D26002003</v>
          </cell>
          <cell r="AP5209">
            <v>0</v>
          </cell>
          <cell r="AQ5209">
            <v>0</v>
          </cell>
          <cell r="AV5209">
            <v>0</v>
          </cell>
        </row>
        <row r="5210">
          <cell r="E5210" t="str">
            <v>D26002039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B26002398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D26003462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D26004593</v>
          </cell>
          <cell r="AP5213">
            <v>0</v>
          </cell>
          <cell r="AQ5213">
            <v>0</v>
          </cell>
          <cell r="AV5213">
            <v>81900000</v>
          </cell>
        </row>
        <row r="5214">
          <cell r="E5214" t="str">
            <v>D26004593</v>
          </cell>
          <cell r="AP5214">
            <v>0</v>
          </cell>
          <cell r="AQ5214">
            <v>0</v>
          </cell>
          <cell r="AV5214">
            <v>20510000</v>
          </cell>
        </row>
        <row r="5215">
          <cell r="E5215" t="str">
            <v>D26004700</v>
          </cell>
          <cell r="AP5215">
            <v>0</v>
          </cell>
          <cell r="AQ5215">
            <v>0</v>
          </cell>
          <cell r="AV5215">
            <v>10395000</v>
          </cell>
        </row>
        <row r="5216">
          <cell r="E5216" t="str">
            <v>T25001776</v>
          </cell>
          <cell r="AP5216">
            <v>0</v>
          </cell>
          <cell r="AQ5216">
            <v>0</v>
          </cell>
          <cell r="AV5216">
            <v>0</v>
          </cell>
        </row>
        <row r="5217">
          <cell r="E5217" t="str">
            <v>T26000397K</v>
          </cell>
          <cell r="AP5217">
            <v>0</v>
          </cell>
          <cell r="AQ5217">
            <v>0</v>
          </cell>
          <cell r="AV5217">
            <v>0</v>
          </cell>
        </row>
        <row r="5218">
          <cell r="E5218" t="str">
            <v>Z26000389</v>
          </cell>
          <cell r="AP5218">
            <v>0</v>
          </cell>
          <cell r="AQ5218">
            <v>0</v>
          </cell>
          <cell r="AV5218">
            <v>0</v>
          </cell>
        </row>
        <row r="5219">
          <cell r="E5219" t="str">
            <v>B26002446</v>
          </cell>
          <cell r="AP5219">
            <v>0</v>
          </cell>
          <cell r="AQ5219">
            <v>0</v>
          </cell>
          <cell r="AV5219">
            <v>1660000</v>
          </cell>
        </row>
        <row r="5220">
          <cell r="E5220" t="str">
            <v>B26002447</v>
          </cell>
          <cell r="AP5220">
            <v>0</v>
          </cell>
          <cell r="AQ5220">
            <v>0</v>
          </cell>
          <cell r="AV5220">
            <v>1200000</v>
          </cell>
        </row>
        <row r="5221">
          <cell r="E5221" t="str">
            <v>B26002448</v>
          </cell>
          <cell r="AP5221">
            <v>0</v>
          </cell>
          <cell r="AQ5221">
            <v>0</v>
          </cell>
          <cell r="AV5221">
            <v>700000</v>
          </cell>
        </row>
        <row r="5222">
          <cell r="E5222" t="str">
            <v>B26002611</v>
          </cell>
          <cell r="AP5222">
            <v>0</v>
          </cell>
          <cell r="AQ5222">
            <v>0</v>
          </cell>
          <cell r="AV5222">
            <v>437500</v>
          </cell>
        </row>
        <row r="5223">
          <cell r="E5223" t="str">
            <v>B26002703</v>
          </cell>
          <cell r="AP5223">
            <v>0</v>
          </cell>
          <cell r="AQ5223">
            <v>0</v>
          </cell>
          <cell r="AV5223">
            <v>9875000</v>
          </cell>
        </row>
        <row r="5224">
          <cell r="E5224" t="str">
            <v>D26004038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D26004039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B26003541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B26003553</v>
          </cell>
          <cell r="AP5227">
            <v>0</v>
          </cell>
          <cell r="AQ5227">
            <v>0</v>
          </cell>
          <cell r="AV5227">
            <v>0</v>
          </cell>
        </row>
        <row r="5228">
          <cell r="E5228" t="str">
            <v>B26003560</v>
          </cell>
          <cell r="AP5228">
            <v>0</v>
          </cell>
          <cell r="AQ5228">
            <v>0</v>
          </cell>
          <cell r="AV5228">
            <v>0</v>
          </cell>
        </row>
        <row r="5229">
          <cell r="E5229" t="str">
            <v>B26003790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B26003875</v>
          </cell>
          <cell r="AP5230">
            <v>0</v>
          </cell>
          <cell r="AQ5230">
            <v>0</v>
          </cell>
          <cell r="AV5230">
            <v>0</v>
          </cell>
        </row>
        <row r="5231">
          <cell r="E5231" t="str">
            <v>B26003955</v>
          </cell>
          <cell r="AP5231">
            <v>0</v>
          </cell>
          <cell r="AQ5231">
            <v>0</v>
          </cell>
          <cell r="AV5231">
            <v>18480000</v>
          </cell>
        </row>
        <row r="5232">
          <cell r="E5232" t="str">
            <v>D26004971</v>
          </cell>
          <cell r="AP5232">
            <v>0</v>
          </cell>
          <cell r="AQ5232">
            <v>0</v>
          </cell>
          <cell r="AV5232">
            <v>0</v>
          </cell>
        </row>
        <row r="5233">
          <cell r="E5233" t="str">
            <v>Z25003241</v>
          </cell>
          <cell r="AP5233">
            <v>0</v>
          </cell>
          <cell r="AQ5233">
            <v>0</v>
          </cell>
          <cell r="AV5233">
            <v>0</v>
          </cell>
        </row>
        <row r="5234">
          <cell r="E5234" t="str">
            <v>Z26000025</v>
          </cell>
          <cell r="AP5234">
            <v>0</v>
          </cell>
          <cell r="AQ5234">
            <v>0</v>
          </cell>
          <cell r="AV5234">
            <v>0</v>
          </cell>
        </row>
        <row r="5235">
          <cell r="E5235" t="str">
            <v>Z26000237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Z26000392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B26000309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B26000320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B26000492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B26000604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B26000732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B26001066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B26001148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B26001443</v>
          </cell>
          <cell r="AP5244">
            <v>0</v>
          </cell>
          <cell r="AQ5244">
            <v>0</v>
          </cell>
          <cell r="AV5244">
            <v>0</v>
          </cell>
        </row>
        <row r="5245">
          <cell r="E5245" t="str">
            <v>B26001443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B26001448</v>
          </cell>
          <cell r="AP5246">
            <v>0</v>
          </cell>
          <cell r="AQ5246">
            <v>0</v>
          </cell>
          <cell r="AV5246">
            <v>0</v>
          </cell>
        </row>
        <row r="5247">
          <cell r="E5247" t="str">
            <v>B26001750</v>
          </cell>
          <cell r="AP5247">
            <v>0</v>
          </cell>
          <cell r="AQ5247">
            <v>0</v>
          </cell>
          <cell r="AV5247">
            <v>0</v>
          </cell>
        </row>
        <row r="5248">
          <cell r="E5248" t="str">
            <v>D26002090</v>
          </cell>
          <cell r="AP5248">
            <v>0</v>
          </cell>
          <cell r="AQ5248">
            <v>0</v>
          </cell>
          <cell r="AV5248">
            <v>0</v>
          </cell>
        </row>
        <row r="5249">
          <cell r="E5249" t="str">
            <v>D26002117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B26002079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D26002287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D26002288</v>
          </cell>
          <cell r="AP5252">
            <v>0</v>
          </cell>
          <cell r="AQ5252">
            <v>0</v>
          </cell>
          <cell r="AV5252">
            <v>0</v>
          </cell>
        </row>
        <row r="5253">
          <cell r="E5253" t="str">
            <v>B26002177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D26002321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D26002327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B26002203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B26002235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D26002866</v>
          </cell>
          <cell r="AP5258">
            <v>0</v>
          </cell>
          <cell r="AQ5258">
            <v>0</v>
          </cell>
          <cell r="AV5258">
            <v>79200000</v>
          </cell>
        </row>
        <row r="5259">
          <cell r="E5259" t="str">
            <v>D26002922</v>
          </cell>
          <cell r="AP5259">
            <v>0</v>
          </cell>
          <cell r="AQ5259">
            <v>120000000</v>
          </cell>
          <cell r="AV5259">
            <v>0</v>
          </cell>
        </row>
        <row r="5260">
          <cell r="E5260" t="str">
            <v>D26002922</v>
          </cell>
          <cell r="AP5260">
            <v>0</v>
          </cell>
          <cell r="AQ5260">
            <v>120000000</v>
          </cell>
          <cell r="AV5260">
            <v>0</v>
          </cell>
        </row>
        <row r="5261">
          <cell r="E5261" t="str">
            <v>D26002922</v>
          </cell>
          <cell r="AP5261">
            <v>0</v>
          </cell>
          <cell r="AQ5261">
            <v>78850000</v>
          </cell>
          <cell r="AV5261">
            <v>0</v>
          </cell>
        </row>
        <row r="5262">
          <cell r="E5262" t="str">
            <v>D26002923</v>
          </cell>
          <cell r="AP5262">
            <v>0</v>
          </cell>
          <cell r="AQ5262">
            <v>35790000</v>
          </cell>
          <cell r="AV5262">
            <v>0</v>
          </cell>
        </row>
        <row r="5263">
          <cell r="E5263" t="str">
            <v>B26002945</v>
          </cell>
          <cell r="AP5263">
            <v>0</v>
          </cell>
          <cell r="AQ5263">
            <v>63500000</v>
          </cell>
          <cell r="AV5263">
            <v>0</v>
          </cell>
        </row>
        <row r="5264">
          <cell r="E5264" t="str">
            <v>D26003255</v>
          </cell>
          <cell r="AP5264">
            <v>0</v>
          </cell>
          <cell r="AQ5264">
            <v>67000000</v>
          </cell>
          <cell r="AV5264">
            <v>0</v>
          </cell>
        </row>
        <row r="5265">
          <cell r="E5265" t="str">
            <v>D26003352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B26003243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D26003526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D26004239</v>
          </cell>
          <cell r="AP5268">
            <v>0</v>
          </cell>
          <cell r="AQ5268">
            <v>0</v>
          </cell>
          <cell r="AV5268">
            <v>0</v>
          </cell>
        </row>
        <row r="5269">
          <cell r="E5269" t="str">
            <v>B26003659</v>
          </cell>
          <cell r="AP5269">
            <v>0</v>
          </cell>
          <cell r="AQ5269">
            <v>0</v>
          </cell>
          <cell r="AV5269">
            <v>0</v>
          </cell>
        </row>
        <row r="5270">
          <cell r="E5270" t="str">
            <v>D26004249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B26003770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D26004462</v>
          </cell>
          <cell r="AP5272">
            <v>0</v>
          </cell>
          <cell r="AQ5272">
            <v>0</v>
          </cell>
          <cell r="AV5272">
            <v>0</v>
          </cell>
        </row>
        <row r="5273">
          <cell r="E5273" t="str">
            <v>D26004494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D26004605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D26004920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B26001850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D26001986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B26003637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D26004309</v>
          </cell>
          <cell r="AP5279">
            <v>0</v>
          </cell>
          <cell r="AQ5279">
            <v>0</v>
          </cell>
          <cell r="AV5279">
            <v>1300000</v>
          </cell>
        </row>
        <row r="5280">
          <cell r="E5280" t="str">
            <v>D26004387</v>
          </cell>
          <cell r="AP5280">
            <v>0</v>
          </cell>
          <cell r="AQ5280">
            <v>0</v>
          </cell>
          <cell r="AV5280">
            <v>4680000</v>
          </cell>
        </row>
        <row r="5281">
          <cell r="E5281" t="str">
            <v>D26004863</v>
          </cell>
          <cell r="AP5281">
            <v>0</v>
          </cell>
          <cell r="AQ5281">
            <v>0</v>
          </cell>
          <cell r="AV5281">
            <v>5360000</v>
          </cell>
        </row>
        <row r="5282">
          <cell r="E5282" t="str">
            <v>B26004053</v>
          </cell>
          <cell r="AP5282">
            <v>0</v>
          </cell>
          <cell r="AQ5282">
            <v>0</v>
          </cell>
          <cell r="AV5282">
            <v>1500000</v>
          </cell>
        </row>
        <row r="5283">
          <cell r="E5283" t="str">
            <v>B26003929</v>
          </cell>
          <cell r="AP5283">
            <v>0</v>
          </cell>
          <cell r="AQ5283">
            <v>0</v>
          </cell>
          <cell r="AV5283">
            <v>4770000</v>
          </cell>
        </row>
        <row r="5284">
          <cell r="E5284" t="str">
            <v>B26003971</v>
          </cell>
          <cell r="AP5284">
            <v>0</v>
          </cell>
          <cell r="AQ5284">
            <v>0</v>
          </cell>
          <cell r="AV5284">
            <v>4200000</v>
          </cell>
        </row>
        <row r="5285">
          <cell r="E5285" t="str">
            <v>B26004140</v>
          </cell>
          <cell r="AP5285">
            <v>0</v>
          </cell>
          <cell r="AQ5285">
            <v>0</v>
          </cell>
          <cell r="AV5285">
            <v>1250000</v>
          </cell>
        </row>
        <row r="5286">
          <cell r="E5286" t="str">
            <v>R25000016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D26002896</v>
          </cell>
          <cell r="AP5287">
            <v>0</v>
          </cell>
          <cell r="AQ5287">
            <v>0</v>
          </cell>
          <cell r="AV5287">
            <v>900000</v>
          </cell>
        </row>
        <row r="5288">
          <cell r="E5288" t="str">
            <v>B26003488</v>
          </cell>
          <cell r="AP5288">
            <v>0</v>
          </cell>
          <cell r="AQ5288">
            <v>0</v>
          </cell>
          <cell r="AV5288">
            <v>1000000</v>
          </cell>
        </row>
        <row r="5289">
          <cell r="E5289" t="str">
            <v>D26004806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B26003696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D26003574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T26000288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B26003290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B26003338</v>
          </cell>
          <cell r="AP5294">
            <v>0</v>
          </cell>
          <cell r="AQ5294">
            <v>0</v>
          </cell>
          <cell r="AV5294">
            <v>0</v>
          </cell>
        </row>
        <row r="5295">
          <cell r="E5295" t="str">
            <v>D26003903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D26003090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T26000227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T26000088k</v>
          </cell>
          <cell r="AP5298">
            <v>0</v>
          </cell>
          <cell r="AQ5298">
            <v>0</v>
          </cell>
          <cell r="AV5298">
            <v>5100000</v>
          </cell>
        </row>
        <row r="5299">
          <cell r="E5299" t="str">
            <v>B26001517</v>
          </cell>
          <cell r="AP5299">
            <v>0</v>
          </cell>
          <cell r="AQ5299">
            <v>0</v>
          </cell>
          <cell r="AV5299">
            <v>4000000</v>
          </cell>
        </row>
        <row r="5300">
          <cell r="E5300" t="str">
            <v>B26001517</v>
          </cell>
          <cell r="AP5300">
            <v>0</v>
          </cell>
          <cell r="AQ5300">
            <v>0</v>
          </cell>
          <cell r="AV5300">
            <v>4330000</v>
          </cell>
        </row>
        <row r="5301">
          <cell r="E5301" t="str">
            <v>D26004515</v>
          </cell>
          <cell r="AP5301">
            <v>0</v>
          </cell>
          <cell r="AQ5301">
            <v>0</v>
          </cell>
          <cell r="AV5301">
            <v>18200000</v>
          </cell>
        </row>
        <row r="5302">
          <cell r="E5302" t="str">
            <v>B26003960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B26004035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B26002403</v>
          </cell>
          <cell r="AP5304">
            <v>0</v>
          </cell>
          <cell r="AQ5304">
            <v>0</v>
          </cell>
          <cell r="AV5304">
            <v>0</v>
          </cell>
        </row>
        <row r="5305">
          <cell r="E5305" t="str">
            <v>D26000282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D26003387</v>
          </cell>
          <cell r="AP5306">
            <v>0</v>
          </cell>
          <cell r="AQ5306">
            <v>0</v>
          </cell>
          <cell r="AV5306">
            <v>0</v>
          </cell>
        </row>
        <row r="5307">
          <cell r="E5307" t="str">
            <v>D26003388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D26005025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D26004052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B26002483</v>
          </cell>
          <cell r="AP5310">
            <v>0</v>
          </cell>
          <cell r="AQ5310">
            <v>0</v>
          </cell>
          <cell r="AV5310">
            <v>0</v>
          </cell>
        </row>
        <row r="5311">
          <cell r="E5311" t="str">
            <v>B26002485</v>
          </cell>
          <cell r="AP5311">
            <v>0</v>
          </cell>
          <cell r="AQ5311">
            <v>0</v>
          </cell>
          <cell r="AV5311">
            <v>0</v>
          </cell>
        </row>
        <row r="5312">
          <cell r="E5312" t="str">
            <v>B26002486</v>
          </cell>
          <cell r="AP5312">
            <v>0</v>
          </cell>
          <cell r="AQ5312">
            <v>0</v>
          </cell>
          <cell r="AV5312">
            <v>0</v>
          </cell>
        </row>
        <row r="5313">
          <cell r="E5313" t="str">
            <v>B26002492</v>
          </cell>
          <cell r="AP5313">
            <v>0</v>
          </cell>
          <cell r="AQ5313">
            <v>0</v>
          </cell>
          <cell r="AV5313">
            <v>0</v>
          </cell>
        </row>
        <row r="5314">
          <cell r="E5314" t="str">
            <v>B26003414</v>
          </cell>
          <cell r="AP5314">
            <v>0</v>
          </cell>
          <cell r="AQ5314">
            <v>0</v>
          </cell>
          <cell r="AV5314">
            <v>0</v>
          </cell>
        </row>
        <row r="5315">
          <cell r="E5315" t="str">
            <v>B26003441</v>
          </cell>
          <cell r="AP5315">
            <v>0</v>
          </cell>
          <cell r="AQ5315">
            <v>0</v>
          </cell>
          <cell r="AV5315">
            <v>0</v>
          </cell>
        </row>
        <row r="5316">
          <cell r="E5316" t="str">
            <v>D26004814</v>
          </cell>
          <cell r="AP5316">
            <v>0</v>
          </cell>
          <cell r="AQ5316">
            <v>0</v>
          </cell>
          <cell r="AV5316">
            <v>0</v>
          </cell>
        </row>
        <row r="5317">
          <cell r="E5317" t="str">
            <v>D26004815</v>
          </cell>
          <cell r="AP5317">
            <v>0</v>
          </cell>
          <cell r="AQ5317">
            <v>0</v>
          </cell>
          <cell r="AV5317">
            <v>0</v>
          </cell>
        </row>
        <row r="5318">
          <cell r="E5318" t="str">
            <v>D26004858</v>
          </cell>
          <cell r="AP5318">
            <v>0</v>
          </cell>
          <cell r="AQ5318">
            <v>0</v>
          </cell>
          <cell r="AV5318">
            <v>0</v>
          </cell>
        </row>
        <row r="5319">
          <cell r="E5319" t="str">
            <v>D26001963</v>
          </cell>
          <cell r="AP5319">
            <v>0</v>
          </cell>
          <cell r="AQ5319">
            <v>0</v>
          </cell>
          <cell r="AV5319">
            <v>0</v>
          </cell>
        </row>
        <row r="5320">
          <cell r="E5320" t="str">
            <v>D26002726</v>
          </cell>
          <cell r="AP5320">
            <v>0</v>
          </cell>
          <cell r="AQ5320">
            <v>0</v>
          </cell>
          <cell r="AV5320">
            <v>0</v>
          </cell>
        </row>
        <row r="5321">
          <cell r="E5321" t="str">
            <v>T26000408K</v>
          </cell>
          <cell r="AP5321">
            <v>0</v>
          </cell>
          <cell r="AQ5321">
            <v>0</v>
          </cell>
          <cell r="AV5321">
            <v>0</v>
          </cell>
        </row>
        <row r="5322">
          <cell r="E5322" t="str">
            <v>B26003506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B26000890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D26001435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D26001660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B26001842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B26001999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D26002597</v>
          </cell>
          <cell r="AP5328">
            <v>0</v>
          </cell>
          <cell r="AQ5328">
            <v>0</v>
          </cell>
          <cell r="AV5328">
            <v>0</v>
          </cell>
        </row>
        <row r="5329">
          <cell r="E5329" t="str">
            <v>D26002861</v>
          </cell>
          <cell r="AP5329">
            <v>0</v>
          </cell>
          <cell r="AQ5329">
            <v>0</v>
          </cell>
          <cell r="AV5329">
            <v>0</v>
          </cell>
        </row>
        <row r="5330">
          <cell r="E5330" t="str">
            <v>B26002849</v>
          </cell>
          <cell r="AP5330">
            <v>0</v>
          </cell>
          <cell r="AQ5330">
            <v>0</v>
          </cell>
          <cell r="AV5330">
            <v>0</v>
          </cell>
        </row>
        <row r="5331">
          <cell r="E5331" t="str">
            <v>D26003445</v>
          </cell>
          <cell r="AP5331">
            <v>0</v>
          </cell>
          <cell r="AQ5331">
            <v>0</v>
          </cell>
          <cell r="AV5331">
            <v>0</v>
          </cell>
        </row>
        <row r="5332">
          <cell r="E5332" t="str">
            <v>B26003550</v>
          </cell>
          <cell r="AP5332">
            <v>0</v>
          </cell>
          <cell r="AQ5332">
            <v>0</v>
          </cell>
          <cell r="AV5332">
            <v>0</v>
          </cell>
        </row>
        <row r="5333">
          <cell r="E5333" t="str">
            <v>B25014926</v>
          </cell>
          <cell r="AP5333">
            <v>0</v>
          </cell>
          <cell r="AQ5333">
            <v>0</v>
          </cell>
          <cell r="AV5333">
            <v>5000000</v>
          </cell>
        </row>
        <row r="5334">
          <cell r="E5334" t="str">
            <v>B25015763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B26001668</v>
          </cell>
          <cell r="AP5335">
            <v>0</v>
          </cell>
          <cell r="AQ5335">
            <v>0</v>
          </cell>
          <cell r="AV5335">
            <v>17040000</v>
          </cell>
        </row>
        <row r="5336">
          <cell r="E5336" t="str">
            <v>B26001796</v>
          </cell>
          <cell r="AP5336">
            <v>0</v>
          </cell>
          <cell r="AQ5336">
            <v>0</v>
          </cell>
          <cell r="AV5336">
            <v>5000000</v>
          </cell>
        </row>
        <row r="5337">
          <cell r="E5337" t="str">
            <v>D26002427</v>
          </cell>
          <cell r="AP5337">
            <v>0</v>
          </cell>
          <cell r="AQ5337">
            <v>0</v>
          </cell>
          <cell r="AV5337">
            <v>0</v>
          </cell>
        </row>
        <row r="5338">
          <cell r="E5338" t="str">
            <v>D26002588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D26002616</v>
          </cell>
          <cell r="AP5339">
            <v>0</v>
          </cell>
          <cell r="AQ5339">
            <v>0</v>
          </cell>
          <cell r="AV5339">
            <v>0</v>
          </cell>
        </row>
        <row r="5340">
          <cell r="E5340" t="str">
            <v>D26002631</v>
          </cell>
          <cell r="AP5340">
            <v>0</v>
          </cell>
          <cell r="AQ5340">
            <v>0</v>
          </cell>
          <cell r="AV5340">
            <v>0</v>
          </cell>
        </row>
        <row r="5341">
          <cell r="E5341" t="str">
            <v>B26002554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D26003443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D26003455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B26003703</v>
          </cell>
          <cell r="AP5344">
            <v>0</v>
          </cell>
          <cell r="AQ5344">
            <v>0</v>
          </cell>
          <cell r="AV5344">
            <v>0</v>
          </cell>
        </row>
        <row r="5345">
          <cell r="E5345" t="str">
            <v>B26003704</v>
          </cell>
          <cell r="AP5345">
            <v>0</v>
          </cell>
          <cell r="AQ5345">
            <v>0</v>
          </cell>
          <cell r="AV5345">
            <v>0</v>
          </cell>
        </row>
        <row r="5346">
          <cell r="E5346" t="str">
            <v>B26003705</v>
          </cell>
          <cell r="AP5346">
            <v>0</v>
          </cell>
          <cell r="AQ5346">
            <v>0</v>
          </cell>
          <cell r="AV5346">
            <v>0</v>
          </cell>
        </row>
        <row r="5347">
          <cell r="E5347" t="str">
            <v>B26003723</v>
          </cell>
          <cell r="AP5347">
            <v>0</v>
          </cell>
          <cell r="AQ5347">
            <v>0</v>
          </cell>
          <cell r="AV5347">
            <v>0</v>
          </cell>
        </row>
        <row r="5348">
          <cell r="E5348" t="str">
            <v>B26003795</v>
          </cell>
          <cell r="AP5348">
            <v>0</v>
          </cell>
          <cell r="AQ5348">
            <v>0</v>
          </cell>
          <cell r="AV5348">
            <v>0</v>
          </cell>
        </row>
        <row r="5349">
          <cell r="E5349" t="str">
            <v>B26003898</v>
          </cell>
          <cell r="AP5349">
            <v>0</v>
          </cell>
          <cell r="AQ5349">
            <v>0</v>
          </cell>
          <cell r="AV5349">
            <v>0</v>
          </cell>
        </row>
        <row r="5350">
          <cell r="E5350" t="str">
            <v>D26004659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D26004901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Z26000309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Z26000337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Z26000386</v>
          </cell>
          <cell r="AP5354">
            <v>0</v>
          </cell>
          <cell r="AQ5354">
            <v>0</v>
          </cell>
          <cell r="AV5354">
            <v>1350000</v>
          </cell>
        </row>
        <row r="5355">
          <cell r="E5355" t="str">
            <v>Z26000479</v>
          </cell>
          <cell r="AP5355">
            <v>0</v>
          </cell>
          <cell r="AQ5355">
            <v>0</v>
          </cell>
          <cell r="AV5355">
            <v>2250000</v>
          </cell>
        </row>
        <row r="5356">
          <cell r="E5356" t="str">
            <v>Z26000516</v>
          </cell>
          <cell r="AP5356">
            <v>0</v>
          </cell>
          <cell r="AQ5356">
            <v>0</v>
          </cell>
          <cell r="AV5356">
            <v>4530000</v>
          </cell>
        </row>
        <row r="5357">
          <cell r="E5357" t="str">
            <v>Z26000517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Z26000619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Z26000620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Z26000638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Z26000674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T26000332</v>
          </cell>
          <cell r="AP5362">
            <v>0</v>
          </cell>
          <cell r="AQ5362">
            <v>0</v>
          </cell>
          <cell r="AV5362">
            <v>0</v>
          </cell>
        </row>
        <row r="5363">
          <cell r="E5363" t="str">
            <v>Z26000731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Z26000739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Z26000741</v>
          </cell>
          <cell r="AP5365">
            <v>0</v>
          </cell>
          <cell r="AQ5365">
            <v>0</v>
          </cell>
          <cell r="AV5365">
            <v>0</v>
          </cell>
        </row>
        <row r="5366">
          <cell r="E5366" t="str">
            <v>Z26000752</v>
          </cell>
          <cell r="AP5366">
            <v>0</v>
          </cell>
          <cell r="AQ5366">
            <v>0</v>
          </cell>
          <cell r="AV5366">
            <v>0</v>
          </cell>
        </row>
        <row r="5367">
          <cell r="E5367" t="str">
            <v>Z26000769</v>
          </cell>
          <cell r="AP5367">
            <v>0</v>
          </cell>
          <cell r="AQ5367">
            <v>0</v>
          </cell>
          <cell r="AV5367">
            <v>0</v>
          </cell>
        </row>
        <row r="5368">
          <cell r="E5368" t="str">
            <v>Z26000770</v>
          </cell>
          <cell r="AP5368">
            <v>0</v>
          </cell>
          <cell r="AQ5368">
            <v>0</v>
          </cell>
          <cell r="AV5368">
            <v>0</v>
          </cell>
        </row>
        <row r="5369">
          <cell r="E5369" t="str">
            <v>Z26000827</v>
          </cell>
          <cell r="AP5369">
            <v>0</v>
          </cell>
          <cell r="AQ5369">
            <v>0</v>
          </cell>
          <cell r="AV5369">
            <v>18880000</v>
          </cell>
        </row>
        <row r="5370">
          <cell r="E5370" t="str">
            <v>Z26000828</v>
          </cell>
          <cell r="AP5370">
            <v>0</v>
          </cell>
          <cell r="AQ5370">
            <v>0</v>
          </cell>
          <cell r="AV5370">
            <v>0</v>
          </cell>
        </row>
        <row r="5371">
          <cell r="E5371" t="str">
            <v>Z26000843</v>
          </cell>
          <cell r="AP5371">
            <v>0</v>
          </cell>
          <cell r="AQ5371">
            <v>0</v>
          </cell>
          <cell r="AV5371">
            <v>0</v>
          </cell>
        </row>
        <row r="5372">
          <cell r="E5372" t="str">
            <v>Z26000883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B26002746</v>
          </cell>
          <cell r="AP5373">
            <v>0</v>
          </cell>
          <cell r="AQ5373">
            <v>0</v>
          </cell>
          <cell r="AV5373">
            <v>0</v>
          </cell>
        </row>
        <row r="5374">
          <cell r="E5374" t="str">
            <v>B26002747</v>
          </cell>
          <cell r="AP5374">
            <v>0</v>
          </cell>
          <cell r="AQ5374">
            <v>0</v>
          </cell>
          <cell r="AV5374">
            <v>0</v>
          </cell>
        </row>
        <row r="5375">
          <cell r="E5375" t="str">
            <v>B26002748</v>
          </cell>
          <cell r="AP5375">
            <v>0</v>
          </cell>
          <cell r="AQ5375">
            <v>0</v>
          </cell>
          <cell r="AV5375">
            <v>0</v>
          </cell>
        </row>
        <row r="5376">
          <cell r="E5376" t="str">
            <v>B26002749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B26002750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B26003287</v>
          </cell>
          <cell r="AP5378">
            <v>0</v>
          </cell>
          <cell r="AQ5378">
            <v>0</v>
          </cell>
          <cell r="AV5378">
            <v>0</v>
          </cell>
        </row>
        <row r="5379">
          <cell r="E5379" t="str">
            <v>B26003606</v>
          </cell>
          <cell r="AP5379">
            <v>0</v>
          </cell>
          <cell r="AQ5379">
            <v>0</v>
          </cell>
          <cell r="AV5379">
            <v>0</v>
          </cell>
        </row>
        <row r="5380">
          <cell r="E5380" t="str">
            <v>B26003607</v>
          </cell>
          <cell r="AP5380">
            <v>0</v>
          </cell>
          <cell r="AQ5380">
            <v>0</v>
          </cell>
          <cell r="AV5380">
            <v>0</v>
          </cell>
        </row>
        <row r="5381">
          <cell r="E5381" t="str">
            <v>D25017659</v>
          </cell>
          <cell r="AP5381">
            <v>0</v>
          </cell>
          <cell r="AQ5381">
            <v>0</v>
          </cell>
          <cell r="AV5381">
            <v>0</v>
          </cell>
        </row>
        <row r="5382">
          <cell r="E5382" t="str">
            <v>D25018842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B26003763</v>
          </cell>
          <cell r="AP5383">
            <v>0</v>
          </cell>
          <cell r="AQ5383">
            <v>0</v>
          </cell>
          <cell r="AV5383">
            <v>3885000</v>
          </cell>
        </row>
        <row r="5384">
          <cell r="E5384" t="str">
            <v>B26003763</v>
          </cell>
          <cell r="AP5384">
            <v>0</v>
          </cell>
          <cell r="AQ5384">
            <v>0</v>
          </cell>
          <cell r="AV5384">
            <v>15000</v>
          </cell>
        </row>
        <row r="5385">
          <cell r="E5385" t="str">
            <v>B26001621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B26001622</v>
          </cell>
          <cell r="AP5386">
            <v>0</v>
          </cell>
          <cell r="AQ5386">
            <v>0</v>
          </cell>
          <cell r="AV5386">
            <v>0</v>
          </cell>
        </row>
        <row r="5387">
          <cell r="E5387" t="str">
            <v>B26001666</v>
          </cell>
          <cell r="AP5387">
            <v>0</v>
          </cell>
          <cell r="AQ5387">
            <v>0</v>
          </cell>
          <cell r="AV5387">
            <v>0</v>
          </cell>
        </row>
        <row r="5388">
          <cell r="E5388" t="str">
            <v>B26001172</v>
          </cell>
          <cell r="AP5388">
            <v>0</v>
          </cell>
          <cell r="AQ5388">
            <v>0</v>
          </cell>
          <cell r="AV5388">
            <v>5500000</v>
          </cell>
        </row>
        <row r="5389">
          <cell r="E5389" t="str">
            <v>B26001176</v>
          </cell>
          <cell r="AP5389">
            <v>0</v>
          </cell>
          <cell r="AQ5389">
            <v>0</v>
          </cell>
          <cell r="AV5389">
            <v>0</v>
          </cell>
        </row>
        <row r="5390">
          <cell r="E5390" t="str">
            <v>B26001460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D26001601</v>
          </cell>
          <cell r="AP5391">
            <v>0</v>
          </cell>
          <cell r="AQ5391">
            <v>0</v>
          </cell>
          <cell r="AV5391">
            <v>0</v>
          </cell>
        </row>
        <row r="5392">
          <cell r="E5392" t="str">
            <v>D26001602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D26002151</v>
          </cell>
          <cell r="AP5393">
            <v>0</v>
          </cell>
          <cell r="AQ5393">
            <v>0</v>
          </cell>
          <cell r="AV5393">
            <v>0</v>
          </cell>
        </row>
        <row r="5394">
          <cell r="E5394" t="str">
            <v>D26002958</v>
          </cell>
          <cell r="AP5394">
            <v>0</v>
          </cell>
          <cell r="AQ5394">
            <v>0</v>
          </cell>
          <cell r="AV5394">
            <v>0</v>
          </cell>
        </row>
        <row r="5395">
          <cell r="E5395" t="str">
            <v>D26004053</v>
          </cell>
          <cell r="AP5395">
            <v>0</v>
          </cell>
          <cell r="AQ5395">
            <v>0</v>
          </cell>
          <cell r="AV5395">
            <v>0</v>
          </cell>
        </row>
        <row r="5396">
          <cell r="E5396" t="str">
            <v>B26003584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D26004974</v>
          </cell>
          <cell r="AP5397">
            <v>0</v>
          </cell>
          <cell r="AQ5397">
            <v>0</v>
          </cell>
          <cell r="AV5397">
            <v>0</v>
          </cell>
        </row>
        <row r="5398">
          <cell r="E5398" t="str">
            <v>D26004975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D26000832</v>
          </cell>
          <cell r="AP5399">
            <v>0</v>
          </cell>
          <cell r="AQ5399">
            <v>0</v>
          </cell>
          <cell r="AV5399">
            <v>6534800</v>
          </cell>
        </row>
        <row r="5400">
          <cell r="E5400" t="str">
            <v>B26003416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B26003417</v>
          </cell>
          <cell r="AP5401">
            <v>0</v>
          </cell>
          <cell r="AQ5401">
            <v>0</v>
          </cell>
          <cell r="AV5401">
            <v>0</v>
          </cell>
        </row>
        <row r="5402">
          <cell r="E5402" t="str">
            <v>B26003418</v>
          </cell>
          <cell r="AP5402">
            <v>0</v>
          </cell>
          <cell r="AQ5402">
            <v>0</v>
          </cell>
          <cell r="AV5402">
            <v>0</v>
          </cell>
        </row>
        <row r="5403">
          <cell r="E5403" t="str">
            <v>T26000407</v>
          </cell>
          <cell r="AP5403">
            <v>0</v>
          </cell>
          <cell r="AQ5403">
            <v>0</v>
          </cell>
          <cell r="AV5403">
            <v>0</v>
          </cell>
        </row>
        <row r="5404">
          <cell r="E5404" t="str">
            <v>T26000146</v>
          </cell>
          <cell r="AP5404">
            <v>0</v>
          </cell>
          <cell r="AQ5404">
            <v>0</v>
          </cell>
          <cell r="AV5404">
            <v>1040000</v>
          </cell>
        </row>
        <row r="5405">
          <cell r="E5405" t="str">
            <v>D26004003</v>
          </cell>
          <cell r="AP5405">
            <v>0</v>
          </cell>
          <cell r="AQ5405">
            <v>0</v>
          </cell>
          <cell r="AV5405">
            <v>3960000</v>
          </cell>
        </row>
        <row r="5406">
          <cell r="E5406" t="str">
            <v>D26004018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B26003677</v>
          </cell>
          <cell r="AP5407">
            <v>0</v>
          </cell>
          <cell r="AQ5407">
            <v>0</v>
          </cell>
          <cell r="AV5407">
            <v>0</v>
          </cell>
        </row>
        <row r="5408">
          <cell r="E5408" t="str">
            <v>D26004747</v>
          </cell>
          <cell r="AP5408">
            <v>0</v>
          </cell>
          <cell r="AQ5408">
            <v>0</v>
          </cell>
          <cell r="AV5408">
            <v>0</v>
          </cell>
        </row>
        <row r="5409">
          <cell r="E5409" t="str">
            <v>D26002781</v>
          </cell>
          <cell r="AP5409">
            <v>0</v>
          </cell>
          <cell r="AQ5409">
            <v>0</v>
          </cell>
          <cell r="AV5409">
            <v>8245000</v>
          </cell>
        </row>
        <row r="5410">
          <cell r="E5410" t="str">
            <v>B26002828</v>
          </cell>
          <cell r="AP5410">
            <v>0</v>
          </cell>
          <cell r="AQ5410">
            <v>0</v>
          </cell>
          <cell r="AV5410">
            <v>3900000</v>
          </cell>
        </row>
        <row r="5411">
          <cell r="E5411" t="str">
            <v>T26000271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B26000433</v>
          </cell>
          <cell r="AP5412">
            <v>0</v>
          </cell>
          <cell r="AQ5412">
            <v>0</v>
          </cell>
          <cell r="AV5412">
            <v>0</v>
          </cell>
        </row>
        <row r="5413">
          <cell r="E5413" t="str">
            <v>B26000689</v>
          </cell>
          <cell r="AP5413">
            <v>0</v>
          </cell>
          <cell r="AQ5413">
            <v>0</v>
          </cell>
          <cell r="AV5413">
            <v>0</v>
          </cell>
        </row>
        <row r="5414">
          <cell r="E5414" t="str">
            <v>B26000818</v>
          </cell>
          <cell r="AP5414">
            <v>0</v>
          </cell>
          <cell r="AQ5414">
            <v>0</v>
          </cell>
          <cell r="AV5414">
            <v>0</v>
          </cell>
        </row>
        <row r="5415">
          <cell r="E5415" t="str">
            <v>B26000934</v>
          </cell>
          <cell r="AP5415">
            <v>0</v>
          </cell>
          <cell r="AQ5415">
            <v>0</v>
          </cell>
          <cell r="AV5415">
            <v>0</v>
          </cell>
        </row>
        <row r="5416">
          <cell r="E5416" t="str">
            <v>B26001429</v>
          </cell>
          <cell r="AP5416">
            <v>0</v>
          </cell>
          <cell r="AQ5416">
            <v>0</v>
          </cell>
          <cell r="AV5416">
            <v>0</v>
          </cell>
        </row>
        <row r="5417">
          <cell r="E5417" t="str">
            <v>B26001660</v>
          </cell>
          <cell r="AP5417">
            <v>0</v>
          </cell>
          <cell r="AQ5417">
            <v>0</v>
          </cell>
          <cell r="AV5417">
            <v>0</v>
          </cell>
        </row>
        <row r="5418">
          <cell r="E5418" t="str">
            <v>D26002942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D26002943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D26002956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D26002960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D26003458</v>
          </cell>
          <cell r="AP5422">
            <v>0</v>
          </cell>
          <cell r="AQ5422">
            <v>0</v>
          </cell>
          <cell r="AV5422">
            <v>0</v>
          </cell>
        </row>
        <row r="5423">
          <cell r="E5423" t="str">
            <v>D26003886</v>
          </cell>
          <cell r="AP5423">
            <v>0</v>
          </cell>
          <cell r="AQ5423">
            <v>0</v>
          </cell>
          <cell r="AV5423">
            <v>0</v>
          </cell>
        </row>
        <row r="5424">
          <cell r="E5424" t="str">
            <v>N26000034</v>
          </cell>
          <cell r="AP5424">
            <v>0</v>
          </cell>
          <cell r="AQ5424">
            <v>0</v>
          </cell>
          <cell r="AV5424">
            <v>0</v>
          </cell>
        </row>
        <row r="5425">
          <cell r="E5425" t="str">
            <v>D26003918</v>
          </cell>
          <cell r="AP5425">
            <v>0</v>
          </cell>
          <cell r="AQ5425">
            <v>0</v>
          </cell>
          <cell r="AV5425">
            <v>0</v>
          </cell>
        </row>
        <row r="5426">
          <cell r="E5426" t="str">
            <v>B26003765</v>
          </cell>
          <cell r="AP5426">
            <v>0</v>
          </cell>
          <cell r="AQ5426">
            <v>0</v>
          </cell>
          <cell r="AV5426">
            <v>0</v>
          </cell>
        </row>
        <row r="5427">
          <cell r="E5427" t="str">
            <v>B26003870</v>
          </cell>
          <cell r="AP5427">
            <v>0</v>
          </cell>
          <cell r="AQ5427">
            <v>0</v>
          </cell>
          <cell r="AV5427">
            <v>0</v>
          </cell>
        </row>
        <row r="5428">
          <cell r="E5428" t="str">
            <v>B26003882</v>
          </cell>
          <cell r="AP5428">
            <v>0</v>
          </cell>
          <cell r="AQ5428">
            <v>0</v>
          </cell>
          <cell r="AV5428">
            <v>0</v>
          </cell>
        </row>
        <row r="5429">
          <cell r="E5429" t="str">
            <v>T26000382</v>
          </cell>
          <cell r="AP5429">
            <v>0</v>
          </cell>
          <cell r="AQ5429">
            <v>0</v>
          </cell>
          <cell r="AV5429">
            <v>0</v>
          </cell>
        </row>
        <row r="5430">
          <cell r="E5430" t="str">
            <v>D26004627</v>
          </cell>
          <cell r="AP5430">
            <v>0</v>
          </cell>
          <cell r="AQ5430">
            <v>0</v>
          </cell>
          <cell r="AV5430">
            <v>3120000</v>
          </cell>
        </row>
        <row r="5431">
          <cell r="E5431" t="str">
            <v>B26001232</v>
          </cell>
          <cell r="AP5431">
            <v>0</v>
          </cell>
          <cell r="AQ5431">
            <v>0</v>
          </cell>
          <cell r="AV5431">
            <v>0</v>
          </cell>
        </row>
        <row r="5432">
          <cell r="E5432" t="str">
            <v>D26001779</v>
          </cell>
          <cell r="AP5432">
            <v>0</v>
          </cell>
          <cell r="AQ5432">
            <v>0</v>
          </cell>
          <cell r="AV5432">
            <v>0</v>
          </cell>
        </row>
        <row r="5433">
          <cell r="E5433" t="str">
            <v>D26001782</v>
          </cell>
          <cell r="AP5433">
            <v>0</v>
          </cell>
          <cell r="AQ5433">
            <v>0</v>
          </cell>
          <cell r="AV5433">
            <v>0</v>
          </cell>
        </row>
        <row r="5434">
          <cell r="E5434" t="str">
            <v>B26001945</v>
          </cell>
          <cell r="AP5434">
            <v>0</v>
          </cell>
          <cell r="AQ5434">
            <v>0</v>
          </cell>
          <cell r="AV5434">
            <v>0</v>
          </cell>
        </row>
        <row r="5435">
          <cell r="E5435" t="str">
            <v>B26002019</v>
          </cell>
          <cell r="AP5435">
            <v>0</v>
          </cell>
          <cell r="AQ5435">
            <v>0</v>
          </cell>
          <cell r="AV5435">
            <v>0</v>
          </cell>
        </row>
        <row r="5436">
          <cell r="E5436" t="str">
            <v>D26002429</v>
          </cell>
          <cell r="AP5436">
            <v>0</v>
          </cell>
          <cell r="AQ5436">
            <v>0</v>
          </cell>
          <cell r="AV5436">
            <v>0</v>
          </cell>
        </row>
        <row r="5437">
          <cell r="E5437" t="str">
            <v>D26003484</v>
          </cell>
          <cell r="AP5437">
            <v>0</v>
          </cell>
          <cell r="AQ5437">
            <v>0</v>
          </cell>
          <cell r="AV5437">
            <v>0</v>
          </cell>
        </row>
        <row r="5438">
          <cell r="E5438" t="str">
            <v>D26003485</v>
          </cell>
          <cell r="AP5438">
            <v>0</v>
          </cell>
          <cell r="AQ5438">
            <v>0</v>
          </cell>
          <cell r="AV5438">
            <v>0</v>
          </cell>
        </row>
        <row r="5439">
          <cell r="E5439" t="str">
            <v>B26003334</v>
          </cell>
          <cell r="AP5439">
            <v>0</v>
          </cell>
          <cell r="AQ5439">
            <v>0</v>
          </cell>
          <cell r="AV5439">
            <v>0</v>
          </cell>
        </row>
        <row r="5440">
          <cell r="E5440" t="str">
            <v>D26003603</v>
          </cell>
          <cell r="AP5440">
            <v>0</v>
          </cell>
          <cell r="AQ5440">
            <v>0</v>
          </cell>
          <cell r="AV5440">
            <v>0</v>
          </cell>
        </row>
        <row r="5441">
          <cell r="E5441" t="str">
            <v>B26003823</v>
          </cell>
          <cell r="AP5441">
            <v>0</v>
          </cell>
          <cell r="AQ5441">
            <v>0</v>
          </cell>
          <cell r="AV5441">
            <v>0</v>
          </cell>
        </row>
        <row r="5442">
          <cell r="E5442" t="str">
            <v>B25016320</v>
          </cell>
          <cell r="AP5442">
            <v>0</v>
          </cell>
          <cell r="AQ5442">
            <v>0</v>
          </cell>
          <cell r="AV5442">
            <v>0</v>
          </cell>
        </row>
        <row r="5443">
          <cell r="E5443" t="str">
            <v>B26001436</v>
          </cell>
          <cell r="AP5443">
            <v>0</v>
          </cell>
          <cell r="AQ5443">
            <v>0</v>
          </cell>
          <cell r="AV5443">
            <v>0</v>
          </cell>
        </row>
        <row r="5444">
          <cell r="E5444" t="str">
            <v>D26002262</v>
          </cell>
          <cell r="AP5444">
            <v>0</v>
          </cell>
          <cell r="AQ5444">
            <v>0</v>
          </cell>
          <cell r="AV5444">
            <v>0</v>
          </cell>
        </row>
        <row r="5445">
          <cell r="E5445" t="str">
            <v>D26002652</v>
          </cell>
          <cell r="AP5445">
            <v>0</v>
          </cell>
          <cell r="AQ5445">
            <v>0</v>
          </cell>
          <cell r="AV5445">
            <v>0</v>
          </cell>
        </row>
        <row r="5446">
          <cell r="E5446" t="str">
            <v>D26003442</v>
          </cell>
          <cell r="AP5446">
            <v>0</v>
          </cell>
          <cell r="AQ5446">
            <v>0</v>
          </cell>
          <cell r="AV5446">
            <v>0</v>
          </cell>
        </row>
        <row r="5447">
          <cell r="E5447" t="str">
            <v>D26004978</v>
          </cell>
          <cell r="AP5447">
            <v>0</v>
          </cell>
          <cell r="AQ5447">
            <v>0</v>
          </cell>
          <cell r="AV5447">
            <v>0</v>
          </cell>
        </row>
        <row r="5448">
          <cell r="E5448" t="str">
            <v>D26004644</v>
          </cell>
          <cell r="AP5448">
            <v>0</v>
          </cell>
          <cell r="AQ5448">
            <v>0</v>
          </cell>
          <cell r="AV5448">
            <v>3500000</v>
          </cell>
        </row>
        <row r="5449">
          <cell r="E5449" t="str">
            <v>B26003451</v>
          </cell>
          <cell r="AP5449">
            <v>0</v>
          </cell>
          <cell r="AQ5449">
            <v>0</v>
          </cell>
          <cell r="AV5449">
            <v>0</v>
          </cell>
        </row>
        <row r="5450">
          <cell r="E5450" t="str">
            <v>T26000316</v>
          </cell>
          <cell r="AP5450">
            <v>0</v>
          </cell>
          <cell r="AQ5450">
            <v>0</v>
          </cell>
          <cell r="AV5450">
            <v>0</v>
          </cell>
        </row>
        <row r="5451">
          <cell r="E5451" t="str">
            <v>B26003481</v>
          </cell>
          <cell r="AP5451">
            <v>0</v>
          </cell>
          <cell r="AQ5451">
            <v>0</v>
          </cell>
          <cell r="AV5451">
            <v>0</v>
          </cell>
        </row>
        <row r="5452">
          <cell r="E5452" t="str">
            <v>D26004141</v>
          </cell>
          <cell r="AP5452">
            <v>0</v>
          </cell>
          <cell r="AQ5452">
            <v>0</v>
          </cell>
          <cell r="AV5452">
            <v>0</v>
          </cell>
        </row>
        <row r="5453">
          <cell r="E5453" t="str">
            <v>D26004736</v>
          </cell>
          <cell r="AP5453">
            <v>0</v>
          </cell>
          <cell r="AQ5453">
            <v>0</v>
          </cell>
          <cell r="AV5453">
            <v>0</v>
          </cell>
        </row>
        <row r="5454">
          <cell r="E5454" t="str">
            <v>B26002734</v>
          </cell>
          <cell r="AP5454">
            <v>0</v>
          </cell>
          <cell r="AQ5454">
            <v>0</v>
          </cell>
          <cell r="AV5454">
            <v>920000</v>
          </cell>
        </row>
        <row r="5455">
          <cell r="E5455" t="str">
            <v>B26004060</v>
          </cell>
          <cell r="AP5455">
            <v>0</v>
          </cell>
          <cell r="AQ5455">
            <v>0</v>
          </cell>
          <cell r="AV5455">
            <v>0</v>
          </cell>
        </row>
        <row r="5456">
          <cell r="E5456" t="str">
            <v>B26002267</v>
          </cell>
          <cell r="AP5456">
            <v>0</v>
          </cell>
          <cell r="AQ5456">
            <v>0</v>
          </cell>
          <cell r="AV5456">
            <v>0</v>
          </cell>
        </row>
        <row r="5457">
          <cell r="E5457" t="str">
            <v>D26004537</v>
          </cell>
          <cell r="AP5457">
            <v>0</v>
          </cell>
          <cell r="AQ5457">
            <v>0</v>
          </cell>
          <cell r="AV5457">
            <v>0</v>
          </cell>
        </row>
        <row r="5458">
          <cell r="E5458" t="str">
            <v>D26004725</v>
          </cell>
          <cell r="AP5458">
            <v>0</v>
          </cell>
          <cell r="AQ5458">
            <v>0</v>
          </cell>
          <cell r="AV5458">
            <v>0</v>
          </cell>
        </row>
        <row r="5459">
          <cell r="E5459" t="str">
            <v>D26004726</v>
          </cell>
          <cell r="AP5459">
            <v>0</v>
          </cell>
          <cell r="AQ5459">
            <v>0</v>
          </cell>
          <cell r="AV5459">
            <v>2130000</v>
          </cell>
        </row>
        <row r="5460">
          <cell r="E5460" t="str">
            <v>D26004835</v>
          </cell>
          <cell r="AP5460">
            <v>0</v>
          </cell>
          <cell r="AQ5460">
            <v>0</v>
          </cell>
          <cell r="AV5460">
            <v>0</v>
          </cell>
        </row>
        <row r="5461">
          <cell r="E5461" t="str">
            <v>B26001263</v>
          </cell>
          <cell r="AP5461">
            <v>0</v>
          </cell>
          <cell r="AQ5461">
            <v>0</v>
          </cell>
          <cell r="AV5461">
            <v>0</v>
          </cell>
        </row>
        <row r="5462">
          <cell r="E5462" t="str">
            <v>B26002094</v>
          </cell>
          <cell r="AP5462">
            <v>0</v>
          </cell>
          <cell r="AQ5462">
            <v>0</v>
          </cell>
          <cell r="AV5462">
            <v>0</v>
          </cell>
        </row>
        <row r="5463">
          <cell r="E5463" t="str">
            <v>B26002715</v>
          </cell>
          <cell r="AP5463">
            <v>0</v>
          </cell>
          <cell r="AQ5463">
            <v>0</v>
          </cell>
          <cell r="AV5463">
            <v>0</v>
          </cell>
        </row>
        <row r="5464">
          <cell r="E5464" t="str">
            <v>B26002769</v>
          </cell>
          <cell r="AP5464">
            <v>0</v>
          </cell>
          <cell r="AQ5464">
            <v>0</v>
          </cell>
          <cell r="AV5464">
            <v>0</v>
          </cell>
        </row>
        <row r="5465">
          <cell r="E5465" t="str">
            <v>B26002856</v>
          </cell>
          <cell r="AP5465">
            <v>0</v>
          </cell>
          <cell r="AQ5465">
            <v>0</v>
          </cell>
          <cell r="AV5465">
            <v>0</v>
          </cell>
        </row>
        <row r="5466">
          <cell r="E5466" t="str">
            <v>B26002915</v>
          </cell>
          <cell r="AP5466">
            <v>0</v>
          </cell>
          <cell r="AQ5466">
            <v>0</v>
          </cell>
          <cell r="AV5466">
            <v>0</v>
          </cell>
        </row>
        <row r="5467">
          <cell r="E5467" t="str">
            <v>B26002926</v>
          </cell>
          <cell r="AP5467">
            <v>0</v>
          </cell>
          <cell r="AQ5467">
            <v>0</v>
          </cell>
          <cell r="AV5467">
            <v>0</v>
          </cell>
        </row>
        <row r="5468">
          <cell r="E5468" t="str">
            <v>B26002927</v>
          </cell>
          <cell r="AP5468">
            <v>0</v>
          </cell>
          <cell r="AQ5468">
            <v>0</v>
          </cell>
          <cell r="AV5468">
            <v>0</v>
          </cell>
        </row>
        <row r="5469">
          <cell r="E5469" t="str">
            <v>D26003259</v>
          </cell>
          <cell r="AP5469">
            <v>0</v>
          </cell>
          <cell r="AQ5469">
            <v>0</v>
          </cell>
          <cell r="AV5469">
            <v>0</v>
          </cell>
        </row>
        <row r="5470">
          <cell r="E5470" t="str">
            <v>B26003072</v>
          </cell>
          <cell r="AP5470">
            <v>0</v>
          </cell>
          <cell r="AQ5470">
            <v>0</v>
          </cell>
          <cell r="AV5470">
            <v>0</v>
          </cell>
        </row>
        <row r="5471">
          <cell r="E5471" t="str">
            <v>T26000259</v>
          </cell>
          <cell r="AP5471">
            <v>0</v>
          </cell>
          <cell r="AQ5471">
            <v>0</v>
          </cell>
          <cell r="AV5471">
            <v>0</v>
          </cell>
        </row>
        <row r="5472">
          <cell r="E5472" t="str">
            <v>B26003099</v>
          </cell>
          <cell r="AP5472">
            <v>0</v>
          </cell>
          <cell r="AQ5472">
            <v>0</v>
          </cell>
          <cell r="AV5472">
            <v>0</v>
          </cell>
        </row>
        <row r="5473">
          <cell r="E5473" t="str">
            <v>T26000262</v>
          </cell>
          <cell r="AP5473">
            <v>0</v>
          </cell>
          <cell r="AQ5473">
            <v>0</v>
          </cell>
          <cell r="AV5473">
            <v>0</v>
          </cell>
        </row>
        <row r="5474">
          <cell r="E5474" t="str">
            <v>D26003861</v>
          </cell>
          <cell r="AP5474">
            <v>0</v>
          </cell>
          <cell r="AQ5474">
            <v>0</v>
          </cell>
          <cell r="AV5474">
            <v>0</v>
          </cell>
        </row>
        <row r="5475">
          <cell r="E5475" t="str">
            <v>T26000319</v>
          </cell>
          <cell r="AP5475">
            <v>0</v>
          </cell>
          <cell r="AQ5475">
            <v>0</v>
          </cell>
          <cell r="AV5475">
            <v>0</v>
          </cell>
        </row>
        <row r="5476">
          <cell r="E5476" t="str">
            <v>T26000367</v>
          </cell>
          <cell r="AP5476">
            <v>0</v>
          </cell>
          <cell r="AQ5476">
            <v>0</v>
          </cell>
          <cell r="AV5476">
            <v>0</v>
          </cell>
        </row>
        <row r="5477">
          <cell r="E5477" t="str">
            <v>T26000372</v>
          </cell>
          <cell r="AP5477">
            <v>0</v>
          </cell>
          <cell r="AQ5477">
            <v>0</v>
          </cell>
          <cell r="AV5477">
            <v>0</v>
          </cell>
        </row>
        <row r="5478">
          <cell r="E5478" t="str">
            <v>B26004169</v>
          </cell>
          <cell r="AP5478">
            <v>0</v>
          </cell>
          <cell r="AQ5478">
            <v>0</v>
          </cell>
          <cell r="AV5478">
            <v>0</v>
          </cell>
        </row>
        <row r="5479">
          <cell r="E5479" t="str">
            <v>B26004170</v>
          </cell>
          <cell r="AP5479">
            <v>0</v>
          </cell>
          <cell r="AQ5479">
            <v>0</v>
          </cell>
          <cell r="AV5479">
            <v>0</v>
          </cell>
        </row>
        <row r="5480">
          <cell r="E5480" t="str">
            <v>T26000416</v>
          </cell>
          <cell r="AP5480">
            <v>0</v>
          </cell>
          <cell r="AQ5480">
            <v>0</v>
          </cell>
          <cell r="AV5480">
            <v>0</v>
          </cell>
        </row>
        <row r="5481">
          <cell r="E5481" t="str">
            <v>D26004468</v>
          </cell>
          <cell r="AP5481">
            <v>0</v>
          </cell>
          <cell r="AQ5481">
            <v>0</v>
          </cell>
          <cell r="AV5481">
            <v>0</v>
          </cell>
        </row>
        <row r="5482">
          <cell r="E5482" t="str">
            <v>T26000038</v>
          </cell>
          <cell r="AP5482">
            <v>0</v>
          </cell>
          <cell r="AQ5482">
            <v>0</v>
          </cell>
          <cell r="AV5482">
            <v>7000000</v>
          </cell>
        </row>
        <row r="5483">
          <cell r="E5483" t="str">
            <v>D26002470</v>
          </cell>
          <cell r="AP5483">
            <v>0</v>
          </cell>
          <cell r="AQ5483">
            <v>0</v>
          </cell>
          <cell r="AV5483">
            <v>5748000</v>
          </cell>
        </row>
        <row r="5484">
          <cell r="E5484" t="str">
            <v>D26002744</v>
          </cell>
          <cell r="AP5484">
            <v>0</v>
          </cell>
          <cell r="AQ5484">
            <v>0</v>
          </cell>
          <cell r="AV5484">
            <v>0</v>
          </cell>
        </row>
        <row r="5485">
          <cell r="E5485" t="str">
            <v>B26002885</v>
          </cell>
          <cell r="AP5485">
            <v>0</v>
          </cell>
          <cell r="AQ5485">
            <v>0</v>
          </cell>
          <cell r="AV5485">
            <v>0</v>
          </cell>
        </row>
        <row r="5486">
          <cell r="E5486" t="str">
            <v>D26003750</v>
          </cell>
          <cell r="AP5486">
            <v>0</v>
          </cell>
          <cell r="AQ5486">
            <v>0</v>
          </cell>
          <cell r="AV5486">
            <v>0</v>
          </cell>
        </row>
        <row r="5487">
          <cell r="E5487" t="str">
            <v>D26003752</v>
          </cell>
          <cell r="AP5487">
            <v>0</v>
          </cell>
          <cell r="AQ5487">
            <v>0</v>
          </cell>
          <cell r="AV5487">
            <v>0</v>
          </cell>
        </row>
        <row r="5488">
          <cell r="E5488" t="str">
            <v>B26003838</v>
          </cell>
          <cell r="AP5488">
            <v>0</v>
          </cell>
          <cell r="AQ5488">
            <v>0</v>
          </cell>
          <cell r="AV5488">
            <v>0</v>
          </cell>
        </row>
        <row r="5489">
          <cell r="E5489" t="str">
            <v>D26004538</v>
          </cell>
          <cell r="AP5489">
            <v>0</v>
          </cell>
          <cell r="AQ5489">
            <v>0</v>
          </cell>
          <cell r="AV5489">
            <v>0</v>
          </cell>
        </row>
        <row r="5490">
          <cell r="E5490" t="str">
            <v>B26004131</v>
          </cell>
          <cell r="AP5490">
            <v>0</v>
          </cell>
          <cell r="AQ5490">
            <v>0</v>
          </cell>
          <cell r="AV5490">
            <v>0</v>
          </cell>
        </row>
        <row r="5491">
          <cell r="E5491" t="str">
            <v>B26004132</v>
          </cell>
          <cell r="AP5491">
            <v>0</v>
          </cell>
          <cell r="AQ5491">
            <v>0</v>
          </cell>
          <cell r="AV5491">
            <v>0</v>
          </cell>
        </row>
        <row r="5492">
          <cell r="E5492" t="str">
            <v>Z26000265</v>
          </cell>
          <cell r="AP5492">
            <v>0</v>
          </cell>
          <cell r="AQ5492">
            <v>0</v>
          </cell>
          <cell r="AV5492">
            <v>0</v>
          </cell>
        </row>
        <row r="5493">
          <cell r="E5493" t="str">
            <v>Z26000818</v>
          </cell>
          <cell r="AP5493">
            <v>0</v>
          </cell>
          <cell r="AQ5493">
            <v>0</v>
          </cell>
          <cell r="AV5493">
            <v>251510000</v>
          </cell>
        </row>
        <row r="5494">
          <cell r="E5494" t="str">
            <v>Z26000819</v>
          </cell>
          <cell r="AP5494">
            <v>0</v>
          </cell>
          <cell r="AQ5494">
            <v>0</v>
          </cell>
          <cell r="AV5494">
            <v>25920000</v>
          </cell>
        </row>
        <row r="5495">
          <cell r="E5495" t="str">
            <v>B26002870</v>
          </cell>
          <cell r="AP5495">
            <v>0</v>
          </cell>
          <cell r="AQ5495">
            <v>0</v>
          </cell>
          <cell r="AV5495">
            <v>4000000</v>
          </cell>
        </row>
        <row r="5496">
          <cell r="E5496" t="str">
            <v>D26003921</v>
          </cell>
          <cell r="AP5496">
            <v>0</v>
          </cell>
          <cell r="AQ5496">
            <v>0</v>
          </cell>
          <cell r="AV5496">
            <v>0</v>
          </cell>
        </row>
        <row r="5497">
          <cell r="E5497" t="str">
            <v>D25018997</v>
          </cell>
          <cell r="AP5497">
            <v>0</v>
          </cell>
          <cell r="AQ5497">
            <v>0</v>
          </cell>
          <cell r="AV5497">
            <v>20000000</v>
          </cell>
        </row>
        <row r="5498">
          <cell r="E5498" t="str">
            <v>D25018997</v>
          </cell>
          <cell r="AP5498">
            <v>0</v>
          </cell>
          <cell r="AQ5498">
            <v>0</v>
          </cell>
          <cell r="AV5498">
            <v>19680000</v>
          </cell>
        </row>
        <row r="5499">
          <cell r="E5499" t="str">
            <v>D25018998</v>
          </cell>
          <cell r="AP5499">
            <v>0</v>
          </cell>
          <cell r="AQ5499">
            <v>0</v>
          </cell>
          <cell r="AV5499">
            <v>29330000</v>
          </cell>
        </row>
        <row r="5500">
          <cell r="E5500" t="str">
            <v>D25019266</v>
          </cell>
          <cell r="AP5500">
            <v>0</v>
          </cell>
          <cell r="AQ5500">
            <v>0</v>
          </cell>
          <cell r="AV5500">
            <v>0</v>
          </cell>
        </row>
        <row r="5501">
          <cell r="E5501" t="str">
            <v>D26001678</v>
          </cell>
          <cell r="AP5501">
            <v>0</v>
          </cell>
          <cell r="AQ5501">
            <v>0</v>
          </cell>
          <cell r="AV5501">
            <v>0</v>
          </cell>
        </row>
        <row r="5502">
          <cell r="E5502" t="str">
            <v>D26001679</v>
          </cell>
          <cell r="AP5502">
            <v>0</v>
          </cell>
          <cell r="AQ5502">
            <v>0</v>
          </cell>
          <cell r="AV5502">
            <v>0</v>
          </cell>
        </row>
        <row r="5503">
          <cell r="E5503" t="str">
            <v>D26001680</v>
          </cell>
          <cell r="AP5503">
            <v>0</v>
          </cell>
          <cell r="AQ5503">
            <v>0</v>
          </cell>
          <cell r="AV5503">
            <v>0</v>
          </cell>
        </row>
        <row r="5504">
          <cell r="E5504" t="str">
            <v>T26000108</v>
          </cell>
          <cell r="AP5504">
            <v>0</v>
          </cell>
          <cell r="AQ5504">
            <v>0</v>
          </cell>
          <cell r="AV5504">
            <v>0</v>
          </cell>
        </row>
        <row r="5505">
          <cell r="E5505" t="str">
            <v>D26002649</v>
          </cell>
          <cell r="AP5505">
            <v>0</v>
          </cell>
          <cell r="AQ5505">
            <v>0</v>
          </cell>
          <cell r="AV5505">
            <v>0</v>
          </cell>
        </row>
        <row r="5506">
          <cell r="E5506" t="str">
            <v>D26002650</v>
          </cell>
          <cell r="AP5506">
            <v>0</v>
          </cell>
          <cell r="AQ5506">
            <v>0</v>
          </cell>
          <cell r="AV5506">
            <v>0</v>
          </cell>
        </row>
        <row r="5507">
          <cell r="E5507" t="str">
            <v>D26002651</v>
          </cell>
          <cell r="AP5507">
            <v>0</v>
          </cell>
          <cell r="AQ5507">
            <v>0</v>
          </cell>
          <cell r="AV5507">
            <v>0</v>
          </cell>
        </row>
        <row r="5508">
          <cell r="E5508" t="str">
            <v>D26002673</v>
          </cell>
          <cell r="AP5508">
            <v>0</v>
          </cell>
          <cell r="AQ5508">
            <v>0</v>
          </cell>
          <cell r="AV5508">
            <v>0</v>
          </cell>
        </row>
        <row r="5509">
          <cell r="E5509" t="str">
            <v>T26000202</v>
          </cell>
          <cell r="AP5509">
            <v>0</v>
          </cell>
          <cell r="AQ5509">
            <v>0</v>
          </cell>
          <cell r="AV5509">
            <v>0</v>
          </cell>
        </row>
        <row r="5510">
          <cell r="E5510" t="str">
            <v>D26003473</v>
          </cell>
          <cell r="AP5510">
            <v>0</v>
          </cell>
          <cell r="AQ5510">
            <v>0</v>
          </cell>
          <cell r="AV5510">
            <v>0</v>
          </cell>
        </row>
        <row r="5511">
          <cell r="E5511" t="str">
            <v>D26004167</v>
          </cell>
          <cell r="AP5511">
            <v>0</v>
          </cell>
          <cell r="AQ5511">
            <v>0</v>
          </cell>
          <cell r="AV5511">
            <v>0</v>
          </cell>
        </row>
        <row r="5512">
          <cell r="E5512" t="str">
            <v>B26002355</v>
          </cell>
          <cell r="AP5512">
            <v>0</v>
          </cell>
          <cell r="AQ5512">
            <v>0</v>
          </cell>
          <cell r="AV5512">
            <v>0</v>
          </cell>
        </row>
        <row r="5513">
          <cell r="E5513" t="str">
            <v>D26004228</v>
          </cell>
          <cell r="AP5513">
            <v>0</v>
          </cell>
          <cell r="AQ5513">
            <v>0</v>
          </cell>
          <cell r="AV5513">
            <v>0</v>
          </cell>
        </row>
        <row r="5514">
          <cell r="E5514" t="str">
            <v>D26004565</v>
          </cell>
          <cell r="AP5514">
            <v>0</v>
          </cell>
          <cell r="AQ5514">
            <v>0</v>
          </cell>
          <cell r="AV5514">
            <v>0</v>
          </cell>
        </row>
        <row r="5515">
          <cell r="E5515" t="str">
            <v>B25012121</v>
          </cell>
          <cell r="AP5515">
            <v>0</v>
          </cell>
          <cell r="AQ5515">
            <v>0</v>
          </cell>
          <cell r="AV5515">
            <v>4000000</v>
          </cell>
        </row>
        <row r="5516">
          <cell r="E5516" t="str">
            <v>B26002103</v>
          </cell>
          <cell r="AP5516">
            <v>0</v>
          </cell>
          <cell r="AQ5516">
            <v>0</v>
          </cell>
          <cell r="AV5516">
            <v>0</v>
          </cell>
        </row>
        <row r="5517">
          <cell r="E5517" t="str">
            <v>B26002105</v>
          </cell>
          <cell r="AP5517">
            <v>0</v>
          </cell>
          <cell r="AQ5517">
            <v>0</v>
          </cell>
          <cell r="AV5517">
            <v>0</v>
          </cell>
        </row>
        <row r="5518">
          <cell r="E5518" t="str">
            <v>D26002524</v>
          </cell>
          <cell r="AP5518">
            <v>0</v>
          </cell>
          <cell r="AQ5518">
            <v>0</v>
          </cell>
          <cell r="AV5518">
            <v>0</v>
          </cell>
        </row>
        <row r="5519">
          <cell r="E5519" t="str">
            <v>D26002679</v>
          </cell>
          <cell r="AP5519">
            <v>0</v>
          </cell>
          <cell r="AQ5519">
            <v>0</v>
          </cell>
          <cell r="AV5519">
            <v>0</v>
          </cell>
        </row>
        <row r="5520">
          <cell r="E5520" t="str">
            <v>D26002711</v>
          </cell>
          <cell r="AP5520">
            <v>0</v>
          </cell>
          <cell r="AQ5520">
            <v>0</v>
          </cell>
          <cell r="AV5520">
            <v>0</v>
          </cell>
        </row>
        <row r="5521">
          <cell r="E5521" t="str">
            <v>B26003212</v>
          </cell>
          <cell r="AP5521">
            <v>0</v>
          </cell>
          <cell r="AQ5521">
            <v>0</v>
          </cell>
          <cell r="AV5521">
            <v>0</v>
          </cell>
        </row>
        <row r="5522">
          <cell r="E5522" t="str">
            <v>B26003213</v>
          </cell>
          <cell r="AP5522">
            <v>0</v>
          </cell>
          <cell r="AQ5522">
            <v>0</v>
          </cell>
          <cell r="AV5522">
            <v>0</v>
          </cell>
        </row>
        <row r="5523">
          <cell r="E5523" t="str">
            <v>B26003583</v>
          </cell>
          <cell r="AP5523">
            <v>0</v>
          </cell>
          <cell r="AQ5523">
            <v>0</v>
          </cell>
          <cell r="AV5523">
            <v>0</v>
          </cell>
        </row>
        <row r="5524">
          <cell r="E5524" t="str">
            <v>B26003700</v>
          </cell>
          <cell r="AP5524">
            <v>0</v>
          </cell>
          <cell r="AQ5524">
            <v>0</v>
          </cell>
          <cell r="AV5524">
            <v>0</v>
          </cell>
        </row>
        <row r="5525">
          <cell r="E5525" t="str">
            <v>D26004297</v>
          </cell>
          <cell r="AP5525">
            <v>0</v>
          </cell>
          <cell r="AQ5525">
            <v>0</v>
          </cell>
          <cell r="AV5525">
            <v>0</v>
          </cell>
        </row>
        <row r="5526">
          <cell r="E5526" t="str">
            <v>D26004503</v>
          </cell>
          <cell r="AP5526">
            <v>0</v>
          </cell>
          <cell r="AQ5526">
            <v>0</v>
          </cell>
          <cell r="AV5526">
            <v>0</v>
          </cell>
        </row>
        <row r="5527">
          <cell r="E5527" t="str">
            <v>B26003889</v>
          </cell>
          <cell r="AP5527">
            <v>0</v>
          </cell>
          <cell r="AQ5527">
            <v>0</v>
          </cell>
          <cell r="AV5527">
            <v>0</v>
          </cell>
        </row>
        <row r="5528">
          <cell r="E5528" t="str">
            <v>B26003959</v>
          </cell>
          <cell r="AP5528">
            <v>0</v>
          </cell>
          <cell r="AQ5528">
            <v>0</v>
          </cell>
          <cell r="AV5528">
            <v>0</v>
          </cell>
        </row>
        <row r="5529">
          <cell r="E5529" t="str">
            <v>D26003734</v>
          </cell>
          <cell r="AP5529">
            <v>0</v>
          </cell>
          <cell r="AQ5529">
            <v>0</v>
          </cell>
          <cell r="AV5529">
            <v>0</v>
          </cell>
        </row>
        <row r="5530">
          <cell r="E5530" t="str">
            <v>B26003529</v>
          </cell>
          <cell r="AP5530">
            <v>0</v>
          </cell>
          <cell r="AQ5530">
            <v>0</v>
          </cell>
          <cell r="AV5530">
            <v>0</v>
          </cell>
        </row>
        <row r="5531">
          <cell r="E5531" t="str">
            <v>D26001223</v>
          </cell>
          <cell r="AP5531">
            <v>0</v>
          </cell>
          <cell r="AQ5531">
            <v>0</v>
          </cell>
          <cell r="AV5531">
            <v>1062500</v>
          </cell>
        </row>
        <row r="5532">
          <cell r="E5532" t="str">
            <v>B26002253</v>
          </cell>
          <cell r="AP5532">
            <v>0</v>
          </cell>
          <cell r="AQ5532">
            <v>0</v>
          </cell>
          <cell r="AV5532">
            <v>0</v>
          </cell>
        </row>
        <row r="5533">
          <cell r="E5533" t="str">
            <v>B26003532</v>
          </cell>
          <cell r="AP5533">
            <v>0</v>
          </cell>
          <cell r="AQ5533">
            <v>0</v>
          </cell>
          <cell r="AV5533">
            <v>0</v>
          </cell>
        </row>
        <row r="5534">
          <cell r="E5534" t="str">
            <v>D26003977</v>
          </cell>
          <cell r="AP5534">
            <v>0</v>
          </cell>
          <cell r="AQ5534">
            <v>0</v>
          </cell>
          <cell r="AV5534">
            <v>0</v>
          </cell>
        </row>
        <row r="5535">
          <cell r="E5535" t="str">
            <v>B26003610</v>
          </cell>
          <cell r="AP5535">
            <v>0</v>
          </cell>
          <cell r="AQ5535">
            <v>0</v>
          </cell>
          <cell r="AV5535">
            <v>0</v>
          </cell>
        </row>
        <row r="5536">
          <cell r="E5536" t="str">
            <v>C26000255</v>
          </cell>
          <cell r="AP5536">
            <v>0</v>
          </cell>
          <cell r="AQ5536">
            <v>0</v>
          </cell>
          <cell r="AV5536">
            <v>0</v>
          </cell>
        </row>
        <row r="5537">
          <cell r="E5537" t="str">
            <v>C26000260</v>
          </cell>
          <cell r="AP5537">
            <v>0</v>
          </cell>
          <cell r="AQ5537">
            <v>0</v>
          </cell>
          <cell r="AV5537">
            <v>0</v>
          </cell>
        </row>
        <row r="5538">
          <cell r="E5538" t="str">
            <v>T26000026</v>
          </cell>
          <cell r="AP5538">
            <v>0</v>
          </cell>
          <cell r="AQ5538">
            <v>0</v>
          </cell>
          <cell r="AV5538">
            <v>0</v>
          </cell>
        </row>
        <row r="5539">
          <cell r="E5539" t="str">
            <v>T26000076</v>
          </cell>
          <cell r="AP5539">
            <v>0</v>
          </cell>
          <cell r="AQ5539">
            <v>0</v>
          </cell>
          <cell r="AV5539">
            <v>0</v>
          </cell>
        </row>
        <row r="5540">
          <cell r="E5540" t="str">
            <v>B26003399</v>
          </cell>
          <cell r="AP5540">
            <v>0</v>
          </cell>
          <cell r="AQ5540">
            <v>0</v>
          </cell>
          <cell r="AV5540">
            <v>0</v>
          </cell>
        </row>
        <row r="5541">
          <cell r="E5541" t="str">
            <v>D26003776</v>
          </cell>
          <cell r="AP5541">
            <v>0</v>
          </cell>
          <cell r="AQ5541">
            <v>0</v>
          </cell>
          <cell r="AV5541">
            <v>0</v>
          </cell>
        </row>
        <row r="5542">
          <cell r="E5542" t="str">
            <v>D26001864</v>
          </cell>
          <cell r="AP5542">
            <v>0</v>
          </cell>
          <cell r="AQ5542">
            <v>0</v>
          </cell>
          <cell r="AV5542">
            <v>30000000</v>
          </cell>
        </row>
        <row r="5543">
          <cell r="E5543" t="str">
            <v>D26002353</v>
          </cell>
          <cell r="AP5543">
            <v>0</v>
          </cell>
          <cell r="AQ5543">
            <v>0</v>
          </cell>
          <cell r="AV5543">
            <v>0</v>
          </cell>
        </row>
        <row r="5544">
          <cell r="E5544" t="str">
            <v>D26001762</v>
          </cell>
          <cell r="AP5544">
            <v>0</v>
          </cell>
          <cell r="AQ5544">
            <v>0</v>
          </cell>
          <cell r="AV5544">
            <v>0</v>
          </cell>
        </row>
        <row r="5545">
          <cell r="E5545" t="str">
            <v>B26002088</v>
          </cell>
          <cell r="AP5545">
            <v>0</v>
          </cell>
          <cell r="AQ5545">
            <v>0</v>
          </cell>
          <cell r="AV5545">
            <v>0</v>
          </cell>
        </row>
        <row r="5546">
          <cell r="E5546" t="str">
            <v>B26002359</v>
          </cell>
          <cell r="AP5546">
            <v>0</v>
          </cell>
          <cell r="AQ5546">
            <v>0</v>
          </cell>
          <cell r="AV5546">
            <v>0</v>
          </cell>
        </row>
        <row r="5547">
          <cell r="E5547" t="str">
            <v>D26004151</v>
          </cell>
          <cell r="AP5547">
            <v>0</v>
          </cell>
          <cell r="AQ5547">
            <v>0</v>
          </cell>
          <cell r="AV5547">
            <v>0</v>
          </cell>
        </row>
        <row r="5548">
          <cell r="E5548" t="str">
            <v>B26003655</v>
          </cell>
          <cell r="AP5548">
            <v>0</v>
          </cell>
          <cell r="AQ5548">
            <v>0</v>
          </cell>
          <cell r="AV5548">
            <v>0</v>
          </cell>
        </row>
        <row r="5549">
          <cell r="E5549" t="str">
            <v>D26004448</v>
          </cell>
          <cell r="AP5549">
            <v>0</v>
          </cell>
          <cell r="AQ5549">
            <v>0</v>
          </cell>
          <cell r="AV5549">
            <v>0</v>
          </cell>
        </row>
        <row r="5550">
          <cell r="E5550" t="str">
            <v>B26003961</v>
          </cell>
          <cell r="AP5550">
            <v>0</v>
          </cell>
          <cell r="AQ5550">
            <v>0</v>
          </cell>
          <cell r="AV5550">
            <v>0</v>
          </cell>
        </row>
        <row r="5551">
          <cell r="E5551" t="str">
            <v>B26002631</v>
          </cell>
          <cell r="AP5551">
            <v>0</v>
          </cell>
          <cell r="AQ5551">
            <v>0</v>
          </cell>
          <cell r="AV5551">
            <v>2930000</v>
          </cell>
        </row>
        <row r="5552">
          <cell r="E5552" t="str">
            <v>D26002808</v>
          </cell>
          <cell r="AP5552">
            <v>0</v>
          </cell>
          <cell r="AQ5552">
            <v>0</v>
          </cell>
          <cell r="AV5552">
            <v>1155000</v>
          </cell>
        </row>
        <row r="5553">
          <cell r="E5553" t="str">
            <v>D26002660</v>
          </cell>
          <cell r="AP5553">
            <v>0</v>
          </cell>
          <cell r="AQ5553">
            <v>0</v>
          </cell>
          <cell r="AV5553">
            <v>0</v>
          </cell>
        </row>
        <row r="5554">
          <cell r="E5554" t="str">
            <v>B26003027</v>
          </cell>
          <cell r="AP5554">
            <v>0</v>
          </cell>
          <cell r="AQ5554">
            <v>0</v>
          </cell>
          <cell r="AV5554">
            <v>0</v>
          </cell>
        </row>
        <row r="5555">
          <cell r="E5555" t="str">
            <v>B26003033</v>
          </cell>
          <cell r="AP5555">
            <v>0</v>
          </cell>
          <cell r="AQ5555">
            <v>0</v>
          </cell>
          <cell r="AV5555">
            <v>0</v>
          </cell>
        </row>
        <row r="5556">
          <cell r="E5556" t="str">
            <v>L26000008</v>
          </cell>
          <cell r="AP5556">
            <v>0</v>
          </cell>
          <cell r="AQ5556">
            <v>0</v>
          </cell>
          <cell r="AV5556">
            <v>0</v>
          </cell>
        </row>
        <row r="5557">
          <cell r="E5557" t="str">
            <v>D26003480</v>
          </cell>
          <cell r="AP5557">
            <v>0</v>
          </cell>
          <cell r="AQ5557">
            <v>0</v>
          </cell>
          <cell r="AV5557">
            <v>0</v>
          </cell>
        </row>
        <row r="5558">
          <cell r="E5558" t="str">
            <v>D26003765</v>
          </cell>
          <cell r="AP5558">
            <v>0</v>
          </cell>
          <cell r="AQ5558">
            <v>0</v>
          </cell>
          <cell r="AV5558">
            <v>0</v>
          </cell>
        </row>
        <row r="5559">
          <cell r="E5559" t="str">
            <v>D26003766</v>
          </cell>
          <cell r="AP5559">
            <v>0</v>
          </cell>
          <cell r="AQ5559">
            <v>0</v>
          </cell>
          <cell r="AV5559">
            <v>0</v>
          </cell>
        </row>
        <row r="5560">
          <cell r="E5560" t="str">
            <v>D26003785</v>
          </cell>
          <cell r="AP5560">
            <v>0</v>
          </cell>
          <cell r="AQ5560">
            <v>0</v>
          </cell>
          <cell r="AV5560">
            <v>0</v>
          </cell>
        </row>
        <row r="5561">
          <cell r="E5561" t="str">
            <v>D26004119</v>
          </cell>
          <cell r="AP5561">
            <v>0</v>
          </cell>
          <cell r="AQ5561">
            <v>0</v>
          </cell>
          <cell r="AV5561">
            <v>0</v>
          </cell>
        </row>
        <row r="5562">
          <cell r="E5562" t="str">
            <v>D26004120</v>
          </cell>
          <cell r="AP5562">
            <v>0</v>
          </cell>
          <cell r="AQ5562">
            <v>0</v>
          </cell>
          <cell r="AV5562">
            <v>0</v>
          </cell>
        </row>
        <row r="5563">
          <cell r="E5563" t="str">
            <v>D26004125</v>
          </cell>
          <cell r="AP5563">
            <v>0</v>
          </cell>
          <cell r="AQ5563">
            <v>0</v>
          </cell>
          <cell r="AV5563">
            <v>0</v>
          </cell>
        </row>
        <row r="5564">
          <cell r="E5564" t="str">
            <v>D26004170</v>
          </cell>
          <cell r="AP5564">
            <v>0</v>
          </cell>
          <cell r="AQ5564">
            <v>0</v>
          </cell>
          <cell r="AV5564">
            <v>0</v>
          </cell>
        </row>
        <row r="5565">
          <cell r="E5565" t="str">
            <v>D26004411</v>
          </cell>
          <cell r="AP5565">
            <v>0</v>
          </cell>
          <cell r="AQ5565">
            <v>0</v>
          </cell>
          <cell r="AV5565">
            <v>0</v>
          </cell>
        </row>
        <row r="5566">
          <cell r="E5566" t="str">
            <v>D26004412</v>
          </cell>
          <cell r="AP5566">
            <v>0</v>
          </cell>
          <cell r="AQ5566">
            <v>0</v>
          </cell>
          <cell r="AV5566">
            <v>0</v>
          </cell>
        </row>
        <row r="5567">
          <cell r="E5567" t="str">
            <v>D26004413</v>
          </cell>
          <cell r="AP5567">
            <v>0</v>
          </cell>
          <cell r="AQ5567">
            <v>0</v>
          </cell>
          <cell r="AV5567">
            <v>0</v>
          </cell>
        </row>
        <row r="5568">
          <cell r="E5568" t="str">
            <v>D26004414</v>
          </cell>
          <cell r="AP5568">
            <v>0</v>
          </cell>
          <cell r="AQ5568">
            <v>0</v>
          </cell>
          <cell r="AV5568">
            <v>0</v>
          </cell>
        </row>
        <row r="5569">
          <cell r="E5569" t="str">
            <v>D26004459</v>
          </cell>
          <cell r="AP5569">
            <v>0</v>
          </cell>
          <cell r="AQ5569">
            <v>0</v>
          </cell>
          <cell r="AV5569">
            <v>0</v>
          </cell>
        </row>
        <row r="5570">
          <cell r="E5570" t="str">
            <v>D26004688</v>
          </cell>
          <cell r="AP5570">
            <v>0</v>
          </cell>
          <cell r="AQ5570">
            <v>2498500</v>
          </cell>
          <cell r="AV5570">
            <v>0</v>
          </cell>
        </row>
        <row r="5571">
          <cell r="E5571" t="str">
            <v>D26004689</v>
          </cell>
          <cell r="AP5571">
            <v>0</v>
          </cell>
          <cell r="AQ5571">
            <v>144000</v>
          </cell>
          <cell r="AV5571">
            <v>0</v>
          </cell>
        </row>
        <row r="5572">
          <cell r="E5572" t="str">
            <v>D26004789</v>
          </cell>
          <cell r="AP5572">
            <v>0</v>
          </cell>
          <cell r="AQ5572">
            <v>294000</v>
          </cell>
          <cell r="AV5572">
            <v>0</v>
          </cell>
        </row>
        <row r="5573">
          <cell r="E5573" t="str">
            <v>D26004916</v>
          </cell>
          <cell r="AP5573">
            <v>0</v>
          </cell>
          <cell r="AQ5573">
            <v>0</v>
          </cell>
          <cell r="AV5573">
            <v>0</v>
          </cell>
        </row>
        <row r="5574">
          <cell r="E5574" t="str">
            <v>B26004118</v>
          </cell>
          <cell r="AP5574">
            <v>0</v>
          </cell>
          <cell r="AQ5574">
            <v>0</v>
          </cell>
          <cell r="AV5574">
            <v>0</v>
          </cell>
        </row>
        <row r="5575">
          <cell r="E5575" t="str">
            <v>D26000795</v>
          </cell>
          <cell r="AP5575">
            <v>0</v>
          </cell>
          <cell r="AQ5575">
            <v>0</v>
          </cell>
          <cell r="AV5575">
            <v>150000000</v>
          </cell>
        </row>
        <row r="5576">
          <cell r="E5576" t="str">
            <v>D26000795</v>
          </cell>
          <cell r="AP5576">
            <v>0</v>
          </cell>
          <cell r="AQ5576">
            <v>0</v>
          </cell>
          <cell r="AV5576">
            <v>150000000</v>
          </cell>
        </row>
        <row r="5577">
          <cell r="E5577" t="str">
            <v>D26001163</v>
          </cell>
          <cell r="AP5577">
            <v>0</v>
          </cell>
          <cell r="AQ5577">
            <v>0</v>
          </cell>
          <cell r="AV5577">
            <v>0</v>
          </cell>
        </row>
        <row r="5578">
          <cell r="E5578" t="str">
            <v>D26001164</v>
          </cell>
          <cell r="AP5578">
            <v>0</v>
          </cell>
          <cell r="AQ5578">
            <v>0</v>
          </cell>
          <cell r="AV5578">
            <v>0</v>
          </cell>
        </row>
        <row r="5579">
          <cell r="E5579" t="str">
            <v>D26001731</v>
          </cell>
          <cell r="AP5579">
            <v>0</v>
          </cell>
          <cell r="AQ5579">
            <v>0</v>
          </cell>
          <cell r="AV5579">
            <v>0</v>
          </cell>
        </row>
        <row r="5580">
          <cell r="E5580" t="str">
            <v>D26001755</v>
          </cell>
          <cell r="AP5580">
            <v>0</v>
          </cell>
          <cell r="AQ5580">
            <v>0</v>
          </cell>
          <cell r="AV5580">
            <v>0</v>
          </cell>
        </row>
        <row r="5581">
          <cell r="E5581" t="str">
            <v>B26001805</v>
          </cell>
          <cell r="AP5581">
            <v>0</v>
          </cell>
          <cell r="AQ5581">
            <v>0</v>
          </cell>
          <cell r="AV5581">
            <v>0</v>
          </cell>
        </row>
        <row r="5582">
          <cell r="E5582" t="str">
            <v>D26002032</v>
          </cell>
          <cell r="AP5582">
            <v>0</v>
          </cell>
          <cell r="AQ5582">
            <v>0</v>
          </cell>
          <cell r="AV5582">
            <v>0</v>
          </cell>
        </row>
        <row r="5583">
          <cell r="E5583" t="str">
            <v>D26002266</v>
          </cell>
          <cell r="AP5583">
            <v>0</v>
          </cell>
          <cell r="AQ5583">
            <v>0</v>
          </cell>
          <cell r="AV5583">
            <v>0</v>
          </cell>
        </row>
        <row r="5584">
          <cell r="E5584" t="str">
            <v>D26002328</v>
          </cell>
          <cell r="AP5584">
            <v>0</v>
          </cell>
          <cell r="AQ5584">
            <v>0</v>
          </cell>
          <cell r="AV5584">
            <v>0</v>
          </cell>
        </row>
        <row r="5585">
          <cell r="E5585" t="str">
            <v>D26002672</v>
          </cell>
          <cell r="AP5585">
            <v>0</v>
          </cell>
          <cell r="AQ5585">
            <v>0</v>
          </cell>
          <cell r="AV5585">
            <v>0</v>
          </cell>
        </row>
        <row r="5586">
          <cell r="E5586" t="str">
            <v>D26003340</v>
          </cell>
          <cell r="AP5586">
            <v>0</v>
          </cell>
          <cell r="AQ5586">
            <v>0</v>
          </cell>
          <cell r="AV5586">
            <v>0</v>
          </cell>
        </row>
        <row r="5587">
          <cell r="E5587" t="str">
            <v>D26003373</v>
          </cell>
          <cell r="AP5587">
            <v>0</v>
          </cell>
          <cell r="AQ5587">
            <v>0</v>
          </cell>
          <cell r="AV5587">
            <v>0</v>
          </cell>
        </row>
        <row r="5588">
          <cell r="E5588" t="str">
            <v>D26003973</v>
          </cell>
          <cell r="AP5588">
            <v>0</v>
          </cell>
          <cell r="AQ5588">
            <v>0</v>
          </cell>
          <cell r="AV5588">
            <v>0</v>
          </cell>
        </row>
        <row r="5589">
          <cell r="E5589" t="str">
            <v>D26004069</v>
          </cell>
          <cell r="AP5589">
            <v>0</v>
          </cell>
          <cell r="AQ5589">
            <v>0</v>
          </cell>
          <cell r="AV5589">
            <v>0</v>
          </cell>
        </row>
        <row r="5590">
          <cell r="E5590" t="str">
            <v>D26004944</v>
          </cell>
          <cell r="AP5590">
            <v>0</v>
          </cell>
          <cell r="AQ5590">
            <v>0</v>
          </cell>
          <cell r="AV5590">
            <v>0</v>
          </cell>
        </row>
        <row r="5591">
          <cell r="E5591" t="str">
            <v>D26000365</v>
          </cell>
          <cell r="AP5591">
            <v>0</v>
          </cell>
          <cell r="AQ5591">
            <v>0</v>
          </cell>
          <cell r="AV5591">
            <v>0</v>
          </cell>
        </row>
        <row r="5592">
          <cell r="E5592" t="str">
            <v>Z26000203</v>
          </cell>
          <cell r="AP5592">
            <v>0</v>
          </cell>
          <cell r="AQ5592">
            <v>0</v>
          </cell>
          <cell r="AV5592">
            <v>0</v>
          </cell>
        </row>
        <row r="5593">
          <cell r="E5593" t="str">
            <v>Z26000312</v>
          </cell>
          <cell r="AP5593">
            <v>0</v>
          </cell>
          <cell r="AQ5593">
            <v>0</v>
          </cell>
          <cell r="AV5593">
            <v>0</v>
          </cell>
        </row>
        <row r="5594">
          <cell r="E5594" t="str">
            <v>D26001870</v>
          </cell>
          <cell r="AP5594">
            <v>0</v>
          </cell>
          <cell r="AQ5594">
            <v>0</v>
          </cell>
          <cell r="AV5594">
            <v>0</v>
          </cell>
        </row>
        <row r="5595">
          <cell r="E5595" t="str">
            <v>Z26000338</v>
          </cell>
          <cell r="AP5595">
            <v>0</v>
          </cell>
          <cell r="AQ5595">
            <v>0</v>
          </cell>
          <cell r="AV5595">
            <v>0</v>
          </cell>
        </row>
        <row r="5596">
          <cell r="E5596" t="str">
            <v>Z26000357</v>
          </cell>
          <cell r="AP5596">
            <v>0</v>
          </cell>
          <cell r="AQ5596">
            <v>0</v>
          </cell>
          <cell r="AV5596">
            <v>0</v>
          </cell>
        </row>
        <row r="5597">
          <cell r="E5597" t="str">
            <v>D26002245</v>
          </cell>
          <cell r="AP5597">
            <v>0</v>
          </cell>
          <cell r="AQ5597">
            <v>0</v>
          </cell>
          <cell r="AV5597">
            <v>0</v>
          </cell>
        </row>
        <row r="5598">
          <cell r="E5598" t="str">
            <v>Z26000469</v>
          </cell>
          <cell r="AP5598">
            <v>0</v>
          </cell>
          <cell r="AQ5598">
            <v>0</v>
          </cell>
          <cell r="AV5598">
            <v>0</v>
          </cell>
        </row>
        <row r="5599">
          <cell r="E5599" t="str">
            <v>D26003173</v>
          </cell>
          <cell r="AP5599">
            <v>0</v>
          </cell>
          <cell r="AQ5599">
            <v>0</v>
          </cell>
          <cell r="AV5599">
            <v>0</v>
          </cell>
        </row>
        <row r="5600">
          <cell r="E5600" t="str">
            <v>D26003648</v>
          </cell>
          <cell r="AP5600">
            <v>0</v>
          </cell>
          <cell r="AQ5600">
            <v>0</v>
          </cell>
          <cell r="AV5600">
            <v>0</v>
          </cell>
        </row>
        <row r="5601">
          <cell r="E5601" t="str">
            <v>D26003649</v>
          </cell>
          <cell r="AP5601">
            <v>0</v>
          </cell>
          <cell r="AQ5601">
            <v>0</v>
          </cell>
          <cell r="AV5601">
            <v>0</v>
          </cell>
        </row>
        <row r="5602">
          <cell r="E5602" t="str">
            <v>Z26000839</v>
          </cell>
          <cell r="AP5602">
            <v>0</v>
          </cell>
          <cell r="AQ5602">
            <v>0</v>
          </cell>
          <cell r="AV5602">
            <v>0</v>
          </cell>
        </row>
        <row r="5603">
          <cell r="E5603" t="str">
            <v>Z26000864</v>
          </cell>
          <cell r="AP5603">
            <v>0</v>
          </cell>
          <cell r="AQ5603">
            <v>0</v>
          </cell>
          <cell r="AV5603">
            <v>0</v>
          </cell>
        </row>
        <row r="5604">
          <cell r="E5604" t="str">
            <v>D26005028</v>
          </cell>
          <cell r="AP5604">
            <v>0</v>
          </cell>
          <cell r="AQ5604">
            <v>0</v>
          </cell>
          <cell r="AV5604">
            <v>0</v>
          </cell>
        </row>
        <row r="5605">
          <cell r="E5605" t="str">
            <v>D26000062</v>
          </cell>
          <cell r="AP5605">
            <v>0</v>
          </cell>
          <cell r="AQ5605">
            <v>0</v>
          </cell>
          <cell r="AV5605">
            <v>0</v>
          </cell>
        </row>
        <row r="5606">
          <cell r="E5606" t="str">
            <v>B26000565</v>
          </cell>
          <cell r="AP5606">
            <v>0</v>
          </cell>
          <cell r="AQ5606">
            <v>0</v>
          </cell>
          <cell r="AV5606">
            <v>0</v>
          </cell>
        </row>
        <row r="5607">
          <cell r="E5607" t="str">
            <v>D26000552</v>
          </cell>
          <cell r="AP5607">
            <v>0</v>
          </cell>
          <cell r="AQ5607">
            <v>0</v>
          </cell>
          <cell r="AV5607">
            <v>0</v>
          </cell>
        </row>
        <row r="5608">
          <cell r="E5608" t="str">
            <v>D26000595</v>
          </cell>
          <cell r="AP5608">
            <v>0</v>
          </cell>
          <cell r="AQ5608">
            <v>0</v>
          </cell>
          <cell r="AV5608">
            <v>0</v>
          </cell>
        </row>
        <row r="5609">
          <cell r="E5609" t="str">
            <v>D26000710</v>
          </cell>
          <cell r="AP5609">
            <v>0</v>
          </cell>
          <cell r="AQ5609">
            <v>0</v>
          </cell>
          <cell r="AV5609">
            <v>0</v>
          </cell>
        </row>
        <row r="5610">
          <cell r="E5610" t="str">
            <v>D26000721</v>
          </cell>
          <cell r="AP5610">
            <v>0</v>
          </cell>
          <cell r="AQ5610">
            <v>0</v>
          </cell>
          <cell r="AV5610">
            <v>0</v>
          </cell>
        </row>
        <row r="5611">
          <cell r="E5611" t="str">
            <v>D26000951</v>
          </cell>
          <cell r="AP5611">
            <v>0</v>
          </cell>
          <cell r="AQ5611">
            <v>0</v>
          </cell>
          <cell r="AV5611">
            <v>0</v>
          </cell>
        </row>
        <row r="5612">
          <cell r="E5612" t="str">
            <v>D26001083</v>
          </cell>
          <cell r="AP5612">
            <v>0</v>
          </cell>
          <cell r="AQ5612">
            <v>0</v>
          </cell>
          <cell r="AV5612">
            <v>0</v>
          </cell>
        </row>
        <row r="5613">
          <cell r="E5613" t="str">
            <v>D26001088</v>
          </cell>
          <cell r="AP5613">
            <v>0</v>
          </cell>
          <cell r="AQ5613">
            <v>0</v>
          </cell>
          <cell r="AV5613">
            <v>0</v>
          </cell>
        </row>
        <row r="5614">
          <cell r="E5614" t="str">
            <v>D26001122</v>
          </cell>
          <cell r="AP5614">
            <v>0</v>
          </cell>
          <cell r="AQ5614">
            <v>0</v>
          </cell>
          <cell r="AV5614">
            <v>0</v>
          </cell>
        </row>
        <row r="5615">
          <cell r="E5615" t="str">
            <v>D26001377</v>
          </cell>
          <cell r="AP5615">
            <v>0</v>
          </cell>
          <cell r="AQ5615">
            <v>0</v>
          </cell>
          <cell r="AV5615">
            <v>0</v>
          </cell>
        </row>
        <row r="5616">
          <cell r="E5616" t="str">
            <v>D26001477</v>
          </cell>
          <cell r="AP5616">
            <v>0</v>
          </cell>
          <cell r="AQ5616">
            <v>0</v>
          </cell>
          <cell r="AV5616">
            <v>0</v>
          </cell>
        </row>
        <row r="5617">
          <cell r="E5617" t="str">
            <v>D26001497</v>
          </cell>
          <cell r="AP5617">
            <v>0</v>
          </cell>
          <cell r="AQ5617">
            <v>0</v>
          </cell>
          <cell r="AV5617">
            <v>0</v>
          </cell>
        </row>
        <row r="5618">
          <cell r="E5618" t="str">
            <v>D26001499</v>
          </cell>
          <cell r="AP5618">
            <v>0</v>
          </cell>
          <cell r="AQ5618">
            <v>0</v>
          </cell>
          <cell r="AV5618">
            <v>0</v>
          </cell>
        </row>
        <row r="5619">
          <cell r="E5619" t="str">
            <v>D26001746</v>
          </cell>
          <cell r="AP5619">
            <v>0</v>
          </cell>
          <cell r="AQ5619">
            <v>0</v>
          </cell>
          <cell r="AV5619">
            <v>0</v>
          </cell>
        </row>
        <row r="5620">
          <cell r="E5620" t="str">
            <v>B26001715</v>
          </cell>
          <cell r="AP5620">
            <v>0</v>
          </cell>
          <cell r="AQ5620">
            <v>0</v>
          </cell>
          <cell r="AV5620">
            <v>0</v>
          </cell>
        </row>
        <row r="5621">
          <cell r="E5621" t="str">
            <v>D26001861</v>
          </cell>
          <cell r="AP5621">
            <v>0</v>
          </cell>
          <cell r="AQ5621">
            <v>0</v>
          </cell>
          <cell r="AV5621">
            <v>0</v>
          </cell>
        </row>
        <row r="5622">
          <cell r="E5622" t="str">
            <v>D26001877</v>
          </cell>
          <cell r="AP5622">
            <v>0</v>
          </cell>
          <cell r="AQ5622">
            <v>0</v>
          </cell>
          <cell r="AV5622">
            <v>0</v>
          </cell>
        </row>
        <row r="5623">
          <cell r="E5623" t="str">
            <v>B26001801</v>
          </cell>
          <cell r="AP5623">
            <v>0</v>
          </cell>
          <cell r="AQ5623">
            <v>0</v>
          </cell>
          <cell r="AV5623">
            <v>0</v>
          </cell>
        </row>
        <row r="5624">
          <cell r="E5624" t="str">
            <v>B26001900</v>
          </cell>
          <cell r="AP5624">
            <v>0</v>
          </cell>
          <cell r="AQ5624">
            <v>0</v>
          </cell>
          <cell r="AV5624">
            <v>0</v>
          </cell>
        </row>
        <row r="5625">
          <cell r="E5625" t="str">
            <v>D26002095</v>
          </cell>
          <cell r="AP5625">
            <v>0</v>
          </cell>
          <cell r="AQ5625">
            <v>0</v>
          </cell>
          <cell r="AV5625">
            <v>0</v>
          </cell>
        </row>
        <row r="5626">
          <cell r="E5626" t="str">
            <v>D26002324</v>
          </cell>
          <cell r="AP5626">
            <v>0</v>
          </cell>
          <cell r="AQ5626">
            <v>0</v>
          </cell>
          <cell r="AV5626">
            <v>0</v>
          </cell>
        </row>
        <row r="5627">
          <cell r="E5627" t="str">
            <v>B26002216</v>
          </cell>
          <cell r="AP5627">
            <v>0</v>
          </cell>
          <cell r="AQ5627">
            <v>0</v>
          </cell>
          <cell r="AV5627">
            <v>0</v>
          </cell>
        </row>
        <row r="5628">
          <cell r="E5628" t="str">
            <v>B26002277</v>
          </cell>
          <cell r="AP5628">
            <v>0</v>
          </cell>
          <cell r="AQ5628">
            <v>0</v>
          </cell>
          <cell r="AV5628">
            <v>0</v>
          </cell>
        </row>
        <row r="5629">
          <cell r="E5629" t="str">
            <v>D26002593</v>
          </cell>
          <cell r="AP5629">
            <v>0</v>
          </cell>
          <cell r="AQ5629">
            <v>0</v>
          </cell>
          <cell r="AV5629">
            <v>0</v>
          </cell>
        </row>
        <row r="5630">
          <cell r="E5630" t="str">
            <v>B26002520</v>
          </cell>
          <cell r="AP5630">
            <v>0</v>
          </cell>
          <cell r="AQ5630">
            <v>0</v>
          </cell>
          <cell r="AV5630">
            <v>0</v>
          </cell>
        </row>
        <row r="5631">
          <cell r="E5631" t="str">
            <v>D26002712</v>
          </cell>
          <cell r="AP5631">
            <v>0</v>
          </cell>
          <cell r="AQ5631">
            <v>0</v>
          </cell>
          <cell r="AV5631">
            <v>0</v>
          </cell>
        </row>
        <row r="5632">
          <cell r="E5632" t="str">
            <v>D26003202</v>
          </cell>
          <cell r="AP5632">
            <v>0</v>
          </cell>
          <cell r="AQ5632">
            <v>0</v>
          </cell>
          <cell r="AV5632">
            <v>0</v>
          </cell>
        </row>
        <row r="5633">
          <cell r="E5633" t="str">
            <v>D26003225</v>
          </cell>
          <cell r="AP5633">
            <v>0</v>
          </cell>
          <cell r="AQ5633">
            <v>0</v>
          </cell>
          <cell r="AV5633">
            <v>0</v>
          </cell>
        </row>
        <row r="5634">
          <cell r="E5634" t="str">
            <v>D26003523</v>
          </cell>
          <cell r="AP5634">
            <v>0</v>
          </cell>
          <cell r="AQ5634">
            <v>0</v>
          </cell>
          <cell r="AV5634">
            <v>0</v>
          </cell>
        </row>
        <row r="5635">
          <cell r="E5635" t="str">
            <v>D26003768</v>
          </cell>
          <cell r="AP5635">
            <v>0</v>
          </cell>
          <cell r="AQ5635">
            <v>0</v>
          </cell>
          <cell r="AV5635">
            <v>0</v>
          </cell>
        </row>
        <row r="5636">
          <cell r="E5636" t="str">
            <v>D26003825</v>
          </cell>
          <cell r="AP5636">
            <v>0</v>
          </cell>
          <cell r="AQ5636">
            <v>0</v>
          </cell>
          <cell r="AV5636">
            <v>0</v>
          </cell>
        </row>
        <row r="5637">
          <cell r="E5637" t="str">
            <v>D26003831</v>
          </cell>
          <cell r="AP5637">
            <v>0</v>
          </cell>
          <cell r="AQ5637">
            <v>0</v>
          </cell>
          <cell r="AV5637">
            <v>0</v>
          </cell>
        </row>
        <row r="5638">
          <cell r="E5638" t="str">
            <v>D26003845</v>
          </cell>
          <cell r="AP5638">
            <v>0</v>
          </cell>
          <cell r="AQ5638">
            <v>0</v>
          </cell>
          <cell r="AV5638">
            <v>0</v>
          </cell>
        </row>
        <row r="5639">
          <cell r="E5639" t="str">
            <v>D26003898</v>
          </cell>
          <cell r="AP5639">
            <v>0</v>
          </cell>
          <cell r="AQ5639">
            <v>0</v>
          </cell>
          <cell r="AV5639">
            <v>0</v>
          </cell>
        </row>
        <row r="5640">
          <cell r="E5640" t="str">
            <v>D26003899</v>
          </cell>
          <cell r="AP5640">
            <v>0</v>
          </cell>
          <cell r="AQ5640">
            <v>0</v>
          </cell>
          <cell r="AV5640">
            <v>0</v>
          </cell>
        </row>
        <row r="5641">
          <cell r="E5641" t="str">
            <v>D26003900</v>
          </cell>
          <cell r="AP5641">
            <v>0</v>
          </cell>
          <cell r="AQ5641">
            <v>0</v>
          </cell>
          <cell r="AV5641">
            <v>0</v>
          </cell>
        </row>
        <row r="5642">
          <cell r="E5642" t="str">
            <v>D26003941</v>
          </cell>
          <cell r="AP5642">
            <v>0</v>
          </cell>
          <cell r="AQ5642">
            <v>0</v>
          </cell>
          <cell r="AV5642">
            <v>0</v>
          </cell>
        </row>
        <row r="5643">
          <cell r="E5643" t="str">
            <v>B26003517</v>
          </cell>
          <cell r="AP5643">
            <v>0</v>
          </cell>
          <cell r="AQ5643">
            <v>0</v>
          </cell>
          <cell r="AV5643">
            <v>0</v>
          </cell>
        </row>
        <row r="5644">
          <cell r="E5644" t="str">
            <v>D26004024</v>
          </cell>
          <cell r="AP5644">
            <v>0</v>
          </cell>
          <cell r="AQ5644">
            <v>0</v>
          </cell>
          <cell r="AV5644">
            <v>0</v>
          </cell>
        </row>
        <row r="5645">
          <cell r="E5645" t="str">
            <v>D26004431</v>
          </cell>
          <cell r="AP5645">
            <v>0</v>
          </cell>
          <cell r="AQ5645">
            <v>0</v>
          </cell>
          <cell r="AV5645">
            <v>0</v>
          </cell>
        </row>
        <row r="5646">
          <cell r="E5646" t="str">
            <v>D26004432</v>
          </cell>
          <cell r="AP5646">
            <v>0</v>
          </cell>
          <cell r="AQ5646">
            <v>0</v>
          </cell>
          <cell r="AV5646">
            <v>0</v>
          </cell>
        </row>
        <row r="5647">
          <cell r="E5647" t="str">
            <v>D26004482</v>
          </cell>
          <cell r="AP5647">
            <v>0</v>
          </cell>
          <cell r="AQ5647">
            <v>0</v>
          </cell>
          <cell r="AV5647">
            <v>474000000</v>
          </cell>
        </row>
        <row r="5648">
          <cell r="E5648" t="str">
            <v>D26004518</v>
          </cell>
          <cell r="AP5648">
            <v>0</v>
          </cell>
          <cell r="AQ5648">
            <v>0</v>
          </cell>
          <cell r="AV5648">
            <v>0</v>
          </cell>
        </row>
        <row r="5649">
          <cell r="E5649" t="str">
            <v>D26004667</v>
          </cell>
          <cell r="AP5649">
            <v>0</v>
          </cell>
          <cell r="AQ5649">
            <v>0</v>
          </cell>
          <cell r="AV5649">
            <v>0</v>
          </cell>
        </row>
        <row r="5650">
          <cell r="E5650" t="str">
            <v>B26003969</v>
          </cell>
          <cell r="AP5650">
            <v>0</v>
          </cell>
          <cell r="AQ5650">
            <v>0</v>
          </cell>
          <cell r="AV5650">
            <v>0</v>
          </cell>
        </row>
        <row r="5651">
          <cell r="E5651" t="str">
            <v>B26004025</v>
          </cell>
          <cell r="AP5651">
            <v>0</v>
          </cell>
          <cell r="AQ5651">
            <v>0</v>
          </cell>
          <cell r="AV5651">
            <v>0</v>
          </cell>
        </row>
        <row r="5652">
          <cell r="E5652" t="str">
            <v>B26004061</v>
          </cell>
          <cell r="AP5652">
            <v>0</v>
          </cell>
          <cell r="AQ5652">
            <v>0</v>
          </cell>
          <cell r="AV5652">
            <v>0</v>
          </cell>
        </row>
        <row r="5653">
          <cell r="E5653" t="str">
            <v>D26004951</v>
          </cell>
          <cell r="AP5653">
            <v>0</v>
          </cell>
          <cell r="AQ5653">
            <v>0</v>
          </cell>
          <cell r="AV5653">
            <v>0</v>
          </cell>
        </row>
        <row r="5654">
          <cell r="E5654" t="str">
            <v>D26004952</v>
          </cell>
          <cell r="AP5654">
            <v>0</v>
          </cell>
          <cell r="AQ5654">
            <v>0</v>
          </cell>
          <cell r="AV5654">
            <v>0</v>
          </cell>
        </row>
        <row r="5655">
          <cell r="E5655" t="str">
            <v>B26003834</v>
          </cell>
          <cell r="AP5655">
            <v>0</v>
          </cell>
          <cell r="AQ5655">
            <v>0</v>
          </cell>
          <cell r="AV5655">
            <v>4380000</v>
          </cell>
        </row>
        <row r="5656">
          <cell r="E5656" t="str">
            <v>B26003837</v>
          </cell>
          <cell r="AP5656">
            <v>0</v>
          </cell>
          <cell r="AQ5656">
            <v>0</v>
          </cell>
          <cell r="AV5656">
            <v>1950000</v>
          </cell>
        </row>
        <row r="5657">
          <cell r="E5657" t="str">
            <v>D26004720</v>
          </cell>
          <cell r="AP5657">
            <v>0</v>
          </cell>
          <cell r="AQ5657">
            <v>0</v>
          </cell>
          <cell r="AV5657">
            <v>4300000</v>
          </cell>
        </row>
        <row r="5658">
          <cell r="E5658" t="str">
            <v>D26004894</v>
          </cell>
          <cell r="AP5658">
            <v>0</v>
          </cell>
          <cell r="AQ5658">
            <v>0</v>
          </cell>
          <cell r="AV5658">
            <v>1175000</v>
          </cell>
        </row>
        <row r="5659">
          <cell r="E5659" t="str">
            <v>B26002968</v>
          </cell>
          <cell r="AP5659">
            <v>0</v>
          </cell>
          <cell r="AQ5659">
            <v>0</v>
          </cell>
          <cell r="AV5659">
            <v>0</v>
          </cell>
        </row>
        <row r="5660">
          <cell r="E5660" t="str">
            <v>B26002969</v>
          </cell>
          <cell r="AP5660">
            <v>0</v>
          </cell>
          <cell r="AQ5660">
            <v>0</v>
          </cell>
          <cell r="AV5660">
            <v>0</v>
          </cell>
        </row>
        <row r="5661">
          <cell r="E5661" t="str">
            <v>B26003557</v>
          </cell>
          <cell r="AP5661">
            <v>0</v>
          </cell>
          <cell r="AQ5661">
            <v>0</v>
          </cell>
          <cell r="AV5661">
            <v>0</v>
          </cell>
        </row>
        <row r="5662">
          <cell r="E5662" t="str">
            <v>D26004426</v>
          </cell>
          <cell r="AP5662">
            <v>0</v>
          </cell>
          <cell r="AQ5662">
            <v>0</v>
          </cell>
          <cell r="AV5662">
            <v>0</v>
          </cell>
        </row>
        <row r="5663">
          <cell r="E5663" t="str">
            <v>B26003965</v>
          </cell>
          <cell r="AP5663">
            <v>0</v>
          </cell>
          <cell r="AQ5663">
            <v>0</v>
          </cell>
          <cell r="AV5663">
            <v>0</v>
          </cell>
        </row>
        <row r="5664">
          <cell r="E5664" t="str">
            <v>D26003379</v>
          </cell>
          <cell r="AP5664">
            <v>0</v>
          </cell>
          <cell r="AQ5664">
            <v>0</v>
          </cell>
          <cell r="AV5664">
            <v>0</v>
          </cell>
        </row>
        <row r="5665">
          <cell r="E5665" t="str">
            <v>D26004888</v>
          </cell>
          <cell r="AP5665">
            <v>0</v>
          </cell>
          <cell r="AQ5665">
            <v>0</v>
          </cell>
          <cell r="AV5665">
            <v>0</v>
          </cell>
        </row>
        <row r="5666">
          <cell r="E5666" t="str">
            <v>D26001653</v>
          </cell>
          <cell r="AP5666">
            <v>0</v>
          </cell>
          <cell r="AQ5666">
            <v>0</v>
          </cell>
          <cell r="AV5666">
            <v>20000000</v>
          </cell>
        </row>
        <row r="5667">
          <cell r="E5667" t="str">
            <v>D26001653</v>
          </cell>
          <cell r="AP5667">
            <v>0</v>
          </cell>
          <cell r="AQ5667">
            <v>0</v>
          </cell>
          <cell r="AV5667">
            <v>36000000</v>
          </cell>
        </row>
        <row r="5668">
          <cell r="E5668" t="str">
            <v>D26002452</v>
          </cell>
          <cell r="AP5668">
            <v>0</v>
          </cell>
          <cell r="AQ5668">
            <v>0</v>
          </cell>
          <cell r="AV5668">
            <v>0</v>
          </cell>
        </row>
        <row r="5669">
          <cell r="E5669" t="str">
            <v>D26004365</v>
          </cell>
          <cell r="AP5669">
            <v>0</v>
          </cell>
          <cell r="AQ5669">
            <v>0</v>
          </cell>
          <cell r="AV5669">
            <v>0</v>
          </cell>
        </row>
        <row r="5670">
          <cell r="E5670" t="str">
            <v>B26001772</v>
          </cell>
          <cell r="AP5670">
            <v>0</v>
          </cell>
          <cell r="AQ5670">
            <v>0</v>
          </cell>
          <cell r="AV5670">
            <v>20000000</v>
          </cell>
        </row>
        <row r="5671">
          <cell r="E5671" t="str">
            <v>C26000247</v>
          </cell>
          <cell r="AP5671">
            <v>0</v>
          </cell>
          <cell r="AQ5671">
            <v>0</v>
          </cell>
          <cell r="AV5671">
            <v>12578000</v>
          </cell>
        </row>
        <row r="5672">
          <cell r="E5672" t="str">
            <v>B26004077</v>
          </cell>
          <cell r="AP5672">
            <v>0</v>
          </cell>
          <cell r="AQ5672">
            <v>0</v>
          </cell>
          <cell r="AV5672">
            <v>0</v>
          </cell>
        </row>
        <row r="5673">
          <cell r="E5673" t="str">
            <v>B26000016</v>
          </cell>
          <cell r="AP5673">
            <v>0</v>
          </cell>
          <cell r="AQ5673">
            <v>0</v>
          </cell>
          <cell r="AV5673">
            <v>10000000</v>
          </cell>
        </row>
        <row r="5674">
          <cell r="E5674" t="str">
            <v>B26003197</v>
          </cell>
          <cell r="AP5674">
            <v>0</v>
          </cell>
          <cell r="AQ5674">
            <v>0</v>
          </cell>
          <cell r="AV5674">
            <v>0</v>
          </cell>
        </row>
        <row r="5675">
          <cell r="E5675" t="str">
            <v>B26001814</v>
          </cell>
          <cell r="AP5675">
            <v>0</v>
          </cell>
          <cell r="AQ5675">
            <v>0</v>
          </cell>
          <cell r="AV5675">
            <v>0</v>
          </cell>
        </row>
        <row r="5676">
          <cell r="E5676" t="str">
            <v>T26000153</v>
          </cell>
          <cell r="AP5676">
            <v>0</v>
          </cell>
          <cell r="AQ5676">
            <v>0</v>
          </cell>
          <cell r="AV5676">
            <v>0</v>
          </cell>
        </row>
        <row r="5677">
          <cell r="E5677" t="str">
            <v>B26002243</v>
          </cell>
          <cell r="AP5677">
            <v>0</v>
          </cell>
          <cell r="AQ5677">
            <v>0</v>
          </cell>
          <cell r="AV5677">
            <v>0</v>
          </cell>
        </row>
        <row r="5678">
          <cell r="E5678" t="str">
            <v>B26002743</v>
          </cell>
          <cell r="AP5678">
            <v>0</v>
          </cell>
          <cell r="AQ5678">
            <v>0</v>
          </cell>
          <cell r="AV5678">
            <v>0</v>
          </cell>
        </row>
        <row r="5679">
          <cell r="E5679" t="str">
            <v>B26002763</v>
          </cell>
          <cell r="AP5679">
            <v>0</v>
          </cell>
          <cell r="AQ5679">
            <v>0</v>
          </cell>
          <cell r="AV5679">
            <v>0</v>
          </cell>
        </row>
        <row r="5680">
          <cell r="E5680" t="str">
            <v>B26002858</v>
          </cell>
          <cell r="AP5680">
            <v>0</v>
          </cell>
          <cell r="AQ5680">
            <v>0</v>
          </cell>
          <cell r="AV5680">
            <v>0</v>
          </cell>
        </row>
        <row r="5681">
          <cell r="E5681" t="str">
            <v>D26003816</v>
          </cell>
          <cell r="AP5681">
            <v>0</v>
          </cell>
          <cell r="AQ5681">
            <v>0</v>
          </cell>
          <cell r="AV5681">
            <v>0</v>
          </cell>
        </row>
        <row r="5682">
          <cell r="E5682" t="str">
            <v>D26004232</v>
          </cell>
          <cell r="AP5682">
            <v>0</v>
          </cell>
          <cell r="AQ5682">
            <v>0</v>
          </cell>
          <cell r="AV5682">
            <v>0</v>
          </cell>
        </row>
        <row r="5683">
          <cell r="E5683" t="str">
            <v>D26004233</v>
          </cell>
          <cell r="AP5683">
            <v>0</v>
          </cell>
          <cell r="AQ5683">
            <v>0</v>
          </cell>
          <cell r="AV5683">
            <v>0</v>
          </cell>
        </row>
        <row r="5684">
          <cell r="E5684" t="str">
            <v>D26004329</v>
          </cell>
          <cell r="AP5684">
            <v>0</v>
          </cell>
          <cell r="AQ5684">
            <v>0</v>
          </cell>
          <cell r="AV5684">
            <v>0</v>
          </cell>
        </row>
        <row r="5685">
          <cell r="E5685" t="str">
            <v>D26004647</v>
          </cell>
          <cell r="AP5685">
            <v>0</v>
          </cell>
          <cell r="AQ5685">
            <v>0</v>
          </cell>
          <cell r="AV5685">
            <v>0</v>
          </cell>
        </row>
        <row r="5686">
          <cell r="E5686" t="str">
            <v>D26004648</v>
          </cell>
          <cell r="AP5686">
            <v>0</v>
          </cell>
          <cell r="AQ5686">
            <v>0</v>
          </cell>
          <cell r="AV5686">
            <v>0</v>
          </cell>
        </row>
        <row r="5687">
          <cell r="E5687" t="str">
            <v>D26005053</v>
          </cell>
          <cell r="AP5687">
            <v>0</v>
          </cell>
          <cell r="AQ5687">
            <v>0</v>
          </cell>
          <cell r="AV5687">
            <v>0</v>
          </cell>
        </row>
        <row r="5688">
          <cell r="E5688" t="str">
            <v>D26005054</v>
          </cell>
          <cell r="AP5688">
            <v>0</v>
          </cell>
          <cell r="AQ5688">
            <v>0</v>
          </cell>
          <cell r="AV5688">
            <v>0</v>
          </cell>
        </row>
        <row r="5689">
          <cell r="E5689" t="str">
            <v>B26003999</v>
          </cell>
          <cell r="AP5689">
            <v>0</v>
          </cell>
          <cell r="AQ5689">
            <v>0</v>
          </cell>
          <cell r="AV5689">
            <v>18370000</v>
          </cell>
        </row>
        <row r="5690">
          <cell r="E5690" t="str">
            <v>B26004041</v>
          </cell>
          <cell r="AP5690">
            <v>0</v>
          </cell>
          <cell r="AQ5690">
            <v>0</v>
          </cell>
          <cell r="AV5690">
            <v>2316000</v>
          </cell>
        </row>
        <row r="5691">
          <cell r="E5691" t="str">
            <v>D26003762</v>
          </cell>
          <cell r="AP5691">
            <v>0</v>
          </cell>
          <cell r="AQ5691">
            <v>0</v>
          </cell>
          <cell r="AV5691">
            <v>0</v>
          </cell>
        </row>
        <row r="5692">
          <cell r="E5692" t="str">
            <v>D26003763</v>
          </cell>
          <cell r="AP5692">
            <v>0</v>
          </cell>
          <cell r="AQ5692">
            <v>0</v>
          </cell>
          <cell r="AV5692">
            <v>0</v>
          </cell>
        </row>
        <row r="5693">
          <cell r="E5693" t="str">
            <v>D26004364</v>
          </cell>
          <cell r="AP5693">
            <v>0</v>
          </cell>
          <cell r="AQ5693">
            <v>0</v>
          </cell>
          <cell r="AV5693">
            <v>0</v>
          </cell>
        </row>
        <row r="5694">
          <cell r="E5694" t="str">
            <v>R25000105</v>
          </cell>
          <cell r="AP5694">
            <v>0</v>
          </cell>
          <cell r="AQ5694">
            <v>0</v>
          </cell>
          <cell r="AV5694">
            <v>0</v>
          </cell>
        </row>
        <row r="5695">
          <cell r="E5695" t="str">
            <v>D26003820</v>
          </cell>
          <cell r="AP5695">
            <v>0</v>
          </cell>
          <cell r="AQ5695">
            <v>0</v>
          </cell>
          <cell r="AV5695">
            <v>0</v>
          </cell>
        </row>
        <row r="5696">
          <cell r="E5696" t="str">
            <v>B26003972</v>
          </cell>
          <cell r="AP5696">
            <v>0</v>
          </cell>
          <cell r="AQ5696">
            <v>0</v>
          </cell>
          <cell r="AV5696">
            <v>3035000</v>
          </cell>
        </row>
        <row r="5697">
          <cell r="E5697" t="str">
            <v>B26004087</v>
          </cell>
          <cell r="AP5697">
            <v>0</v>
          </cell>
          <cell r="AQ5697">
            <v>0</v>
          </cell>
          <cell r="AV5697">
            <v>68000</v>
          </cell>
        </row>
        <row r="5698">
          <cell r="E5698" t="str">
            <v>B26004087</v>
          </cell>
          <cell r="AP5698">
            <v>0</v>
          </cell>
          <cell r="AQ5698">
            <v>0</v>
          </cell>
          <cell r="AV5698">
            <v>700000</v>
          </cell>
        </row>
        <row r="5699">
          <cell r="E5699" t="str">
            <v>T26000170</v>
          </cell>
          <cell r="AP5699">
            <v>0</v>
          </cell>
          <cell r="AQ5699">
            <v>0</v>
          </cell>
          <cell r="AV5699">
            <v>0</v>
          </cell>
        </row>
        <row r="5700">
          <cell r="E5700" t="str">
            <v>B26003779</v>
          </cell>
          <cell r="AP5700">
            <v>0</v>
          </cell>
          <cell r="AQ5700">
            <v>0</v>
          </cell>
          <cell r="AV5700">
            <v>0</v>
          </cell>
        </row>
        <row r="5701">
          <cell r="E5701" t="str">
            <v>B26003780</v>
          </cell>
          <cell r="AP5701">
            <v>0</v>
          </cell>
          <cell r="AQ5701">
            <v>0</v>
          </cell>
          <cell r="AV5701">
            <v>0</v>
          </cell>
        </row>
        <row r="5702">
          <cell r="E5702" t="str">
            <v>T26000370</v>
          </cell>
          <cell r="AP5702">
            <v>0</v>
          </cell>
          <cell r="AQ5702">
            <v>0</v>
          </cell>
          <cell r="AV5702">
            <v>0</v>
          </cell>
        </row>
        <row r="5703">
          <cell r="E5703" t="str">
            <v>B26002367</v>
          </cell>
          <cell r="AP5703">
            <v>0</v>
          </cell>
          <cell r="AQ5703">
            <v>0</v>
          </cell>
          <cell r="AV5703">
            <v>0</v>
          </cell>
        </row>
        <row r="5704">
          <cell r="E5704" t="str">
            <v>B26002559</v>
          </cell>
          <cell r="AP5704">
            <v>0</v>
          </cell>
          <cell r="AQ5704">
            <v>0</v>
          </cell>
          <cell r="AV5704">
            <v>0</v>
          </cell>
        </row>
        <row r="5705">
          <cell r="E5705" t="str">
            <v>B26002560</v>
          </cell>
          <cell r="AP5705">
            <v>0</v>
          </cell>
          <cell r="AQ5705">
            <v>0</v>
          </cell>
          <cell r="AV5705">
            <v>0</v>
          </cell>
        </row>
        <row r="5706">
          <cell r="E5706" t="str">
            <v>B26002561</v>
          </cell>
          <cell r="AP5706">
            <v>0</v>
          </cell>
          <cell r="AQ5706">
            <v>0</v>
          </cell>
          <cell r="AV5706">
            <v>0</v>
          </cell>
        </row>
        <row r="5707">
          <cell r="E5707" t="str">
            <v>B26004150</v>
          </cell>
          <cell r="AP5707">
            <v>0</v>
          </cell>
          <cell r="AQ5707">
            <v>0</v>
          </cell>
          <cell r="AV5707">
            <v>0</v>
          </cell>
        </row>
        <row r="5708">
          <cell r="E5708" t="str">
            <v>D25018993</v>
          </cell>
          <cell r="AP5708">
            <v>0</v>
          </cell>
          <cell r="AQ5708">
            <v>0</v>
          </cell>
          <cell r="AV5708">
            <v>0</v>
          </cell>
        </row>
        <row r="5709">
          <cell r="E5709" t="str">
            <v>B26003164</v>
          </cell>
          <cell r="AP5709">
            <v>0</v>
          </cell>
          <cell r="AQ5709">
            <v>0</v>
          </cell>
          <cell r="AV5709">
            <v>0</v>
          </cell>
        </row>
        <row r="5710">
          <cell r="E5710" t="str">
            <v>D26003519</v>
          </cell>
          <cell r="AP5710">
            <v>0</v>
          </cell>
          <cell r="AQ5710">
            <v>0</v>
          </cell>
          <cell r="AV5710">
            <v>0</v>
          </cell>
        </row>
        <row r="5711">
          <cell r="E5711" t="str">
            <v>D26000048</v>
          </cell>
          <cell r="AP5711">
            <v>0</v>
          </cell>
          <cell r="AQ5711">
            <v>0</v>
          </cell>
          <cell r="AV5711">
            <v>0</v>
          </cell>
        </row>
        <row r="5712">
          <cell r="E5712" t="str">
            <v>B26001784</v>
          </cell>
          <cell r="AP5712">
            <v>0</v>
          </cell>
          <cell r="AQ5712">
            <v>0</v>
          </cell>
          <cell r="AV5712">
            <v>0</v>
          </cell>
        </row>
        <row r="5713">
          <cell r="E5713" t="str">
            <v>B26002991</v>
          </cell>
          <cell r="AP5713">
            <v>0</v>
          </cell>
          <cell r="AQ5713">
            <v>0</v>
          </cell>
          <cell r="AV5713">
            <v>0</v>
          </cell>
        </row>
        <row r="5714">
          <cell r="E5714" t="str">
            <v>B26003210</v>
          </cell>
          <cell r="AP5714">
            <v>0</v>
          </cell>
          <cell r="AQ5714">
            <v>0</v>
          </cell>
          <cell r="AV5714">
            <v>0</v>
          </cell>
        </row>
        <row r="5715">
          <cell r="E5715" t="str">
            <v>B26003663</v>
          </cell>
          <cell r="AP5715">
            <v>0</v>
          </cell>
          <cell r="AQ5715">
            <v>0</v>
          </cell>
          <cell r="AV5715">
            <v>0</v>
          </cell>
        </row>
        <row r="5716">
          <cell r="E5716" t="str">
            <v>B26003953</v>
          </cell>
          <cell r="AP5716">
            <v>0</v>
          </cell>
          <cell r="AQ5716">
            <v>0</v>
          </cell>
          <cell r="AV5716">
            <v>41250000</v>
          </cell>
        </row>
        <row r="5717">
          <cell r="E5717" t="str">
            <v>B26002186</v>
          </cell>
          <cell r="AP5717">
            <v>0</v>
          </cell>
          <cell r="AQ5717">
            <v>0</v>
          </cell>
          <cell r="AV5717">
            <v>2641000</v>
          </cell>
        </row>
        <row r="5718">
          <cell r="E5718" t="str">
            <v>D26003216</v>
          </cell>
          <cell r="AP5718">
            <v>0</v>
          </cell>
          <cell r="AQ5718">
            <v>0</v>
          </cell>
          <cell r="AV5718">
            <v>3400000</v>
          </cell>
        </row>
        <row r="5719">
          <cell r="E5719" t="str">
            <v>B26004072</v>
          </cell>
          <cell r="AP5719">
            <v>0</v>
          </cell>
          <cell r="AQ5719">
            <v>0</v>
          </cell>
          <cell r="AV5719">
            <v>0</v>
          </cell>
        </row>
        <row r="5720">
          <cell r="E5720" t="str">
            <v>B26004073</v>
          </cell>
          <cell r="AP5720">
            <v>0</v>
          </cell>
          <cell r="AQ5720">
            <v>0</v>
          </cell>
          <cell r="AV5720">
            <v>0</v>
          </cell>
        </row>
        <row r="5721">
          <cell r="E5721" t="str">
            <v>B26003546</v>
          </cell>
          <cell r="AP5721">
            <v>0</v>
          </cell>
          <cell r="AQ5721">
            <v>0</v>
          </cell>
          <cell r="AV5721">
            <v>0</v>
          </cell>
        </row>
        <row r="5722">
          <cell r="E5722" t="str">
            <v>D26004220</v>
          </cell>
          <cell r="AP5722">
            <v>0</v>
          </cell>
          <cell r="AQ5722">
            <v>0</v>
          </cell>
          <cell r="AV5722">
            <v>0</v>
          </cell>
        </row>
        <row r="5723">
          <cell r="E5723" t="str">
            <v>T26000185</v>
          </cell>
          <cell r="AP5723">
            <v>0</v>
          </cell>
          <cell r="AQ5723">
            <v>0</v>
          </cell>
          <cell r="AV5723">
            <v>0</v>
          </cell>
        </row>
        <row r="5724">
          <cell r="E5724" t="str">
            <v>B26002936</v>
          </cell>
          <cell r="AP5724">
            <v>0</v>
          </cell>
          <cell r="AQ5724">
            <v>0</v>
          </cell>
          <cell r="AV5724">
            <v>1912800</v>
          </cell>
        </row>
        <row r="5725">
          <cell r="E5725" t="str">
            <v>B26002944</v>
          </cell>
          <cell r="AP5725">
            <v>0</v>
          </cell>
          <cell r="AQ5725">
            <v>0</v>
          </cell>
          <cell r="AV5725">
            <v>662500</v>
          </cell>
        </row>
        <row r="5726">
          <cell r="E5726" t="str">
            <v>T26000241</v>
          </cell>
          <cell r="AP5726">
            <v>0</v>
          </cell>
          <cell r="AQ5726">
            <v>0</v>
          </cell>
          <cell r="AV5726">
            <v>0</v>
          </cell>
        </row>
        <row r="5727">
          <cell r="E5727" t="str">
            <v>B26003281</v>
          </cell>
          <cell r="AP5727">
            <v>0</v>
          </cell>
          <cell r="AQ5727">
            <v>0</v>
          </cell>
          <cell r="AV5727">
            <v>0</v>
          </cell>
        </row>
        <row r="5728">
          <cell r="E5728" t="str">
            <v>B26003282</v>
          </cell>
          <cell r="AP5728">
            <v>0</v>
          </cell>
          <cell r="AQ5728">
            <v>0</v>
          </cell>
          <cell r="AV5728">
            <v>0</v>
          </cell>
        </row>
        <row r="5729">
          <cell r="E5729" t="str">
            <v>B26003580</v>
          </cell>
          <cell r="AP5729">
            <v>0</v>
          </cell>
          <cell r="AQ5729">
            <v>0</v>
          </cell>
          <cell r="AV5729">
            <v>0</v>
          </cell>
        </row>
        <row r="5730">
          <cell r="E5730" t="str">
            <v>D26004191</v>
          </cell>
          <cell r="AP5730">
            <v>0</v>
          </cell>
          <cell r="AQ5730">
            <v>0</v>
          </cell>
          <cell r="AV5730">
            <v>0</v>
          </cell>
        </row>
        <row r="5731">
          <cell r="E5731" t="str">
            <v>B26004027</v>
          </cell>
          <cell r="AP5731">
            <v>0</v>
          </cell>
          <cell r="AQ5731">
            <v>0</v>
          </cell>
          <cell r="AV5731">
            <v>0</v>
          </cell>
        </row>
        <row r="5732">
          <cell r="E5732" t="str">
            <v>D26004857</v>
          </cell>
          <cell r="AP5732">
            <v>0</v>
          </cell>
          <cell r="AQ5732">
            <v>0</v>
          </cell>
          <cell r="AV5732">
            <v>0</v>
          </cell>
        </row>
        <row r="5733">
          <cell r="E5733" t="str">
            <v>D26005039</v>
          </cell>
          <cell r="AP5733">
            <v>0</v>
          </cell>
          <cell r="AQ5733">
            <v>0</v>
          </cell>
          <cell r="AV5733">
            <v>0</v>
          </cell>
        </row>
        <row r="5734">
          <cell r="E5734" t="str">
            <v>D26002527</v>
          </cell>
          <cell r="AP5734">
            <v>0</v>
          </cell>
          <cell r="AQ5734">
            <v>0</v>
          </cell>
          <cell r="AV5734">
            <v>2250000</v>
          </cell>
        </row>
        <row r="5735">
          <cell r="E5735" t="str">
            <v>D26002705</v>
          </cell>
          <cell r="AP5735">
            <v>0</v>
          </cell>
          <cell r="AQ5735">
            <v>0</v>
          </cell>
          <cell r="AV5735">
            <v>2250000</v>
          </cell>
        </row>
        <row r="5736">
          <cell r="E5736" t="str">
            <v>B26002677</v>
          </cell>
          <cell r="AP5736">
            <v>0</v>
          </cell>
          <cell r="AQ5736">
            <v>0</v>
          </cell>
          <cell r="AV5736">
            <v>6787500</v>
          </cell>
        </row>
        <row r="5737">
          <cell r="E5737" t="str">
            <v>D26002849</v>
          </cell>
          <cell r="AP5737">
            <v>0</v>
          </cell>
          <cell r="AQ5737">
            <v>0</v>
          </cell>
          <cell r="AV5737">
            <v>784000</v>
          </cell>
        </row>
        <row r="5738">
          <cell r="E5738" t="str">
            <v>B26002710</v>
          </cell>
          <cell r="AP5738">
            <v>0</v>
          </cell>
          <cell r="AQ5738">
            <v>0</v>
          </cell>
          <cell r="AV5738">
            <v>0</v>
          </cell>
        </row>
        <row r="5739">
          <cell r="E5739" t="str">
            <v>B26002876</v>
          </cell>
          <cell r="AP5739">
            <v>0</v>
          </cell>
          <cell r="AQ5739">
            <v>0</v>
          </cell>
          <cell r="AV5739">
            <v>0</v>
          </cell>
        </row>
        <row r="5740">
          <cell r="E5740" t="str">
            <v>D26003448</v>
          </cell>
          <cell r="AP5740">
            <v>0</v>
          </cell>
          <cell r="AQ5740">
            <v>0</v>
          </cell>
          <cell r="AV5740">
            <v>0</v>
          </cell>
        </row>
        <row r="5741">
          <cell r="E5741" t="str">
            <v>B26003311</v>
          </cell>
          <cell r="AP5741">
            <v>0</v>
          </cell>
          <cell r="AQ5741">
            <v>0</v>
          </cell>
          <cell r="AV5741">
            <v>0</v>
          </cell>
        </row>
        <row r="5742">
          <cell r="E5742" t="str">
            <v>D26003624</v>
          </cell>
          <cell r="AP5742">
            <v>0</v>
          </cell>
          <cell r="AQ5742">
            <v>0</v>
          </cell>
          <cell r="AV5742">
            <v>0</v>
          </cell>
        </row>
        <row r="5743">
          <cell r="E5743" t="str">
            <v>B26003596</v>
          </cell>
          <cell r="AP5743">
            <v>0</v>
          </cell>
          <cell r="AQ5743">
            <v>0</v>
          </cell>
          <cell r="AV5743">
            <v>0</v>
          </cell>
        </row>
        <row r="5744">
          <cell r="E5744" t="str">
            <v>B26003597</v>
          </cell>
          <cell r="AP5744">
            <v>0</v>
          </cell>
          <cell r="AQ5744">
            <v>0</v>
          </cell>
          <cell r="AV5744">
            <v>0</v>
          </cell>
        </row>
        <row r="5745">
          <cell r="E5745" t="str">
            <v>D26004327</v>
          </cell>
          <cell r="AP5745">
            <v>0</v>
          </cell>
          <cell r="AQ5745">
            <v>0</v>
          </cell>
          <cell r="AV5745">
            <v>0</v>
          </cell>
        </row>
        <row r="5746">
          <cell r="E5746" t="str">
            <v>B26004033</v>
          </cell>
          <cell r="AP5746">
            <v>0</v>
          </cell>
          <cell r="AQ5746">
            <v>0</v>
          </cell>
          <cell r="AV5746">
            <v>0</v>
          </cell>
        </row>
        <row r="5747">
          <cell r="E5747" t="str">
            <v>D26004933</v>
          </cell>
          <cell r="AP5747">
            <v>0</v>
          </cell>
          <cell r="AQ5747">
            <v>0</v>
          </cell>
          <cell r="AV5747">
            <v>0</v>
          </cell>
        </row>
        <row r="5748">
          <cell r="E5748" t="str">
            <v>D26004957</v>
          </cell>
          <cell r="AP5748">
            <v>0</v>
          </cell>
          <cell r="AQ5748">
            <v>0</v>
          </cell>
          <cell r="AV5748">
            <v>0</v>
          </cell>
        </row>
        <row r="5749">
          <cell r="E5749" t="str">
            <v>B26001861</v>
          </cell>
          <cell r="AP5749">
            <v>0</v>
          </cell>
          <cell r="AQ5749">
            <v>0</v>
          </cell>
          <cell r="AV5749">
            <v>0</v>
          </cell>
        </row>
        <row r="5750">
          <cell r="E5750" t="str">
            <v>D26003521</v>
          </cell>
          <cell r="AP5750">
            <v>0</v>
          </cell>
          <cell r="AQ5750">
            <v>0</v>
          </cell>
          <cell r="AV5750">
            <v>0</v>
          </cell>
        </row>
        <row r="5751">
          <cell r="E5751" t="str">
            <v>D26003725</v>
          </cell>
          <cell r="AP5751">
            <v>0</v>
          </cell>
          <cell r="AQ5751">
            <v>0</v>
          </cell>
          <cell r="AV5751">
            <v>0</v>
          </cell>
        </row>
        <row r="5752">
          <cell r="E5752" t="str">
            <v>D26004704</v>
          </cell>
          <cell r="AP5752">
            <v>0</v>
          </cell>
          <cell r="AQ5752">
            <v>0</v>
          </cell>
          <cell r="AV5752">
            <v>0</v>
          </cell>
        </row>
        <row r="5753">
          <cell r="E5753" t="str">
            <v>B26001662</v>
          </cell>
          <cell r="AP5753">
            <v>0</v>
          </cell>
          <cell r="AQ5753">
            <v>0</v>
          </cell>
          <cell r="AV5753">
            <v>3500000</v>
          </cell>
        </row>
        <row r="5754">
          <cell r="E5754" t="str">
            <v>D26001966</v>
          </cell>
          <cell r="AP5754">
            <v>0</v>
          </cell>
          <cell r="AQ5754">
            <v>0</v>
          </cell>
          <cell r="AV5754">
            <v>0</v>
          </cell>
        </row>
        <row r="5755">
          <cell r="E5755" t="str">
            <v>B26002011</v>
          </cell>
          <cell r="AP5755">
            <v>0</v>
          </cell>
          <cell r="AQ5755">
            <v>0</v>
          </cell>
          <cell r="AV5755">
            <v>0</v>
          </cell>
        </row>
        <row r="5756">
          <cell r="E5756" t="str">
            <v>D26002269</v>
          </cell>
          <cell r="AP5756">
            <v>0</v>
          </cell>
          <cell r="AQ5756">
            <v>0</v>
          </cell>
          <cell r="AV5756">
            <v>0</v>
          </cell>
        </row>
        <row r="5757">
          <cell r="E5757" t="str">
            <v>D26002517</v>
          </cell>
          <cell r="AP5757">
            <v>0</v>
          </cell>
          <cell r="AQ5757">
            <v>0</v>
          </cell>
          <cell r="AV5757">
            <v>0</v>
          </cell>
        </row>
        <row r="5758">
          <cell r="E5758" t="str">
            <v>D26003085</v>
          </cell>
          <cell r="AP5758">
            <v>0</v>
          </cell>
          <cell r="AQ5758">
            <v>0</v>
          </cell>
          <cell r="AV5758">
            <v>125000000</v>
          </cell>
        </row>
        <row r="5759">
          <cell r="E5759" t="str">
            <v>D26003085</v>
          </cell>
          <cell r="AP5759">
            <v>0</v>
          </cell>
          <cell r="AQ5759">
            <v>0</v>
          </cell>
          <cell r="AV5759">
            <v>143000000</v>
          </cell>
        </row>
        <row r="5760">
          <cell r="E5760" t="str">
            <v>D26003194</v>
          </cell>
          <cell r="AP5760">
            <v>0</v>
          </cell>
          <cell r="AQ5760">
            <v>0</v>
          </cell>
          <cell r="AV5760">
            <v>0</v>
          </cell>
        </row>
        <row r="5761">
          <cell r="E5761" t="str">
            <v>D26003267</v>
          </cell>
          <cell r="AP5761">
            <v>0</v>
          </cell>
          <cell r="AQ5761">
            <v>0</v>
          </cell>
          <cell r="AV5761">
            <v>166680000</v>
          </cell>
        </row>
        <row r="5762">
          <cell r="E5762" t="str">
            <v>D26003328</v>
          </cell>
          <cell r="AP5762">
            <v>0</v>
          </cell>
          <cell r="AQ5762">
            <v>0</v>
          </cell>
          <cell r="AV5762">
            <v>268000000</v>
          </cell>
        </row>
        <row r="5763">
          <cell r="E5763" t="str">
            <v>D26003377</v>
          </cell>
          <cell r="AP5763">
            <v>0</v>
          </cell>
          <cell r="AQ5763">
            <v>0</v>
          </cell>
          <cell r="AV5763">
            <v>128100000</v>
          </cell>
        </row>
        <row r="5764">
          <cell r="E5764" t="str">
            <v>D26003446</v>
          </cell>
          <cell r="AP5764">
            <v>0</v>
          </cell>
          <cell r="AQ5764">
            <v>0</v>
          </cell>
          <cell r="AV5764">
            <v>4200000</v>
          </cell>
        </row>
        <row r="5765">
          <cell r="E5765" t="str">
            <v>D26003727</v>
          </cell>
          <cell r="AP5765">
            <v>0</v>
          </cell>
          <cell r="AQ5765">
            <v>0</v>
          </cell>
          <cell r="AV5765">
            <v>0</v>
          </cell>
        </row>
        <row r="5766">
          <cell r="E5766" t="str">
            <v>D26003771</v>
          </cell>
          <cell r="AP5766">
            <v>0</v>
          </cell>
          <cell r="AQ5766">
            <v>0</v>
          </cell>
          <cell r="AV5766">
            <v>0</v>
          </cell>
        </row>
        <row r="5767">
          <cell r="E5767" t="str">
            <v>D26003793</v>
          </cell>
          <cell r="AP5767">
            <v>0</v>
          </cell>
          <cell r="AQ5767">
            <v>0</v>
          </cell>
          <cell r="AV5767">
            <v>0</v>
          </cell>
        </row>
        <row r="5768">
          <cell r="E5768" t="str">
            <v>D26003942</v>
          </cell>
          <cell r="AP5768">
            <v>0</v>
          </cell>
          <cell r="AQ5768">
            <v>0</v>
          </cell>
          <cell r="AV5768">
            <v>0</v>
          </cell>
        </row>
        <row r="5769">
          <cell r="E5769" t="str">
            <v>D26004097</v>
          </cell>
          <cell r="AP5769">
            <v>0</v>
          </cell>
          <cell r="AQ5769">
            <v>0</v>
          </cell>
          <cell r="AV5769">
            <v>0</v>
          </cell>
        </row>
        <row r="5770">
          <cell r="E5770" t="str">
            <v>D26004118</v>
          </cell>
          <cell r="AP5770">
            <v>0</v>
          </cell>
          <cell r="AQ5770">
            <v>0</v>
          </cell>
          <cell r="AV5770">
            <v>0</v>
          </cell>
        </row>
        <row r="5771">
          <cell r="E5771" t="str">
            <v>D26004153</v>
          </cell>
          <cell r="AP5771">
            <v>0</v>
          </cell>
          <cell r="AQ5771">
            <v>0</v>
          </cell>
          <cell r="AV5771">
            <v>0</v>
          </cell>
        </row>
        <row r="5772">
          <cell r="E5772" t="str">
            <v>D26004240</v>
          </cell>
          <cell r="AP5772">
            <v>0</v>
          </cell>
          <cell r="AQ5772">
            <v>0</v>
          </cell>
          <cell r="AV5772">
            <v>0</v>
          </cell>
        </row>
        <row r="5773">
          <cell r="E5773" t="str">
            <v>D26004313</v>
          </cell>
          <cell r="AP5773">
            <v>0</v>
          </cell>
          <cell r="AQ5773">
            <v>0</v>
          </cell>
          <cell r="AV5773">
            <v>0</v>
          </cell>
        </row>
        <row r="5774">
          <cell r="E5774" t="str">
            <v>B26003821</v>
          </cell>
          <cell r="AP5774">
            <v>0</v>
          </cell>
          <cell r="AQ5774">
            <v>0</v>
          </cell>
          <cell r="AV5774">
            <v>28440000</v>
          </cell>
        </row>
        <row r="5775">
          <cell r="E5775" t="str">
            <v>D26004697</v>
          </cell>
          <cell r="AP5775">
            <v>0</v>
          </cell>
          <cell r="AQ5775">
            <v>0</v>
          </cell>
          <cell r="AV5775">
            <v>0</v>
          </cell>
        </row>
        <row r="5776">
          <cell r="E5776" t="str">
            <v>D26004880</v>
          </cell>
          <cell r="AP5776">
            <v>0</v>
          </cell>
          <cell r="AQ5776">
            <v>0</v>
          </cell>
          <cell r="AV5776">
            <v>0</v>
          </cell>
        </row>
        <row r="5777">
          <cell r="E5777" t="str">
            <v>D26004887</v>
          </cell>
          <cell r="AP5777">
            <v>0</v>
          </cell>
          <cell r="AQ5777">
            <v>0</v>
          </cell>
          <cell r="AV5777">
            <v>0</v>
          </cell>
        </row>
        <row r="5778">
          <cell r="E5778" t="str">
            <v>D26004963</v>
          </cell>
          <cell r="AP5778">
            <v>0</v>
          </cell>
          <cell r="AQ5778">
            <v>0</v>
          </cell>
          <cell r="AV5778">
            <v>0</v>
          </cell>
        </row>
        <row r="5779">
          <cell r="E5779" t="str">
            <v>D26004992</v>
          </cell>
          <cell r="AP5779">
            <v>0</v>
          </cell>
          <cell r="AQ5779">
            <v>0</v>
          </cell>
          <cell r="AV5779">
            <v>0</v>
          </cell>
        </row>
        <row r="5780">
          <cell r="E5780" t="str">
            <v>D26004993</v>
          </cell>
          <cell r="AP5780">
            <v>0</v>
          </cell>
          <cell r="AQ5780">
            <v>0</v>
          </cell>
          <cell r="AV5780">
            <v>0</v>
          </cell>
        </row>
        <row r="5781">
          <cell r="E5781" t="str">
            <v>D26004994</v>
          </cell>
          <cell r="AP5781">
            <v>0</v>
          </cell>
          <cell r="AQ5781">
            <v>0</v>
          </cell>
          <cell r="AV5781">
            <v>0</v>
          </cell>
        </row>
        <row r="5782">
          <cell r="E5782" t="str">
            <v>D26003154</v>
          </cell>
          <cell r="AP5782">
            <v>0</v>
          </cell>
          <cell r="AQ5782">
            <v>0</v>
          </cell>
          <cell r="AV5782">
            <v>3755000</v>
          </cell>
        </row>
        <row r="5783">
          <cell r="E5783" t="str">
            <v>B26003691</v>
          </cell>
          <cell r="AP5783">
            <v>0</v>
          </cell>
          <cell r="AQ5783">
            <v>0</v>
          </cell>
          <cell r="AV5783">
            <v>0</v>
          </cell>
        </row>
        <row r="5784">
          <cell r="E5784" t="str">
            <v>D26004833</v>
          </cell>
          <cell r="AP5784">
            <v>0</v>
          </cell>
          <cell r="AQ5784">
            <v>0</v>
          </cell>
          <cell r="AV5784">
            <v>0</v>
          </cell>
        </row>
        <row r="5785">
          <cell r="E5785" t="str">
            <v>D26000910</v>
          </cell>
          <cell r="AP5785">
            <v>0</v>
          </cell>
          <cell r="AQ5785">
            <v>0</v>
          </cell>
          <cell r="AV5785">
            <v>0</v>
          </cell>
        </row>
        <row r="5786">
          <cell r="E5786" t="str">
            <v>B26001311</v>
          </cell>
          <cell r="AP5786">
            <v>0</v>
          </cell>
          <cell r="AQ5786">
            <v>0</v>
          </cell>
          <cell r="AV5786">
            <v>0</v>
          </cell>
        </row>
        <row r="5787">
          <cell r="E5787" t="str">
            <v>D26001748</v>
          </cell>
          <cell r="AP5787">
            <v>0</v>
          </cell>
          <cell r="AQ5787">
            <v>0</v>
          </cell>
          <cell r="AV5787">
            <v>0</v>
          </cell>
        </row>
        <row r="5788">
          <cell r="E5788" t="str">
            <v>D26001754</v>
          </cell>
          <cell r="AP5788">
            <v>0</v>
          </cell>
          <cell r="AQ5788">
            <v>0</v>
          </cell>
          <cell r="AV5788">
            <v>0</v>
          </cell>
        </row>
        <row r="5789">
          <cell r="E5789" t="str">
            <v>D26001873</v>
          </cell>
          <cell r="AP5789">
            <v>0</v>
          </cell>
          <cell r="AQ5789">
            <v>0</v>
          </cell>
          <cell r="AV5789">
            <v>0</v>
          </cell>
        </row>
        <row r="5790">
          <cell r="E5790" t="str">
            <v>D26001873</v>
          </cell>
          <cell r="AP5790">
            <v>0</v>
          </cell>
          <cell r="AQ5790">
            <v>0</v>
          </cell>
          <cell r="AV5790">
            <v>0</v>
          </cell>
        </row>
        <row r="5791">
          <cell r="E5791" t="str">
            <v>D26001874</v>
          </cell>
          <cell r="AP5791">
            <v>0</v>
          </cell>
          <cell r="AQ5791">
            <v>0</v>
          </cell>
          <cell r="AV5791">
            <v>0</v>
          </cell>
        </row>
        <row r="5792">
          <cell r="E5792" t="str">
            <v>D26002261</v>
          </cell>
          <cell r="AP5792">
            <v>0</v>
          </cell>
          <cell r="AQ5792">
            <v>0</v>
          </cell>
          <cell r="AV5792">
            <v>0</v>
          </cell>
        </row>
        <row r="5793">
          <cell r="E5793" t="str">
            <v>B26002234</v>
          </cell>
          <cell r="AP5793">
            <v>0</v>
          </cell>
          <cell r="AQ5793">
            <v>0</v>
          </cell>
          <cell r="AV5793">
            <v>0</v>
          </cell>
        </row>
        <row r="5794">
          <cell r="E5794" t="str">
            <v>D26002397</v>
          </cell>
          <cell r="AP5794">
            <v>0</v>
          </cell>
          <cell r="AQ5794">
            <v>0</v>
          </cell>
          <cell r="AV5794">
            <v>0</v>
          </cell>
        </row>
        <row r="5795">
          <cell r="E5795" t="str">
            <v>B26002607</v>
          </cell>
          <cell r="AP5795">
            <v>0</v>
          </cell>
          <cell r="AQ5795">
            <v>0</v>
          </cell>
          <cell r="AV5795">
            <v>0</v>
          </cell>
        </row>
        <row r="5796">
          <cell r="E5796" t="str">
            <v>D26002892</v>
          </cell>
          <cell r="AP5796">
            <v>0</v>
          </cell>
          <cell r="AQ5796">
            <v>0</v>
          </cell>
          <cell r="AV5796">
            <v>0</v>
          </cell>
        </row>
        <row r="5797">
          <cell r="E5797" t="str">
            <v>B26002790</v>
          </cell>
          <cell r="AP5797">
            <v>0</v>
          </cell>
          <cell r="AQ5797">
            <v>0</v>
          </cell>
          <cell r="AV5797">
            <v>0</v>
          </cell>
        </row>
        <row r="5798">
          <cell r="E5798" t="str">
            <v>D26003083</v>
          </cell>
          <cell r="AP5798">
            <v>0</v>
          </cell>
          <cell r="AQ5798">
            <v>0</v>
          </cell>
          <cell r="AV5798">
            <v>0</v>
          </cell>
        </row>
        <row r="5799">
          <cell r="E5799" t="str">
            <v>D26003413</v>
          </cell>
          <cell r="AP5799">
            <v>0</v>
          </cell>
          <cell r="AQ5799">
            <v>0</v>
          </cell>
          <cell r="AV5799">
            <v>0</v>
          </cell>
        </row>
        <row r="5800">
          <cell r="E5800" t="str">
            <v>D26003438</v>
          </cell>
          <cell r="AP5800">
            <v>0</v>
          </cell>
          <cell r="AQ5800">
            <v>0</v>
          </cell>
          <cell r="AV5800">
            <v>0</v>
          </cell>
        </row>
        <row r="5801">
          <cell r="E5801" t="str">
            <v>B26003299</v>
          </cell>
          <cell r="AP5801">
            <v>0</v>
          </cell>
          <cell r="AQ5801">
            <v>0</v>
          </cell>
          <cell r="AV5801">
            <v>0</v>
          </cell>
        </row>
        <row r="5802">
          <cell r="E5802" t="str">
            <v>Z26000792</v>
          </cell>
          <cell r="AP5802">
            <v>0</v>
          </cell>
          <cell r="AQ5802">
            <v>0</v>
          </cell>
          <cell r="AV5802">
            <v>0</v>
          </cell>
        </row>
        <row r="5803">
          <cell r="E5803" t="str">
            <v>D26004686</v>
          </cell>
          <cell r="AP5803">
            <v>0</v>
          </cell>
          <cell r="AQ5803">
            <v>0</v>
          </cell>
          <cell r="AV5803">
            <v>0</v>
          </cell>
        </row>
        <row r="5804">
          <cell r="E5804" t="str">
            <v>Z26000890</v>
          </cell>
          <cell r="AP5804">
            <v>0</v>
          </cell>
          <cell r="AQ5804">
            <v>0</v>
          </cell>
          <cell r="AV5804">
            <v>0</v>
          </cell>
        </row>
        <row r="5805">
          <cell r="E5805" t="str">
            <v>D26004215</v>
          </cell>
          <cell r="AP5805">
            <v>0</v>
          </cell>
          <cell r="AQ5805">
            <v>0</v>
          </cell>
          <cell r="AV5805">
            <v>0</v>
          </cell>
        </row>
        <row r="5806">
          <cell r="E5806" t="str">
            <v>D26002618</v>
          </cell>
          <cell r="AP5806">
            <v>0</v>
          </cell>
          <cell r="AQ5806">
            <v>0</v>
          </cell>
          <cell r="AV5806">
            <v>15970000</v>
          </cell>
        </row>
        <row r="5807">
          <cell r="E5807" t="str">
            <v>D26003865</v>
          </cell>
          <cell r="AP5807">
            <v>0</v>
          </cell>
          <cell r="AQ5807">
            <v>0</v>
          </cell>
          <cell r="AV5807">
            <v>0</v>
          </cell>
        </row>
        <row r="5808">
          <cell r="E5808" t="str">
            <v>D26004043</v>
          </cell>
          <cell r="AP5808">
            <v>0</v>
          </cell>
          <cell r="AQ5808">
            <v>0</v>
          </cell>
          <cell r="AV5808">
            <v>0</v>
          </cell>
        </row>
        <row r="5809">
          <cell r="E5809" t="str">
            <v>D26004585</v>
          </cell>
          <cell r="AP5809">
            <v>0</v>
          </cell>
          <cell r="AQ5809">
            <v>0</v>
          </cell>
          <cell r="AV5809">
            <v>7680000</v>
          </cell>
        </row>
        <row r="5810">
          <cell r="E5810" t="str">
            <v>B26003989</v>
          </cell>
          <cell r="AP5810">
            <v>0</v>
          </cell>
          <cell r="AQ5810">
            <v>0</v>
          </cell>
          <cell r="AV5810">
            <v>0</v>
          </cell>
        </row>
        <row r="5811">
          <cell r="E5811" t="str">
            <v>C26000256</v>
          </cell>
          <cell r="AP5811">
            <v>0</v>
          </cell>
          <cell r="AQ5811">
            <v>0</v>
          </cell>
          <cell r="AV5811">
            <v>1350000</v>
          </cell>
        </row>
        <row r="5812">
          <cell r="E5812" t="str">
            <v>D26004711</v>
          </cell>
          <cell r="AP5812">
            <v>0</v>
          </cell>
          <cell r="AQ5812">
            <v>0</v>
          </cell>
          <cell r="AV5812">
            <v>0</v>
          </cell>
        </row>
        <row r="5813">
          <cell r="E5813" t="str">
            <v>B26004039</v>
          </cell>
          <cell r="AP5813">
            <v>0</v>
          </cell>
          <cell r="AQ5813">
            <v>0</v>
          </cell>
          <cell r="AV5813">
            <v>30000</v>
          </cell>
        </row>
        <row r="5814">
          <cell r="E5814" t="str">
            <v>B26001723</v>
          </cell>
          <cell r="AP5814">
            <v>0</v>
          </cell>
          <cell r="AQ5814">
            <v>0</v>
          </cell>
          <cell r="AV5814">
            <v>0</v>
          </cell>
        </row>
        <row r="5815">
          <cell r="E5815" t="str">
            <v>D26001844</v>
          </cell>
          <cell r="AP5815">
            <v>0</v>
          </cell>
          <cell r="AQ5815">
            <v>0</v>
          </cell>
          <cell r="AV5815">
            <v>0</v>
          </cell>
        </row>
        <row r="5816">
          <cell r="E5816" t="str">
            <v>B26002084</v>
          </cell>
          <cell r="AP5816">
            <v>0</v>
          </cell>
          <cell r="AQ5816">
            <v>0</v>
          </cell>
          <cell r="AV5816">
            <v>0</v>
          </cell>
        </row>
        <row r="5817">
          <cell r="E5817" t="str">
            <v>B26002498</v>
          </cell>
          <cell r="AP5817">
            <v>0</v>
          </cell>
          <cell r="AQ5817">
            <v>0</v>
          </cell>
          <cell r="AV5817">
            <v>0</v>
          </cell>
        </row>
        <row r="5818">
          <cell r="E5818" t="str">
            <v>D26002770</v>
          </cell>
          <cell r="AP5818">
            <v>0</v>
          </cell>
          <cell r="AQ5818">
            <v>0</v>
          </cell>
          <cell r="AV5818">
            <v>0</v>
          </cell>
        </row>
        <row r="5819">
          <cell r="E5819" t="str">
            <v>D26002881</v>
          </cell>
          <cell r="AP5819">
            <v>0</v>
          </cell>
          <cell r="AQ5819">
            <v>0</v>
          </cell>
          <cell r="AV5819">
            <v>0</v>
          </cell>
        </row>
        <row r="5820">
          <cell r="E5820" t="str">
            <v>B26002851</v>
          </cell>
          <cell r="AP5820">
            <v>0</v>
          </cell>
          <cell r="AQ5820">
            <v>0</v>
          </cell>
          <cell r="AV5820">
            <v>0</v>
          </cell>
        </row>
        <row r="5821">
          <cell r="E5821" t="str">
            <v>D26003316</v>
          </cell>
          <cell r="AP5821">
            <v>0</v>
          </cell>
          <cell r="AQ5821">
            <v>0</v>
          </cell>
          <cell r="AV5821">
            <v>0</v>
          </cell>
        </row>
        <row r="5822">
          <cell r="E5822" t="str">
            <v>B26003364</v>
          </cell>
          <cell r="AP5822">
            <v>0</v>
          </cell>
          <cell r="AQ5822">
            <v>0</v>
          </cell>
          <cell r="AV5822">
            <v>0</v>
          </cell>
        </row>
        <row r="5823">
          <cell r="E5823" t="str">
            <v>D26003721</v>
          </cell>
          <cell r="AP5823">
            <v>0</v>
          </cell>
          <cell r="AQ5823">
            <v>0</v>
          </cell>
          <cell r="AV5823">
            <v>0</v>
          </cell>
        </row>
        <row r="5824">
          <cell r="E5824" t="str">
            <v>D26003823</v>
          </cell>
          <cell r="AP5824">
            <v>0</v>
          </cell>
          <cell r="AQ5824">
            <v>0</v>
          </cell>
          <cell r="AV5824">
            <v>0</v>
          </cell>
        </row>
        <row r="5825">
          <cell r="E5825" t="str">
            <v>B26003873</v>
          </cell>
          <cell r="AP5825">
            <v>0</v>
          </cell>
          <cell r="AQ5825">
            <v>0</v>
          </cell>
          <cell r="AV5825">
            <v>0</v>
          </cell>
        </row>
        <row r="5826">
          <cell r="E5826" t="str">
            <v>D26004764</v>
          </cell>
          <cell r="AP5826">
            <v>0</v>
          </cell>
          <cell r="AQ5826">
            <v>0</v>
          </cell>
          <cell r="AV5826">
            <v>0</v>
          </cell>
        </row>
        <row r="5827">
          <cell r="E5827" t="str">
            <v>D26004881</v>
          </cell>
          <cell r="AP5827">
            <v>0</v>
          </cell>
          <cell r="AQ5827">
            <v>0</v>
          </cell>
          <cell r="AV5827">
            <v>0</v>
          </cell>
        </row>
        <row r="5828">
          <cell r="E5828" t="str">
            <v>D26004984</v>
          </cell>
          <cell r="AP5828">
            <v>0</v>
          </cell>
          <cell r="AQ5828">
            <v>0</v>
          </cell>
          <cell r="AV5828">
            <v>0</v>
          </cell>
        </row>
        <row r="5829">
          <cell r="E5829" t="str">
            <v>C26000098</v>
          </cell>
          <cell r="AP5829">
            <v>0</v>
          </cell>
          <cell r="AQ5829">
            <v>0</v>
          </cell>
          <cell r="AV5829">
            <v>0</v>
          </cell>
        </row>
        <row r="5830">
          <cell r="E5830" t="str">
            <v>T25001650K</v>
          </cell>
          <cell r="AP5830">
            <v>0</v>
          </cell>
          <cell r="AQ5830">
            <v>0</v>
          </cell>
          <cell r="AV5830">
            <v>0</v>
          </cell>
        </row>
        <row r="5831">
          <cell r="E5831" t="str">
            <v>B26000483</v>
          </cell>
          <cell r="AP5831">
            <v>0</v>
          </cell>
          <cell r="AQ5831">
            <v>0</v>
          </cell>
          <cell r="AV5831">
            <v>0</v>
          </cell>
        </row>
        <row r="5832">
          <cell r="E5832" t="str">
            <v>B26000849</v>
          </cell>
          <cell r="AP5832">
            <v>0</v>
          </cell>
          <cell r="AQ5832">
            <v>0</v>
          </cell>
          <cell r="AV5832">
            <v>0</v>
          </cell>
        </row>
        <row r="5833">
          <cell r="E5833" t="str">
            <v>B26001718</v>
          </cell>
          <cell r="AP5833">
            <v>0</v>
          </cell>
          <cell r="AQ5833">
            <v>0</v>
          </cell>
          <cell r="AV5833">
            <v>0</v>
          </cell>
        </row>
        <row r="5834">
          <cell r="E5834" t="str">
            <v>D26002373</v>
          </cell>
          <cell r="AP5834">
            <v>0</v>
          </cell>
          <cell r="AQ5834">
            <v>0</v>
          </cell>
          <cell r="AV5834">
            <v>0</v>
          </cell>
        </row>
        <row r="5835">
          <cell r="E5835" t="str">
            <v>D26003128</v>
          </cell>
          <cell r="AP5835">
            <v>0</v>
          </cell>
          <cell r="AQ5835">
            <v>0</v>
          </cell>
          <cell r="AV5835">
            <v>0</v>
          </cell>
        </row>
        <row r="5836">
          <cell r="E5836" t="str">
            <v>B26001754</v>
          </cell>
          <cell r="AP5836">
            <v>0</v>
          </cell>
          <cell r="AQ5836">
            <v>0</v>
          </cell>
          <cell r="AV5836">
            <v>3120000</v>
          </cell>
        </row>
        <row r="5837">
          <cell r="E5837" t="str">
            <v>B26001755</v>
          </cell>
          <cell r="AP5837">
            <v>0</v>
          </cell>
          <cell r="AQ5837">
            <v>0</v>
          </cell>
          <cell r="AV5837">
            <v>2220000</v>
          </cell>
        </row>
        <row r="5838">
          <cell r="E5838" t="str">
            <v>D26001978</v>
          </cell>
          <cell r="AP5838">
            <v>0</v>
          </cell>
          <cell r="AQ5838">
            <v>0</v>
          </cell>
          <cell r="AV5838">
            <v>0</v>
          </cell>
        </row>
        <row r="5839">
          <cell r="E5839" t="str">
            <v>T26000140</v>
          </cell>
          <cell r="AP5839">
            <v>0</v>
          </cell>
          <cell r="AQ5839">
            <v>0</v>
          </cell>
          <cell r="AV5839">
            <v>0</v>
          </cell>
        </row>
        <row r="5840">
          <cell r="E5840" t="str">
            <v>B26001996</v>
          </cell>
          <cell r="AP5840">
            <v>0</v>
          </cell>
          <cell r="AQ5840">
            <v>0</v>
          </cell>
          <cell r="AV5840">
            <v>417500</v>
          </cell>
        </row>
        <row r="5841">
          <cell r="E5841" t="str">
            <v>B26001997</v>
          </cell>
          <cell r="AP5841">
            <v>0</v>
          </cell>
          <cell r="AQ5841">
            <v>0</v>
          </cell>
          <cell r="AV5841">
            <v>5390000</v>
          </cell>
        </row>
        <row r="5842">
          <cell r="E5842" t="str">
            <v>D26002135</v>
          </cell>
          <cell r="AP5842">
            <v>0</v>
          </cell>
          <cell r="AQ5842">
            <v>0</v>
          </cell>
          <cell r="AV5842">
            <v>3450000</v>
          </cell>
        </row>
        <row r="5843">
          <cell r="E5843" t="str">
            <v>D26002379</v>
          </cell>
          <cell r="AP5843">
            <v>0</v>
          </cell>
          <cell r="AQ5843">
            <v>0</v>
          </cell>
          <cell r="AV5843">
            <v>0</v>
          </cell>
        </row>
        <row r="5844">
          <cell r="E5844" t="str">
            <v>D26002380</v>
          </cell>
          <cell r="AP5844">
            <v>0</v>
          </cell>
          <cell r="AQ5844">
            <v>0</v>
          </cell>
          <cell r="AV5844">
            <v>0</v>
          </cell>
        </row>
        <row r="5845">
          <cell r="E5845" t="str">
            <v>B26002331</v>
          </cell>
          <cell r="AP5845">
            <v>0</v>
          </cell>
          <cell r="AQ5845">
            <v>0</v>
          </cell>
          <cell r="AV5845">
            <v>0</v>
          </cell>
        </row>
        <row r="5846">
          <cell r="E5846" t="str">
            <v>B26002332</v>
          </cell>
          <cell r="AP5846">
            <v>0</v>
          </cell>
          <cell r="AQ5846">
            <v>0</v>
          </cell>
          <cell r="AV5846">
            <v>0</v>
          </cell>
        </row>
        <row r="5847">
          <cell r="E5847" t="str">
            <v>B26002365</v>
          </cell>
          <cell r="AP5847">
            <v>0</v>
          </cell>
          <cell r="AQ5847">
            <v>0</v>
          </cell>
          <cell r="AV5847">
            <v>0</v>
          </cell>
        </row>
        <row r="5848">
          <cell r="E5848" t="str">
            <v>B26002437</v>
          </cell>
          <cell r="AP5848">
            <v>0</v>
          </cell>
          <cell r="AQ5848">
            <v>0</v>
          </cell>
          <cell r="AV5848">
            <v>0</v>
          </cell>
        </row>
        <row r="5849">
          <cell r="E5849" t="str">
            <v>B26002438</v>
          </cell>
          <cell r="AP5849">
            <v>0</v>
          </cell>
          <cell r="AQ5849">
            <v>0</v>
          </cell>
          <cell r="AV5849">
            <v>0</v>
          </cell>
        </row>
        <row r="5850">
          <cell r="E5850" t="str">
            <v>D26002797</v>
          </cell>
          <cell r="AP5850">
            <v>0</v>
          </cell>
          <cell r="AQ5850">
            <v>0</v>
          </cell>
          <cell r="AV5850">
            <v>0</v>
          </cell>
        </row>
        <row r="5851">
          <cell r="E5851" t="str">
            <v>D26002798</v>
          </cell>
          <cell r="AP5851">
            <v>0</v>
          </cell>
          <cell r="AQ5851">
            <v>0</v>
          </cell>
          <cell r="AV5851">
            <v>0</v>
          </cell>
        </row>
        <row r="5852">
          <cell r="E5852" t="str">
            <v>B26002835</v>
          </cell>
          <cell r="AP5852">
            <v>0</v>
          </cell>
          <cell r="AQ5852">
            <v>0</v>
          </cell>
          <cell r="AV5852">
            <v>0</v>
          </cell>
        </row>
        <row r="5853">
          <cell r="E5853" t="str">
            <v>D26003036</v>
          </cell>
          <cell r="AP5853">
            <v>0</v>
          </cell>
          <cell r="AQ5853">
            <v>0</v>
          </cell>
          <cell r="AV5853">
            <v>0</v>
          </cell>
        </row>
        <row r="5854">
          <cell r="E5854" t="str">
            <v>B26002890</v>
          </cell>
          <cell r="AP5854">
            <v>0</v>
          </cell>
          <cell r="AQ5854">
            <v>0</v>
          </cell>
          <cell r="AV5854">
            <v>0</v>
          </cell>
        </row>
        <row r="5855">
          <cell r="E5855" t="str">
            <v>B26003014</v>
          </cell>
          <cell r="AP5855">
            <v>0</v>
          </cell>
          <cell r="AQ5855">
            <v>0</v>
          </cell>
          <cell r="AV5855">
            <v>0</v>
          </cell>
        </row>
        <row r="5856">
          <cell r="E5856" t="str">
            <v>D26003284</v>
          </cell>
          <cell r="AP5856">
            <v>0</v>
          </cell>
          <cell r="AQ5856">
            <v>0</v>
          </cell>
          <cell r="AV5856">
            <v>0</v>
          </cell>
        </row>
        <row r="5857">
          <cell r="E5857" t="str">
            <v>D26003436</v>
          </cell>
          <cell r="AP5857">
            <v>0</v>
          </cell>
          <cell r="AQ5857">
            <v>0</v>
          </cell>
          <cell r="AV5857">
            <v>0</v>
          </cell>
        </row>
        <row r="5858">
          <cell r="E5858" t="str">
            <v>D26003684</v>
          </cell>
          <cell r="AP5858">
            <v>0</v>
          </cell>
          <cell r="AQ5858">
            <v>0</v>
          </cell>
          <cell r="AV5858">
            <v>0</v>
          </cell>
        </row>
        <row r="5859">
          <cell r="E5859" t="str">
            <v>B26003405</v>
          </cell>
          <cell r="AP5859">
            <v>0</v>
          </cell>
          <cell r="AQ5859">
            <v>0</v>
          </cell>
          <cell r="AV5859">
            <v>0</v>
          </cell>
        </row>
        <row r="5860">
          <cell r="E5860" t="str">
            <v>B26003431</v>
          </cell>
          <cell r="AP5860">
            <v>0</v>
          </cell>
          <cell r="AQ5860">
            <v>0</v>
          </cell>
          <cell r="AV5860">
            <v>0</v>
          </cell>
        </row>
        <row r="5861">
          <cell r="E5861" t="str">
            <v>B26003492</v>
          </cell>
          <cell r="AP5861">
            <v>0</v>
          </cell>
          <cell r="AQ5861">
            <v>0</v>
          </cell>
          <cell r="AV5861">
            <v>0</v>
          </cell>
        </row>
        <row r="5862">
          <cell r="E5862" t="str">
            <v>D26003924</v>
          </cell>
          <cell r="AP5862">
            <v>0</v>
          </cell>
          <cell r="AQ5862">
            <v>0</v>
          </cell>
          <cell r="AV5862">
            <v>0</v>
          </cell>
        </row>
        <row r="5863">
          <cell r="E5863" t="str">
            <v>D26004067</v>
          </cell>
          <cell r="AP5863">
            <v>0</v>
          </cell>
          <cell r="AQ5863">
            <v>0</v>
          </cell>
          <cell r="AV5863">
            <v>0</v>
          </cell>
        </row>
        <row r="5864">
          <cell r="E5864" t="str">
            <v>D26004243</v>
          </cell>
          <cell r="AP5864">
            <v>0</v>
          </cell>
          <cell r="AQ5864">
            <v>0</v>
          </cell>
          <cell r="AV5864">
            <v>0</v>
          </cell>
        </row>
        <row r="5865">
          <cell r="E5865" t="str">
            <v>D26004244</v>
          </cell>
          <cell r="AP5865">
            <v>0</v>
          </cell>
          <cell r="AQ5865">
            <v>0</v>
          </cell>
          <cell r="AV5865">
            <v>0</v>
          </cell>
        </row>
        <row r="5866">
          <cell r="E5866" t="str">
            <v>D26004291</v>
          </cell>
          <cell r="AP5866">
            <v>0</v>
          </cell>
          <cell r="AQ5866">
            <v>0</v>
          </cell>
          <cell r="AV5866">
            <v>0</v>
          </cell>
        </row>
        <row r="5867">
          <cell r="E5867" t="str">
            <v>D26004354</v>
          </cell>
          <cell r="AP5867">
            <v>0</v>
          </cell>
          <cell r="AQ5867">
            <v>0</v>
          </cell>
          <cell r="AV5867">
            <v>0</v>
          </cell>
        </row>
        <row r="5868">
          <cell r="E5868" t="str">
            <v>B26003874</v>
          </cell>
          <cell r="AP5868">
            <v>0</v>
          </cell>
          <cell r="AQ5868">
            <v>0</v>
          </cell>
          <cell r="AV5868">
            <v>0</v>
          </cell>
        </row>
        <row r="5869">
          <cell r="E5869" t="str">
            <v>B26003876</v>
          </cell>
          <cell r="AP5869">
            <v>0</v>
          </cell>
          <cell r="AQ5869">
            <v>0</v>
          </cell>
          <cell r="AV5869">
            <v>0</v>
          </cell>
        </row>
        <row r="5870">
          <cell r="E5870" t="str">
            <v>B26004011</v>
          </cell>
          <cell r="AP5870">
            <v>0</v>
          </cell>
          <cell r="AQ5870">
            <v>0</v>
          </cell>
          <cell r="AV5870">
            <v>0</v>
          </cell>
        </row>
        <row r="5871">
          <cell r="E5871" t="str">
            <v>B26004163</v>
          </cell>
          <cell r="AP5871">
            <v>0</v>
          </cell>
          <cell r="AQ5871">
            <v>0</v>
          </cell>
          <cell r="AV5871">
            <v>0</v>
          </cell>
        </row>
        <row r="5872">
          <cell r="E5872" t="str">
            <v>D26004976</v>
          </cell>
          <cell r="AP5872">
            <v>0</v>
          </cell>
          <cell r="AQ5872">
            <v>0</v>
          </cell>
          <cell r="AV5872">
            <v>0</v>
          </cell>
        </row>
        <row r="5873">
          <cell r="E5873" t="str">
            <v>D26005012</v>
          </cell>
          <cell r="AP5873">
            <v>0</v>
          </cell>
          <cell r="AQ5873">
            <v>0</v>
          </cell>
          <cell r="AV5873">
            <v>0</v>
          </cell>
        </row>
        <row r="5874">
          <cell r="E5874" t="str">
            <v>D26003520</v>
          </cell>
          <cell r="AP5874">
            <v>0</v>
          </cell>
          <cell r="AQ5874">
            <v>0</v>
          </cell>
          <cell r="AV5874">
            <v>0</v>
          </cell>
        </row>
        <row r="5875">
          <cell r="E5875" t="str">
            <v>B26004022</v>
          </cell>
          <cell r="AP5875">
            <v>0</v>
          </cell>
          <cell r="AQ5875">
            <v>0</v>
          </cell>
          <cell r="AV5875">
            <v>0</v>
          </cell>
        </row>
        <row r="5876">
          <cell r="E5876" t="str">
            <v>B26004026</v>
          </cell>
          <cell r="AP5876">
            <v>0</v>
          </cell>
          <cell r="AQ5876">
            <v>0</v>
          </cell>
          <cell r="AV5876">
            <v>0</v>
          </cell>
        </row>
        <row r="5877">
          <cell r="E5877" t="str">
            <v>D26002972</v>
          </cell>
          <cell r="AP5877">
            <v>0</v>
          </cell>
          <cell r="AQ5877">
            <v>0</v>
          </cell>
          <cell r="AV5877">
            <v>0</v>
          </cell>
        </row>
        <row r="5878">
          <cell r="E5878" t="str">
            <v>N26000030</v>
          </cell>
          <cell r="AP5878">
            <v>0</v>
          </cell>
          <cell r="AQ5878">
            <v>0</v>
          </cell>
          <cell r="AV5878">
            <v>0</v>
          </cell>
        </row>
        <row r="5879">
          <cell r="E5879" t="str">
            <v>B26002961</v>
          </cell>
          <cell r="AP5879">
            <v>0</v>
          </cell>
          <cell r="AQ5879">
            <v>0</v>
          </cell>
          <cell r="AV5879">
            <v>0</v>
          </cell>
        </row>
        <row r="5880">
          <cell r="E5880" t="str">
            <v>B26000967</v>
          </cell>
          <cell r="AP5880">
            <v>0</v>
          </cell>
          <cell r="AQ5880">
            <v>0</v>
          </cell>
          <cell r="AV5880">
            <v>0</v>
          </cell>
        </row>
        <row r="5881">
          <cell r="E5881" t="str">
            <v>D26001363</v>
          </cell>
          <cell r="AP5881">
            <v>0</v>
          </cell>
          <cell r="AQ5881">
            <v>0</v>
          </cell>
          <cell r="AV5881">
            <v>0</v>
          </cell>
        </row>
        <row r="5882">
          <cell r="E5882" t="str">
            <v>T26000238</v>
          </cell>
          <cell r="AP5882">
            <v>0</v>
          </cell>
          <cell r="AQ5882">
            <v>0</v>
          </cell>
          <cell r="AV5882">
            <v>0</v>
          </cell>
        </row>
        <row r="5883">
          <cell r="E5883" t="str">
            <v>D26002854</v>
          </cell>
          <cell r="AP5883">
            <v>0</v>
          </cell>
          <cell r="AQ5883">
            <v>0</v>
          </cell>
          <cell r="AV5883">
            <v>0</v>
          </cell>
        </row>
        <row r="5884">
          <cell r="E5884" t="str">
            <v>B26003678</v>
          </cell>
          <cell r="AP5884">
            <v>0</v>
          </cell>
          <cell r="AQ5884">
            <v>0</v>
          </cell>
          <cell r="AV5884">
            <v>0</v>
          </cell>
        </row>
        <row r="5885">
          <cell r="E5885" t="str">
            <v>D26004292</v>
          </cell>
          <cell r="AP5885">
            <v>0</v>
          </cell>
          <cell r="AQ5885">
            <v>0</v>
          </cell>
          <cell r="AV5885">
            <v>0</v>
          </cell>
        </row>
        <row r="5886">
          <cell r="E5886" t="str">
            <v>D26003589</v>
          </cell>
          <cell r="AP5886">
            <v>0</v>
          </cell>
          <cell r="AQ5886">
            <v>0</v>
          </cell>
          <cell r="AV5886">
            <v>0</v>
          </cell>
        </row>
        <row r="5887">
          <cell r="E5887" t="str">
            <v>D26003590</v>
          </cell>
          <cell r="AP5887">
            <v>0</v>
          </cell>
          <cell r="AQ5887">
            <v>0</v>
          </cell>
          <cell r="AV5887">
            <v>0</v>
          </cell>
        </row>
        <row r="5888">
          <cell r="E5888" t="str">
            <v>B26002344</v>
          </cell>
          <cell r="AP5888">
            <v>0</v>
          </cell>
          <cell r="AQ5888">
            <v>0</v>
          </cell>
          <cell r="AV5888">
            <v>3699400</v>
          </cell>
        </row>
        <row r="5889">
          <cell r="E5889" t="str">
            <v>B26002766</v>
          </cell>
          <cell r="AP5889">
            <v>0</v>
          </cell>
          <cell r="AQ5889">
            <v>0</v>
          </cell>
          <cell r="AV5889">
            <v>3650000</v>
          </cell>
        </row>
        <row r="5890">
          <cell r="E5890" t="str">
            <v>B26002767</v>
          </cell>
          <cell r="AP5890">
            <v>0</v>
          </cell>
          <cell r="AQ5890">
            <v>0</v>
          </cell>
          <cell r="AV5890">
            <v>4740000</v>
          </cell>
        </row>
        <row r="5891">
          <cell r="E5891" t="str">
            <v>D26003336</v>
          </cell>
          <cell r="AP5891">
            <v>0</v>
          </cell>
          <cell r="AQ5891">
            <v>0</v>
          </cell>
          <cell r="AV5891">
            <v>1800000</v>
          </cell>
        </row>
        <row r="5892">
          <cell r="E5892" t="str">
            <v>D26004085</v>
          </cell>
          <cell r="AP5892">
            <v>0</v>
          </cell>
          <cell r="AQ5892">
            <v>0</v>
          </cell>
          <cell r="AV5892">
            <v>0</v>
          </cell>
        </row>
        <row r="5893">
          <cell r="E5893" t="str">
            <v>D26004161</v>
          </cell>
          <cell r="AP5893">
            <v>0</v>
          </cell>
          <cell r="AQ5893">
            <v>0</v>
          </cell>
          <cell r="AV5893">
            <v>0</v>
          </cell>
        </row>
        <row r="5894">
          <cell r="E5894" t="str">
            <v>D26004687</v>
          </cell>
          <cell r="AP5894">
            <v>0</v>
          </cell>
          <cell r="AQ5894">
            <v>0</v>
          </cell>
          <cell r="AV5894">
            <v>5000000</v>
          </cell>
        </row>
        <row r="5895">
          <cell r="E5895" t="str">
            <v>T24000579</v>
          </cell>
          <cell r="AP5895">
            <v>0</v>
          </cell>
          <cell r="AQ5895">
            <v>0</v>
          </cell>
          <cell r="AV5895">
            <v>0</v>
          </cell>
        </row>
        <row r="5896">
          <cell r="E5896" t="str">
            <v>B26003879</v>
          </cell>
          <cell r="AP5896">
            <v>500</v>
          </cell>
          <cell r="AQ5896">
            <v>0</v>
          </cell>
          <cell r="AV5896">
            <v>4306000</v>
          </cell>
        </row>
        <row r="5897">
          <cell r="E5897" t="str">
            <v>B26003938</v>
          </cell>
          <cell r="AP5897">
            <v>0</v>
          </cell>
          <cell r="AQ5897">
            <v>0</v>
          </cell>
          <cell r="AV5897">
            <v>2357500</v>
          </cell>
        </row>
        <row r="5898">
          <cell r="E5898" t="str">
            <v>T26000094</v>
          </cell>
          <cell r="AP5898">
            <v>0</v>
          </cell>
          <cell r="AQ5898">
            <v>0</v>
          </cell>
          <cell r="AV5898">
            <v>1900000</v>
          </cell>
        </row>
        <row r="5899">
          <cell r="E5899" t="str">
            <v>T26000095</v>
          </cell>
          <cell r="AP5899">
            <v>0</v>
          </cell>
          <cell r="AQ5899">
            <v>0</v>
          </cell>
          <cell r="AV5899">
            <v>0</v>
          </cell>
        </row>
        <row r="5900">
          <cell r="E5900" t="str">
            <v>B26002626</v>
          </cell>
          <cell r="AP5900">
            <v>0</v>
          </cell>
          <cell r="AQ5900">
            <v>0</v>
          </cell>
          <cell r="AV5900">
            <v>0</v>
          </cell>
        </row>
        <row r="5901">
          <cell r="E5901" t="str">
            <v>D26002198</v>
          </cell>
          <cell r="AP5901">
            <v>0</v>
          </cell>
          <cell r="AQ5901">
            <v>0</v>
          </cell>
          <cell r="AV5901">
            <v>0</v>
          </cell>
        </row>
        <row r="5902">
          <cell r="E5902" t="str">
            <v>B26002163</v>
          </cell>
          <cell r="AP5902">
            <v>0</v>
          </cell>
          <cell r="AQ5902">
            <v>0</v>
          </cell>
          <cell r="AV5902">
            <v>0</v>
          </cell>
        </row>
        <row r="5903">
          <cell r="E5903" t="str">
            <v>D26001227</v>
          </cell>
          <cell r="AP5903">
            <v>0</v>
          </cell>
          <cell r="AQ5903">
            <v>0</v>
          </cell>
          <cell r="AV5903">
            <v>3400000</v>
          </cell>
        </row>
        <row r="5904">
          <cell r="E5904" t="str">
            <v>D26001471</v>
          </cell>
          <cell r="AP5904">
            <v>0</v>
          </cell>
          <cell r="AQ5904">
            <v>0</v>
          </cell>
          <cell r="AV5904">
            <v>5953500</v>
          </cell>
        </row>
        <row r="5905">
          <cell r="E5905" t="str">
            <v>D26002303</v>
          </cell>
          <cell r="AP5905">
            <v>0</v>
          </cell>
          <cell r="AQ5905">
            <v>0</v>
          </cell>
          <cell r="AV5905">
            <v>0</v>
          </cell>
        </row>
        <row r="5906">
          <cell r="E5906" t="str">
            <v>B26002205</v>
          </cell>
          <cell r="AP5906">
            <v>0</v>
          </cell>
          <cell r="AQ5906">
            <v>0</v>
          </cell>
          <cell r="AV5906">
            <v>0</v>
          </cell>
        </row>
        <row r="5907">
          <cell r="E5907" t="str">
            <v>B26002440</v>
          </cell>
          <cell r="AP5907">
            <v>0</v>
          </cell>
          <cell r="AQ5907">
            <v>0</v>
          </cell>
          <cell r="AV5907">
            <v>0</v>
          </cell>
        </row>
        <row r="5908">
          <cell r="E5908" t="str">
            <v>B26002594</v>
          </cell>
          <cell r="AP5908">
            <v>0</v>
          </cell>
          <cell r="AQ5908">
            <v>0</v>
          </cell>
          <cell r="AV5908">
            <v>0</v>
          </cell>
        </row>
        <row r="5909">
          <cell r="E5909" t="str">
            <v>B26002681</v>
          </cell>
          <cell r="AP5909">
            <v>0</v>
          </cell>
          <cell r="AQ5909">
            <v>0</v>
          </cell>
          <cell r="AV5909">
            <v>2250000</v>
          </cell>
        </row>
        <row r="5910">
          <cell r="E5910" t="str">
            <v>B26002830</v>
          </cell>
          <cell r="AP5910">
            <v>0</v>
          </cell>
          <cell r="AQ5910">
            <v>0</v>
          </cell>
          <cell r="AV5910">
            <v>3880000</v>
          </cell>
        </row>
        <row r="5911">
          <cell r="E5911" t="str">
            <v>B26002831</v>
          </cell>
          <cell r="AP5911">
            <v>0</v>
          </cell>
          <cell r="AQ5911">
            <v>0</v>
          </cell>
          <cell r="AV5911">
            <v>5990000</v>
          </cell>
        </row>
        <row r="5912">
          <cell r="E5912" t="str">
            <v>D26003069</v>
          </cell>
          <cell r="AP5912">
            <v>0</v>
          </cell>
          <cell r="AQ5912">
            <v>0</v>
          </cell>
          <cell r="AV5912">
            <v>900000</v>
          </cell>
        </row>
        <row r="5913">
          <cell r="E5913" t="str">
            <v>D26003411</v>
          </cell>
          <cell r="AP5913">
            <v>0</v>
          </cell>
          <cell r="AQ5913">
            <v>0</v>
          </cell>
          <cell r="AV5913">
            <v>0</v>
          </cell>
        </row>
        <row r="5914">
          <cell r="E5914" t="str">
            <v>D26003414</v>
          </cell>
          <cell r="AP5914">
            <v>0</v>
          </cell>
          <cell r="AQ5914">
            <v>0</v>
          </cell>
          <cell r="AV5914">
            <v>0</v>
          </cell>
        </row>
        <row r="5915">
          <cell r="E5915" t="str">
            <v>B26003234</v>
          </cell>
          <cell r="AP5915">
            <v>0</v>
          </cell>
          <cell r="AQ5915">
            <v>0</v>
          </cell>
          <cell r="AV5915">
            <v>0</v>
          </cell>
        </row>
        <row r="5916">
          <cell r="E5916" t="str">
            <v>D26003482</v>
          </cell>
          <cell r="AP5916">
            <v>0</v>
          </cell>
          <cell r="AQ5916">
            <v>0</v>
          </cell>
          <cell r="AV5916">
            <v>0</v>
          </cell>
        </row>
        <row r="5917">
          <cell r="E5917" t="str">
            <v>B26003264</v>
          </cell>
          <cell r="AP5917">
            <v>0</v>
          </cell>
          <cell r="AQ5917">
            <v>0</v>
          </cell>
          <cell r="AV5917">
            <v>0</v>
          </cell>
        </row>
        <row r="5918">
          <cell r="E5918" t="str">
            <v>D26003579</v>
          </cell>
          <cell r="AP5918">
            <v>0</v>
          </cell>
          <cell r="AQ5918">
            <v>0</v>
          </cell>
          <cell r="AV5918">
            <v>0</v>
          </cell>
        </row>
        <row r="5919">
          <cell r="E5919" t="str">
            <v>B26003544</v>
          </cell>
          <cell r="AP5919">
            <v>0</v>
          </cell>
          <cell r="AQ5919">
            <v>0</v>
          </cell>
          <cell r="AV5919">
            <v>0</v>
          </cell>
        </row>
        <row r="5920">
          <cell r="E5920" t="str">
            <v>B26003572</v>
          </cell>
          <cell r="AP5920">
            <v>0</v>
          </cell>
          <cell r="AQ5920">
            <v>0</v>
          </cell>
          <cell r="AV5920">
            <v>0</v>
          </cell>
        </row>
        <row r="5921">
          <cell r="E5921" t="str">
            <v>B26003593</v>
          </cell>
          <cell r="AP5921">
            <v>0</v>
          </cell>
          <cell r="AQ5921">
            <v>0</v>
          </cell>
          <cell r="AV5921">
            <v>0</v>
          </cell>
        </row>
        <row r="5922">
          <cell r="E5922" t="str">
            <v>D26004305</v>
          </cell>
          <cell r="AP5922">
            <v>0</v>
          </cell>
          <cell r="AQ5922">
            <v>0</v>
          </cell>
          <cell r="AV5922">
            <v>0</v>
          </cell>
        </row>
        <row r="5923">
          <cell r="E5923" t="str">
            <v>D26004424</v>
          </cell>
          <cell r="AP5923">
            <v>0</v>
          </cell>
          <cell r="AQ5923">
            <v>0</v>
          </cell>
          <cell r="AV5923">
            <v>0</v>
          </cell>
        </row>
        <row r="5924">
          <cell r="E5924" t="str">
            <v>D26004560</v>
          </cell>
          <cell r="AP5924">
            <v>0</v>
          </cell>
          <cell r="AQ5924">
            <v>0</v>
          </cell>
          <cell r="AV5924">
            <v>0</v>
          </cell>
        </row>
        <row r="5925">
          <cell r="E5925" t="str">
            <v>C26000259</v>
          </cell>
          <cell r="AP5925">
            <v>0</v>
          </cell>
          <cell r="AQ5925">
            <v>0</v>
          </cell>
          <cell r="AV5925">
            <v>0</v>
          </cell>
        </row>
        <row r="5926">
          <cell r="E5926" t="str">
            <v>D26004712</v>
          </cell>
          <cell r="AP5926">
            <v>0</v>
          </cell>
          <cell r="AQ5926">
            <v>0</v>
          </cell>
          <cell r="AV5926">
            <v>3840000</v>
          </cell>
        </row>
        <row r="5927">
          <cell r="E5927" t="str">
            <v>D25017697</v>
          </cell>
          <cell r="AP5927">
            <v>0</v>
          </cell>
          <cell r="AQ5927">
            <v>0</v>
          </cell>
          <cell r="AV5927">
            <v>0</v>
          </cell>
        </row>
        <row r="5928">
          <cell r="E5928" t="str">
            <v>D26002415</v>
          </cell>
          <cell r="AP5928">
            <v>0</v>
          </cell>
          <cell r="AQ5928">
            <v>0</v>
          </cell>
          <cell r="AV5928">
            <v>0</v>
          </cell>
        </row>
        <row r="5929">
          <cell r="E5929" t="str">
            <v>D26003770</v>
          </cell>
          <cell r="AP5929">
            <v>0</v>
          </cell>
          <cell r="AQ5929">
            <v>0</v>
          </cell>
          <cell r="AV5929">
            <v>0</v>
          </cell>
        </row>
        <row r="5930">
          <cell r="E5930" t="str">
            <v>B26003923</v>
          </cell>
          <cell r="AP5930">
            <v>0</v>
          </cell>
          <cell r="AQ5930">
            <v>0</v>
          </cell>
          <cell r="AV5930">
            <v>2800000</v>
          </cell>
        </row>
        <row r="5931">
          <cell r="E5931" t="str">
            <v>D26004626</v>
          </cell>
          <cell r="AP5931">
            <v>0</v>
          </cell>
          <cell r="AQ5931">
            <v>0</v>
          </cell>
          <cell r="AV5931">
            <v>6160000</v>
          </cell>
        </row>
        <row r="5932">
          <cell r="E5932" t="str">
            <v>D26004492</v>
          </cell>
          <cell r="AP5932">
            <v>0</v>
          </cell>
          <cell r="AQ5932">
            <v>0</v>
          </cell>
          <cell r="AV5932">
            <v>8394800</v>
          </cell>
        </row>
        <row r="5934">
          <cell r="E5934" t="str">
            <v>x</v>
          </cell>
          <cell r="AP5934" t="str">
            <v>x</v>
          </cell>
          <cell r="AQ5934" t="str">
            <v>x</v>
          </cell>
          <cell r="AV5934" t="str">
            <v>x</v>
          </cell>
        </row>
        <row r="5935">
          <cell r="AP5935">
            <v>59933265</v>
          </cell>
          <cell r="AQ5935">
            <v>4716224500</v>
          </cell>
          <cell r="AV5935">
            <v>17108531882</v>
          </cell>
        </row>
        <row r="5936">
          <cell r="AQ5936">
            <v>4717724500</v>
          </cell>
        </row>
        <row r="5937">
          <cell r="AQ5937">
            <v>-1500000</v>
          </cell>
        </row>
        <row r="5938">
          <cell r="AQ5938">
            <v>0</v>
          </cell>
        </row>
        <row r="5940">
          <cell r="AP5940" t="str">
            <v>Prima Tani/Candra Sanjaya (Lebih BG)</v>
          </cell>
          <cell r="AQ5940">
            <v>1500000</v>
          </cell>
        </row>
      </sheetData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"/>
      <sheetName val="Sheet1"/>
    </sheetNames>
    <sheetDataSet>
      <sheetData sheetId="0">
        <row r="12">
          <cell r="E12" t="str">
            <v>Surya Tani/Pujiono</v>
          </cell>
          <cell r="L12">
            <v>4400000</v>
          </cell>
          <cell r="M12">
            <v>0</v>
          </cell>
        </row>
        <row r="13">
          <cell r="L13">
            <v>896000</v>
          </cell>
          <cell r="M13">
            <v>0</v>
          </cell>
        </row>
        <row r="14">
          <cell r="L14">
            <v>1700000</v>
          </cell>
          <cell r="M14">
            <v>1700000</v>
          </cell>
        </row>
        <row r="15">
          <cell r="L15">
            <v>6800000</v>
          </cell>
          <cell r="M15">
            <v>0</v>
          </cell>
        </row>
        <row r="16">
          <cell r="L16">
            <v>0</v>
          </cell>
          <cell r="M16">
            <v>3750000</v>
          </cell>
        </row>
        <row r="17">
          <cell r="L17">
            <v>1880000</v>
          </cell>
          <cell r="M17">
            <v>0</v>
          </cell>
        </row>
        <row r="18">
          <cell r="L18">
            <v>47000000</v>
          </cell>
          <cell r="M18">
            <v>0</v>
          </cell>
        </row>
        <row r="19">
          <cell r="L19">
            <v>0</v>
          </cell>
          <cell r="M19">
            <v>8100000</v>
          </cell>
        </row>
        <row r="20">
          <cell r="L20">
            <v>0</v>
          </cell>
          <cell r="M20">
            <v>27320000</v>
          </cell>
        </row>
        <row r="21">
          <cell r="L21">
            <v>0</v>
          </cell>
          <cell r="M21">
            <v>6700000</v>
          </cell>
        </row>
        <row r="22">
          <cell r="L22">
            <v>0</v>
          </cell>
          <cell r="M22">
            <v>26562500</v>
          </cell>
        </row>
        <row r="23">
          <cell r="L23">
            <v>56200000</v>
          </cell>
          <cell r="M23">
            <v>0</v>
          </cell>
        </row>
        <row r="24">
          <cell r="L24">
            <v>61295000</v>
          </cell>
          <cell r="M24">
            <v>0</v>
          </cell>
        </row>
        <row r="25">
          <cell r="L25">
            <v>0</v>
          </cell>
          <cell r="M25">
            <v>1700000</v>
          </cell>
        </row>
        <row r="26">
          <cell r="L26">
            <v>20000000</v>
          </cell>
          <cell r="M26">
            <v>0</v>
          </cell>
        </row>
        <row r="27">
          <cell r="L27">
            <v>0</v>
          </cell>
          <cell r="M27">
            <v>10675000</v>
          </cell>
        </row>
        <row r="28">
          <cell r="L28">
            <v>0</v>
          </cell>
          <cell r="M28">
            <v>70146000</v>
          </cell>
        </row>
        <row r="29">
          <cell r="L29">
            <v>4000000</v>
          </cell>
        </row>
        <row r="30">
          <cell r="L30">
            <v>0</v>
          </cell>
          <cell r="M30">
            <v>2800000</v>
          </cell>
        </row>
        <row r="31">
          <cell r="L31">
            <v>12000000</v>
          </cell>
          <cell r="M31">
            <v>11085000</v>
          </cell>
        </row>
        <row r="32">
          <cell r="L32">
            <v>0</v>
          </cell>
          <cell r="M32">
            <v>9000000</v>
          </cell>
        </row>
        <row r="33">
          <cell r="L33">
            <v>70000000</v>
          </cell>
          <cell r="M33">
            <v>466000000</v>
          </cell>
        </row>
        <row r="34">
          <cell r="L34">
            <v>5575000</v>
          </cell>
          <cell r="M34">
            <v>0</v>
          </cell>
        </row>
        <row r="35">
          <cell r="L35">
            <v>2000000</v>
          </cell>
          <cell r="M35">
            <v>3400000</v>
          </cell>
        </row>
        <row r="36">
          <cell r="L36">
            <v>3415000</v>
          </cell>
          <cell r="M36">
            <v>0</v>
          </cell>
        </row>
        <row r="37">
          <cell r="L37">
            <v>83300500</v>
          </cell>
          <cell r="M37">
            <v>0</v>
          </cell>
        </row>
        <row r="38">
          <cell r="L38">
            <v>0</v>
          </cell>
          <cell r="M38">
            <v>28000000</v>
          </cell>
        </row>
        <row r="39">
          <cell r="L39">
            <v>981000</v>
          </cell>
          <cell r="M39">
            <v>0</v>
          </cell>
        </row>
        <row r="40">
          <cell r="L40">
            <v>0</v>
          </cell>
          <cell r="M40">
            <v>47000000</v>
          </cell>
        </row>
        <row r="41">
          <cell r="L41">
            <v>38746000</v>
          </cell>
          <cell r="M41">
            <v>0</v>
          </cell>
        </row>
        <row r="42">
          <cell r="L42">
            <v>0</v>
          </cell>
          <cell r="M42">
            <v>6500000</v>
          </cell>
        </row>
        <row r="43">
          <cell r="L43">
            <v>0</v>
          </cell>
          <cell r="M43">
            <v>47590000</v>
          </cell>
        </row>
        <row r="44">
          <cell r="L44">
            <v>0</v>
          </cell>
          <cell r="M44">
            <v>29200000</v>
          </cell>
        </row>
        <row r="45">
          <cell r="L45">
            <v>27750000</v>
          </cell>
          <cell r="M45">
            <v>0</v>
          </cell>
        </row>
        <row r="46">
          <cell r="L46">
            <v>2120000</v>
          </cell>
          <cell r="M46">
            <v>0</v>
          </cell>
        </row>
        <row r="47">
          <cell r="L47">
            <v>3310000</v>
          </cell>
          <cell r="M47">
            <v>0</v>
          </cell>
        </row>
        <row r="48">
          <cell r="L48">
            <v>10600000</v>
          </cell>
          <cell r="M48">
            <v>0</v>
          </cell>
        </row>
        <row r="49">
          <cell r="L49">
            <v>6750000</v>
          </cell>
          <cell r="M49">
            <v>0</v>
          </cell>
        </row>
        <row r="50">
          <cell r="L50">
            <v>0</v>
          </cell>
        </row>
        <row r="51">
          <cell r="L51">
            <v>0</v>
          </cell>
        </row>
        <row r="52">
          <cell r="L52">
            <v>0</v>
          </cell>
          <cell r="M52">
            <v>5415200</v>
          </cell>
        </row>
        <row r="53">
          <cell r="L53">
            <v>1480000</v>
          </cell>
          <cell r="M53">
            <v>0</v>
          </cell>
        </row>
        <row r="54">
          <cell r="L54">
            <v>22210000</v>
          </cell>
          <cell r="M54">
            <v>14421700</v>
          </cell>
        </row>
        <row r="55">
          <cell r="L55">
            <v>0</v>
          </cell>
          <cell r="M55">
            <v>37800000</v>
          </cell>
        </row>
        <row r="56">
          <cell r="L56">
            <v>47984000</v>
          </cell>
          <cell r="M56">
            <v>13560250</v>
          </cell>
        </row>
        <row r="57">
          <cell r="L57">
            <v>9984000</v>
          </cell>
          <cell r="M57">
            <v>0</v>
          </cell>
        </row>
        <row r="58">
          <cell r="L58">
            <v>0</v>
          </cell>
          <cell r="M58">
            <v>30640000</v>
          </cell>
        </row>
        <row r="59">
          <cell r="L59">
            <v>0</v>
          </cell>
          <cell r="M59">
            <v>3300000</v>
          </cell>
        </row>
        <row r="60">
          <cell r="L60">
            <v>3120000</v>
          </cell>
          <cell r="M60">
            <v>0</v>
          </cell>
        </row>
        <row r="61">
          <cell r="L61">
            <v>4800000</v>
          </cell>
          <cell r="M61">
            <v>0</v>
          </cell>
        </row>
        <row r="62">
          <cell r="L62">
            <v>12620000</v>
          </cell>
          <cell r="M62">
            <v>60892500</v>
          </cell>
        </row>
        <row r="63">
          <cell r="L63">
            <v>46200000</v>
          </cell>
          <cell r="M63">
            <v>0</v>
          </cell>
        </row>
        <row r="64">
          <cell r="L64">
            <v>0</v>
          </cell>
          <cell r="M64">
            <v>20325000</v>
          </cell>
        </row>
        <row r="65">
          <cell r="L65">
            <v>0</v>
          </cell>
          <cell r="M65">
            <v>5400000</v>
          </cell>
        </row>
        <row r="66">
          <cell r="L66">
            <v>23280000</v>
          </cell>
          <cell r="M66">
            <v>0</v>
          </cell>
        </row>
        <row r="67">
          <cell r="L67">
            <v>18300000</v>
          </cell>
          <cell r="M67">
            <v>0</v>
          </cell>
        </row>
        <row r="68">
          <cell r="L68">
            <v>7000000</v>
          </cell>
          <cell r="M68">
            <v>0</v>
          </cell>
        </row>
        <row r="69">
          <cell r="L69">
            <v>15400000</v>
          </cell>
          <cell r="M69">
            <v>0</v>
          </cell>
        </row>
        <row r="70">
          <cell r="L70">
            <v>19000000</v>
          </cell>
          <cell r="M70">
            <v>0</v>
          </cell>
        </row>
        <row r="71">
          <cell r="L71">
            <v>0</v>
          </cell>
          <cell r="M71">
            <v>3150000</v>
          </cell>
        </row>
        <row r="72">
          <cell r="L72">
            <v>0</v>
          </cell>
          <cell r="M72">
            <v>1700000</v>
          </cell>
        </row>
        <row r="73">
          <cell r="L73">
            <v>7625000</v>
          </cell>
          <cell r="M73">
            <v>0</v>
          </cell>
        </row>
        <row r="74">
          <cell r="L74">
            <v>0</v>
          </cell>
          <cell r="M74">
            <v>39680000</v>
          </cell>
        </row>
        <row r="75">
          <cell r="L75">
            <v>0</v>
          </cell>
          <cell r="M75">
            <v>149330000</v>
          </cell>
        </row>
        <row r="76">
          <cell r="L76">
            <v>26900000</v>
          </cell>
          <cell r="M76">
            <v>0</v>
          </cell>
        </row>
        <row r="77">
          <cell r="L77">
            <v>0</v>
          </cell>
          <cell r="M77">
            <v>10800000</v>
          </cell>
        </row>
        <row r="78">
          <cell r="L78">
            <v>2016000</v>
          </cell>
          <cell r="M78">
            <v>0</v>
          </cell>
        </row>
        <row r="79">
          <cell r="L79">
            <v>8120000</v>
          </cell>
          <cell r="M79">
            <v>4780000</v>
          </cell>
        </row>
        <row r="80">
          <cell r="L80">
            <v>88590000</v>
          </cell>
          <cell r="M80">
            <v>0</v>
          </cell>
        </row>
        <row r="81">
          <cell r="L81">
            <v>92910000</v>
          </cell>
          <cell r="M81">
            <v>0</v>
          </cell>
        </row>
        <row r="82">
          <cell r="L82">
            <v>63560000</v>
          </cell>
          <cell r="M82">
            <v>0</v>
          </cell>
        </row>
        <row r="83">
          <cell r="L83">
            <v>16300000</v>
          </cell>
          <cell r="M83">
            <v>0</v>
          </cell>
        </row>
        <row r="84">
          <cell r="L84">
            <v>64680000</v>
          </cell>
        </row>
        <row r="85">
          <cell r="L85">
            <v>38000000</v>
          </cell>
          <cell r="M85">
            <v>0</v>
          </cell>
        </row>
        <row r="86">
          <cell r="L86">
            <v>0</v>
          </cell>
          <cell r="M86">
            <v>27150000</v>
          </cell>
        </row>
        <row r="87">
          <cell r="L87">
            <v>3960000</v>
          </cell>
          <cell r="M87">
            <v>0</v>
          </cell>
        </row>
        <row r="88">
          <cell r="L88">
            <v>0</v>
          </cell>
          <cell r="M88">
            <v>13860000</v>
          </cell>
        </row>
        <row r="89">
          <cell r="L89">
            <v>5480000</v>
          </cell>
          <cell r="M89">
            <v>0</v>
          </cell>
        </row>
        <row r="90">
          <cell r="L90">
            <v>113000</v>
          </cell>
          <cell r="M90">
            <v>0</v>
          </cell>
        </row>
        <row r="91">
          <cell r="L91">
            <v>18000000</v>
          </cell>
          <cell r="M91">
            <v>0</v>
          </cell>
        </row>
        <row r="92">
          <cell r="L92">
            <v>0</v>
          </cell>
          <cell r="M92">
            <v>2925000</v>
          </cell>
        </row>
        <row r="93">
          <cell r="L93">
            <v>0</v>
          </cell>
          <cell r="M93">
            <v>6180000</v>
          </cell>
        </row>
        <row r="94">
          <cell r="L94">
            <v>18800000</v>
          </cell>
          <cell r="M94">
            <v>10000000</v>
          </cell>
        </row>
        <row r="95">
          <cell r="L95">
            <v>0</v>
          </cell>
          <cell r="M95">
            <v>11250000</v>
          </cell>
        </row>
        <row r="96">
          <cell r="L96">
            <v>0</v>
          </cell>
          <cell r="M96">
            <v>24125000</v>
          </cell>
        </row>
        <row r="97">
          <cell r="L97">
            <v>13700000</v>
          </cell>
          <cell r="M97">
            <v>0</v>
          </cell>
        </row>
        <row r="98">
          <cell r="L98">
            <v>6475000</v>
          </cell>
          <cell r="M98">
            <v>0</v>
          </cell>
        </row>
        <row r="99">
          <cell r="L99">
            <v>55330000</v>
          </cell>
          <cell r="M99">
            <v>0</v>
          </cell>
        </row>
        <row r="100">
          <cell r="L100">
            <v>900000</v>
          </cell>
          <cell r="M100">
            <v>0</v>
          </cell>
        </row>
        <row r="101">
          <cell r="L101">
            <v>9700000</v>
          </cell>
          <cell r="M101">
            <v>0</v>
          </cell>
        </row>
        <row r="102">
          <cell r="L102">
            <v>2415000</v>
          </cell>
          <cell r="M102">
            <v>0</v>
          </cell>
        </row>
        <row r="103">
          <cell r="L103">
            <v>0</v>
          </cell>
          <cell r="M103">
            <v>5442000</v>
          </cell>
        </row>
        <row r="104">
          <cell r="L104">
            <v>14400000</v>
          </cell>
          <cell r="M104">
            <v>0</v>
          </cell>
        </row>
        <row r="105">
          <cell r="L105">
            <v>51634137</v>
          </cell>
          <cell r="M105">
            <v>0</v>
          </cell>
        </row>
        <row r="106">
          <cell r="L106">
            <v>0</v>
          </cell>
          <cell r="M106">
            <v>8100000</v>
          </cell>
        </row>
        <row r="107">
          <cell r="L107">
            <v>0</v>
          </cell>
          <cell r="M107">
            <v>54400000</v>
          </cell>
        </row>
        <row r="108">
          <cell r="L108">
            <v>5600000</v>
          </cell>
          <cell r="M108">
            <v>0</v>
          </cell>
        </row>
        <row r="109">
          <cell r="L109">
            <v>72150000</v>
          </cell>
          <cell r="M109">
            <v>0</v>
          </cell>
        </row>
        <row r="110">
          <cell r="L110">
            <v>8175000</v>
          </cell>
          <cell r="M110">
            <v>0</v>
          </cell>
        </row>
        <row r="111">
          <cell r="L111">
            <v>0</v>
          </cell>
          <cell r="M111">
            <v>7560000</v>
          </cell>
        </row>
        <row r="112">
          <cell r="L112">
            <v>0</v>
          </cell>
          <cell r="M112">
            <v>11340000</v>
          </cell>
        </row>
        <row r="113">
          <cell r="L113">
            <v>0</v>
          </cell>
          <cell r="M113">
            <v>0</v>
          </cell>
        </row>
        <row r="114">
          <cell r="L114">
            <v>0</v>
          </cell>
          <cell r="M114">
            <v>8362500</v>
          </cell>
        </row>
        <row r="115">
          <cell r="L115">
            <v>0</v>
          </cell>
          <cell r="M115">
            <v>63275000</v>
          </cell>
        </row>
        <row r="116">
          <cell r="L116">
            <v>374500</v>
          </cell>
          <cell r="M116">
            <v>64805500</v>
          </cell>
        </row>
        <row r="117">
          <cell r="L117">
            <v>4130000</v>
          </cell>
          <cell r="M117">
            <v>0</v>
          </cell>
        </row>
        <row r="118">
          <cell r="L118">
            <v>6529500</v>
          </cell>
          <cell r="M118">
            <v>0</v>
          </cell>
        </row>
        <row r="119">
          <cell r="L119">
            <v>2449750</v>
          </cell>
          <cell r="M119">
            <v>0</v>
          </cell>
        </row>
        <row r="120">
          <cell r="L120">
            <v>1800000</v>
          </cell>
          <cell r="M120">
            <v>0</v>
          </cell>
        </row>
        <row r="121">
          <cell r="L121">
            <v>0</v>
          </cell>
          <cell r="M121">
            <v>5700000</v>
          </cell>
        </row>
        <row r="122">
          <cell r="L122">
            <v>1560000</v>
          </cell>
          <cell r="M122">
            <v>0</v>
          </cell>
        </row>
        <row r="123">
          <cell r="L123">
            <v>0</v>
          </cell>
          <cell r="M123">
            <v>23680000</v>
          </cell>
        </row>
        <row r="124">
          <cell r="L124">
            <v>0</v>
          </cell>
          <cell r="M124">
            <v>68423000</v>
          </cell>
        </row>
        <row r="125">
          <cell r="L125">
            <v>9500000</v>
          </cell>
          <cell r="M125">
            <v>0</v>
          </cell>
        </row>
        <row r="126">
          <cell r="L126">
            <v>750000</v>
          </cell>
          <cell r="M126">
            <v>0</v>
          </cell>
        </row>
        <row r="127">
          <cell r="L127">
            <v>3640000</v>
          </cell>
          <cell r="M127">
            <v>0</v>
          </cell>
        </row>
        <row r="128">
          <cell r="L128">
            <v>26180000</v>
          </cell>
          <cell r="M128">
            <v>0</v>
          </cell>
        </row>
        <row r="129">
          <cell r="L129">
            <v>4080000</v>
          </cell>
          <cell r="M129">
            <v>0</v>
          </cell>
        </row>
        <row r="130">
          <cell r="L130">
            <v>17520000</v>
          </cell>
          <cell r="M130">
            <v>0</v>
          </cell>
        </row>
        <row r="131">
          <cell r="L131">
            <v>0</v>
          </cell>
          <cell r="M131">
            <v>980000</v>
          </cell>
        </row>
        <row r="132">
          <cell r="L132">
            <v>0</v>
          </cell>
          <cell r="M132">
            <v>10800000</v>
          </cell>
        </row>
        <row r="133">
          <cell r="L133">
            <v>0</v>
          </cell>
          <cell r="M133">
            <v>32430000</v>
          </cell>
        </row>
        <row r="134">
          <cell r="L134">
            <v>0</v>
          </cell>
          <cell r="M134">
            <v>35000000</v>
          </cell>
        </row>
        <row r="135">
          <cell r="L135">
            <v>0</v>
          </cell>
          <cell r="M135">
            <v>5360000</v>
          </cell>
        </row>
        <row r="136">
          <cell r="L136">
            <v>185600000</v>
          </cell>
          <cell r="M136">
            <v>0</v>
          </cell>
        </row>
        <row r="137">
          <cell r="L137">
            <v>11600000</v>
          </cell>
          <cell r="M137">
            <v>0</v>
          </cell>
        </row>
        <row r="138">
          <cell r="L138">
            <v>6250000</v>
          </cell>
          <cell r="M138">
            <v>0</v>
          </cell>
        </row>
        <row r="139">
          <cell r="L139">
            <v>34200000</v>
          </cell>
          <cell r="M139">
            <v>0</v>
          </cell>
        </row>
        <row r="140">
          <cell r="L140">
            <v>0</v>
          </cell>
          <cell r="M140">
            <v>2450000</v>
          </cell>
        </row>
        <row r="141">
          <cell r="L141">
            <v>0</v>
          </cell>
          <cell r="M141">
            <v>58000000</v>
          </cell>
        </row>
        <row r="142">
          <cell r="L142">
            <v>27880000</v>
          </cell>
          <cell r="M142">
            <v>0</v>
          </cell>
        </row>
        <row r="143">
          <cell r="L143">
            <v>3525000</v>
          </cell>
          <cell r="M143">
            <v>41475000</v>
          </cell>
        </row>
        <row r="144">
          <cell r="L144">
            <v>133000000</v>
          </cell>
          <cell r="M144">
            <v>0</v>
          </cell>
        </row>
        <row r="145">
          <cell r="L145">
            <v>9900000</v>
          </cell>
          <cell r="M145">
            <v>0</v>
          </cell>
        </row>
        <row r="146">
          <cell r="L146">
            <v>100355000</v>
          </cell>
          <cell r="M146">
            <v>0</v>
          </cell>
        </row>
        <row r="147">
          <cell r="L147">
            <v>15000000</v>
          </cell>
          <cell r="M147">
            <v>0</v>
          </cell>
        </row>
        <row r="148">
          <cell r="L148">
            <v>156000000</v>
          </cell>
          <cell r="M148">
            <v>0</v>
          </cell>
        </row>
        <row r="149">
          <cell r="L149">
            <v>133000000</v>
          </cell>
          <cell r="M149">
            <v>0</v>
          </cell>
        </row>
        <row r="150">
          <cell r="L150">
            <v>0</v>
          </cell>
          <cell r="M150">
            <v>0</v>
          </cell>
        </row>
        <row r="151">
          <cell r="L151">
            <v>0</v>
          </cell>
          <cell r="M151">
            <v>0</v>
          </cell>
        </row>
        <row r="152">
          <cell r="L152">
            <v>0</v>
          </cell>
          <cell r="M152">
            <v>0</v>
          </cell>
        </row>
        <row r="153">
          <cell r="L153">
            <v>0</v>
          </cell>
          <cell r="M153">
            <v>0</v>
          </cell>
        </row>
        <row r="154">
          <cell r="L154">
            <v>0</v>
          </cell>
          <cell r="M154">
            <v>0</v>
          </cell>
        </row>
        <row r="155">
          <cell r="L155">
            <v>0</v>
          </cell>
          <cell r="M155">
            <v>0</v>
          </cell>
        </row>
        <row r="156">
          <cell r="L156">
            <v>0</v>
          </cell>
          <cell r="M156">
            <v>0</v>
          </cell>
        </row>
        <row r="157">
          <cell r="L157">
            <v>0</v>
          </cell>
          <cell r="M157">
            <v>0</v>
          </cell>
        </row>
        <row r="158">
          <cell r="L158">
            <v>0</v>
          </cell>
          <cell r="M158">
            <v>0</v>
          </cell>
        </row>
        <row r="159">
          <cell r="L159">
            <v>0</v>
          </cell>
          <cell r="M159">
            <v>0</v>
          </cell>
        </row>
        <row r="160">
          <cell r="L160">
            <v>0</v>
          </cell>
          <cell r="M160">
            <v>0</v>
          </cell>
        </row>
        <row r="161">
          <cell r="L161">
            <v>0</v>
          </cell>
          <cell r="M161">
            <v>0</v>
          </cell>
        </row>
        <row r="162">
          <cell r="L162">
            <v>0</v>
          </cell>
          <cell r="M162">
            <v>0</v>
          </cell>
        </row>
        <row r="163">
          <cell r="L163">
            <v>0</v>
          </cell>
          <cell r="M163">
            <v>0</v>
          </cell>
        </row>
        <row r="164">
          <cell r="L164">
            <v>0</v>
          </cell>
          <cell r="M164">
            <v>0</v>
          </cell>
        </row>
        <row r="165">
          <cell r="L165">
            <v>0</v>
          </cell>
          <cell r="M165">
            <v>0</v>
          </cell>
        </row>
        <row r="166">
          <cell r="L166">
            <v>0</v>
          </cell>
          <cell r="M166">
            <v>0</v>
          </cell>
        </row>
        <row r="167">
          <cell r="L167">
            <v>0</v>
          </cell>
          <cell r="M167">
            <v>0</v>
          </cell>
        </row>
        <row r="168">
          <cell r="L168">
            <v>0</v>
          </cell>
          <cell r="M168">
            <v>0</v>
          </cell>
        </row>
        <row r="169">
          <cell r="L169">
            <v>0</v>
          </cell>
          <cell r="M169">
            <v>0</v>
          </cell>
        </row>
        <row r="170">
          <cell r="L170">
            <v>0</v>
          </cell>
          <cell r="M170">
            <v>0</v>
          </cell>
        </row>
        <row r="171">
          <cell r="L171">
            <v>0</v>
          </cell>
          <cell r="M171">
            <v>0</v>
          </cell>
        </row>
        <row r="172">
          <cell r="L172">
            <v>0</v>
          </cell>
          <cell r="M172">
            <v>0</v>
          </cell>
        </row>
        <row r="173">
          <cell r="L173">
            <v>0</v>
          </cell>
          <cell r="M173">
            <v>0</v>
          </cell>
        </row>
        <row r="174">
          <cell r="L174">
            <v>0</v>
          </cell>
          <cell r="M174">
            <v>0</v>
          </cell>
        </row>
        <row r="175">
          <cell r="L175">
            <v>0</v>
          </cell>
          <cell r="M175">
            <v>0</v>
          </cell>
        </row>
        <row r="176">
          <cell r="L176">
            <v>0</v>
          </cell>
          <cell r="M176">
            <v>0</v>
          </cell>
        </row>
        <row r="177">
          <cell r="L177">
            <v>0</v>
          </cell>
          <cell r="M177">
            <v>0</v>
          </cell>
        </row>
        <row r="178">
          <cell r="L178">
            <v>0</v>
          </cell>
          <cell r="M178">
            <v>0</v>
          </cell>
        </row>
        <row r="179">
          <cell r="L179">
            <v>0</v>
          </cell>
          <cell r="M179">
            <v>0</v>
          </cell>
        </row>
        <row r="180">
          <cell r="L180">
            <v>0</v>
          </cell>
          <cell r="M180">
            <v>0</v>
          </cell>
        </row>
        <row r="181">
          <cell r="L181">
            <v>0</v>
          </cell>
          <cell r="M181">
            <v>0</v>
          </cell>
        </row>
        <row r="182">
          <cell r="L182">
            <v>0</v>
          </cell>
          <cell r="M182">
            <v>0</v>
          </cell>
        </row>
        <row r="183">
          <cell r="L183">
            <v>0</v>
          </cell>
          <cell r="M183">
            <v>0</v>
          </cell>
        </row>
        <row r="184">
          <cell r="L184">
            <v>0</v>
          </cell>
          <cell r="M184">
            <v>0</v>
          </cell>
        </row>
        <row r="185">
          <cell r="L185">
            <v>0</v>
          </cell>
          <cell r="M185">
            <v>0</v>
          </cell>
        </row>
        <row r="186">
          <cell r="L186">
            <v>0</v>
          </cell>
          <cell r="M186">
            <v>0</v>
          </cell>
        </row>
        <row r="187">
          <cell r="L187">
            <v>0</v>
          </cell>
          <cell r="M187">
            <v>0</v>
          </cell>
        </row>
        <row r="188">
          <cell r="L188">
            <v>0</v>
          </cell>
          <cell r="M188">
            <v>0</v>
          </cell>
        </row>
        <row r="189">
          <cell r="L189">
            <v>0</v>
          </cell>
          <cell r="M189">
            <v>0</v>
          </cell>
        </row>
        <row r="190">
          <cell r="L190">
            <v>0</v>
          </cell>
          <cell r="M190">
            <v>0</v>
          </cell>
        </row>
        <row r="191">
          <cell r="L191">
            <v>0</v>
          </cell>
          <cell r="M191">
            <v>0</v>
          </cell>
        </row>
        <row r="192">
          <cell r="L192">
            <v>0</v>
          </cell>
          <cell r="M192">
            <v>0</v>
          </cell>
        </row>
        <row r="193">
          <cell r="L193">
            <v>0</v>
          </cell>
          <cell r="M193">
            <v>0</v>
          </cell>
        </row>
        <row r="194">
          <cell r="L194">
            <v>0</v>
          </cell>
          <cell r="M194">
            <v>0</v>
          </cell>
        </row>
        <row r="195">
          <cell r="L195">
            <v>0</v>
          </cell>
          <cell r="M195">
            <v>0</v>
          </cell>
        </row>
        <row r="196">
          <cell r="L196">
            <v>0</v>
          </cell>
          <cell r="M196">
            <v>0</v>
          </cell>
        </row>
        <row r="197">
          <cell r="L197">
            <v>0</v>
          </cell>
          <cell r="M197">
            <v>0</v>
          </cell>
        </row>
        <row r="198">
          <cell r="L198">
            <v>0</v>
          </cell>
          <cell r="M198">
            <v>0</v>
          </cell>
        </row>
        <row r="199">
          <cell r="L199">
            <v>0</v>
          </cell>
          <cell r="M199">
            <v>0</v>
          </cell>
        </row>
        <row r="200">
          <cell r="L200">
            <v>0</v>
          </cell>
          <cell r="M200">
            <v>0</v>
          </cell>
        </row>
        <row r="201">
          <cell r="L201">
            <v>0</v>
          </cell>
          <cell r="M201">
            <v>0</v>
          </cell>
        </row>
        <row r="202">
          <cell r="L202">
            <v>0</v>
          </cell>
          <cell r="M202">
            <v>0</v>
          </cell>
        </row>
        <row r="203">
          <cell r="L203">
            <v>0</v>
          </cell>
          <cell r="M203">
            <v>0</v>
          </cell>
        </row>
        <row r="204">
          <cell r="L204">
            <v>0</v>
          </cell>
          <cell r="M204">
            <v>0</v>
          </cell>
        </row>
        <row r="205">
          <cell r="L205">
            <v>0</v>
          </cell>
          <cell r="M205">
            <v>0</v>
          </cell>
        </row>
        <row r="206">
          <cell r="L206">
            <v>0</v>
          </cell>
          <cell r="M206">
            <v>0</v>
          </cell>
        </row>
        <row r="207">
          <cell r="L207">
            <v>0</v>
          </cell>
          <cell r="M207">
            <v>0</v>
          </cell>
        </row>
        <row r="208">
          <cell r="L208">
            <v>0</v>
          </cell>
          <cell r="M208">
            <v>0</v>
          </cell>
        </row>
        <row r="209">
          <cell r="L209">
            <v>0</v>
          </cell>
          <cell r="M209">
            <v>0</v>
          </cell>
        </row>
        <row r="210">
          <cell r="L210">
            <v>0</v>
          </cell>
          <cell r="M210">
            <v>0</v>
          </cell>
        </row>
        <row r="211">
          <cell r="L211">
            <v>0</v>
          </cell>
          <cell r="M211">
            <v>0</v>
          </cell>
        </row>
        <row r="212">
          <cell r="L212">
            <v>0</v>
          </cell>
          <cell r="M212">
            <v>0</v>
          </cell>
        </row>
        <row r="213">
          <cell r="L213">
            <v>0</v>
          </cell>
          <cell r="M213">
            <v>0</v>
          </cell>
        </row>
        <row r="214">
          <cell r="L214">
            <v>0</v>
          </cell>
          <cell r="M214">
            <v>0</v>
          </cell>
        </row>
        <row r="215">
          <cell r="L215">
            <v>0</v>
          </cell>
          <cell r="M215">
            <v>0</v>
          </cell>
        </row>
        <row r="216">
          <cell r="L216">
            <v>0</v>
          </cell>
          <cell r="M216">
            <v>0</v>
          </cell>
        </row>
        <row r="217">
          <cell r="L217">
            <v>0</v>
          </cell>
          <cell r="M217">
            <v>0</v>
          </cell>
        </row>
        <row r="218">
          <cell r="L218">
            <v>0</v>
          </cell>
          <cell r="M218">
            <v>0</v>
          </cell>
        </row>
        <row r="219">
          <cell r="L219">
            <v>0</v>
          </cell>
          <cell r="M219">
            <v>0</v>
          </cell>
        </row>
        <row r="220">
          <cell r="L220">
            <v>0</v>
          </cell>
          <cell r="M220">
            <v>0</v>
          </cell>
        </row>
        <row r="221">
          <cell r="L221">
            <v>0</v>
          </cell>
          <cell r="M221">
            <v>0</v>
          </cell>
        </row>
        <row r="222">
          <cell r="L222">
            <v>0</v>
          </cell>
          <cell r="M222">
            <v>0</v>
          </cell>
        </row>
        <row r="223">
          <cell r="L223">
            <v>0</v>
          </cell>
          <cell r="M223">
            <v>0</v>
          </cell>
        </row>
        <row r="224">
          <cell r="L224">
            <v>0</v>
          </cell>
          <cell r="M224">
            <v>0</v>
          </cell>
        </row>
        <row r="225">
          <cell r="L225">
            <v>0</v>
          </cell>
          <cell r="M225">
            <v>0</v>
          </cell>
        </row>
        <row r="226">
          <cell r="L226">
            <v>0</v>
          </cell>
          <cell r="M226">
            <v>0</v>
          </cell>
        </row>
        <row r="227">
          <cell r="L227">
            <v>0</v>
          </cell>
          <cell r="M227">
            <v>0</v>
          </cell>
        </row>
        <row r="228">
          <cell r="L228">
            <v>0</v>
          </cell>
          <cell r="M228">
            <v>0</v>
          </cell>
        </row>
        <row r="229">
          <cell r="L229">
            <v>0</v>
          </cell>
          <cell r="M229">
            <v>0</v>
          </cell>
        </row>
        <row r="230">
          <cell r="L230">
            <v>0</v>
          </cell>
          <cell r="M230">
            <v>0</v>
          </cell>
        </row>
        <row r="231">
          <cell r="L231">
            <v>0</v>
          </cell>
          <cell r="M231">
            <v>0</v>
          </cell>
        </row>
        <row r="232">
          <cell r="L232">
            <v>0</v>
          </cell>
          <cell r="M232">
            <v>0</v>
          </cell>
        </row>
        <row r="233">
          <cell r="L233">
            <v>0</v>
          </cell>
          <cell r="M233">
            <v>0</v>
          </cell>
        </row>
        <row r="234">
          <cell r="L234">
            <v>0</v>
          </cell>
          <cell r="M234">
            <v>0</v>
          </cell>
        </row>
        <row r="235">
          <cell r="L235">
            <v>0</v>
          </cell>
          <cell r="M235">
            <v>0</v>
          </cell>
        </row>
        <row r="236">
          <cell r="L236">
            <v>0</v>
          </cell>
          <cell r="M236">
            <v>0</v>
          </cell>
        </row>
        <row r="237">
          <cell r="L237">
            <v>0</v>
          </cell>
          <cell r="M237">
            <v>0</v>
          </cell>
        </row>
        <row r="238">
          <cell r="L238">
            <v>0</v>
          </cell>
          <cell r="M238">
            <v>0</v>
          </cell>
        </row>
        <row r="239">
          <cell r="L239">
            <v>0</v>
          </cell>
          <cell r="M239">
            <v>0</v>
          </cell>
        </row>
        <row r="240">
          <cell r="L240">
            <v>0</v>
          </cell>
          <cell r="M240">
            <v>0</v>
          </cell>
        </row>
        <row r="241">
          <cell r="L241">
            <v>0</v>
          </cell>
          <cell r="M241">
            <v>0</v>
          </cell>
        </row>
        <row r="242">
          <cell r="L242">
            <v>0</v>
          </cell>
          <cell r="M242">
            <v>0</v>
          </cell>
        </row>
        <row r="243">
          <cell r="L243">
            <v>0</v>
          </cell>
          <cell r="M243">
            <v>0</v>
          </cell>
        </row>
        <row r="244">
          <cell r="L244">
            <v>0</v>
          </cell>
          <cell r="M244">
            <v>0</v>
          </cell>
        </row>
        <row r="245">
          <cell r="L245">
            <v>0</v>
          </cell>
          <cell r="M245">
            <v>0</v>
          </cell>
        </row>
        <row r="246">
          <cell r="L246">
            <v>0</v>
          </cell>
          <cell r="M246">
            <v>0</v>
          </cell>
        </row>
        <row r="247">
          <cell r="L247">
            <v>0</v>
          </cell>
          <cell r="M247">
            <v>0</v>
          </cell>
        </row>
        <row r="248">
          <cell r="L248">
            <v>0</v>
          </cell>
          <cell r="M248">
            <v>0</v>
          </cell>
        </row>
        <row r="249">
          <cell r="L249">
            <v>0</v>
          </cell>
          <cell r="M249">
            <v>0</v>
          </cell>
        </row>
        <row r="250">
          <cell r="L250">
            <v>0</v>
          </cell>
          <cell r="M250">
            <v>0</v>
          </cell>
        </row>
        <row r="251">
          <cell r="L251">
            <v>0</v>
          </cell>
          <cell r="M251">
            <v>0</v>
          </cell>
        </row>
        <row r="252">
          <cell r="L252">
            <v>0</v>
          </cell>
          <cell r="M252">
            <v>0</v>
          </cell>
        </row>
        <row r="253">
          <cell r="L253">
            <v>0</v>
          </cell>
          <cell r="M253">
            <v>0</v>
          </cell>
        </row>
        <row r="254">
          <cell r="L254">
            <v>0</v>
          </cell>
          <cell r="M254">
            <v>0</v>
          </cell>
        </row>
        <row r="255">
          <cell r="L255">
            <v>0</v>
          </cell>
          <cell r="M255">
            <v>0</v>
          </cell>
        </row>
        <row r="256">
          <cell r="L256">
            <v>0</v>
          </cell>
          <cell r="M256">
            <v>0</v>
          </cell>
        </row>
        <row r="257">
          <cell r="L257">
            <v>0</v>
          </cell>
          <cell r="M257">
            <v>0</v>
          </cell>
        </row>
        <row r="258">
          <cell r="L258">
            <v>0</v>
          </cell>
          <cell r="M258">
            <v>0</v>
          </cell>
        </row>
        <row r="259">
          <cell r="L259">
            <v>0</v>
          </cell>
          <cell r="M259">
            <v>0</v>
          </cell>
        </row>
        <row r="260">
          <cell r="L260">
            <v>0</v>
          </cell>
          <cell r="M260">
            <v>0</v>
          </cell>
        </row>
        <row r="261">
          <cell r="L261">
            <v>0</v>
          </cell>
          <cell r="M261">
            <v>0</v>
          </cell>
        </row>
        <row r="262">
          <cell r="L262">
            <v>0</v>
          </cell>
          <cell r="M262">
            <v>0</v>
          </cell>
        </row>
        <row r="263">
          <cell r="L263">
            <v>0</v>
          </cell>
          <cell r="M263">
            <v>0</v>
          </cell>
        </row>
        <row r="264">
          <cell r="L264">
            <v>0</v>
          </cell>
          <cell r="M264">
            <v>0</v>
          </cell>
        </row>
        <row r="265">
          <cell r="L265">
            <v>0</v>
          </cell>
          <cell r="M265">
            <v>0</v>
          </cell>
        </row>
        <row r="266">
          <cell r="L266">
            <v>0</v>
          </cell>
          <cell r="M266">
            <v>0</v>
          </cell>
        </row>
        <row r="267">
          <cell r="L267">
            <v>0</v>
          </cell>
          <cell r="M267">
            <v>0</v>
          </cell>
        </row>
        <row r="268">
          <cell r="L268">
            <v>0</v>
          </cell>
          <cell r="M268">
            <v>0</v>
          </cell>
        </row>
        <row r="269">
          <cell r="L269">
            <v>0</v>
          </cell>
          <cell r="M269">
            <v>0</v>
          </cell>
        </row>
        <row r="270">
          <cell r="L270">
            <v>0</v>
          </cell>
          <cell r="M270">
            <v>0</v>
          </cell>
        </row>
        <row r="271">
          <cell r="L271">
            <v>0</v>
          </cell>
          <cell r="M271">
            <v>0</v>
          </cell>
        </row>
        <row r="272">
          <cell r="L272">
            <v>0</v>
          </cell>
          <cell r="M272">
            <v>0</v>
          </cell>
        </row>
        <row r="273">
          <cell r="L273">
            <v>0</v>
          </cell>
          <cell r="M273">
            <v>0</v>
          </cell>
        </row>
        <row r="274">
          <cell r="L274">
            <v>0</v>
          </cell>
          <cell r="M274">
            <v>0</v>
          </cell>
        </row>
        <row r="275">
          <cell r="L275">
            <v>0</v>
          </cell>
          <cell r="M275">
            <v>0</v>
          </cell>
        </row>
        <row r="276">
          <cell r="L276">
            <v>0</v>
          </cell>
          <cell r="M276">
            <v>0</v>
          </cell>
        </row>
        <row r="277">
          <cell r="L277">
            <v>0</v>
          </cell>
          <cell r="M277">
            <v>0</v>
          </cell>
        </row>
        <row r="278">
          <cell r="L278">
            <v>0</v>
          </cell>
          <cell r="M278">
            <v>0</v>
          </cell>
        </row>
        <row r="279">
          <cell r="L279">
            <v>0</v>
          </cell>
          <cell r="M279">
            <v>0</v>
          </cell>
        </row>
        <row r="280">
          <cell r="L280">
            <v>0</v>
          </cell>
          <cell r="M280">
            <v>0</v>
          </cell>
        </row>
        <row r="281">
          <cell r="L281">
            <v>0</v>
          </cell>
          <cell r="M281">
            <v>0</v>
          </cell>
        </row>
        <row r="282">
          <cell r="L282">
            <v>0</v>
          </cell>
          <cell r="M282">
            <v>0</v>
          </cell>
        </row>
        <row r="283">
          <cell r="L283">
            <v>0</v>
          </cell>
          <cell r="M283">
            <v>0</v>
          </cell>
        </row>
        <row r="284">
          <cell r="L284">
            <v>0</v>
          </cell>
          <cell r="M284">
            <v>0</v>
          </cell>
        </row>
        <row r="285">
          <cell r="L285">
            <v>0</v>
          </cell>
          <cell r="M285">
            <v>0</v>
          </cell>
        </row>
        <row r="286">
          <cell r="L286">
            <v>0</v>
          </cell>
          <cell r="M286">
            <v>0</v>
          </cell>
        </row>
        <row r="287">
          <cell r="L287">
            <v>0</v>
          </cell>
          <cell r="M287">
            <v>0</v>
          </cell>
        </row>
        <row r="288">
          <cell r="L288">
            <v>0</v>
          </cell>
          <cell r="M288">
            <v>0</v>
          </cell>
        </row>
        <row r="289">
          <cell r="L289">
            <v>0</v>
          </cell>
          <cell r="M289">
            <v>0</v>
          </cell>
        </row>
        <row r="290">
          <cell r="L290">
            <v>0</v>
          </cell>
          <cell r="M290">
            <v>0</v>
          </cell>
        </row>
        <row r="291">
          <cell r="L291">
            <v>0</v>
          </cell>
          <cell r="M291">
            <v>0</v>
          </cell>
        </row>
        <row r="292">
          <cell r="L292">
            <v>0</v>
          </cell>
          <cell r="M292">
            <v>0</v>
          </cell>
        </row>
        <row r="293">
          <cell r="L293">
            <v>0</v>
          </cell>
          <cell r="M293">
            <v>0</v>
          </cell>
        </row>
        <row r="294">
          <cell r="L294">
            <v>0</v>
          </cell>
          <cell r="M294">
            <v>0</v>
          </cell>
        </row>
        <row r="295">
          <cell r="L295">
            <v>0</v>
          </cell>
          <cell r="M295">
            <v>0</v>
          </cell>
        </row>
        <row r="296">
          <cell r="L296">
            <v>0</v>
          </cell>
          <cell r="M296">
            <v>0</v>
          </cell>
        </row>
        <row r="297">
          <cell r="L297">
            <v>0</v>
          </cell>
          <cell r="M297">
            <v>0</v>
          </cell>
        </row>
        <row r="298">
          <cell r="L298">
            <v>0</v>
          </cell>
          <cell r="M298">
            <v>0</v>
          </cell>
        </row>
        <row r="299">
          <cell r="L299">
            <v>0</v>
          </cell>
          <cell r="M299">
            <v>0</v>
          </cell>
        </row>
        <row r="300">
          <cell r="L300">
            <v>0</v>
          </cell>
          <cell r="M300">
            <v>0</v>
          </cell>
        </row>
        <row r="301">
          <cell r="L301">
            <v>0</v>
          </cell>
          <cell r="M301">
            <v>0</v>
          </cell>
        </row>
        <row r="302">
          <cell r="L302">
            <v>0</v>
          </cell>
          <cell r="M302">
            <v>0</v>
          </cell>
        </row>
        <row r="303">
          <cell r="L303">
            <v>0</v>
          </cell>
          <cell r="M303">
            <v>0</v>
          </cell>
        </row>
        <row r="304">
          <cell r="L304">
            <v>0</v>
          </cell>
          <cell r="M304">
            <v>0</v>
          </cell>
        </row>
        <row r="305">
          <cell r="L305">
            <v>0</v>
          </cell>
          <cell r="M305">
            <v>0</v>
          </cell>
        </row>
        <row r="306">
          <cell r="L306">
            <v>0</v>
          </cell>
          <cell r="M306">
            <v>0</v>
          </cell>
        </row>
        <row r="307">
          <cell r="L307">
            <v>0</v>
          </cell>
          <cell r="M307">
            <v>0</v>
          </cell>
        </row>
        <row r="308">
          <cell r="L308">
            <v>0</v>
          </cell>
          <cell r="M308">
            <v>0</v>
          </cell>
        </row>
        <row r="309">
          <cell r="L309">
            <v>0</v>
          </cell>
          <cell r="M309">
            <v>0</v>
          </cell>
        </row>
        <row r="310">
          <cell r="L310">
            <v>0</v>
          </cell>
          <cell r="M310">
            <v>0</v>
          </cell>
        </row>
        <row r="311">
          <cell r="L311">
            <v>0</v>
          </cell>
          <cell r="M311">
            <v>0</v>
          </cell>
        </row>
        <row r="312">
          <cell r="L312">
            <v>0</v>
          </cell>
          <cell r="M312">
            <v>0</v>
          </cell>
        </row>
        <row r="313">
          <cell r="L313">
            <v>0</v>
          </cell>
          <cell r="M313">
            <v>0</v>
          </cell>
        </row>
        <row r="314">
          <cell r="L314">
            <v>0</v>
          </cell>
          <cell r="M314">
            <v>0</v>
          </cell>
        </row>
        <row r="315">
          <cell r="L315">
            <v>0</v>
          </cell>
          <cell r="M315">
            <v>0</v>
          </cell>
        </row>
        <row r="316">
          <cell r="L316">
            <v>0</v>
          </cell>
          <cell r="M316">
            <v>0</v>
          </cell>
        </row>
        <row r="317">
          <cell r="L317">
            <v>0</v>
          </cell>
          <cell r="M317">
            <v>0</v>
          </cell>
        </row>
        <row r="318">
          <cell r="L318">
            <v>0</v>
          </cell>
          <cell r="M318">
            <v>0</v>
          </cell>
        </row>
        <row r="319">
          <cell r="L319">
            <v>0</v>
          </cell>
          <cell r="M319">
            <v>0</v>
          </cell>
        </row>
        <row r="320">
          <cell r="L320">
            <v>0</v>
          </cell>
          <cell r="M320">
            <v>0</v>
          </cell>
        </row>
        <row r="321">
          <cell r="L321">
            <v>0</v>
          </cell>
          <cell r="M321">
            <v>0</v>
          </cell>
        </row>
        <row r="322">
          <cell r="L322">
            <v>0</v>
          </cell>
          <cell r="M322">
            <v>0</v>
          </cell>
        </row>
        <row r="323">
          <cell r="L323">
            <v>0</v>
          </cell>
          <cell r="M323">
            <v>0</v>
          </cell>
        </row>
        <row r="324">
          <cell r="L324">
            <v>0</v>
          </cell>
          <cell r="M324">
            <v>0</v>
          </cell>
        </row>
        <row r="325">
          <cell r="L325">
            <v>0</v>
          </cell>
          <cell r="M325">
            <v>0</v>
          </cell>
        </row>
        <row r="326">
          <cell r="L326">
            <v>0</v>
          </cell>
          <cell r="M326">
            <v>0</v>
          </cell>
        </row>
        <row r="327">
          <cell r="L327">
            <v>0</v>
          </cell>
          <cell r="M327">
            <v>0</v>
          </cell>
        </row>
        <row r="328">
          <cell r="L328">
            <v>0</v>
          </cell>
          <cell r="M328">
            <v>0</v>
          </cell>
        </row>
        <row r="329">
          <cell r="L329">
            <v>0</v>
          </cell>
          <cell r="M329">
            <v>0</v>
          </cell>
        </row>
        <row r="330">
          <cell r="L330">
            <v>0</v>
          </cell>
          <cell r="M330">
            <v>0</v>
          </cell>
        </row>
        <row r="331">
          <cell r="L331">
            <v>0</v>
          </cell>
          <cell r="M331">
            <v>0</v>
          </cell>
        </row>
        <row r="332">
          <cell r="L332">
            <v>0</v>
          </cell>
          <cell r="M332">
            <v>0</v>
          </cell>
        </row>
        <row r="333">
          <cell r="L333">
            <v>0</v>
          </cell>
          <cell r="M333">
            <v>0</v>
          </cell>
        </row>
        <row r="334">
          <cell r="L334">
            <v>0</v>
          </cell>
          <cell r="M334">
            <v>0</v>
          </cell>
        </row>
        <row r="335">
          <cell r="L335">
            <v>0</v>
          </cell>
          <cell r="M335">
            <v>0</v>
          </cell>
        </row>
        <row r="336">
          <cell r="L336">
            <v>0</v>
          </cell>
          <cell r="M336">
            <v>0</v>
          </cell>
        </row>
        <row r="337">
          <cell r="L337">
            <v>0</v>
          </cell>
          <cell r="M337">
            <v>0</v>
          </cell>
        </row>
        <row r="338">
          <cell r="L338">
            <v>0</v>
          </cell>
          <cell r="M338">
            <v>0</v>
          </cell>
        </row>
        <row r="339">
          <cell r="L339">
            <v>0</v>
          </cell>
          <cell r="M339">
            <v>0</v>
          </cell>
        </row>
        <row r="340">
          <cell r="L340">
            <v>0</v>
          </cell>
          <cell r="M340">
            <v>0</v>
          </cell>
        </row>
        <row r="341">
          <cell r="L341">
            <v>0</v>
          </cell>
          <cell r="M341">
            <v>0</v>
          </cell>
        </row>
        <row r="342">
          <cell r="L342">
            <v>0</v>
          </cell>
          <cell r="M342">
            <v>0</v>
          </cell>
        </row>
        <row r="343">
          <cell r="L343">
            <v>0</v>
          </cell>
          <cell r="M343">
            <v>0</v>
          </cell>
        </row>
        <row r="344">
          <cell r="L344">
            <v>0</v>
          </cell>
          <cell r="M344">
            <v>0</v>
          </cell>
        </row>
        <row r="345">
          <cell r="L345">
            <v>0</v>
          </cell>
          <cell r="M345">
            <v>0</v>
          </cell>
        </row>
        <row r="346">
          <cell r="L346">
            <v>0</v>
          </cell>
          <cell r="M346">
            <v>0</v>
          </cell>
        </row>
        <row r="347">
          <cell r="L347">
            <v>0</v>
          </cell>
          <cell r="M347">
            <v>0</v>
          </cell>
        </row>
        <row r="348">
          <cell r="L348">
            <v>0</v>
          </cell>
          <cell r="M348">
            <v>0</v>
          </cell>
        </row>
        <row r="349">
          <cell r="L349">
            <v>0</v>
          </cell>
          <cell r="M349">
            <v>0</v>
          </cell>
        </row>
        <row r="350">
          <cell r="L350">
            <v>0</v>
          </cell>
          <cell r="M350">
            <v>0</v>
          </cell>
        </row>
        <row r="351">
          <cell r="L351">
            <v>0</v>
          </cell>
          <cell r="M351">
            <v>0</v>
          </cell>
        </row>
        <row r="352">
          <cell r="L352">
            <v>0</v>
          </cell>
          <cell r="M352">
            <v>0</v>
          </cell>
        </row>
        <row r="353">
          <cell r="L353">
            <v>0</v>
          </cell>
          <cell r="M353">
            <v>0</v>
          </cell>
        </row>
        <row r="354">
          <cell r="L354">
            <v>0</v>
          </cell>
          <cell r="M354">
            <v>0</v>
          </cell>
        </row>
        <row r="355">
          <cell r="L355">
            <v>0</v>
          </cell>
          <cell r="M355">
            <v>0</v>
          </cell>
        </row>
        <row r="356">
          <cell r="L356">
            <v>0</v>
          </cell>
          <cell r="M356">
            <v>0</v>
          </cell>
        </row>
        <row r="357">
          <cell r="L357">
            <v>0</v>
          </cell>
          <cell r="M357">
            <v>0</v>
          </cell>
        </row>
        <row r="358">
          <cell r="L358">
            <v>0</v>
          </cell>
          <cell r="M358">
            <v>0</v>
          </cell>
        </row>
        <row r="359">
          <cell r="L359">
            <v>0</v>
          </cell>
          <cell r="M359">
            <v>0</v>
          </cell>
        </row>
        <row r="360">
          <cell r="L360">
            <v>0</v>
          </cell>
          <cell r="M360">
            <v>0</v>
          </cell>
        </row>
        <row r="361">
          <cell r="L361">
            <v>0</v>
          </cell>
          <cell r="M361">
            <v>0</v>
          </cell>
        </row>
        <row r="362">
          <cell r="L362">
            <v>0</v>
          </cell>
          <cell r="M362">
            <v>0</v>
          </cell>
        </row>
        <row r="363">
          <cell r="L363">
            <v>0</v>
          </cell>
          <cell r="M363">
            <v>0</v>
          </cell>
        </row>
        <row r="364">
          <cell r="L364">
            <v>0</v>
          </cell>
          <cell r="M364">
            <v>0</v>
          </cell>
        </row>
        <row r="365">
          <cell r="L365">
            <v>0</v>
          </cell>
          <cell r="M365">
            <v>0</v>
          </cell>
        </row>
        <row r="366">
          <cell r="L366">
            <v>0</v>
          </cell>
          <cell r="M366">
            <v>0</v>
          </cell>
        </row>
        <row r="367">
          <cell r="L367">
            <v>0</v>
          </cell>
          <cell r="M367">
            <v>0</v>
          </cell>
        </row>
        <row r="368">
          <cell r="L368">
            <v>0</v>
          </cell>
          <cell r="M368">
            <v>0</v>
          </cell>
        </row>
        <row r="369">
          <cell r="L369">
            <v>0</v>
          </cell>
          <cell r="M369">
            <v>0</v>
          </cell>
        </row>
        <row r="370">
          <cell r="L370">
            <v>0</v>
          </cell>
          <cell r="M370">
            <v>0</v>
          </cell>
        </row>
        <row r="371">
          <cell r="L371">
            <v>0</v>
          </cell>
          <cell r="M371">
            <v>0</v>
          </cell>
        </row>
        <row r="372">
          <cell r="L372">
            <v>0</v>
          </cell>
          <cell r="M372">
            <v>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 refreshError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D26001399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D26001405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B26001728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B26001887</v>
          </cell>
          <cell r="AP12">
            <v>0</v>
          </cell>
          <cell r="AQ12">
            <v>0</v>
          </cell>
          <cell r="AV12">
            <v>6557500</v>
          </cell>
        </row>
        <row r="13">
          <cell r="E13" t="str">
            <v>B26001888</v>
          </cell>
          <cell r="AP13">
            <v>0</v>
          </cell>
          <cell r="AQ13">
            <v>0</v>
          </cell>
          <cell r="AV13">
            <v>1092500</v>
          </cell>
        </row>
        <row r="14">
          <cell r="E14" t="str">
            <v>B26001402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D26000442</v>
          </cell>
          <cell r="AP15">
            <v>0</v>
          </cell>
          <cell r="AQ15">
            <v>0</v>
          </cell>
          <cell r="AV15">
            <v>8640000</v>
          </cell>
        </row>
        <row r="16">
          <cell r="E16" t="str">
            <v>D26000735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D26000961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D26001043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D26001257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D26001258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B26001582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B26001651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B26002060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D26002172</v>
          </cell>
          <cell r="AP24">
            <v>0</v>
          </cell>
          <cell r="AQ24">
            <v>0</v>
          </cell>
          <cell r="AV24">
            <v>0</v>
          </cell>
        </row>
        <row r="25">
          <cell r="E25" t="str">
            <v>D25013604</v>
          </cell>
          <cell r="AP25">
            <v>0</v>
          </cell>
          <cell r="AQ25">
            <v>0</v>
          </cell>
          <cell r="AV25">
            <v>10000000</v>
          </cell>
        </row>
        <row r="26">
          <cell r="E26" t="str">
            <v>B25015898</v>
          </cell>
          <cell r="AP26">
            <v>0</v>
          </cell>
          <cell r="AQ26">
            <v>0</v>
          </cell>
          <cell r="AV26">
            <v>28420000</v>
          </cell>
        </row>
        <row r="27">
          <cell r="E27" t="str">
            <v>D25019533</v>
          </cell>
          <cell r="AP27">
            <v>0</v>
          </cell>
          <cell r="AQ27">
            <v>0</v>
          </cell>
          <cell r="AV27">
            <v>20250000</v>
          </cell>
        </row>
        <row r="28">
          <cell r="E28" t="str">
            <v>B25017054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B25017068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B26000149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D26001878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B26001775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D25018816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B26000698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T26000040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T25000266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B25013635</v>
          </cell>
          <cell r="AP37">
            <v>0</v>
          </cell>
          <cell r="AQ37">
            <v>0</v>
          </cell>
          <cell r="AV37">
            <v>2000000</v>
          </cell>
        </row>
        <row r="38">
          <cell r="E38" t="str">
            <v>B25013636</v>
          </cell>
          <cell r="AP38">
            <v>0</v>
          </cell>
          <cell r="AQ38">
            <v>0</v>
          </cell>
          <cell r="AV38">
            <v>1000000</v>
          </cell>
        </row>
        <row r="39">
          <cell r="E39" t="str">
            <v>D25016962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B25016685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B26000153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B26002238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B26002239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D26002320</v>
          </cell>
          <cell r="AP44">
            <v>0</v>
          </cell>
          <cell r="AQ44">
            <v>0</v>
          </cell>
          <cell r="AV44">
            <v>13500000</v>
          </cell>
        </row>
        <row r="45">
          <cell r="E45" t="str">
            <v>B26001983</v>
          </cell>
          <cell r="AP45">
            <v>0</v>
          </cell>
          <cell r="AQ45">
            <v>0</v>
          </cell>
          <cell r="AV45">
            <v>1462500</v>
          </cell>
        </row>
        <row r="46">
          <cell r="E46" t="str">
            <v>R25000092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D26001073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D26001074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D26001946</v>
          </cell>
          <cell r="AP49">
            <v>0</v>
          </cell>
          <cell r="AQ49">
            <v>0</v>
          </cell>
          <cell r="AV49">
            <v>46000000</v>
          </cell>
        </row>
        <row r="50">
          <cell r="E50" t="str">
            <v>B25016283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B25016284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D26001142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D26000437</v>
          </cell>
          <cell r="AP53">
            <v>0</v>
          </cell>
          <cell r="AQ53">
            <v>0</v>
          </cell>
          <cell r="AV53">
            <v>24920000</v>
          </cell>
        </row>
        <row r="54">
          <cell r="E54" t="str">
            <v>D26000449</v>
          </cell>
          <cell r="AP54">
            <v>0</v>
          </cell>
          <cell r="AQ54">
            <v>0</v>
          </cell>
          <cell r="AV54">
            <v>8700000</v>
          </cell>
        </row>
        <row r="55">
          <cell r="E55" t="str">
            <v>D26001017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B26001350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D26002020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D26002074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D26002421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T26000164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D25019438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D26000375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B26000515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B26000670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B26001258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B26001259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B26001658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D26001772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B26001815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D26001968</v>
          </cell>
          <cell r="AP70">
            <v>0</v>
          </cell>
          <cell r="AQ70">
            <v>26400000</v>
          </cell>
          <cell r="AV70">
            <v>0</v>
          </cell>
        </row>
        <row r="71">
          <cell r="E71" t="str">
            <v>B26001910</v>
          </cell>
          <cell r="AP71">
            <v>0</v>
          </cell>
          <cell r="AQ71">
            <v>26400000</v>
          </cell>
          <cell r="AV71">
            <v>0</v>
          </cell>
        </row>
        <row r="72">
          <cell r="E72" t="str">
            <v>B26002217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B25014427</v>
          </cell>
          <cell r="AP73">
            <v>0</v>
          </cell>
          <cell r="AQ73">
            <v>0</v>
          </cell>
          <cell r="AV73">
            <v>5000000</v>
          </cell>
        </row>
        <row r="74">
          <cell r="E74" t="str">
            <v>B25015559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T25001844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D25016973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B25014356</v>
          </cell>
          <cell r="AP77">
            <v>0</v>
          </cell>
          <cell r="AQ77">
            <v>0</v>
          </cell>
          <cell r="AV77">
            <v>1695000</v>
          </cell>
        </row>
        <row r="78">
          <cell r="E78" t="str">
            <v>B25014813</v>
          </cell>
          <cell r="AP78">
            <v>0</v>
          </cell>
          <cell r="AQ78">
            <v>0</v>
          </cell>
          <cell r="AV78">
            <v>5000</v>
          </cell>
        </row>
        <row r="79">
          <cell r="E79" t="str">
            <v>B25015629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D25018878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T25001869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D26000099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B25016595</v>
          </cell>
          <cell r="AP83">
            <v>0</v>
          </cell>
          <cell r="AQ83">
            <v>0</v>
          </cell>
          <cell r="AV83">
            <v>5100000</v>
          </cell>
        </row>
        <row r="84">
          <cell r="E84" t="str">
            <v>D25019293</v>
          </cell>
          <cell r="AP84">
            <v>0</v>
          </cell>
          <cell r="AQ84">
            <v>0</v>
          </cell>
          <cell r="AV84">
            <v>2841000</v>
          </cell>
        </row>
        <row r="85">
          <cell r="E85" t="str">
            <v>B25016918</v>
          </cell>
          <cell r="AP85">
            <v>0</v>
          </cell>
          <cell r="AQ85">
            <v>0</v>
          </cell>
          <cell r="AV85">
            <v>23875000</v>
          </cell>
        </row>
        <row r="86">
          <cell r="E86" t="str">
            <v>B25016929</v>
          </cell>
          <cell r="AP86">
            <v>0</v>
          </cell>
          <cell r="AQ86">
            <v>0</v>
          </cell>
          <cell r="AV86">
            <v>1860000</v>
          </cell>
        </row>
        <row r="87">
          <cell r="E87" t="str">
            <v>B25016984</v>
          </cell>
          <cell r="AP87">
            <v>0</v>
          </cell>
          <cell r="AQ87">
            <v>0</v>
          </cell>
          <cell r="AV87">
            <v>1875000</v>
          </cell>
        </row>
        <row r="88">
          <cell r="E88" t="str">
            <v>D26000011</v>
          </cell>
          <cell r="AP88">
            <v>0</v>
          </cell>
          <cell r="AQ88">
            <v>0</v>
          </cell>
          <cell r="AV88">
            <v>260000</v>
          </cell>
        </row>
        <row r="89">
          <cell r="E89" t="str">
            <v>B26000193</v>
          </cell>
          <cell r="AP89">
            <v>0</v>
          </cell>
          <cell r="AQ89">
            <v>0</v>
          </cell>
          <cell r="AV89">
            <v>520000</v>
          </cell>
        </row>
        <row r="90">
          <cell r="E90" t="str">
            <v>D26000353</v>
          </cell>
          <cell r="AP90">
            <v>0</v>
          </cell>
          <cell r="AQ90">
            <v>0</v>
          </cell>
          <cell r="AV90">
            <v>2139000</v>
          </cell>
        </row>
        <row r="91">
          <cell r="E91" t="str">
            <v>D26000354</v>
          </cell>
          <cell r="AP91">
            <v>0</v>
          </cell>
          <cell r="AQ91">
            <v>0</v>
          </cell>
          <cell r="AV91">
            <v>270000</v>
          </cell>
        </row>
        <row r="92">
          <cell r="E92" t="str">
            <v>B26000366</v>
          </cell>
          <cell r="AP92">
            <v>0</v>
          </cell>
          <cell r="AQ92">
            <v>0</v>
          </cell>
          <cell r="AV92">
            <v>2225500</v>
          </cell>
        </row>
        <row r="93">
          <cell r="E93" t="str">
            <v>B26000620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B26000733</v>
          </cell>
          <cell r="AP94">
            <v>0</v>
          </cell>
          <cell r="AQ94">
            <v>0</v>
          </cell>
          <cell r="AV94">
            <v>1900000</v>
          </cell>
        </row>
        <row r="95">
          <cell r="E95" t="str">
            <v>D26001015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B26001001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B26001078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B26001105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N26000013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D26001690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B26001706</v>
          </cell>
          <cell r="AP101">
            <v>0</v>
          </cell>
          <cell r="AQ101">
            <v>0</v>
          </cell>
          <cell r="AV101">
            <v>8437500</v>
          </cell>
        </row>
        <row r="102">
          <cell r="E102" t="str">
            <v>B26001707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B26001722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B26001797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B26001992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D26002210</v>
          </cell>
          <cell r="AP106">
            <v>0</v>
          </cell>
          <cell r="AQ106">
            <v>0</v>
          </cell>
          <cell r="AV106">
            <v>83750000</v>
          </cell>
        </row>
        <row r="107">
          <cell r="E107" t="str">
            <v>B26002223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B25016295</v>
          </cell>
          <cell r="AP108">
            <v>0</v>
          </cell>
          <cell r="AQ108">
            <v>0</v>
          </cell>
          <cell r="AV108">
            <v>2120000</v>
          </cell>
        </row>
        <row r="109">
          <cell r="E109" t="str">
            <v>D26000143</v>
          </cell>
          <cell r="AP109">
            <v>0</v>
          </cell>
          <cell r="AQ109">
            <v>0</v>
          </cell>
          <cell r="AV109">
            <v>920000</v>
          </cell>
        </row>
        <row r="110">
          <cell r="E110" t="str">
            <v>D26000209</v>
          </cell>
          <cell r="AP110">
            <v>0</v>
          </cell>
          <cell r="AQ110">
            <v>0</v>
          </cell>
          <cell r="AV110">
            <v>8000000</v>
          </cell>
        </row>
        <row r="111">
          <cell r="E111" t="str">
            <v>D26000789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B26000824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B26001115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B26001116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T26000098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D26001469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D26001603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B26002029</v>
          </cell>
          <cell r="AP118">
            <v>0</v>
          </cell>
          <cell r="AQ118">
            <v>0</v>
          </cell>
          <cell r="AV118">
            <v>5700000</v>
          </cell>
        </row>
        <row r="119">
          <cell r="E119" t="str">
            <v>B26002030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B26000465</v>
          </cell>
          <cell r="AP120">
            <v>0</v>
          </cell>
          <cell r="AQ120">
            <v>0</v>
          </cell>
          <cell r="AV120">
            <v>13867500</v>
          </cell>
        </row>
        <row r="121">
          <cell r="E121" t="str">
            <v>B26000466</v>
          </cell>
          <cell r="AP121">
            <v>0</v>
          </cell>
          <cell r="AQ121">
            <v>0</v>
          </cell>
          <cell r="AV121">
            <v>1680000</v>
          </cell>
        </row>
        <row r="122">
          <cell r="E122" t="str">
            <v>B26000467</v>
          </cell>
          <cell r="AP122">
            <v>1500000</v>
          </cell>
          <cell r="AQ122">
            <v>0</v>
          </cell>
          <cell r="AV122">
            <v>0</v>
          </cell>
        </row>
        <row r="123">
          <cell r="E123" t="str">
            <v>B26000468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B26000497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D26001028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B26001023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D26001110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D26001939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D26001940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B26001843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D26002381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D26002382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B25016839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D25019387</v>
          </cell>
          <cell r="AP134">
            <v>0</v>
          </cell>
          <cell r="AQ134">
            <v>0</v>
          </cell>
          <cell r="AV134">
            <v>1400000</v>
          </cell>
        </row>
        <row r="135">
          <cell r="E135" t="str">
            <v>B25016959</v>
          </cell>
          <cell r="AP135">
            <v>0</v>
          </cell>
          <cell r="AQ135">
            <v>0</v>
          </cell>
          <cell r="AV135">
            <v>2422500</v>
          </cell>
        </row>
        <row r="136">
          <cell r="E136" t="str">
            <v>D26000166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D26000191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B26000930</v>
          </cell>
          <cell r="AP138">
            <v>0</v>
          </cell>
          <cell r="AQ138">
            <v>0</v>
          </cell>
          <cell r="AV138">
            <v>0</v>
          </cell>
        </row>
        <row r="139">
          <cell r="E139">
            <v>260008</v>
          </cell>
          <cell r="AP139">
            <v>0</v>
          </cell>
          <cell r="AQ139">
            <v>0</v>
          </cell>
          <cell r="AV139">
            <v>0</v>
          </cell>
        </row>
        <row r="140">
          <cell r="E140" t="str">
            <v>B26001067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D26001141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B26001925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B26001948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D26002072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D26002399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D25018521</v>
          </cell>
          <cell r="AP146">
            <v>0</v>
          </cell>
          <cell r="AQ146">
            <v>0</v>
          </cell>
          <cell r="AV146">
            <v>1350000</v>
          </cell>
        </row>
        <row r="147">
          <cell r="E147" t="str">
            <v>B25016305</v>
          </cell>
          <cell r="AP147">
            <v>0</v>
          </cell>
          <cell r="AQ147">
            <v>0</v>
          </cell>
          <cell r="AV147">
            <v>3600000</v>
          </cell>
        </row>
        <row r="148">
          <cell r="E148" t="str">
            <v>D25019209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D25019322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B25016814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D25019425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B26000949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B26001134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D26001706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B25015209</v>
          </cell>
          <cell r="AP155">
            <v>0</v>
          </cell>
          <cell r="AQ155">
            <v>0</v>
          </cell>
          <cell r="AV155">
            <v>14850000</v>
          </cell>
        </row>
        <row r="156">
          <cell r="E156" t="str">
            <v>B25015334</v>
          </cell>
          <cell r="AP156">
            <v>0</v>
          </cell>
          <cell r="AQ156">
            <v>0</v>
          </cell>
          <cell r="AV156">
            <v>47500000</v>
          </cell>
        </row>
        <row r="157">
          <cell r="E157" t="str">
            <v>B25015337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D25018133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D25018782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D25019513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B26000096</v>
          </cell>
          <cell r="AP161">
            <v>0</v>
          </cell>
          <cell r="AQ161">
            <v>0</v>
          </cell>
          <cell r="AV161">
            <v>0</v>
          </cell>
        </row>
        <row r="162">
          <cell r="E162" t="str">
            <v>B26000131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D26000074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D26000098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D26000109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D26000207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B26000766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D26001183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B26001162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B26001461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B26001838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D26000288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B26001492</v>
          </cell>
          <cell r="AP173">
            <v>0</v>
          </cell>
          <cell r="AQ173">
            <v>0</v>
          </cell>
          <cell r="AV173">
            <v>0</v>
          </cell>
        </row>
        <row r="174">
          <cell r="E174" t="str">
            <v>D26001216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B26001011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B26001114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B26002194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L23000053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D24005367</v>
          </cell>
          <cell r="AP179">
            <v>0</v>
          </cell>
          <cell r="AQ179">
            <v>0</v>
          </cell>
          <cell r="AV179">
            <v>1000000</v>
          </cell>
        </row>
        <row r="180">
          <cell r="E180" t="str">
            <v>D26000611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D25017086</v>
          </cell>
          <cell r="AP181">
            <v>0</v>
          </cell>
          <cell r="AQ181">
            <v>0</v>
          </cell>
          <cell r="AV181">
            <v>11240000</v>
          </cell>
        </row>
        <row r="182">
          <cell r="E182" t="str">
            <v>D25018288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B25016797</v>
          </cell>
          <cell r="AP183">
            <v>0</v>
          </cell>
          <cell r="AQ183">
            <v>0</v>
          </cell>
          <cell r="AV183">
            <v>18600000</v>
          </cell>
        </row>
        <row r="184">
          <cell r="E184" t="str">
            <v>B26000117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B26000136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D26000208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D26000330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B26000590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D26001033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D26001256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B26001599</v>
          </cell>
          <cell r="AP191">
            <v>0</v>
          </cell>
          <cell r="AQ191">
            <v>0</v>
          </cell>
          <cell r="AV191">
            <v>19400000</v>
          </cell>
        </row>
        <row r="192">
          <cell r="E192" t="str">
            <v>B26001705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D26001977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D26002260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D25017360</v>
          </cell>
          <cell r="AP195">
            <v>0</v>
          </cell>
          <cell r="AQ195">
            <v>0</v>
          </cell>
          <cell r="AV195">
            <v>1680000</v>
          </cell>
        </row>
        <row r="196">
          <cell r="E196" t="str">
            <v>B25015079</v>
          </cell>
          <cell r="AP196">
            <v>0</v>
          </cell>
          <cell r="AQ196">
            <v>0</v>
          </cell>
          <cell r="AV196">
            <v>540000</v>
          </cell>
        </row>
        <row r="197">
          <cell r="E197" t="str">
            <v>D25017962</v>
          </cell>
          <cell r="AP197">
            <v>0</v>
          </cell>
          <cell r="AQ197">
            <v>0</v>
          </cell>
          <cell r="AV197">
            <v>5260000</v>
          </cell>
        </row>
        <row r="198">
          <cell r="E198" t="str">
            <v>D25018362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B25016342</v>
          </cell>
          <cell r="AP199">
            <v>0</v>
          </cell>
          <cell r="AQ199">
            <v>0</v>
          </cell>
          <cell r="AV199">
            <v>13416000</v>
          </cell>
        </row>
        <row r="200">
          <cell r="E200" t="str">
            <v>D25018975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D25019037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D25019124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B25016713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D25019220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D25019249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D25019291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D25019449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B26000018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B26000036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D26000067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B26000277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B26000503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D26000639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D26000680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D26000704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D26001245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D26001249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D26001321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D26001350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B26001535</v>
          </cell>
          <cell r="AP220">
            <v>0</v>
          </cell>
          <cell r="AQ220">
            <v>0</v>
          </cell>
          <cell r="AV220">
            <v>4240000</v>
          </cell>
        </row>
        <row r="221">
          <cell r="E221" t="str">
            <v>D26001617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D26001965</v>
          </cell>
          <cell r="AP222">
            <v>0</v>
          </cell>
          <cell r="AQ222">
            <v>0</v>
          </cell>
          <cell r="AV222">
            <v>5340000</v>
          </cell>
        </row>
        <row r="223">
          <cell r="E223" t="str">
            <v>D26000079</v>
          </cell>
          <cell r="AP223">
            <v>0</v>
          </cell>
          <cell r="AQ223">
            <v>0</v>
          </cell>
          <cell r="AV223">
            <v>12380000</v>
          </cell>
        </row>
        <row r="224">
          <cell r="E224" t="str">
            <v>Z26000280</v>
          </cell>
          <cell r="AP224">
            <v>0</v>
          </cell>
          <cell r="AQ224">
            <v>0</v>
          </cell>
          <cell r="AV224">
            <v>1840000</v>
          </cell>
        </row>
        <row r="225">
          <cell r="E225" t="str">
            <v>Z26000281</v>
          </cell>
          <cell r="AP225">
            <v>0</v>
          </cell>
          <cell r="AQ225">
            <v>0</v>
          </cell>
          <cell r="AV225">
            <v>25200000</v>
          </cell>
        </row>
        <row r="226">
          <cell r="E226" t="str">
            <v>Z26000393</v>
          </cell>
          <cell r="AP226">
            <v>0</v>
          </cell>
          <cell r="AQ226">
            <v>0</v>
          </cell>
          <cell r="AV226">
            <v>9900000</v>
          </cell>
        </row>
        <row r="227">
          <cell r="E227" t="str">
            <v>Z26000403</v>
          </cell>
          <cell r="AP227">
            <v>0</v>
          </cell>
          <cell r="AQ227">
            <v>0</v>
          </cell>
          <cell r="AV227">
            <v>1380000</v>
          </cell>
        </row>
        <row r="228">
          <cell r="E228" t="str">
            <v>Z26000422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T25000256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D25013188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D25013189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D25014399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D25014400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D25014400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D25014401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D25014402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D25014565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D25015128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D25015391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D25015392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B25013376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B25013376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B25013377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D25015771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D25015841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D25015841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D25015855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D25016189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D25016189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D25016190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D25016190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D25016190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D25016191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D25016191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D25016191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D25016191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D25016198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D25016443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B25014324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B25014324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B25014325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B25014325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B25014326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B25014326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D25016655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D25016794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D25016795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D25016961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D25016961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D25016961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D25016963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D25016964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D25016964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D25016965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D25016965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D25016965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D25016965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D25017219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D25017219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D25017238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D25017238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D25017238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D25017238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D25017452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D25017452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D25017452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D25017452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D25017453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D25017788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D25017788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D25017788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D25017788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D25017789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D25017790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D25018075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D25018075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D25018075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D25018076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D25018076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D25018077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B25015852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D25018249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D25018249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D25018249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D25018249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D25018250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D25018468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D25018468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D25018468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D25018526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D25018526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D25018527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B25016302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B25016302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B25016302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B25016303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D25018894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D25018894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D25018894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D25018894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D25018895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D25018895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D25018895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D25018895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B25016442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D25019161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D25019167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D25019167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D25019260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D25019260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D25019260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D25019260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D25019261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D25019262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D25019262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D25019519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D25019519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D25019519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D25019519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D25019519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D25019520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D25019715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D25019715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D25019716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D25019716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D26000239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D26000239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D26000239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D26000240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D26000240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D26000543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D26000543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D26000543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D26000544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D26000544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D26000545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D26000545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D26000990</v>
          </cell>
          <cell r="AP358">
            <v>0</v>
          </cell>
          <cell r="AQ358">
            <v>0</v>
          </cell>
          <cell r="AV358">
            <v>0</v>
          </cell>
        </row>
        <row r="359">
          <cell r="E359" t="str">
            <v>D26000990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D26000991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D26000991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D26000991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D26000992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D26000992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D26000992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D26001308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D26001308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D26001308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D26001309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D26001550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D26001550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D26001550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D26001550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D26001550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D26001551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D26001552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D26001552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D26001711</v>
          </cell>
          <cell r="AP378">
            <v>0</v>
          </cell>
          <cell r="AQ378">
            <v>50000000</v>
          </cell>
          <cell r="AV378">
            <v>0</v>
          </cell>
        </row>
        <row r="379">
          <cell r="E379" t="str">
            <v>D26001711</v>
          </cell>
          <cell r="AP379">
            <v>0</v>
          </cell>
          <cell r="AQ379">
            <v>35000000</v>
          </cell>
          <cell r="AV379">
            <v>0</v>
          </cell>
        </row>
        <row r="380">
          <cell r="E380" t="str">
            <v>D26001712</v>
          </cell>
          <cell r="AP380">
            <v>0</v>
          </cell>
          <cell r="AQ380">
            <v>20000000</v>
          </cell>
          <cell r="AV380">
            <v>0</v>
          </cell>
        </row>
        <row r="381">
          <cell r="E381" t="str">
            <v>D26001712</v>
          </cell>
          <cell r="AP381">
            <v>0</v>
          </cell>
          <cell r="AQ381">
            <v>78750000</v>
          </cell>
          <cell r="AV381">
            <v>0</v>
          </cell>
        </row>
        <row r="382">
          <cell r="E382" t="str">
            <v>D26001712</v>
          </cell>
          <cell r="AP382">
            <v>0</v>
          </cell>
          <cell r="AQ382">
            <v>163295000</v>
          </cell>
          <cell r="AV382">
            <v>0</v>
          </cell>
        </row>
        <row r="383">
          <cell r="E383" t="str">
            <v>D26001712</v>
          </cell>
          <cell r="AP383">
            <v>0</v>
          </cell>
          <cell r="AQ383">
            <v>117375000</v>
          </cell>
          <cell r="AV383">
            <v>0</v>
          </cell>
        </row>
        <row r="384">
          <cell r="E384" t="str">
            <v>D26001713</v>
          </cell>
          <cell r="AP384">
            <v>0</v>
          </cell>
          <cell r="AQ384">
            <v>282625000</v>
          </cell>
          <cell r="AV384">
            <v>0</v>
          </cell>
        </row>
        <row r="385">
          <cell r="E385" t="str">
            <v>D26001952</v>
          </cell>
          <cell r="AP385">
            <v>0</v>
          </cell>
          <cell r="AQ385">
            <v>50000000</v>
          </cell>
          <cell r="AV385">
            <v>0</v>
          </cell>
        </row>
        <row r="386">
          <cell r="E386" t="str">
            <v>D26001952</v>
          </cell>
          <cell r="AP386">
            <v>0</v>
          </cell>
          <cell r="AQ386">
            <v>100000000</v>
          </cell>
          <cell r="AV386">
            <v>0</v>
          </cell>
        </row>
        <row r="387">
          <cell r="E387" t="str">
            <v>D26001952</v>
          </cell>
          <cell r="AP387">
            <v>0</v>
          </cell>
          <cell r="AQ387">
            <v>480000000</v>
          </cell>
          <cell r="AV387">
            <v>0</v>
          </cell>
        </row>
        <row r="388">
          <cell r="E388" t="str">
            <v>D26001952</v>
          </cell>
          <cell r="AP388">
            <v>0</v>
          </cell>
          <cell r="AQ388">
            <v>480000000</v>
          </cell>
          <cell r="AV388">
            <v>0</v>
          </cell>
        </row>
        <row r="389">
          <cell r="E389" t="str">
            <v>D26001952</v>
          </cell>
          <cell r="AP389">
            <v>0</v>
          </cell>
          <cell r="AQ389">
            <v>379250000</v>
          </cell>
          <cell r="AV389">
            <v>0</v>
          </cell>
        </row>
        <row r="390">
          <cell r="E390" t="str">
            <v>D26001953</v>
          </cell>
          <cell r="AP390">
            <v>0</v>
          </cell>
          <cell r="AQ390">
            <v>100750000</v>
          </cell>
          <cell r="AV390">
            <v>0</v>
          </cell>
        </row>
        <row r="391">
          <cell r="E391" t="str">
            <v>D26001953</v>
          </cell>
          <cell r="AP391">
            <v>0</v>
          </cell>
          <cell r="AQ391">
            <v>481250000</v>
          </cell>
          <cell r="AV391">
            <v>0</v>
          </cell>
        </row>
        <row r="392">
          <cell r="E392" t="str">
            <v>D26002263</v>
          </cell>
          <cell r="AP392">
            <v>0</v>
          </cell>
          <cell r="AQ392">
            <v>50000000</v>
          </cell>
          <cell r="AV392">
            <v>0</v>
          </cell>
        </row>
        <row r="393">
          <cell r="E393" t="str">
            <v>D26002263</v>
          </cell>
          <cell r="AP393">
            <v>0</v>
          </cell>
          <cell r="AQ393">
            <v>470000000</v>
          </cell>
          <cell r="AV393">
            <v>0</v>
          </cell>
        </row>
        <row r="394">
          <cell r="E394" t="str">
            <v>D26002263</v>
          </cell>
          <cell r="AP394">
            <v>0</v>
          </cell>
          <cell r="AQ394">
            <v>171135000</v>
          </cell>
          <cell r="AV394">
            <v>0</v>
          </cell>
        </row>
        <row r="395">
          <cell r="E395" t="str">
            <v>D26002264</v>
          </cell>
          <cell r="AP395">
            <v>0</v>
          </cell>
          <cell r="AQ395">
            <v>305450000</v>
          </cell>
          <cell r="AV395">
            <v>0</v>
          </cell>
        </row>
        <row r="396">
          <cell r="E396" t="str">
            <v>D25019182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B25016701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D26001075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D26001150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D26001849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D26001872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D26001904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T25001886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B26000826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D26002423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C26000127</v>
          </cell>
          <cell r="AP406">
            <v>0</v>
          </cell>
          <cell r="AQ406">
            <v>0</v>
          </cell>
          <cell r="AV406">
            <v>1190500</v>
          </cell>
        </row>
        <row r="407">
          <cell r="E407" t="str">
            <v>C26000128</v>
          </cell>
          <cell r="AP407">
            <v>0</v>
          </cell>
          <cell r="AQ407">
            <v>0</v>
          </cell>
          <cell r="AV407">
            <v>612500</v>
          </cell>
        </row>
        <row r="408">
          <cell r="E408" t="str">
            <v>C26000129</v>
          </cell>
          <cell r="AP408">
            <v>0</v>
          </cell>
          <cell r="AQ408">
            <v>0</v>
          </cell>
          <cell r="AV408">
            <v>613500</v>
          </cell>
        </row>
        <row r="409">
          <cell r="E409" t="str">
            <v>C26000130</v>
          </cell>
          <cell r="AP409">
            <v>0</v>
          </cell>
          <cell r="AQ409">
            <v>0</v>
          </cell>
          <cell r="AV409">
            <v>1027000</v>
          </cell>
        </row>
        <row r="410">
          <cell r="E410" t="str">
            <v>C26000131</v>
          </cell>
          <cell r="AP410">
            <v>0</v>
          </cell>
          <cell r="AQ410">
            <v>0</v>
          </cell>
          <cell r="AV410">
            <v>604500</v>
          </cell>
        </row>
        <row r="411">
          <cell r="E411" t="str">
            <v>B26001880</v>
          </cell>
          <cell r="AP411">
            <v>0</v>
          </cell>
          <cell r="AQ411">
            <v>0</v>
          </cell>
          <cell r="AV411">
            <v>6240000</v>
          </cell>
        </row>
        <row r="412">
          <cell r="E412" t="str">
            <v>B26001881</v>
          </cell>
          <cell r="AP412">
            <v>0</v>
          </cell>
          <cell r="AQ412">
            <v>0</v>
          </cell>
          <cell r="AV412">
            <v>1750000</v>
          </cell>
        </row>
        <row r="413">
          <cell r="E413" t="str">
            <v>B26002043</v>
          </cell>
          <cell r="AP413">
            <v>0</v>
          </cell>
          <cell r="AQ413">
            <v>0</v>
          </cell>
          <cell r="AV413">
            <v>1720000</v>
          </cell>
        </row>
        <row r="414">
          <cell r="E414" t="str">
            <v>Z26000202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Z26000333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B26000646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B26000648</v>
          </cell>
          <cell r="AP417">
            <v>0</v>
          </cell>
          <cell r="AQ417">
            <v>0</v>
          </cell>
          <cell r="AV417">
            <v>0</v>
          </cell>
        </row>
        <row r="418">
          <cell r="E418" t="str">
            <v>B26001037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B26001038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B26001062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D25016698</v>
          </cell>
          <cell r="AP421">
            <v>0</v>
          </cell>
          <cell r="AQ421">
            <v>0</v>
          </cell>
          <cell r="AV421">
            <v>30000000</v>
          </cell>
        </row>
        <row r="422">
          <cell r="E422" t="str">
            <v>D25018660</v>
          </cell>
          <cell r="AP422">
            <v>0</v>
          </cell>
          <cell r="AQ422">
            <v>0</v>
          </cell>
          <cell r="AV422">
            <v>1000000</v>
          </cell>
        </row>
        <row r="423">
          <cell r="E423" t="str">
            <v>B25016044</v>
          </cell>
          <cell r="AP423">
            <v>0</v>
          </cell>
          <cell r="AQ423">
            <v>0</v>
          </cell>
          <cell r="AV423">
            <v>11360000</v>
          </cell>
        </row>
        <row r="424">
          <cell r="E424" t="str">
            <v>D25018669</v>
          </cell>
          <cell r="AP424">
            <v>0</v>
          </cell>
          <cell r="AQ424">
            <v>0</v>
          </cell>
          <cell r="AV424">
            <v>4960000</v>
          </cell>
        </row>
        <row r="425">
          <cell r="E425" t="str">
            <v>D26000989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D26001773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B26001794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B26000714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B26000182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D25006386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D26000905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B26001177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D26001671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B26001724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B25016499</v>
          </cell>
          <cell r="AP435">
            <v>0</v>
          </cell>
          <cell r="AQ435">
            <v>0</v>
          </cell>
          <cell r="AV435">
            <v>1480000</v>
          </cell>
        </row>
        <row r="436">
          <cell r="E436" t="str">
            <v>B26000151</v>
          </cell>
          <cell r="AP436">
            <v>0</v>
          </cell>
          <cell r="AQ436">
            <v>0</v>
          </cell>
          <cell r="AV436">
            <v>1000000</v>
          </cell>
        </row>
        <row r="437">
          <cell r="E437" t="str">
            <v>B26000152</v>
          </cell>
          <cell r="AP437">
            <v>0</v>
          </cell>
          <cell r="AQ437">
            <v>0</v>
          </cell>
          <cell r="AV437">
            <v>690000</v>
          </cell>
        </row>
        <row r="438">
          <cell r="E438" t="str">
            <v>B26001557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D26001708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B25014534</v>
          </cell>
          <cell r="AP440">
            <v>0</v>
          </cell>
          <cell r="AQ440">
            <v>0</v>
          </cell>
          <cell r="AV440">
            <v>76800000</v>
          </cell>
        </row>
        <row r="441">
          <cell r="E441" t="str">
            <v>B25015617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B25015996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D25019679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D25019723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B26000334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B26000384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B26000390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B26000860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D26002031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D26002105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D26002145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D26002163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D26002424</v>
          </cell>
          <cell r="AP453">
            <v>0</v>
          </cell>
          <cell r="AQ453">
            <v>0</v>
          </cell>
          <cell r="AV453">
            <v>3600000</v>
          </cell>
        </row>
        <row r="454">
          <cell r="E454" t="str">
            <v>B26000597</v>
          </cell>
          <cell r="AP454">
            <v>0</v>
          </cell>
          <cell r="AQ454">
            <v>0</v>
          </cell>
          <cell r="AV454">
            <v>1000000</v>
          </cell>
        </row>
        <row r="455">
          <cell r="E455" t="str">
            <v>B26000597</v>
          </cell>
          <cell r="AP455">
            <v>0</v>
          </cell>
          <cell r="AQ455">
            <v>0</v>
          </cell>
          <cell r="AV455">
            <v>1458800</v>
          </cell>
        </row>
        <row r="456">
          <cell r="E456" t="str">
            <v>D26001756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D26001757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T26000152</v>
          </cell>
          <cell r="AP458">
            <v>0</v>
          </cell>
          <cell r="AQ458">
            <v>0</v>
          </cell>
          <cell r="AV458">
            <v>2025000</v>
          </cell>
        </row>
        <row r="459">
          <cell r="E459" t="str">
            <v>T26000155</v>
          </cell>
          <cell r="AP459">
            <v>0</v>
          </cell>
          <cell r="AQ459">
            <v>0</v>
          </cell>
          <cell r="AV459">
            <v>2025000</v>
          </cell>
        </row>
        <row r="460">
          <cell r="E460" t="str">
            <v>Z25003337</v>
          </cell>
          <cell r="AP460">
            <v>0</v>
          </cell>
          <cell r="AQ460">
            <v>0</v>
          </cell>
          <cell r="AV460">
            <v>6000000</v>
          </cell>
        </row>
        <row r="461">
          <cell r="E461" t="str">
            <v>Z26000031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B26001916</v>
          </cell>
          <cell r="AP462">
            <v>0</v>
          </cell>
          <cell r="AQ462">
            <v>0</v>
          </cell>
          <cell r="AV462">
            <v>7956000</v>
          </cell>
        </row>
        <row r="463">
          <cell r="E463" t="str">
            <v>B25012277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D25018390</v>
          </cell>
          <cell r="AP464">
            <v>0</v>
          </cell>
          <cell r="AQ464">
            <v>0</v>
          </cell>
          <cell r="AV464">
            <v>83300500</v>
          </cell>
        </row>
        <row r="465">
          <cell r="E465" t="str">
            <v>B25016665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B25016866</v>
          </cell>
          <cell r="AP466">
            <v>0</v>
          </cell>
          <cell r="AQ466">
            <v>0</v>
          </cell>
          <cell r="AV466">
            <v>14400000</v>
          </cell>
        </row>
        <row r="467">
          <cell r="E467" t="str">
            <v>D25019475</v>
          </cell>
          <cell r="AP467">
            <v>0</v>
          </cell>
          <cell r="AQ467">
            <v>0</v>
          </cell>
          <cell r="AV467">
            <v>72150000</v>
          </cell>
        </row>
        <row r="468">
          <cell r="E468" t="str">
            <v>D25019575</v>
          </cell>
          <cell r="AP468">
            <v>0</v>
          </cell>
          <cell r="AQ468">
            <v>0</v>
          </cell>
          <cell r="AV468">
            <v>0</v>
          </cell>
        </row>
        <row r="469">
          <cell r="E469" t="str">
            <v>D25019604</v>
          </cell>
          <cell r="AP469">
            <v>0</v>
          </cell>
          <cell r="AQ469">
            <v>0</v>
          </cell>
          <cell r="AV469">
            <v>374500</v>
          </cell>
        </row>
        <row r="470">
          <cell r="E470" t="str">
            <v>D25019606</v>
          </cell>
          <cell r="AP470">
            <v>0</v>
          </cell>
          <cell r="AQ470">
            <v>0</v>
          </cell>
          <cell r="AV470">
            <v>9500000</v>
          </cell>
        </row>
        <row r="471">
          <cell r="E471" t="str">
            <v>B26000069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B26000070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>
            <v>260006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D26000527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D26000528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D26000529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D26000537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B26000535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D26000574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D26000700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B26000909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B26000910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D26000998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D26001168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D26001203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B26001335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B26001404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B26001514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B26001515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B26001516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B26001549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D26001806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D26001818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>
            <v>260011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D26002028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D26002057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D26002189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D26002190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B26000555</v>
          </cell>
          <cell r="AP499">
            <v>0</v>
          </cell>
          <cell r="AQ499">
            <v>0</v>
          </cell>
          <cell r="AV499">
            <v>41000000</v>
          </cell>
        </row>
        <row r="500">
          <cell r="E500" t="str">
            <v>B26000724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Z26000007</v>
          </cell>
          <cell r="AP501">
            <v>0</v>
          </cell>
          <cell r="AQ501">
            <v>0</v>
          </cell>
          <cell r="AV501">
            <v>950000</v>
          </cell>
        </row>
        <row r="502">
          <cell r="E502" t="str">
            <v>Z26000011</v>
          </cell>
          <cell r="AP502">
            <v>0</v>
          </cell>
          <cell r="AQ502">
            <v>0</v>
          </cell>
          <cell r="AV502">
            <v>405000</v>
          </cell>
        </row>
        <row r="503">
          <cell r="E503" t="str">
            <v>Z26000359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D25019316</v>
          </cell>
          <cell r="AP504">
            <v>0</v>
          </cell>
          <cell r="AQ504">
            <v>0</v>
          </cell>
          <cell r="AV504">
            <v>16855500</v>
          </cell>
        </row>
        <row r="505">
          <cell r="E505" t="str">
            <v>B25016806</v>
          </cell>
          <cell r="AP505">
            <v>0</v>
          </cell>
          <cell r="AQ505">
            <v>0</v>
          </cell>
          <cell r="AV505">
            <v>18600000</v>
          </cell>
        </row>
        <row r="506">
          <cell r="E506" t="str">
            <v>D26001473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D26001474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B26001423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D25017065</v>
          </cell>
          <cell r="AP509">
            <v>0</v>
          </cell>
          <cell r="AQ509">
            <v>0</v>
          </cell>
          <cell r="AV509">
            <v>900000</v>
          </cell>
        </row>
        <row r="510">
          <cell r="E510" t="str">
            <v>D25019020</v>
          </cell>
          <cell r="AP510">
            <v>0</v>
          </cell>
          <cell r="AQ510">
            <v>0</v>
          </cell>
          <cell r="AV510">
            <v>5175000</v>
          </cell>
        </row>
        <row r="511">
          <cell r="E511" t="str">
            <v>D25018709</v>
          </cell>
          <cell r="AP511">
            <v>0</v>
          </cell>
          <cell r="AQ511">
            <v>0</v>
          </cell>
          <cell r="AV511">
            <v>6750000</v>
          </cell>
        </row>
        <row r="512">
          <cell r="E512" t="str">
            <v>T25001848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D25019357</v>
          </cell>
          <cell r="AP513">
            <v>0</v>
          </cell>
          <cell r="AQ513">
            <v>0</v>
          </cell>
          <cell r="AV513">
            <v>18800000</v>
          </cell>
        </row>
        <row r="514">
          <cell r="E514" t="str">
            <v>D25019358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D25019359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D26000419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B26000844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B26001355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D26001483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D26001484</v>
          </cell>
          <cell r="AP520">
            <v>0</v>
          </cell>
          <cell r="AQ520">
            <v>0</v>
          </cell>
          <cell r="AV520">
            <v>0</v>
          </cell>
        </row>
        <row r="521">
          <cell r="E521" t="str">
            <v>D26001647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C26000109</v>
          </cell>
          <cell r="AP522">
            <v>0</v>
          </cell>
          <cell r="AQ522">
            <v>0</v>
          </cell>
          <cell r="AV522">
            <v>830000</v>
          </cell>
        </row>
        <row r="523">
          <cell r="E523" t="str">
            <v>D25012415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R25000117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R25000118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R25000119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R25000122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R25000123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R25000124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R25000128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R25000135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R25000136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R25000137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R25000138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R25000139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R25000140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R26000007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D25017747</v>
          </cell>
          <cell r="AP538">
            <v>0</v>
          </cell>
          <cell r="AQ538">
            <v>0</v>
          </cell>
          <cell r="AV538">
            <v>5000000</v>
          </cell>
        </row>
        <row r="539">
          <cell r="E539" t="str">
            <v>T26000161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D25019190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T26000116</v>
          </cell>
          <cell r="AP541">
            <v>0</v>
          </cell>
          <cell r="AQ541">
            <v>0</v>
          </cell>
          <cell r="AV541">
            <v>5100000</v>
          </cell>
        </row>
        <row r="542">
          <cell r="E542" t="str">
            <v>B25013380</v>
          </cell>
          <cell r="AP542">
            <v>0</v>
          </cell>
          <cell r="AQ542">
            <v>0</v>
          </cell>
          <cell r="AV542">
            <v>17280000</v>
          </cell>
        </row>
        <row r="543">
          <cell r="E543" t="str">
            <v>D25017981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D25019585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D25019578</v>
          </cell>
          <cell r="AP545">
            <v>0</v>
          </cell>
          <cell r="AQ545">
            <v>0</v>
          </cell>
          <cell r="AV545">
            <v>4130000</v>
          </cell>
        </row>
        <row r="546">
          <cell r="E546" t="str">
            <v>T26000022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B26001034</v>
          </cell>
          <cell r="AP547">
            <v>0</v>
          </cell>
          <cell r="AQ547">
            <v>0</v>
          </cell>
          <cell r="AV547">
            <v>2820000</v>
          </cell>
        </row>
        <row r="548">
          <cell r="E548" t="str">
            <v>D26001643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D26002254</v>
          </cell>
          <cell r="AP549">
            <v>0</v>
          </cell>
          <cell r="AQ549">
            <v>0</v>
          </cell>
          <cell r="AV549">
            <v>4400000</v>
          </cell>
        </row>
        <row r="550">
          <cell r="E550" t="str">
            <v>B26001043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B26001044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B25016761</v>
          </cell>
          <cell r="AP552">
            <v>0</v>
          </cell>
          <cell r="AQ552">
            <v>0</v>
          </cell>
          <cell r="AV552">
            <v>3000000</v>
          </cell>
        </row>
        <row r="553">
          <cell r="E553" t="str">
            <v>D25019641</v>
          </cell>
          <cell r="AP553">
            <v>0</v>
          </cell>
          <cell r="AQ553">
            <v>0</v>
          </cell>
          <cell r="AV553">
            <v>4760000</v>
          </cell>
        </row>
        <row r="554">
          <cell r="E554" t="str">
            <v>D26000096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B26000527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D26000602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D26000702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D26001737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D26002236</v>
          </cell>
          <cell r="AP559">
            <v>0</v>
          </cell>
          <cell r="AQ559">
            <v>0</v>
          </cell>
          <cell r="AV559">
            <v>16500000</v>
          </cell>
        </row>
        <row r="560">
          <cell r="E560" t="str">
            <v>D26000849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B26000883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D26002131</v>
          </cell>
          <cell r="AP562">
            <v>0</v>
          </cell>
          <cell r="AQ562">
            <v>0</v>
          </cell>
          <cell r="AV562">
            <v>11064000</v>
          </cell>
        </row>
        <row r="563">
          <cell r="E563" t="str">
            <v>B26002115</v>
          </cell>
          <cell r="AP563">
            <v>0</v>
          </cell>
          <cell r="AQ563">
            <v>0</v>
          </cell>
          <cell r="AV563">
            <v>3000000</v>
          </cell>
        </row>
        <row r="564">
          <cell r="E564" t="str">
            <v>D26001454</v>
          </cell>
          <cell r="AP564">
            <v>0</v>
          </cell>
          <cell r="AQ564">
            <v>0</v>
          </cell>
          <cell r="AV564">
            <v>6840000</v>
          </cell>
        </row>
        <row r="565">
          <cell r="E565" t="str">
            <v>B25016222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T25001847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D25017632</v>
          </cell>
          <cell r="AP567">
            <v>0</v>
          </cell>
          <cell r="AQ567">
            <v>0</v>
          </cell>
          <cell r="AV567">
            <v>20000000</v>
          </cell>
        </row>
        <row r="568">
          <cell r="E568" t="str">
            <v>B25015486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B25016160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B25016541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D25019609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B26000809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B26001272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D26002126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D26002127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D26002128</v>
          </cell>
          <cell r="AP576">
            <v>0</v>
          </cell>
          <cell r="AQ576">
            <v>0</v>
          </cell>
          <cell r="AV576">
            <v>2700000</v>
          </cell>
        </row>
        <row r="577">
          <cell r="E577" t="str">
            <v>B26002187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B25015937</v>
          </cell>
          <cell r="AP578">
            <v>0</v>
          </cell>
          <cell r="AQ578">
            <v>0</v>
          </cell>
          <cell r="AV578">
            <v>5000000</v>
          </cell>
        </row>
        <row r="579">
          <cell r="E579" t="str">
            <v>D25018391</v>
          </cell>
          <cell r="AP579">
            <v>0</v>
          </cell>
          <cell r="AQ579">
            <v>0</v>
          </cell>
          <cell r="AV579">
            <v>1926000</v>
          </cell>
        </row>
        <row r="580">
          <cell r="E580" t="str">
            <v>D25018495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B25016788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B25016801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D26000133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B26001156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B25015809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D25018713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D25018736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D25019374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B26001356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B26001361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B25016810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D26000009</v>
          </cell>
          <cell r="AP592">
            <v>0</v>
          </cell>
          <cell r="AQ592">
            <v>0</v>
          </cell>
          <cell r="AV592">
            <v>5702000</v>
          </cell>
        </row>
        <row r="593">
          <cell r="E593" t="str">
            <v>D26000175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D26000291</v>
          </cell>
          <cell r="AP594">
            <v>0</v>
          </cell>
          <cell r="AQ594">
            <v>0</v>
          </cell>
          <cell r="AV594">
            <v>3570000</v>
          </cell>
        </row>
        <row r="595">
          <cell r="E595" t="str">
            <v>B26000394</v>
          </cell>
          <cell r="AP595">
            <v>0</v>
          </cell>
          <cell r="AQ595">
            <v>0</v>
          </cell>
          <cell r="AV595">
            <v>2910000</v>
          </cell>
        </row>
        <row r="596">
          <cell r="E596" t="str">
            <v>D26000608</v>
          </cell>
          <cell r="AP596">
            <v>0</v>
          </cell>
          <cell r="AQ596">
            <v>0</v>
          </cell>
          <cell r="AV596">
            <v>5000000</v>
          </cell>
        </row>
        <row r="597">
          <cell r="E597" t="str">
            <v>D26001544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B26001752</v>
          </cell>
          <cell r="AP598">
            <v>0</v>
          </cell>
          <cell r="AQ598">
            <v>0</v>
          </cell>
          <cell r="AV598">
            <v>9900000</v>
          </cell>
        </row>
        <row r="599">
          <cell r="E599" t="str">
            <v>D26001895</v>
          </cell>
          <cell r="AP599">
            <v>0</v>
          </cell>
          <cell r="AQ599">
            <v>0</v>
          </cell>
          <cell r="AV599">
            <v>4800000</v>
          </cell>
        </row>
        <row r="600">
          <cell r="E600" t="str">
            <v>T26000129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B26001892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D26002425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B26001904</v>
          </cell>
          <cell r="AP603">
            <v>0</v>
          </cell>
          <cell r="AQ603">
            <v>0</v>
          </cell>
          <cell r="AV603">
            <v>1410000</v>
          </cell>
        </row>
        <row r="604">
          <cell r="E604" t="str">
            <v>T26000143</v>
          </cell>
          <cell r="AP604">
            <v>0</v>
          </cell>
          <cell r="AQ604">
            <v>0</v>
          </cell>
          <cell r="AV604">
            <v>4700000</v>
          </cell>
        </row>
        <row r="605">
          <cell r="E605" t="str">
            <v>Z26000302</v>
          </cell>
          <cell r="AP605">
            <v>0</v>
          </cell>
          <cell r="AQ605">
            <v>0</v>
          </cell>
          <cell r="AV605">
            <v>196000000</v>
          </cell>
        </row>
        <row r="606">
          <cell r="E606" t="str">
            <v>B26000551</v>
          </cell>
          <cell r="AP606">
            <v>0</v>
          </cell>
          <cell r="AQ606">
            <v>0</v>
          </cell>
          <cell r="AV606">
            <v>4368000</v>
          </cell>
        </row>
        <row r="607">
          <cell r="E607" t="str">
            <v>B25014707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D25017141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B25014931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D25017423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D25017844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D25018214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B25015950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D25018563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D25018926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B25016641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B25016818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D25019593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B25017081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D25019706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D25019710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B26000138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D26000224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D26000755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D26000858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D26001091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B26001141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B26001288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D26001535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D26001594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D26001609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B26001569</v>
          </cell>
          <cell r="AP632">
            <v>0</v>
          </cell>
          <cell r="AQ632">
            <v>0</v>
          </cell>
          <cell r="AV632">
            <v>156000000</v>
          </cell>
        </row>
        <row r="633">
          <cell r="E633" t="str">
            <v>D26001683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D26001715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D26001857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B26001812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B26001813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B26001917</v>
          </cell>
          <cell r="AP638">
            <v>0</v>
          </cell>
          <cell r="AQ638">
            <v>0</v>
          </cell>
          <cell r="AV638">
            <v>156000000</v>
          </cell>
        </row>
        <row r="639">
          <cell r="E639" t="str">
            <v>B26001918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B26001964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D26002125</v>
          </cell>
          <cell r="AP641">
            <v>0</v>
          </cell>
          <cell r="AQ641">
            <v>0</v>
          </cell>
          <cell r="AV641">
            <v>131500000</v>
          </cell>
        </row>
        <row r="642">
          <cell r="E642" t="str">
            <v>D26002205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D26002400</v>
          </cell>
          <cell r="AP643">
            <v>0</v>
          </cell>
          <cell r="AQ643">
            <v>0</v>
          </cell>
          <cell r="AV643">
            <v>0</v>
          </cell>
        </row>
        <row r="644">
          <cell r="E644" t="str">
            <v>D25018806</v>
          </cell>
          <cell r="AP644">
            <v>0</v>
          </cell>
          <cell r="AQ644">
            <v>0</v>
          </cell>
          <cell r="AV644">
            <v>3120000</v>
          </cell>
        </row>
        <row r="645">
          <cell r="E645" t="str">
            <v>B26001086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B25016136</v>
          </cell>
          <cell r="AP646">
            <v>0</v>
          </cell>
          <cell r="AQ646">
            <v>0</v>
          </cell>
          <cell r="AV646">
            <v>80425000</v>
          </cell>
        </row>
        <row r="647">
          <cell r="E647" t="str">
            <v>D25018874</v>
          </cell>
          <cell r="AP647">
            <v>0</v>
          </cell>
          <cell r="AQ647">
            <v>0</v>
          </cell>
          <cell r="AV647">
            <v>45000</v>
          </cell>
        </row>
        <row r="648">
          <cell r="E648" t="str">
            <v>D25018874</v>
          </cell>
          <cell r="AP648">
            <v>0</v>
          </cell>
          <cell r="AQ648">
            <v>0</v>
          </cell>
          <cell r="AV648">
            <v>16995000</v>
          </cell>
        </row>
        <row r="649">
          <cell r="E649" t="str">
            <v>B25016479</v>
          </cell>
          <cell r="AP649">
            <v>0</v>
          </cell>
          <cell r="AQ649">
            <v>0</v>
          </cell>
          <cell r="AV649">
            <v>11750000</v>
          </cell>
        </row>
        <row r="650">
          <cell r="E650" t="str">
            <v>D25018918</v>
          </cell>
          <cell r="AP650">
            <v>0</v>
          </cell>
          <cell r="AQ650">
            <v>0</v>
          </cell>
          <cell r="AV650">
            <v>10912000</v>
          </cell>
        </row>
        <row r="651">
          <cell r="E651" t="str">
            <v>D25018925</v>
          </cell>
          <cell r="AP651">
            <v>0</v>
          </cell>
          <cell r="AQ651">
            <v>0</v>
          </cell>
          <cell r="AV651">
            <v>12067000</v>
          </cell>
        </row>
        <row r="652">
          <cell r="E652" t="str">
            <v>D25018925</v>
          </cell>
          <cell r="AP652">
            <v>0</v>
          </cell>
          <cell r="AQ652">
            <v>0</v>
          </cell>
          <cell r="AV652">
            <v>11705000</v>
          </cell>
        </row>
        <row r="653">
          <cell r="E653" t="str">
            <v>B25016524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D25019081</v>
          </cell>
          <cell r="AP654">
            <v>0</v>
          </cell>
          <cell r="AQ654">
            <v>0</v>
          </cell>
          <cell r="AV654">
            <v>0</v>
          </cell>
        </row>
        <row r="655">
          <cell r="E655" t="str">
            <v>D25019238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B25016827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B25016850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D25019442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T25001888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T25001889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D25019560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D25019582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T25001893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B25017084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D25019625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D25019638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T25001895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B25017141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T25001897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T25001899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D26000034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D26000124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D26000127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T26000002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B26000213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B26000342</v>
          </cell>
          <cell r="AP676">
            <v>0</v>
          </cell>
          <cell r="AQ676">
            <v>0</v>
          </cell>
          <cell r="AV676">
            <v>45000</v>
          </cell>
        </row>
        <row r="677">
          <cell r="E677" t="str">
            <v>B26000406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B26000526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B26000808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B26000857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B26000950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B26000993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D26001061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B26001003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B26001060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B26001291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B26001292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B26001301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B26001328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B26001545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B26001546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B26001584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B26001611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B26001624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B26001630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B26001699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B26001759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D26001896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D26001943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B26002010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B26002013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D26002323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D26002370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D26001704</v>
          </cell>
          <cell r="AP704">
            <v>0</v>
          </cell>
          <cell r="AQ704">
            <v>0</v>
          </cell>
          <cell r="AV704">
            <v>936000</v>
          </cell>
        </row>
        <row r="705">
          <cell r="E705" t="str">
            <v>D26001705</v>
          </cell>
          <cell r="AP705">
            <v>0</v>
          </cell>
          <cell r="AQ705">
            <v>0</v>
          </cell>
          <cell r="AV705">
            <v>1980000</v>
          </cell>
        </row>
        <row r="706">
          <cell r="E706" t="str">
            <v>D25016916</v>
          </cell>
          <cell r="AP706">
            <v>0</v>
          </cell>
          <cell r="AQ706">
            <v>0</v>
          </cell>
          <cell r="AV706">
            <v>6500000</v>
          </cell>
        </row>
        <row r="707">
          <cell r="E707" t="str">
            <v>B26000134</v>
          </cell>
          <cell r="AP707">
            <v>0</v>
          </cell>
          <cell r="AQ707">
            <v>0</v>
          </cell>
          <cell r="AV707">
            <v>0</v>
          </cell>
        </row>
        <row r="708">
          <cell r="E708" t="str">
            <v>T26000044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B26001175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D25018297</v>
          </cell>
          <cell r="AP710">
            <v>0</v>
          </cell>
          <cell r="AQ710">
            <v>0</v>
          </cell>
          <cell r="AV710">
            <v>18200000</v>
          </cell>
        </row>
        <row r="711">
          <cell r="E711" t="str">
            <v>B25016084</v>
          </cell>
          <cell r="AP711">
            <v>0</v>
          </cell>
          <cell r="AQ711">
            <v>0</v>
          </cell>
          <cell r="AV711">
            <v>3800000</v>
          </cell>
        </row>
        <row r="712">
          <cell r="E712" t="str">
            <v>B26001020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B26001077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D26002241</v>
          </cell>
          <cell r="AP714">
            <v>0</v>
          </cell>
          <cell r="AQ714">
            <v>0</v>
          </cell>
          <cell r="AV714">
            <v>1825000</v>
          </cell>
        </row>
        <row r="715">
          <cell r="E715" t="str">
            <v>D25017223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D25017245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T25001823</v>
          </cell>
          <cell r="AP717">
            <v>0</v>
          </cell>
          <cell r="AQ717">
            <v>0</v>
          </cell>
          <cell r="AV717">
            <v>5400000</v>
          </cell>
        </row>
        <row r="718">
          <cell r="E718" t="str">
            <v>T25001852k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T25001855</v>
          </cell>
          <cell r="AP719">
            <v>0</v>
          </cell>
          <cell r="AQ719">
            <v>0</v>
          </cell>
          <cell r="AV719">
            <v>1825000</v>
          </cell>
        </row>
        <row r="720">
          <cell r="E720" t="str">
            <v>T25001876K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D25019523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B26000624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D26001188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B26001145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D26001379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D26001511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T26000102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B26001729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D26001884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R26000002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D25019537</v>
          </cell>
          <cell r="AP731">
            <v>0</v>
          </cell>
          <cell r="AQ731">
            <v>0</v>
          </cell>
          <cell r="AV731">
            <v>2000000</v>
          </cell>
        </row>
        <row r="732">
          <cell r="E732" t="str">
            <v>D25019537</v>
          </cell>
          <cell r="AP732">
            <v>0</v>
          </cell>
          <cell r="AQ732">
            <v>0</v>
          </cell>
          <cell r="AV732">
            <v>1000000</v>
          </cell>
        </row>
        <row r="733">
          <cell r="E733" t="str">
            <v>D25019537</v>
          </cell>
          <cell r="AP733">
            <v>0</v>
          </cell>
          <cell r="AQ733">
            <v>0</v>
          </cell>
          <cell r="AV733">
            <v>1600000</v>
          </cell>
        </row>
        <row r="734">
          <cell r="E734" t="str">
            <v>B26000319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D26001100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B26001632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D26000833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D26000837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R25000110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R25000112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B25016164</v>
          </cell>
          <cell r="AP741">
            <v>0</v>
          </cell>
          <cell r="AQ741">
            <v>0</v>
          </cell>
          <cell r="AV741">
            <v>550000</v>
          </cell>
        </row>
        <row r="742">
          <cell r="E742" t="str">
            <v>B26000017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D26000130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B26000322</v>
          </cell>
          <cell r="AP744">
            <v>0</v>
          </cell>
          <cell r="AQ744">
            <v>0</v>
          </cell>
          <cell r="AV744">
            <v>840000</v>
          </cell>
        </row>
        <row r="745">
          <cell r="E745" t="str">
            <v>B26000848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B26001470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D26001890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D25014349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T25001500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B25014182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D25016537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B25014607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B25014608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D25017082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 t="str">
            <v>D25017821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B25015456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T25001758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B25015814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B25015842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B25016842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D25019422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D25019489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D25019666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D26000624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D26001160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D26001161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D26001996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>
            <v>260012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D26002101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D26002102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D26002369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D26001338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B26001872</v>
          </cell>
          <cell r="AP773">
            <v>0</v>
          </cell>
          <cell r="AQ773">
            <v>0</v>
          </cell>
          <cell r="AV773">
            <v>285000000</v>
          </cell>
        </row>
        <row r="774">
          <cell r="E774" t="str">
            <v>B26001872</v>
          </cell>
          <cell r="AP774">
            <v>0</v>
          </cell>
          <cell r="AQ774">
            <v>0</v>
          </cell>
          <cell r="AV774">
            <v>200000000</v>
          </cell>
        </row>
        <row r="775">
          <cell r="E775" t="str">
            <v>B26001872</v>
          </cell>
          <cell r="AP775">
            <v>0</v>
          </cell>
          <cell r="AQ775">
            <v>0</v>
          </cell>
          <cell r="AV775">
            <v>70000000</v>
          </cell>
        </row>
        <row r="776">
          <cell r="E776" t="str">
            <v>B26001872</v>
          </cell>
          <cell r="AP776">
            <v>0</v>
          </cell>
          <cell r="AQ776">
            <v>0</v>
          </cell>
          <cell r="AV776">
            <v>175000000</v>
          </cell>
        </row>
        <row r="777">
          <cell r="E777" t="str">
            <v>B26001872</v>
          </cell>
          <cell r="AP777">
            <v>0</v>
          </cell>
          <cell r="AQ777">
            <v>0</v>
          </cell>
          <cell r="AV777">
            <v>16000000</v>
          </cell>
        </row>
        <row r="778">
          <cell r="E778" t="str">
            <v>D26002159</v>
          </cell>
          <cell r="AP778">
            <v>0</v>
          </cell>
          <cell r="AQ778">
            <v>0</v>
          </cell>
          <cell r="AV778">
            <v>546000000</v>
          </cell>
        </row>
        <row r="779">
          <cell r="E779" t="str">
            <v>D26002283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D26002441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D25017231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B26002152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D25018661</v>
          </cell>
          <cell r="AP783">
            <v>0</v>
          </cell>
          <cell r="AQ783">
            <v>0</v>
          </cell>
          <cell r="AV783">
            <v>778500</v>
          </cell>
        </row>
        <row r="784">
          <cell r="E784" t="str">
            <v>B25016677</v>
          </cell>
          <cell r="AP784">
            <v>0</v>
          </cell>
          <cell r="AQ784">
            <v>0</v>
          </cell>
          <cell r="AV784">
            <v>451500</v>
          </cell>
        </row>
        <row r="785">
          <cell r="E785" t="str">
            <v>B25016677</v>
          </cell>
          <cell r="AP785">
            <v>0</v>
          </cell>
          <cell r="AQ785">
            <v>0</v>
          </cell>
          <cell r="AV785">
            <v>493500</v>
          </cell>
        </row>
        <row r="786">
          <cell r="E786" t="str">
            <v>B25017088</v>
          </cell>
          <cell r="AP786">
            <v>0</v>
          </cell>
          <cell r="AQ786">
            <v>0</v>
          </cell>
          <cell r="AV786">
            <v>406500</v>
          </cell>
        </row>
        <row r="787">
          <cell r="E787" t="str">
            <v>D25019689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D26000388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B26000677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D26001068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D26001822</v>
          </cell>
          <cell r="AP791">
            <v>0</v>
          </cell>
          <cell r="AQ791">
            <v>0</v>
          </cell>
          <cell r="AV791">
            <v>3275000</v>
          </cell>
        </row>
        <row r="792">
          <cell r="E792" t="str">
            <v>D25014948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D25015234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B25013096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B25013448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D25015924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D25016080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D25016533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D25016996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D25016997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D25017102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B25014869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D25017610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D25017855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B25015717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D25018080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D25018085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D25018086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D25018439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B25016097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D25018769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D25018770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D25018813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D25018838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D25019180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D25019218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B25016789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B25016790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D25019273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D25019547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D25019548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D26000094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D26001266</v>
          </cell>
          <cell r="AP823">
            <v>0</v>
          </cell>
          <cell r="AQ823">
            <v>0</v>
          </cell>
          <cell r="AV823">
            <v>66500000</v>
          </cell>
        </row>
        <row r="824">
          <cell r="E824" t="str">
            <v>D26001588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D26001629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D26001630</v>
          </cell>
          <cell r="AP826">
            <v>0</v>
          </cell>
          <cell r="AQ826">
            <v>0</v>
          </cell>
          <cell r="AV826">
            <v>21700000</v>
          </cell>
        </row>
        <row r="827">
          <cell r="E827" t="str">
            <v>D26001673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B26001596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B26001912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D26002087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B26001952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D26002121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D26002137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D26002286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D26002383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B26002047</v>
          </cell>
          <cell r="AP836">
            <v>0</v>
          </cell>
          <cell r="AQ836">
            <v>0</v>
          </cell>
          <cell r="AV836">
            <v>2520000</v>
          </cell>
        </row>
        <row r="837">
          <cell r="E837" t="str">
            <v>B26002048</v>
          </cell>
          <cell r="AP837">
            <v>0</v>
          </cell>
          <cell r="AQ837">
            <v>0</v>
          </cell>
          <cell r="AV837">
            <v>3187500</v>
          </cell>
        </row>
        <row r="838">
          <cell r="E838" t="str">
            <v>T26000158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B25014894</v>
          </cell>
          <cell r="AP839">
            <v>0</v>
          </cell>
          <cell r="AQ839">
            <v>0</v>
          </cell>
          <cell r="AV839">
            <v>1301000</v>
          </cell>
        </row>
        <row r="840">
          <cell r="E840" t="str">
            <v>D25018772</v>
          </cell>
          <cell r="AP840">
            <v>0</v>
          </cell>
          <cell r="AQ840">
            <v>0</v>
          </cell>
          <cell r="AV840">
            <v>1425000</v>
          </cell>
        </row>
        <row r="841">
          <cell r="E841" t="str">
            <v>B26001777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Z26000276</v>
          </cell>
          <cell r="AP842">
            <v>0</v>
          </cell>
          <cell r="AQ842">
            <v>0</v>
          </cell>
          <cell r="AV842">
            <v>248000</v>
          </cell>
        </row>
        <row r="843">
          <cell r="E843" t="str">
            <v>Z26000276</v>
          </cell>
          <cell r="AP843">
            <v>1500000</v>
          </cell>
          <cell r="AQ843">
            <v>0</v>
          </cell>
          <cell r="AV843">
            <v>0</v>
          </cell>
        </row>
        <row r="844">
          <cell r="E844" t="str">
            <v>Z26000277</v>
          </cell>
          <cell r="AP844">
            <v>0</v>
          </cell>
          <cell r="AQ844">
            <v>0</v>
          </cell>
          <cell r="AV844">
            <v>1224000</v>
          </cell>
        </row>
        <row r="845">
          <cell r="E845" t="str">
            <v>Z26000324</v>
          </cell>
          <cell r="AP845">
            <v>0</v>
          </cell>
          <cell r="AQ845">
            <v>0</v>
          </cell>
          <cell r="AV845">
            <v>3340000</v>
          </cell>
        </row>
        <row r="846">
          <cell r="E846" t="str">
            <v>Z26000331</v>
          </cell>
          <cell r="AP846">
            <v>0</v>
          </cell>
          <cell r="AQ846">
            <v>0</v>
          </cell>
          <cell r="AV846">
            <v>3960000</v>
          </cell>
        </row>
        <row r="847">
          <cell r="E847" t="str">
            <v>Z26000405</v>
          </cell>
          <cell r="AP847">
            <v>0</v>
          </cell>
          <cell r="AQ847">
            <v>0</v>
          </cell>
          <cell r="AV847">
            <v>13240000</v>
          </cell>
        </row>
        <row r="848">
          <cell r="E848" t="str">
            <v>Z26000406</v>
          </cell>
          <cell r="AP848">
            <v>0</v>
          </cell>
          <cell r="AQ848">
            <v>0</v>
          </cell>
          <cell r="AV848">
            <v>920000</v>
          </cell>
        </row>
        <row r="849">
          <cell r="E849" t="str">
            <v>T26000163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B26000075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B26001577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D25018699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D25019326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D26000844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T25001420</v>
          </cell>
          <cell r="AP855">
            <v>0</v>
          </cell>
          <cell r="AQ855">
            <v>0</v>
          </cell>
          <cell r="AV855">
            <v>1700000</v>
          </cell>
        </row>
        <row r="856">
          <cell r="E856" t="str">
            <v>T25001781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B26001689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D26000566</v>
          </cell>
          <cell r="AP858">
            <v>0</v>
          </cell>
          <cell r="AQ858">
            <v>0</v>
          </cell>
          <cell r="AV858">
            <v>8400000</v>
          </cell>
        </row>
        <row r="859">
          <cell r="E859" t="str">
            <v>D26000629</v>
          </cell>
          <cell r="AP859">
            <v>0</v>
          </cell>
          <cell r="AQ859">
            <v>0</v>
          </cell>
          <cell r="AV859">
            <v>3382400</v>
          </cell>
        </row>
        <row r="860">
          <cell r="E860" t="str">
            <v>D26001695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D26001759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D25018788</v>
          </cell>
          <cell r="AP862">
            <v>0</v>
          </cell>
          <cell r="AQ862">
            <v>0</v>
          </cell>
          <cell r="AV862">
            <v>2955000</v>
          </cell>
        </row>
        <row r="863">
          <cell r="E863" t="str">
            <v>B26002202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B25016487</v>
          </cell>
          <cell r="AP864">
            <v>0</v>
          </cell>
          <cell r="AQ864">
            <v>0</v>
          </cell>
          <cell r="AV864">
            <v>0</v>
          </cell>
        </row>
        <row r="865">
          <cell r="E865" t="str">
            <v>D25019482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D26000025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D26000189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B26000554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D26000643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D26001778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B26002000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B26002003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D26002243</v>
          </cell>
          <cell r="AP873">
            <v>0</v>
          </cell>
          <cell r="AQ873">
            <v>0</v>
          </cell>
          <cell r="AV873">
            <v>5340000</v>
          </cell>
        </row>
        <row r="874">
          <cell r="E874" t="str">
            <v>B25012415</v>
          </cell>
          <cell r="AP874">
            <v>0</v>
          </cell>
          <cell r="AQ874">
            <v>0</v>
          </cell>
          <cell r="AV874">
            <v>7300000</v>
          </cell>
        </row>
        <row r="875">
          <cell r="E875" t="str">
            <v>D25018298</v>
          </cell>
          <cell r="AP875">
            <v>0</v>
          </cell>
          <cell r="AQ875">
            <v>0</v>
          </cell>
          <cell r="AV875">
            <v>1344000</v>
          </cell>
        </row>
        <row r="876">
          <cell r="E876" t="str">
            <v>B26000027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D25019611</v>
          </cell>
          <cell r="AP877">
            <v>0</v>
          </cell>
          <cell r="AQ877">
            <v>0</v>
          </cell>
          <cell r="AV877">
            <v>1000000</v>
          </cell>
        </row>
        <row r="878">
          <cell r="E878" t="str">
            <v>D25019631</v>
          </cell>
          <cell r="AP878">
            <v>0</v>
          </cell>
          <cell r="AQ878">
            <v>0</v>
          </cell>
          <cell r="AV878">
            <v>10125000</v>
          </cell>
        </row>
        <row r="879">
          <cell r="E879" t="str">
            <v>D25019670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D26002081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D26002081</v>
          </cell>
          <cell r="AP881">
            <v>0</v>
          </cell>
          <cell r="AQ881">
            <v>0</v>
          </cell>
          <cell r="AV881">
            <v>5008000</v>
          </cell>
        </row>
        <row r="882">
          <cell r="E882" t="str">
            <v>D26002164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B26002140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B25016413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B25014588</v>
          </cell>
          <cell r="AP885">
            <v>0</v>
          </cell>
          <cell r="AQ885">
            <v>0</v>
          </cell>
          <cell r="AV885">
            <v>3800000</v>
          </cell>
        </row>
        <row r="886">
          <cell r="E886" t="str">
            <v>B25014724</v>
          </cell>
          <cell r="AP886">
            <v>0</v>
          </cell>
          <cell r="AQ886">
            <v>0</v>
          </cell>
          <cell r="AV886">
            <v>3500000</v>
          </cell>
        </row>
        <row r="887">
          <cell r="E887" t="str">
            <v>B25014724</v>
          </cell>
          <cell r="AP887">
            <v>0</v>
          </cell>
          <cell r="AQ887">
            <v>0</v>
          </cell>
          <cell r="AV887">
            <v>3500000</v>
          </cell>
        </row>
        <row r="888">
          <cell r="E888" t="str">
            <v>B25014724</v>
          </cell>
          <cell r="AP888">
            <v>0</v>
          </cell>
          <cell r="AQ888">
            <v>0</v>
          </cell>
          <cell r="AV888">
            <v>2000000</v>
          </cell>
        </row>
        <row r="889">
          <cell r="E889" t="str">
            <v>B25014791</v>
          </cell>
          <cell r="AP889">
            <v>0</v>
          </cell>
          <cell r="AQ889">
            <v>0</v>
          </cell>
          <cell r="AV889">
            <v>1950000</v>
          </cell>
        </row>
        <row r="890">
          <cell r="E890" t="str">
            <v>B25014795</v>
          </cell>
          <cell r="AP890">
            <v>0</v>
          </cell>
          <cell r="AQ890">
            <v>0</v>
          </cell>
          <cell r="AV890">
            <v>3500000</v>
          </cell>
        </row>
        <row r="891">
          <cell r="E891" t="str">
            <v>B25014795</v>
          </cell>
          <cell r="AP891">
            <v>0</v>
          </cell>
          <cell r="AQ891">
            <v>0</v>
          </cell>
          <cell r="AV891">
            <v>4500000</v>
          </cell>
        </row>
        <row r="892">
          <cell r="E892" t="str">
            <v>B25014795</v>
          </cell>
          <cell r="AP892">
            <v>0</v>
          </cell>
          <cell r="AQ892">
            <v>0</v>
          </cell>
          <cell r="AV892">
            <v>2060000</v>
          </cell>
        </row>
        <row r="893">
          <cell r="E893" t="str">
            <v>D25017192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D25017199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B25014956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D25017383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D25017395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D25017616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B25015231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B25015232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D25017670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D25017719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B25015304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B25015318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B25015319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B25015415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D25017912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B25015523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D25018187</v>
          </cell>
          <cell r="AP909">
            <v>0</v>
          </cell>
          <cell r="AQ909">
            <v>0</v>
          </cell>
          <cell r="AV909">
            <v>0</v>
          </cell>
        </row>
        <row r="910">
          <cell r="E910" t="str">
            <v>D25018248</v>
          </cell>
          <cell r="AP910">
            <v>0</v>
          </cell>
          <cell r="AQ910">
            <v>0</v>
          </cell>
          <cell r="AV910">
            <v>0</v>
          </cell>
        </row>
        <row r="911">
          <cell r="E911" t="str">
            <v>D25018273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 t="str">
            <v>N25000073</v>
          </cell>
          <cell r="AP912">
            <v>0</v>
          </cell>
          <cell r="AQ912">
            <v>0</v>
          </cell>
          <cell r="AV912">
            <v>0</v>
          </cell>
        </row>
        <row r="913">
          <cell r="E913" t="str">
            <v>B25015953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 t="str">
            <v>D25018350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D25018354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B25016052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D25018680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B25016296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D25018697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D25018734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D25018763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D25018876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B25016497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B25016502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D25019009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B25016772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D25019274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B25017014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D25019561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B25017039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B25017045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B25017053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D25019633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B25017108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D26000134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B26000170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B26000173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B26000241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B26000345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B26000346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B26000382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B26000635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B26000688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D26000805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D26000859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B26000821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B26000846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B26000901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B26000902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B26000944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D26001057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D26001103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D26001148</v>
          </cell>
          <cell r="AP953">
            <v>0</v>
          </cell>
          <cell r="AQ953">
            <v>0</v>
          </cell>
          <cell r="AV953">
            <v>4000000</v>
          </cell>
        </row>
        <row r="954">
          <cell r="E954" t="str">
            <v>B26001169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D26001404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D26001427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B26001452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D26001539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N26000015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D26001613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D26001669</v>
          </cell>
          <cell r="AP961">
            <v>0</v>
          </cell>
          <cell r="AQ961">
            <v>0</v>
          </cell>
          <cell r="AV961">
            <v>0</v>
          </cell>
        </row>
        <row r="962">
          <cell r="E962" t="str">
            <v>B26001619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B26001633</v>
          </cell>
          <cell r="AP963">
            <v>0</v>
          </cell>
          <cell r="AQ963">
            <v>0</v>
          </cell>
          <cell r="AV963">
            <v>2075000</v>
          </cell>
        </row>
        <row r="964">
          <cell r="E964" t="str">
            <v>B26001634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D26001841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B26001710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D26001856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B26001841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D26001985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D26002012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B26001935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B26001936</v>
          </cell>
          <cell r="AP972">
            <v>0</v>
          </cell>
          <cell r="AQ972">
            <v>0</v>
          </cell>
          <cell r="AV972">
            <v>17990000</v>
          </cell>
        </row>
        <row r="973">
          <cell r="E973" t="str">
            <v>B26001937</v>
          </cell>
          <cell r="AP973">
            <v>0</v>
          </cell>
          <cell r="AQ973">
            <v>0</v>
          </cell>
          <cell r="AV973">
            <v>23750000</v>
          </cell>
        </row>
        <row r="974">
          <cell r="E974" t="str">
            <v>B26001937</v>
          </cell>
          <cell r="AP974">
            <v>0</v>
          </cell>
          <cell r="AQ974">
            <v>0</v>
          </cell>
          <cell r="AV974">
            <v>19000000</v>
          </cell>
        </row>
        <row r="975">
          <cell r="E975" t="str">
            <v>B26002007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B26002089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B26002142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D26002257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B25015269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B25015270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D25017684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T25001754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D25017920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D25018112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D25018463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B25016134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B25016274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B25016379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D25018868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D25019071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D25019310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T25001890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B25016917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B25016953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B25016954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D25019577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D25019632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D25019655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B25017134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B26001260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B26001261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B26001279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D26001464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B26001473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B26001563</v>
          </cell>
          <cell r="AP1005">
            <v>0</v>
          </cell>
          <cell r="AQ1005">
            <v>0</v>
          </cell>
          <cell r="AV1005">
            <v>10500000</v>
          </cell>
        </row>
        <row r="1006">
          <cell r="E1006" t="str">
            <v>B26001564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B26001654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D26001836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B26001734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D26001865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B26001874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D26002073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B26002031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B26002068</v>
          </cell>
          <cell r="AP1014">
            <v>0</v>
          </cell>
          <cell r="AQ1014">
            <v>0</v>
          </cell>
          <cell r="AV1014">
            <v>0</v>
          </cell>
        </row>
        <row r="1015">
          <cell r="E1015" t="str">
            <v>B26002121</v>
          </cell>
          <cell r="AP1015">
            <v>0</v>
          </cell>
          <cell r="AQ1015">
            <v>0</v>
          </cell>
          <cell r="AV1015">
            <v>0</v>
          </cell>
        </row>
        <row r="1016">
          <cell r="E1016" t="str">
            <v>D26002315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D26002342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D26002426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B25013715</v>
          </cell>
          <cell r="AP1019">
            <v>0</v>
          </cell>
          <cell r="AQ1019">
            <v>0</v>
          </cell>
          <cell r="AV1019">
            <v>11640000</v>
          </cell>
        </row>
        <row r="1020">
          <cell r="E1020" t="str">
            <v>B25014025</v>
          </cell>
          <cell r="AP1020">
            <v>0</v>
          </cell>
          <cell r="AQ1020">
            <v>0</v>
          </cell>
          <cell r="AV1020">
            <v>51250000</v>
          </cell>
        </row>
        <row r="1021">
          <cell r="E1021" t="str">
            <v>B25014284</v>
          </cell>
          <cell r="AP1021">
            <v>0</v>
          </cell>
          <cell r="AQ1021">
            <v>0</v>
          </cell>
          <cell r="AV1021">
            <v>8160000</v>
          </cell>
        </row>
        <row r="1022">
          <cell r="E1022" t="str">
            <v>D25016563</v>
          </cell>
          <cell r="AP1022">
            <v>0</v>
          </cell>
          <cell r="AQ1022">
            <v>0</v>
          </cell>
          <cell r="AV1022">
            <v>3980000</v>
          </cell>
        </row>
        <row r="1023">
          <cell r="E1023" t="str">
            <v>D25016564</v>
          </cell>
          <cell r="AP1023">
            <v>0</v>
          </cell>
          <cell r="AQ1023">
            <v>0</v>
          </cell>
          <cell r="AV1023">
            <v>4200000</v>
          </cell>
        </row>
        <row r="1024">
          <cell r="E1024" t="str">
            <v>B25014473</v>
          </cell>
          <cell r="AP1024">
            <v>0</v>
          </cell>
          <cell r="AQ1024">
            <v>0</v>
          </cell>
          <cell r="AV1024">
            <v>20000000</v>
          </cell>
        </row>
        <row r="1025">
          <cell r="E1025" t="str">
            <v>B25014474</v>
          </cell>
          <cell r="AP1025">
            <v>0</v>
          </cell>
          <cell r="AQ1025">
            <v>0</v>
          </cell>
          <cell r="AV1025">
            <v>22000000</v>
          </cell>
        </row>
        <row r="1026">
          <cell r="E1026" t="str">
            <v>B25014475</v>
          </cell>
          <cell r="AP1026">
            <v>0</v>
          </cell>
          <cell r="AQ1026">
            <v>0</v>
          </cell>
          <cell r="AV1026">
            <v>23445000</v>
          </cell>
        </row>
        <row r="1027">
          <cell r="E1027" t="str">
            <v>B25014486</v>
          </cell>
          <cell r="AP1027">
            <v>0</v>
          </cell>
          <cell r="AQ1027">
            <v>0</v>
          </cell>
          <cell r="AV1027">
            <v>20745000</v>
          </cell>
        </row>
        <row r="1028">
          <cell r="E1028" t="str">
            <v>B25014620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D25017006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D25017007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>
            <v>250181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D25017216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D25017288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D25018150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D25018927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B25017021</v>
          </cell>
          <cell r="AP1036">
            <v>0</v>
          </cell>
          <cell r="AQ1036">
            <v>0</v>
          </cell>
          <cell r="AV1036">
            <v>0</v>
          </cell>
        </row>
        <row r="1037">
          <cell r="E1037" t="str">
            <v>B25017029</v>
          </cell>
          <cell r="AP1037">
            <v>0</v>
          </cell>
          <cell r="AQ1037">
            <v>0</v>
          </cell>
          <cell r="AV1037">
            <v>0</v>
          </cell>
        </row>
        <row r="1038">
          <cell r="E1038" t="str">
            <v>B26000563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B26000564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B26000717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B26000888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D26000960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D26001019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D26001020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B25016861</v>
          </cell>
          <cell r="AP1045">
            <v>0</v>
          </cell>
          <cell r="AQ1045">
            <v>0</v>
          </cell>
          <cell r="AV1045">
            <v>2000000</v>
          </cell>
        </row>
        <row r="1046">
          <cell r="E1046" t="str">
            <v>B25016861</v>
          </cell>
          <cell r="AP1046">
            <v>0</v>
          </cell>
          <cell r="AQ1046">
            <v>0</v>
          </cell>
          <cell r="AV1046">
            <v>2300000</v>
          </cell>
        </row>
        <row r="1047">
          <cell r="E1047" t="str">
            <v>D26000200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B26000297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B26000743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D26000981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D26001365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D26001465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D25019431</v>
          </cell>
          <cell r="AP1053">
            <v>0</v>
          </cell>
          <cell r="AQ1053">
            <v>0</v>
          </cell>
          <cell r="AV1053">
            <v>51634137</v>
          </cell>
        </row>
        <row r="1054">
          <cell r="E1054" t="str">
            <v>D26000015</v>
          </cell>
          <cell r="AP1054">
            <v>0</v>
          </cell>
          <cell r="AQ1054">
            <v>0</v>
          </cell>
          <cell r="AV1054">
            <v>39175863</v>
          </cell>
        </row>
        <row r="1055">
          <cell r="E1055" t="str">
            <v>D26000015</v>
          </cell>
          <cell r="AP1055">
            <v>0</v>
          </cell>
          <cell r="AQ1055">
            <v>0</v>
          </cell>
          <cell r="AV1055">
            <v>202324137</v>
          </cell>
        </row>
        <row r="1056">
          <cell r="E1056" t="str">
            <v>D26000016</v>
          </cell>
          <cell r="AP1056">
            <v>0</v>
          </cell>
          <cell r="AQ1056">
            <v>0</v>
          </cell>
          <cell r="AV1056">
            <v>73890000</v>
          </cell>
        </row>
        <row r="1057">
          <cell r="E1057" t="str">
            <v>D26000262</v>
          </cell>
          <cell r="AP1057">
            <v>0</v>
          </cell>
          <cell r="AQ1057">
            <v>0</v>
          </cell>
          <cell r="AV1057">
            <v>35300000</v>
          </cell>
        </row>
        <row r="1058">
          <cell r="E1058" t="str">
            <v>D26000427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B26002143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 t="str">
            <v>D26002253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D26001036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B25017067</v>
          </cell>
          <cell r="AP1062">
            <v>0</v>
          </cell>
          <cell r="AQ1062">
            <v>0</v>
          </cell>
          <cell r="AV1062">
            <v>21200000</v>
          </cell>
        </row>
        <row r="1063">
          <cell r="E1063" t="str">
            <v>D25019643</v>
          </cell>
          <cell r="AP1063">
            <v>0</v>
          </cell>
          <cell r="AQ1063">
            <v>0</v>
          </cell>
          <cell r="AV1063">
            <v>5040000</v>
          </cell>
        </row>
        <row r="1064">
          <cell r="E1064" t="str">
            <v>T26000017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B26000285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D26000292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B26000383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B26000794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B26001540</v>
          </cell>
          <cell r="AP1069">
            <v>0</v>
          </cell>
          <cell r="AQ1069">
            <v>0</v>
          </cell>
          <cell r="AV1069">
            <v>0</v>
          </cell>
        </row>
        <row r="1070">
          <cell r="E1070" t="str">
            <v>B26001542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B26001780</v>
          </cell>
          <cell r="AP1071">
            <v>0</v>
          </cell>
          <cell r="AQ1071">
            <v>0</v>
          </cell>
          <cell r="AV1071">
            <v>4950000</v>
          </cell>
        </row>
        <row r="1072">
          <cell r="E1072" t="str">
            <v>B26001781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B26000165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D26000559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D26001900</v>
          </cell>
          <cell r="AP1075">
            <v>0</v>
          </cell>
          <cell r="AQ1075">
            <v>0</v>
          </cell>
          <cell r="AV1075">
            <v>1425000</v>
          </cell>
        </row>
        <row r="1076">
          <cell r="E1076" t="str">
            <v>D25017215</v>
          </cell>
          <cell r="AP1076">
            <v>0</v>
          </cell>
          <cell r="AQ1076">
            <v>0</v>
          </cell>
          <cell r="AV1076">
            <v>2143100</v>
          </cell>
        </row>
        <row r="1077">
          <cell r="E1077" t="str">
            <v>B25014980</v>
          </cell>
          <cell r="AP1077">
            <v>0</v>
          </cell>
          <cell r="AQ1077">
            <v>0</v>
          </cell>
          <cell r="AV1077">
            <v>1280000</v>
          </cell>
        </row>
        <row r="1078">
          <cell r="E1078" t="str">
            <v>D25017286</v>
          </cell>
          <cell r="AP1078">
            <v>0</v>
          </cell>
          <cell r="AQ1078">
            <v>0</v>
          </cell>
          <cell r="AV1078">
            <v>6080000</v>
          </cell>
        </row>
        <row r="1079">
          <cell r="E1079" t="str">
            <v>B25015081</v>
          </cell>
          <cell r="AP1079">
            <v>0</v>
          </cell>
          <cell r="AQ1079">
            <v>0</v>
          </cell>
          <cell r="AV1079">
            <v>2560000</v>
          </cell>
        </row>
        <row r="1080">
          <cell r="E1080" t="str">
            <v>D25017402</v>
          </cell>
          <cell r="AP1080">
            <v>0</v>
          </cell>
          <cell r="AQ1080">
            <v>0</v>
          </cell>
          <cell r="AV1080">
            <v>8000000</v>
          </cell>
        </row>
        <row r="1081">
          <cell r="E1081" t="str">
            <v>D25017410</v>
          </cell>
          <cell r="AP1081">
            <v>0</v>
          </cell>
          <cell r="AQ1081">
            <v>0</v>
          </cell>
          <cell r="AV1081">
            <v>4800000</v>
          </cell>
        </row>
        <row r="1082">
          <cell r="E1082" t="str">
            <v>B25015151</v>
          </cell>
          <cell r="AP1082">
            <v>0</v>
          </cell>
          <cell r="AQ1082">
            <v>0</v>
          </cell>
          <cell r="AV1082">
            <v>38800000</v>
          </cell>
        </row>
        <row r="1083">
          <cell r="E1083" t="str">
            <v>D25017521</v>
          </cell>
          <cell r="AP1083">
            <v>0</v>
          </cell>
          <cell r="AQ1083">
            <v>0</v>
          </cell>
          <cell r="AV1083">
            <v>148200000</v>
          </cell>
        </row>
        <row r="1084">
          <cell r="E1084" t="str">
            <v>D25017599</v>
          </cell>
          <cell r="AP1084">
            <v>0</v>
          </cell>
          <cell r="AQ1084">
            <v>0</v>
          </cell>
          <cell r="AV1084">
            <v>60000000</v>
          </cell>
        </row>
        <row r="1085">
          <cell r="E1085" t="str">
            <v>B25015236</v>
          </cell>
          <cell r="AP1085">
            <v>0</v>
          </cell>
          <cell r="AQ1085">
            <v>0</v>
          </cell>
          <cell r="AV1085">
            <v>4480000</v>
          </cell>
        </row>
        <row r="1086">
          <cell r="E1086" t="str">
            <v>D25017740</v>
          </cell>
          <cell r="AP1086">
            <v>0</v>
          </cell>
          <cell r="AQ1086">
            <v>0</v>
          </cell>
          <cell r="AV1086">
            <v>194000000</v>
          </cell>
        </row>
        <row r="1087">
          <cell r="E1087" t="str">
            <v>B25015383</v>
          </cell>
          <cell r="AP1087">
            <v>0</v>
          </cell>
          <cell r="AQ1087">
            <v>0</v>
          </cell>
          <cell r="AV1087">
            <v>3200000</v>
          </cell>
        </row>
        <row r="1088">
          <cell r="E1088" t="str">
            <v>B25015413</v>
          </cell>
          <cell r="AP1088">
            <v>0</v>
          </cell>
          <cell r="AQ1088">
            <v>0</v>
          </cell>
          <cell r="AV1088">
            <v>170000000</v>
          </cell>
        </row>
        <row r="1089">
          <cell r="E1089" t="str">
            <v>D25017944</v>
          </cell>
          <cell r="AP1089">
            <v>0</v>
          </cell>
          <cell r="AQ1089">
            <v>0</v>
          </cell>
          <cell r="AV1089">
            <v>8000000</v>
          </cell>
        </row>
        <row r="1090">
          <cell r="E1090" t="str">
            <v>B25015552</v>
          </cell>
          <cell r="AP1090">
            <v>0</v>
          </cell>
          <cell r="AQ1090">
            <v>0</v>
          </cell>
          <cell r="AV1090">
            <v>5760000</v>
          </cell>
        </row>
        <row r="1091">
          <cell r="E1091" t="str">
            <v>D25018015</v>
          </cell>
          <cell r="AP1091">
            <v>0</v>
          </cell>
          <cell r="AQ1091">
            <v>0</v>
          </cell>
          <cell r="AV1091">
            <v>16000000</v>
          </cell>
        </row>
        <row r="1092">
          <cell r="E1092" t="str">
            <v>D25018055</v>
          </cell>
          <cell r="AP1092">
            <v>0</v>
          </cell>
          <cell r="AQ1092">
            <v>0</v>
          </cell>
          <cell r="AV1092">
            <v>1600000</v>
          </cell>
        </row>
        <row r="1093">
          <cell r="E1093" t="str">
            <v>B25015689</v>
          </cell>
          <cell r="AP1093">
            <v>0</v>
          </cell>
          <cell r="AQ1093">
            <v>0</v>
          </cell>
          <cell r="AV1093">
            <v>13800000</v>
          </cell>
        </row>
        <row r="1094">
          <cell r="E1094" t="str">
            <v>D25018270</v>
          </cell>
          <cell r="AP1094">
            <v>0</v>
          </cell>
          <cell r="AQ1094">
            <v>0</v>
          </cell>
          <cell r="AV1094">
            <v>37800000</v>
          </cell>
        </row>
        <row r="1095">
          <cell r="E1095" t="str">
            <v>D25018367</v>
          </cell>
          <cell r="AP1095">
            <v>0</v>
          </cell>
          <cell r="AQ1095">
            <v>0</v>
          </cell>
          <cell r="AV1095">
            <v>8000000</v>
          </cell>
        </row>
        <row r="1096">
          <cell r="E1096" t="str">
            <v>B25016032</v>
          </cell>
          <cell r="AP1096">
            <v>0</v>
          </cell>
          <cell r="AQ1096">
            <v>0</v>
          </cell>
          <cell r="AV1096">
            <v>53800000</v>
          </cell>
        </row>
        <row r="1097">
          <cell r="E1097" t="str">
            <v>B25016075</v>
          </cell>
          <cell r="AP1097">
            <v>0</v>
          </cell>
          <cell r="AQ1097">
            <v>0</v>
          </cell>
          <cell r="AV1097">
            <v>3840000</v>
          </cell>
        </row>
        <row r="1098">
          <cell r="E1098" t="str">
            <v>B25016076</v>
          </cell>
          <cell r="AP1098">
            <v>0</v>
          </cell>
          <cell r="AQ1098">
            <v>0</v>
          </cell>
          <cell r="AV1098">
            <v>149400000</v>
          </cell>
        </row>
        <row r="1099">
          <cell r="E1099" t="str">
            <v>D25018479</v>
          </cell>
          <cell r="AP1099">
            <v>0</v>
          </cell>
          <cell r="AQ1099">
            <v>0</v>
          </cell>
          <cell r="AV1099">
            <v>66875000</v>
          </cell>
        </row>
        <row r="1100">
          <cell r="E1100" t="str">
            <v>B25016145</v>
          </cell>
          <cell r="AP1100">
            <v>0</v>
          </cell>
          <cell r="AQ1100">
            <v>0</v>
          </cell>
          <cell r="AV1100">
            <v>2560000</v>
          </cell>
        </row>
        <row r="1101">
          <cell r="E1101" t="str">
            <v>B25016217</v>
          </cell>
          <cell r="AP1101">
            <v>0</v>
          </cell>
          <cell r="AQ1101">
            <v>0</v>
          </cell>
          <cell r="AV1101">
            <v>16000000</v>
          </cell>
        </row>
        <row r="1102">
          <cell r="E1102" t="str">
            <v>B25016223</v>
          </cell>
          <cell r="AP1102">
            <v>0</v>
          </cell>
          <cell r="AQ1102">
            <v>0</v>
          </cell>
          <cell r="AV1102">
            <v>12600000</v>
          </cell>
        </row>
        <row r="1103">
          <cell r="E1103" t="str">
            <v>B25016364</v>
          </cell>
          <cell r="AP1103">
            <v>0</v>
          </cell>
          <cell r="AQ1103">
            <v>0</v>
          </cell>
          <cell r="AV1103">
            <v>1600000</v>
          </cell>
        </row>
        <row r="1104">
          <cell r="E1104" t="str">
            <v>D25018791</v>
          </cell>
          <cell r="AP1104">
            <v>0</v>
          </cell>
          <cell r="AQ1104">
            <v>0</v>
          </cell>
          <cell r="AV1104">
            <v>1600000</v>
          </cell>
        </row>
        <row r="1105">
          <cell r="E1105" t="str">
            <v>D25018883</v>
          </cell>
          <cell r="AP1105">
            <v>0</v>
          </cell>
          <cell r="AQ1105">
            <v>0</v>
          </cell>
          <cell r="AV1105">
            <v>4160000</v>
          </cell>
        </row>
        <row r="1106">
          <cell r="E1106" t="str">
            <v>B25016493</v>
          </cell>
          <cell r="AP1106">
            <v>0</v>
          </cell>
          <cell r="AQ1106">
            <v>0</v>
          </cell>
          <cell r="AV1106">
            <v>6400000</v>
          </cell>
        </row>
        <row r="1107">
          <cell r="E1107" t="str">
            <v>B25016520</v>
          </cell>
          <cell r="AP1107">
            <v>0</v>
          </cell>
          <cell r="AQ1107">
            <v>0</v>
          </cell>
          <cell r="AV1107">
            <v>1600000</v>
          </cell>
        </row>
        <row r="1108">
          <cell r="E1108" t="str">
            <v>D25019158</v>
          </cell>
          <cell r="AP1108">
            <v>0</v>
          </cell>
          <cell r="AQ1108">
            <v>0</v>
          </cell>
          <cell r="AV1108">
            <v>13800000</v>
          </cell>
        </row>
        <row r="1109">
          <cell r="E1109" t="str">
            <v>B25016811</v>
          </cell>
          <cell r="AP1109">
            <v>0</v>
          </cell>
          <cell r="AQ1109">
            <v>0</v>
          </cell>
          <cell r="AV1109">
            <v>207000000</v>
          </cell>
        </row>
        <row r="1110">
          <cell r="E1110" t="str">
            <v>D25019421</v>
          </cell>
          <cell r="AP1110">
            <v>0</v>
          </cell>
          <cell r="AQ1110">
            <v>0</v>
          </cell>
          <cell r="AV1110">
            <v>32480000</v>
          </cell>
        </row>
        <row r="1111">
          <cell r="E1111" t="str">
            <v>B26000084</v>
          </cell>
          <cell r="AP1111">
            <v>0</v>
          </cell>
          <cell r="AQ1111">
            <v>0</v>
          </cell>
          <cell r="AV1111">
            <v>2560000</v>
          </cell>
        </row>
        <row r="1112">
          <cell r="E1112" t="str">
            <v>D26000151</v>
          </cell>
          <cell r="AP1112">
            <v>0</v>
          </cell>
          <cell r="AQ1112">
            <v>0</v>
          </cell>
          <cell r="AV1112">
            <v>2560000</v>
          </cell>
        </row>
        <row r="1113">
          <cell r="E1113" t="str">
            <v>D26000247</v>
          </cell>
          <cell r="AP1113">
            <v>0</v>
          </cell>
          <cell r="AQ1113">
            <v>0</v>
          </cell>
          <cell r="AV1113">
            <v>1280000</v>
          </cell>
        </row>
        <row r="1114">
          <cell r="E1114" t="str">
            <v>B26000344</v>
          </cell>
          <cell r="AP1114">
            <v>0</v>
          </cell>
          <cell r="AQ1114">
            <v>0</v>
          </cell>
          <cell r="AV1114">
            <v>12600000</v>
          </cell>
        </row>
        <row r="1115">
          <cell r="E1115" t="str">
            <v>B26000401</v>
          </cell>
          <cell r="AP1115">
            <v>0</v>
          </cell>
          <cell r="AQ1115">
            <v>0</v>
          </cell>
          <cell r="AV1115">
            <v>6400000</v>
          </cell>
        </row>
        <row r="1116">
          <cell r="E1116" t="str">
            <v>D26000540</v>
          </cell>
          <cell r="AP1116">
            <v>0</v>
          </cell>
          <cell r="AQ1116">
            <v>0</v>
          </cell>
          <cell r="AV1116">
            <v>32500000</v>
          </cell>
        </row>
        <row r="1117">
          <cell r="E1117" t="str">
            <v>B26000986</v>
          </cell>
          <cell r="AP1117">
            <v>0</v>
          </cell>
          <cell r="AQ1117">
            <v>0</v>
          </cell>
          <cell r="AV1117">
            <v>3840000</v>
          </cell>
        </row>
        <row r="1118">
          <cell r="E1118" t="str">
            <v>D26001078</v>
          </cell>
          <cell r="AP1118">
            <v>0</v>
          </cell>
          <cell r="AQ1118">
            <v>0</v>
          </cell>
          <cell r="AV1118">
            <v>17940000</v>
          </cell>
        </row>
        <row r="1119">
          <cell r="E1119" t="str">
            <v>B26001068</v>
          </cell>
          <cell r="AP1119">
            <v>0</v>
          </cell>
          <cell r="AQ1119">
            <v>0</v>
          </cell>
          <cell r="AV1119">
            <v>3840000</v>
          </cell>
        </row>
        <row r="1120">
          <cell r="E1120" t="str">
            <v>B26001147</v>
          </cell>
          <cell r="AP1120">
            <v>0</v>
          </cell>
          <cell r="AQ1120">
            <v>0</v>
          </cell>
          <cell r="AV1120">
            <v>78000000</v>
          </cell>
        </row>
        <row r="1121">
          <cell r="E1121" t="str">
            <v>B26001202</v>
          </cell>
          <cell r="AP1121">
            <v>0</v>
          </cell>
          <cell r="AQ1121">
            <v>0</v>
          </cell>
          <cell r="AV1121">
            <v>1280000</v>
          </cell>
        </row>
        <row r="1122">
          <cell r="E1122" t="str">
            <v>B26001245</v>
          </cell>
          <cell r="AP1122">
            <v>0</v>
          </cell>
          <cell r="AQ1122">
            <v>0</v>
          </cell>
          <cell r="AV1122">
            <v>34500000</v>
          </cell>
        </row>
        <row r="1123">
          <cell r="E1123" t="str">
            <v>D26001540</v>
          </cell>
          <cell r="AP1123">
            <v>0</v>
          </cell>
          <cell r="AQ1123">
            <v>0</v>
          </cell>
          <cell r="AV1123">
            <v>3840000</v>
          </cell>
        </row>
        <row r="1124">
          <cell r="E1124" t="str">
            <v>B26001610</v>
          </cell>
          <cell r="AP1124">
            <v>0</v>
          </cell>
          <cell r="AQ1124">
            <v>0</v>
          </cell>
          <cell r="AV1124">
            <v>20700000</v>
          </cell>
        </row>
        <row r="1125">
          <cell r="E1125" t="str">
            <v>B26001614</v>
          </cell>
          <cell r="AP1125">
            <v>0</v>
          </cell>
          <cell r="AQ1125">
            <v>0</v>
          </cell>
          <cell r="AV1125">
            <v>20700000</v>
          </cell>
        </row>
        <row r="1126">
          <cell r="E1126" t="str">
            <v>D26001866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D26002115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B26002201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D25019107</v>
          </cell>
          <cell r="AP1129">
            <v>0</v>
          </cell>
          <cell r="AQ1129">
            <v>0</v>
          </cell>
          <cell r="AV1129">
            <v>3840000</v>
          </cell>
        </row>
        <row r="1130">
          <cell r="E1130" t="str">
            <v>B25016648</v>
          </cell>
          <cell r="AP1130">
            <v>0</v>
          </cell>
          <cell r="AQ1130">
            <v>0</v>
          </cell>
          <cell r="AV1130">
            <v>3870000</v>
          </cell>
        </row>
        <row r="1131">
          <cell r="E1131" t="str">
            <v>B26000184</v>
          </cell>
          <cell r="AP1131">
            <v>0</v>
          </cell>
          <cell r="AQ1131">
            <v>0</v>
          </cell>
          <cell r="AV1131">
            <v>2300000</v>
          </cell>
        </row>
        <row r="1132">
          <cell r="E1132" t="str">
            <v>B26000185</v>
          </cell>
          <cell r="AP1132">
            <v>0</v>
          </cell>
          <cell r="AQ1132">
            <v>0</v>
          </cell>
          <cell r="AV1132">
            <v>11035000</v>
          </cell>
        </row>
        <row r="1133">
          <cell r="E1133" t="str">
            <v>D26000879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D26000880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B26000837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D26001174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D26001179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N26000012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B26001346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B26001347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B26001497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B26001498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B26001510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B26001511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D26002348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D26002349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D26000760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D26000761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D26000762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D26001498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D26001843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D26002308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B26000813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D26002299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B26002195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B25014453</v>
          </cell>
          <cell r="AP1156">
            <v>0</v>
          </cell>
          <cell r="AQ1156">
            <v>0</v>
          </cell>
          <cell r="AV1156">
            <v>5670000</v>
          </cell>
        </row>
        <row r="1157">
          <cell r="E1157" t="str">
            <v>B25014483</v>
          </cell>
          <cell r="AP1157">
            <v>0</v>
          </cell>
          <cell r="AQ1157">
            <v>0</v>
          </cell>
          <cell r="AV1157">
            <v>4176000</v>
          </cell>
        </row>
        <row r="1158">
          <cell r="E1158" t="str">
            <v>B25014673</v>
          </cell>
          <cell r="AP1158">
            <v>0</v>
          </cell>
          <cell r="AQ1158">
            <v>0</v>
          </cell>
          <cell r="AV1158">
            <v>2125000</v>
          </cell>
        </row>
        <row r="1159">
          <cell r="E1159" t="str">
            <v>D25017473</v>
          </cell>
          <cell r="AP1159">
            <v>0</v>
          </cell>
          <cell r="AQ1159">
            <v>0</v>
          </cell>
          <cell r="AV1159">
            <v>4837500</v>
          </cell>
        </row>
        <row r="1160">
          <cell r="E1160" t="str">
            <v>B25015740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D25018146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B25016419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D25018985</v>
          </cell>
          <cell r="AP1163">
            <v>0</v>
          </cell>
          <cell r="AQ1163">
            <v>0</v>
          </cell>
          <cell r="AV1163">
            <v>2787500</v>
          </cell>
        </row>
        <row r="1164">
          <cell r="E1164" t="str">
            <v>D25018994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B26000198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B26000496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B26000914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B26001150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D26001233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>
            <v>260009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T26000160</v>
          </cell>
          <cell r="AP1171">
            <v>0</v>
          </cell>
          <cell r="AQ1171">
            <v>0</v>
          </cell>
          <cell r="AV1171">
            <v>470000</v>
          </cell>
        </row>
        <row r="1172">
          <cell r="E1172" t="str">
            <v>B26001762</v>
          </cell>
          <cell r="AP1172">
            <v>0</v>
          </cell>
          <cell r="AQ1172">
            <v>0</v>
          </cell>
          <cell r="AV1172">
            <v>126000</v>
          </cell>
        </row>
        <row r="1173">
          <cell r="E1173" t="str">
            <v>D26001862</v>
          </cell>
          <cell r="AP1173">
            <v>0</v>
          </cell>
          <cell r="AQ1173">
            <v>0</v>
          </cell>
          <cell r="AV1173">
            <v>3340000</v>
          </cell>
        </row>
        <row r="1174">
          <cell r="E1174" t="str">
            <v>T26000032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B26001687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D26000502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D26001038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B26001445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B26001808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D26001947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B26002137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B26002138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B26001533</v>
          </cell>
          <cell r="AP1183">
            <v>0</v>
          </cell>
          <cell r="AQ1183">
            <v>0</v>
          </cell>
          <cell r="AV1183">
            <v>10600000</v>
          </cell>
        </row>
        <row r="1184">
          <cell r="E1184" t="str">
            <v>B26001676</v>
          </cell>
          <cell r="AP1184">
            <v>0</v>
          </cell>
          <cell r="AQ1184">
            <v>0</v>
          </cell>
          <cell r="AV1184">
            <v>19010000</v>
          </cell>
        </row>
        <row r="1185">
          <cell r="E1185" t="str">
            <v>B26002250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D26001610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B26002101</v>
          </cell>
          <cell r="AP1187">
            <v>0</v>
          </cell>
          <cell r="AQ1187">
            <v>0</v>
          </cell>
          <cell r="AV1187">
            <v>11300000</v>
          </cell>
        </row>
        <row r="1188">
          <cell r="E1188" t="str">
            <v>D25017170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D25019292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B26001825</v>
          </cell>
          <cell r="AP1190">
            <v>0</v>
          </cell>
          <cell r="AQ1190">
            <v>0</v>
          </cell>
          <cell r="AV1190">
            <v>12300000</v>
          </cell>
        </row>
        <row r="1191">
          <cell r="E1191" t="str">
            <v>B25016822</v>
          </cell>
          <cell r="AP1191">
            <v>0</v>
          </cell>
          <cell r="AQ1191">
            <v>0</v>
          </cell>
          <cell r="AV1191">
            <v>13700000</v>
          </cell>
        </row>
        <row r="1192">
          <cell r="E1192" t="str">
            <v>D25019508</v>
          </cell>
          <cell r="AP1192">
            <v>0</v>
          </cell>
          <cell r="AQ1192">
            <v>0</v>
          </cell>
          <cell r="AV1192">
            <v>8175000</v>
          </cell>
        </row>
        <row r="1193">
          <cell r="E1193" t="str">
            <v>D25019509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D25019536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B26000207</v>
          </cell>
          <cell r="AP1195">
            <v>0</v>
          </cell>
          <cell r="AQ1195">
            <v>0</v>
          </cell>
          <cell r="AV1195">
            <v>6247500</v>
          </cell>
        </row>
        <row r="1196">
          <cell r="E1196" t="str">
            <v>D26000233</v>
          </cell>
          <cell r="AP1196">
            <v>0</v>
          </cell>
          <cell r="AQ1196">
            <v>0</v>
          </cell>
          <cell r="AV1196">
            <v>8550000</v>
          </cell>
        </row>
        <row r="1197">
          <cell r="E1197" t="str">
            <v>D26000637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B26001031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B26001189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D26001514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 t="str">
            <v>D26001807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D26001930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B26001882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D26001999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B26002180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D25018470</v>
          </cell>
          <cell r="AP1206">
            <v>0</v>
          </cell>
          <cell r="AQ1206">
            <v>0</v>
          </cell>
          <cell r="AV1206">
            <v>290000000</v>
          </cell>
        </row>
        <row r="1207">
          <cell r="E1207" t="str">
            <v>B25016647</v>
          </cell>
          <cell r="AP1207">
            <v>0</v>
          </cell>
          <cell r="AQ1207">
            <v>0</v>
          </cell>
          <cell r="AV1207">
            <v>63560000</v>
          </cell>
        </row>
        <row r="1208">
          <cell r="E1208" t="str">
            <v>D25019502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D26000303</v>
          </cell>
          <cell r="AP1209">
            <v>0</v>
          </cell>
          <cell r="AQ1209">
            <v>0</v>
          </cell>
          <cell r="AV1209">
            <v>292160000</v>
          </cell>
        </row>
        <row r="1210">
          <cell r="E1210" t="str">
            <v>B26001524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B26001955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B25017124</v>
          </cell>
          <cell r="AP1212">
            <v>0</v>
          </cell>
          <cell r="AQ1212">
            <v>0</v>
          </cell>
          <cell r="AV1212">
            <v>2250000</v>
          </cell>
        </row>
        <row r="1213">
          <cell r="E1213" t="str">
            <v>B25017145</v>
          </cell>
          <cell r="AP1213">
            <v>0</v>
          </cell>
          <cell r="AQ1213">
            <v>0</v>
          </cell>
          <cell r="AV1213">
            <v>6295000</v>
          </cell>
        </row>
        <row r="1214">
          <cell r="E1214" t="str">
            <v>B26000008</v>
          </cell>
          <cell r="AP1214">
            <v>0</v>
          </cell>
          <cell r="AQ1214">
            <v>0</v>
          </cell>
          <cell r="AV1214">
            <v>33200000</v>
          </cell>
        </row>
        <row r="1215">
          <cell r="E1215" t="str">
            <v>D26000289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B26000304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D26000338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B26000350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D26000423</v>
          </cell>
          <cell r="AP1219">
            <v>0</v>
          </cell>
          <cell r="AQ1219">
            <v>0</v>
          </cell>
          <cell r="AV1219">
            <v>0</v>
          </cell>
        </row>
        <row r="1220">
          <cell r="E1220" t="str">
            <v>B26000521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D26000613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D26000676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B26000650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D26000713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B26000691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D26000969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B26001006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D26001232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B26001216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D26001299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D26001337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B26001267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B26001268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B26001299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D26001358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B26001381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D26001538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B26001588</v>
          </cell>
          <cell r="AP1238">
            <v>0</v>
          </cell>
          <cell r="AQ1238">
            <v>0</v>
          </cell>
          <cell r="AV1238">
            <v>10640000</v>
          </cell>
        </row>
        <row r="1239">
          <cell r="E1239" t="str">
            <v>B26001589</v>
          </cell>
          <cell r="AP1239">
            <v>0</v>
          </cell>
          <cell r="AQ1239">
            <v>0</v>
          </cell>
          <cell r="AV1239">
            <v>51250000</v>
          </cell>
        </row>
        <row r="1240">
          <cell r="E1240" t="str">
            <v>B26001761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D26001949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B26001943</v>
          </cell>
          <cell r="AP1242">
            <v>0</v>
          </cell>
          <cell r="AQ1242">
            <v>0</v>
          </cell>
          <cell r="AV1242">
            <v>131000000</v>
          </cell>
        </row>
        <row r="1243">
          <cell r="E1243" t="str">
            <v>B26002065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B26002135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B26002139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B26002164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D26002331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D26002358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D26002393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T25001779</v>
          </cell>
          <cell r="AP1250">
            <v>0</v>
          </cell>
          <cell r="AQ1250">
            <v>0</v>
          </cell>
          <cell r="AV1250">
            <v>7031250</v>
          </cell>
        </row>
        <row r="1251">
          <cell r="E1251" t="str">
            <v>D25018317</v>
          </cell>
          <cell r="AP1251">
            <v>0</v>
          </cell>
          <cell r="AQ1251">
            <v>0</v>
          </cell>
          <cell r="AV1251">
            <v>10000000</v>
          </cell>
        </row>
        <row r="1252">
          <cell r="E1252" t="str">
            <v>D25018317</v>
          </cell>
          <cell r="AP1252">
            <v>0</v>
          </cell>
          <cell r="AQ1252">
            <v>0</v>
          </cell>
          <cell r="AV1252">
            <v>10000000</v>
          </cell>
        </row>
        <row r="1253">
          <cell r="E1253" t="str">
            <v>D25018317</v>
          </cell>
          <cell r="AP1253">
            <v>0</v>
          </cell>
          <cell r="AQ1253">
            <v>0</v>
          </cell>
          <cell r="AV1253">
            <v>10000000</v>
          </cell>
        </row>
        <row r="1254">
          <cell r="E1254" t="str">
            <v>D25018317</v>
          </cell>
          <cell r="AP1254">
            <v>0</v>
          </cell>
          <cell r="AQ1254">
            <v>0</v>
          </cell>
          <cell r="AV1254">
            <v>8356000</v>
          </cell>
        </row>
        <row r="1255">
          <cell r="E1255" t="str">
            <v>D25018318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D25018319</v>
          </cell>
          <cell r="AP1256">
            <v>0</v>
          </cell>
          <cell r="AQ1256">
            <v>0</v>
          </cell>
          <cell r="AV1256">
            <v>12940000</v>
          </cell>
        </row>
        <row r="1257">
          <cell r="E1257" t="str">
            <v>D25018403</v>
          </cell>
          <cell r="AP1257">
            <v>0</v>
          </cell>
          <cell r="AQ1257">
            <v>0</v>
          </cell>
          <cell r="AV1257">
            <v>2860000</v>
          </cell>
        </row>
        <row r="1258">
          <cell r="E1258" t="str">
            <v>B25016132</v>
          </cell>
          <cell r="AP1258">
            <v>0</v>
          </cell>
          <cell r="AQ1258">
            <v>0</v>
          </cell>
          <cell r="AV1258">
            <v>1540000</v>
          </cell>
        </row>
        <row r="1259">
          <cell r="E1259" t="str">
            <v>B25016149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B25016153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D25018608</v>
          </cell>
          <cell r="AP1261">
            <v>0</v>
          </cell>
          <cell r="AQ1261">
            <v>0</v>
          </cell>
          <cell r="AV1261">
            <v>3650000</v>
          </cell>
        </row>
        <row r="1262">
          <cell r="E1262" t="str">
            <v>D25018693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D25018794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D25018795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B25016609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B25016637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D25019217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B25016896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B25016897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B25017070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D26000070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D26000171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B26000275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B26000391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D26000687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B26000720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B26000748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B26000776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B26000866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D26000946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B26001227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B26001240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B26001285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D26001403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B26001463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D26001691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B26001656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D26001777</v>
          </cell>
          <cell r="AP1288">
            <v>0</v>
          </cell>
          <cell r="AQ1288">
            <v>0</v>
          </cell>
          <cell r="AV1288">
            <v>9950000</v>
          </cell>
        </row>
        <row r="1289">
          <cell r="E1289" t="str">
            <v>D26001780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B26001768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B26002104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B26002132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D26002239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B26001184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B26000060</v>
          </cell>
          <cell r="AP1295">
            <v>0</v>
          </cell>
          <cell r="AQ1295">
            <v>0</v>
          </cell>
          <cell r="AV1295">
            <v>2560000</v>
          </cell>
        </row>
        <row r="1296">
          <cell r="E1296" t="str">
            <v>D26002230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B26001103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D25017204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D25017712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B26000012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B26000534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B26000987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B26001168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B25017072</v>
          </cell>
          <cell r="AP1304">
            <v>0</v>
          </cell>
          <cell r="AQ1304">
            <v>0</v>
          </cell>
          <cell r="AV1304">
            <v>12360000</v>
          </cell>
        </row>
        <row r="1305">
          <cell r="E1305" t="str">
            <v>B26000003</v>
          </cell>
          <cell r="AP1305">
            <v>0</v>
          </cell>
          <cell r="AQ1305">
            <v>0</v>
          </cell>
          <cell r="AV1305">
            <v>7940000</v>
          </cell>
        </row>
        <row r="1306">
          <cell r="E1306" t="str">
            <v>D26000452</v>
          </cell>
          <cell r="AP1306">
            <v>0</v>
          </cell>
          <cell r="AQ1306">
            <v>0</v>
          </cell>
          <cell r="AV1306">
            <v>2880000</v>
          </cell>
        </row>
        <row r="1307">
          <cell r="E1307" t="str">
            <v>B26001993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D25019430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B25017010</v>
          </cell>
          <cell r="AP1309">
            <v>0</v>
          </cell>
          <cell r="AQ1309">
            <v>0</v>
          </cell>
          <cell r="AV1309">
            <v>4600000</v>
          </cell>
        </row>
        <row r="1310">
          <cell r="E1310" t="str">
            <v>B25017011</v>
          </cell>
          <cell r="AP1310">
            <v>0</v>
          </cell>
          <cell r="AQ1310">
            <v>0</v>
          </cell>
          <cell r="AV1310">
            <v>23030000</v>
          </cell>
        </row>
        <row r="1311">
          <cell r="E1311" t="str">
            <v>D26000137</v>
          </cell>
          <cell r="AP1311">
            <v>0</v>
          </cell>
          <cell r="AQ1311">
            <v>0</v>
          </cell>
          <cell r="AV1311">
            <v>29400000</v>
          </cell>
        </row>
        <row r="1312">
          <cell r="E1312" t="str">
            <v>B26000438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B26000439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B26000442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B26000445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D26000696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D26000698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D26001126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B26001124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B26001126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B26001128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D26001529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D26002061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D26002062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B26001954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B26001998</v>
          </cell>
          <cell r="AP1326">
            <v>0</v>
          </cell>
          <cell r="AQ1326">
            <v>0</v>
          </cell>
          <cell r="AV1326">
            <v>2520000</v>
          </cell>
        </row>
        <row r="1327">
          <cell r="E1327" t="str">
            <v>D26002107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D26002185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B26002116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B26002117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B26002118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D25011387</v>
          </cell>
          <cell r="AP1332">
            <v>0</v>
          </cell>
          <cell r="AQ1332">
            <v>0</v>
          </cell>
          <cell r="AV1332">
            <v>50000000</v>
          </cell>
        </row>
        <row r="1333">
          <cell r="E1333" t="str">
            <v>D25011387</v>
          </cell>
          <cell r="AP1333">
            <v>0</v>
          </cell>
          <cell r="AQ1333">
            <v>0</v>
          </cell>
          <cell r="AV1333">
            <v>50000000</v>
          </cell>
        </row>
        <row r="1334">
          <cell r="E1334" t="str">
            <v>B25009852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B25015251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D26000095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B26000435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B26000767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D26001251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D26001556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D26001557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B25015808</v>
          </cell>
          <cell r="AP1342">
            <v>0</v>
          </cell>
          <cell r="AQ1342">
            <v>0</v>
          </cell>
          <cell r="AV1342">
            <v>3415000</v>
          </cell>
        </row>
        <row r="1343">
          <cell r="E1343" t="str">
            <v>T25001794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D25018744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D25017893</v>
          </cell>
          <cell r="AP1345">
            <v>0</v>
          </cell>
          <cell r="AQ1345">
            <v>0</v>
          </cell>
          <cell r="AV1345">
            <v>1254750</v>
          </cell>
        </row>
        <row r="1346">
          <cell r="E1346" t="str">
            <v>B25015444</v>
          </cell>
          <cell r="AP1346">
            <v>0</v>
          </cell>
          <cell r="AQ1346">
            <v>0</v>
          </cell>
          <cell r="AV1346">
            <v>5100000</v>
          </cell>
        </row>
        <row r="1347">
          <cell r="E1347" t="str">
            <v>B25015958</v>
          </cell>
          <cell r="AP1347">
            <v>0</v>
          </cell>
          <cell r="AQ1347">
            <v>0</v>
          </cell>
          <cell r="AV1347">
            <v>8645250</v>
          </cell>
        </row>
        <row r="1348">
          <cell r="E1348" t="str">
            <v>B25015958</v>
          </cell>
          <cell r="AP1348">
            <v>0</v>
          </cell>
          <cell r="AQ1348">
            <v>0</v>
          </cell>
          <cell r="AV1348">
            <v>4294750</v>
          </cell>
        </row>
        <row r="1349">
          <cell r="E1349" t="str">
            <v>B25016375</v>
          </cell>
          <cell r="AP1349">
            <v>0</v>
          </cell>
          <cell r="AQ1349">
            <v>0</v>
          </cell>
          <cell r="AV1349">
            <v>2705250</v>
          </cell>
        </row>
        <row r="1350">
          <cell r="E1350" t="str">
            <v>B25016375</v>
          </cell>
          <cell r="AP1350">
            <v>0</v>
          </cell>
          <cell r="AQ1350">
            <v>0</v>
          </cell>
          <cell r="AV1350">
            <v>5000000</v>
          </cell>
        </row>
        <row r="1351">
          <cell r="E1351" t="str">
            <v>B25016838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D25019378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D26000090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B26001795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B26001820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D25019656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T25001564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B25013893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D25019014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D25019015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B26000176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B26000177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B26000178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D25015607</v>
          </cell>
          <cell r="AP1364">
            <v>896000</v>
          </cell>
          <cell r="AQ1364">
            <v>0</v>
          </cell>
          <cell r="AV1364">
            <v>0</v>
          </cell>
        </row>
        <row r="1365">
          <cell r="E1365" t="str">
            <v>D26001368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D26001543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D26001741</v>
          </cell>
          <cell r="AP1367">
            <v>0</v>
          </cell>
          <cell r="AQ1367">
            <v>0</v>
          </cell>
          <cell r="AV1367">
            <v>1687500</v>
          </cell>
        </row>
        <row r="1368">
          <cell r="E1368" t="str">
            <v>D26002371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B25014546</v>
          </cell>
          <cell r="AP1369">
            <v>0</v>
          </cell>
          <cell r="AQ1369">
            <v>0</v>
          </cell>
          <cell r="AV1369">
            <v>775000</v>
          </cell>
        </row>
        <row r="1370">
          <cell r="E1370" t="str">
            <v>T25001672</v>
          </cell>
          <cell r="AP1370">
            <v>0</v>
          </cell>
          <cell r="AQ1370">
            <v>0</v>
          </cell>
          <cell r="AV1370">
            <v>1387500</v>
          </cell>
        </row>
        <row r="1371">
          <cell r="E1371">
            <v>260003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D26000243</v>
          </cell>
          <cell r="AP1372">
            <v>0</v>
          </cell>
          <cell r="AQ1372">
            <v>0</v>
          </cell>
          <cell r="AV1372">
            <v>2160000</v>
          </cell>
        </row>
        <row r="1373">
          <cell r="E1373" t="str">
            <v>D26000244</v>
          </cell>
          <cell r="AP1373">
            <v>0</v>
          </cell>
          <cell r="AQ1373">
            <v>0</v>
          </cell>
          <cell r="AV1373">
            <v>7100000</v>
          </cell>
        </row>
        <row r="1374">
          <cell r="E1374" t="str">
            <v>D26000246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D26000250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B26000089</v>
          </cell>
          <cell r="AP1376">
            <v>0</v>
          </cell>
          <cell r="AQ1376">
            <v>0</v>
          </cell>
          <cell r="AV1376">
            <v>21550000</v>
          </cell>
        </row>
        <row r="1377">
          <cell r="E1377" t="str">
            <v>D26000798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D26001265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D26001286</v>
          </cell>
          <cell r="AP1379">
            <v>0</v>
          </cell>
          <cell r="AQ1379">
            <v>0</v>
          </cell>
          <cell r="AV1379">
            <v>0</v>
          </cell>
        </row>
        <row r="1380">
          <cell r="E1380" t="str">
            <v>B25013863</v>
          </cell>
          <cell r="AP1380">
            <v>0</v>
          </cell>
          <cell r="AQ1380">
            <v>0</v>
          </cell>
          <cell r="AV1380">
            <v>21200000</v>
          </cell>
        </row>
        <row r="1381">
          <cell r="E1381" t="str">
            <v>B25014067</v>
          </cell>
          <cell r="AP1381">
            <v>0</v>
          </cell>
          <cell r="AQ1381">
            <v>0</v>
          </cell>
          <cell r="AV1381">
            <v>27000000</v>
          </cell>
        </row>
        <row r="1382">
          <cell r="E1382" t="str">
            <v>B25014858</v>
          </cell>
          <cell r="AP1382">
            <v>0</v>
          </cell>
          <cell r="AQ1382">
            <v>0</v>
          </cell>
          <cell r="AV1382">
            <v>9510000</v>
          </cell>
        </row>
        <row r="1383">
          <cell r="E1383" t="str">
            <v>D25019205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D26000957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D26001547</v>
          </cell>
          <cell r="AP1385">
            <v>0</v>
          </cell>
          <cell r="AQ1385">
            <v>0</v>
          </cell>
          <cell r="AV1385">
            <v>263400000</v>
          </cell>
        </row>
        <row r="1386">
          <cell r="E1386" t="str">
            <v>D26001547</v>
          </cell>
          <cell r="AP1386">
            <v>0</v>
          </cell>
          <cell r="AQ1386">
            <v>0</v>
          </cell>
          <cell r="AV1386">
            <v>1408000</v>
          </cell>
        </row>
        <row r="1387">
          <cell r="E1387" t="str">
            <v>D26001595</v>
          </cell>
          <cell r="AP1387">
            <v>0</v>
          </cell>
          <cell r="AQ1387">
            <v>0</v>
          </cell>
          <cell r="AV1387">
            <v>130000000</v>
          </cell>
        </row>
        <row r="1388">
          <cell r="E1388" t="str">
            <v>D26001774</v>
          </cell>
          <cell r="AP1388">
            <v>0</v>
          </cell>
          <cell r="AQ1388">
            <v>0</v>
          </cell>
          <cell r="AV1388">
            <v>756000000</v>
          </cell>
        </row>
        <row r="1389">
          <cell r="E1389" t="str">
            <v>D26001808</v>
          </cell>
          <cell r="AP1389">
            <v>0</v>
          </cell>
          <cell r="AQ1389">
            <v>0</v>
          </cell>
          <cell r="AV1389">
            <v>250000000</v>
          </cell>
        </row>
        <row r="1390">
          <cell r="E1390" t="str">
            <v>D26001868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D26001868</v>
          </cell>
          <cell r="AP1391">
            <v>0</v>
          </cell>
          <cell r="AQ1391">
            <v>0</v>
          </cell>
          <cell r="AV1391">
            <v>303500000</v>
          </cell>
        </row>
        <row r="1392">
          <cell r="E1392" t="str">
            <v>D26001868</v>
          </cell>
          <cell r="AP1392">
            <v>0</v>
          </cell>
          <cell r="AQ1392">
            <v>0</v>
          </cell>
          <cell r="AV1392">
            <v>400000000</v>
          </cell>
        </row>
        <row r="1393">
          <cell r="E1393" t="str">
            <v>D26001869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D26001971</v>
          </cell>
          <cell r="AP1394">
            <v>0</v>
          </cell>
          <cell r="AQ1394">
            <v>0</v>
          </cell>
          <cell r="AV1394">
            <v>356000000</v>
          </cell>
        </row>
        <row r="1395">
          <cell r="E1395" t="str">
            <v>D26001971</v>
          </cell>
          <cell r="AP1395">
            <v>0</v>
          </cell>
          <cell r="AQ1395">
            <v>0</v>
          </cell>
          <cell r="AV1395">
            <v>292000000</v>
          </cell>
        </row>
        <row r="1396">
          <cell r="E1396" t="str">
            <v>D26001972</v>
          </cell>
          <cell r="AP1396">
            <v>0</v>
          </cell>
          <cell r="AQ1396">
            <v>0</v>
          </cell>
          <cell r="AV1396">
            <v>108000000</v>
          </cell>
        </row>
        <row r="1397">
          <cell r="E1397" t="str">
            <v>D26001972</v>
          </cell>
          <cell r="AP1397">
            <v>0</v>
          </cell>
          <cell r="AQ1397">
            <v>0</v>
          </cell>
          <cell r="AV1397">
            <v>130000000</v>
          </cell>
        </row>
        <row r="1398">
          <cell r="E1398" t="str">
            <v>D26001990</v>
          </cell>
          <cell r="AP1398">
            <v>0</v>
          </cell>
          <cell r="AQ1398">
            <v>0</v>
          </cell>
          <cell r="AV1398">
            <v>403500000</v>
          </cell>
        </row>
        <row r="1399">
          <cell r="E1399" t="str">
            <v>D26002079</v>
          </cell>
          <cell r="AP1399">
            <v>0</v>
          </cell>
          <cell r="AQ1399">
            <v>0</v>
          </cell>
          <cell r="AV1399">
            <v>130000000</v>
          </cell>
        </row>
        <row r="1400">
          <cell r="E1400" t="str">
            <v>D26002097</v>
          </cell>
          <cell r="AP1400">
            <v>0</v>
          </cell>
          <cell r="AQ1400">
            <v>0</v>
          </cell>
          <cell r="AV1400">
            <v>260000000</v>
          </cell>
        </row>
        <row r="1401">
          <cell r="E1401" t="str">
            <v>D26002130</v>
          </cell>
          <cell r="AP1401">
            <v>0</v>
          </cell>
          <cell r="AQ1401">
            <v>0</v>
          </cell>
          <cell r="AV1401">
            <v>232500000</v>
          </cell>
        </row>
        <row r="1402">
          <cell r="E1402" t="str">
            <v>D26002220</v>
          </cell>
          <cell r="AP1402">
            <v>0</v>
          </cell>
          <cell r="AQ1402">
            <v>0</v>
          </cell>
          <cell r="AV1402">
            <v>260000000</v>
          </cell>
        </row>
        <row r="1403">
          <cell r="E1403" t="str">
            <v>B26002215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D26002433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D26001102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D26001132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T26000148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B26001307</v>
          </cell>
          <cell r="AP1408">
            <v>0</v>
          </cell>
          <cell r="AQ1408">
            <v>0</v>
          </cell>
          <cell r="AV1408">
            <v>0</v>
          </cell>
        </row>
        <row r="1409">
          <cell r="E1409" t="str">
            <v>D26000380</v>
          </cell>
          <cell r="AP1409">
            <v>0</v>
          </cell>
          <cell r="AQ1409">
            <v>0</v>
          </cell>
          <cell r="AV1409">
            <v>0</v>
          </cell>
        </row>
        <row r="1410">
          <cell r="E1410" t="str">
            <v>D26000381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T26000029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B26000716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B26000825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B26000974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B26001980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D25018137</v>
          </cell>
          <cell r="AP1416">
            <v>0</v>
          </cell>
          <cell r="AQ1416">
            <v>0</v>
          </cell>
          <cell r="AV1416">
            <v>250000000</v>
          </cell>
        </row>
        <row r="1417">
          <cell r="E1417" t="str">
            <v>D25018137</v>
          </cell>
          <cell r="AP1417">
            <v>0</v>
          </cell>
          <cell r="AQ1417">
            <v>0</v>
          </cell>
          <cell r="AV1417">
            <v>183000000</v>
          </cell>
        </row>
        <row r="1418">
          <cell r="E1418" t="str">
            <v>D25019051</v>
          </cell>
          <cell r="AP1418">
            <v>0</v>
          </cell>
          <cell r="AQ1418">
            <v>0</v>
          </cell>
          <cell r="AV1418">
            <v>1900000</v>
          </cell>
        </row>
        <row r="1419">
          <cell r="E1419" t="str">
            <v>T24001625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D24017664</v>
          </cell>
          <cell r="AP1420">
            <v>0</v>
          </cell>
          <cell r="AQ1420">
            <v>0</v>
          </cell>
          <cell r="AV1420">
            <v>10000000</v>
          </cell>
        </row>
        <row r="1421">
          <cell r="E1421" t="str">
            <v>D25017240</v>
          </cell>
          <cell r="AP1421">
            <v>0</v>
          </cell>
          <cell r="AQ1421">
            <v>0</v>
          </cell>
          <cell r="AV1421">
            <v>25428500</v>
          </cell>
        </row>
        <row r="1422">
          <cell r="E1422" t="str">
            <v>D25017240</v>
          </cell>
          <cell r="AP1422">
            <v>0</v>
          </cell>
          <cell r="AQ1422">
            <v>0</v>
          </cell>
          <cell r="AV1422">
            <v>200000000</v>
          </cell>
        </row>
        <row r="1423">
          <cell r="E1423" t="str">
            <v>D25017240</v>
          </cell>
          <cell r="AP1423">
            <v>0</v>
          </cell>
          <cell r="AQ1423">
            <v>0</v>
          </cell>
          <cell r="AV1423">
            <v>211470000</v>
          </cell>
        </row>
        <row r="1424">
          <cell r="E1424" t="str">
            <v>D25017241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D25017454</v>
          </cell>
          <cell r="AP1425">
            <v>0</v>
          </cell>
          <cell r="AQ1425">
            <v>0</v>
          </cell>
          <cell r="AV1425">
            <v>3196500</v>
          </cell>
        </row>
        <row r="1426">
          <cell r="E1426" t="str">
            <v>D25017458</v>
          </cell>
          <cell r="AP1426">
            <v>0</v>
          </cell>
          <cell r="AQ1426">
            <v>0</v>
          </cell>
          <cell r="AV1426">
            <v>5350000</v>
          </cell>
        </row>
        <row r="1427">
          <cell r="E1427" t="str">
            <v>T25001722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B25015276</v>
          </cell>
          <cell r="AP1428">
            <v>0</v>
          </cell>
          <cell r="AQ1428">
            <v>0</v>
          </cell>
          <cell r="AV1428">
            <v>7600000</v>
          </cell>
        </row>
        <row r="1429">
          <cell r="E1429" t="str">
            <v>B25015442</v>
          </cell>
          <cell r="AP1429">
            <v>0</v>
          </cell>
          <cell r="AQ1429">
            <v>0</v>
          </cell>
          <cell r="AV1429">
            <v>8675000</v>
          </cell>
        </row>
        <row r="1430">
          <cell r="E1430" t="str">
            <v>D25017959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D25018410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B25016093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D25018716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D25019055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B25016834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D25019534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D25019598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D25019599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D26000145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D26000152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D26000153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D26000154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D26000257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D26000590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B26000573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D26000830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B26000819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B26000881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D26000937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T26000065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D26001210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B26001129</v>
          </cell>
          <cell r="AP1452">
            <v>0</v>
          </cell>
          <cell r="AQ1452">
            <v>0</v>
          </cell>
          <cell r="AV1452">
            <v>0</v>
          </cell>
        </row>
        <row r="1453">
          <cell r="E1453" t="str">
            <v>D26001333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D26001437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D26001533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D26001534</v>
          </cell>
          <cell r="AP1456">
            <v>0</v>
          </cell>
          <cell r="AQ1456">
            <v>0</v>
          </cell>
          <cell r="AV1456">
            <v>66000000</v>
          </cell>
        </row>
        <row r="1457">
          <cell r="E1457" t="str">
            <v>B26001519</v>
          </cell>
          <cell r="AP1457">
            <v>0</v>
          </cell>
          <cell r="AQ1457">
            <v>0</v>
          </cell>
          <cell r="AV1457">
            <v>33750000</v>
          </cell>
        </row>
        <row r="1458">
          <cell r="E1458" t="str">
            <v>D26001636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T26000104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D26001752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B26001741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D26001845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D26001855</v>
          </cell>
          <cell r="AP1463">
            <v>0</v>
          </cell>
          <cell r="AQ1463">
            <v>0</v>
          </cell>
          <cell r="AV1463">
            <v>153750000</v>
          </cell>
        </row>
        <row r="1464">
          <cell r="E1464" t="str">
            <v>D26001988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D26001989</v>
          </cell>
          <cell r="AP1465">
            <v>0</v>
          </cell>
          <cell r="AQ1465">
            <v>0</v>
          </cell>
          <cell r="AV1465">
            <v>46250000</v>
          </cell>
        </row>
        <row r="1466">
          <cell r="E1466" t="str">
            <v>D26002036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D26002142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D26002144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D26002274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D26002292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B26002204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D26002432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D25018504</v>
          </cell>
          <cell r="AP1473">
            <v>0</v>
          </cell>
          <cell r="AQ1473">
            <v>0</v>
          </cell>
          <cell r="AV1473">
            <v>4300000</v>
          </cell>
        </row>
        <row r="1474">
          <cell r="E1474" t="str">
            <v>B26000800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D26001655</v>
          </cell>
          <cell r="AP1475">
            <v>0</v>
          </cell>
          <cell r="AQ1475">
            <v>0</v>
          </cell>
          <cell r="AV1475">
            <v>15200000</v>
          </cell>
        </row>
        <row r="1476">
          <cell r="E1476" t="str">
            <v>B26002066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D26000219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B26001024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B26001367</v>
          </cell>
          <cell r="AP1479">
            <v>0</v>
          </cell>
          <cell r="AQ1479">
            <v>0</v>
          </cell>
          <cell r="AV1479">
            <v>10874500</v>
          </cell>
        </row>
        <row r="1480">
          <cell r="E1480" t="str">
            <v>B26001368</v>
          </cell>
          <cell r="AP1480">
            <v>0</v>
          </cell>
          <cell r="AQ1480">
            <v>0</v>
          </cell>
          <cell r="AV1480">
            <v>2252000</v>
          </cell>
        </row>
        <row r="1481">
          <cell r="E1481" t="str">
            <v>B26001427</v>
          </cell>
          <cell r="AP1481">
            <v>0</v>
          </cell>
          <cell r="AQ1481">
            <v>0</v>
          </cell>
          <cell r="AV1481">
            <v>0</v>
          </cell>
        </row>
        <row r="1482">
          <cell r="E1482" t="str">
            <v>D26002113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T26000063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Z25002724</v>
          </cell>
          <cell r="AP1484">
            <v>0</v>
          </cell>
          <cell r="AQ1484">
            <v>0</v>
          </cell>
          <cell r="AV1484">
            <v>5950500</v>
          </cell>
        </row>
        <row r="1485">
          <cell r="E1485" t="str">
            <v>Z25002724</v>
          </cell>
          <cell r="AP1485">
            <v>0</v>
          </cell>
          <cell r="AQ1485">
            <v>0</v>
          </cell>
          <cell r="AV1485">
            <v>38000000</v>
          </cell>
        </row>
        <row r="1486">
          <cell r="E1486" t="str">
            <v>Z25002724</v>
          </cell>
          <cell r="AP1486">
            <v>0</v>
          </cell>
          <cell r="AQ1486">
            <v>0</v>
          </cell>
          <cell r="AV1486">
            <v>12000000</v>
          </cell>
        </row>
        <row r="1487">
          <cell r="E1487" t="str">
            <v>D25017604</v>
          </cell>
          <cell r="AP1487">
            <v>0</v>
          </cell>
          <cell r="AQ1487">
            <v>0</v>
          </cell>
          <cell r="AV1487">
            <v>3500000</v>
          </cell>
        </row>
        <row r="1488">
          <cell r="E1488" t="str">
            <v>D25017604</v>
          </cell>
          <cell r="AP1488">
            <v>5440000</v>
          </cell>
          <cell r="AQ1488">
            <v>0</v>
          </cell>
          <cell r="AV1488">
            <v>0</v>
          </cell>
        </row>
        <row r="1489">
          <cell r="E1489" t="str">
            <v>D25017604</v>
          </cell>
          <cell r="AP1489">
            <v>0</v>
          </cell>
          <cell r="AQ1489">
            <v>0</v>
          </cell>
          <cell r="AV1489">
            <v>37729500</v>
          </cell>
        </row>
        <row r="1490">
          <cell r="E1490" t="str">
            <v>D25017676</v>
          </cell>
          <cell r="AP1490">
            <v>0</v>
          </cell>
          <cell r="AQ1490">
            <v>0</v>
          </cell>
          <cell r="AV1490">
            <v>2070000</v>
          </cell>
        </row>
        <row r="1491">
          <cell r="E1491" t="str">
            <v>D25017717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D25017753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D25017787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D25017817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D25017818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B25015360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B25015424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B25015436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D25017839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D25017985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B25015596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D25018121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D25018128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B25015983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D25018460</v>
          </cell>
          <cell r="AP1505">
            <v>0</v>
          </cell>
          <cell r="AQ1505">
            <v>0</v>
          </cell>
          <cell r="AV1505">
            <v>0</v>
          </cell>
        </row>
        <row r="1506">
          <cell r="E1506" t="str">
            <v>D25018475</v>
          </cell>
          <cell r="AP1506">
            <v>0</v>
          </cell>
          <cell r="AQ1506">
            <v>0</v>
          </cell>
          <cell r="AV1506">
            <v>0</v>
          </cell>
        </row>
        <row r="1507">
          <cell r="E1507" t="str">
            <v>D25018537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D25018561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B25016286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D25018733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D25018751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B25016434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B25016498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D25018991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B25016567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B25016636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B25016679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B25016681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B25016699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B25016741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B25016752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B25016905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D25019569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D25019570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B25017037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D25019649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D25019684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B26000039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D26000092</v>
          </cell>
          <cell r="AP1529">
            <v>0</v>
          </cell>
          <cell r="AQ1529">
            <v>0</v>
          </cell>
          <cell r="AV1529">
            <v>2400000</v>
          </cell>
        </row>
        <row r="1530">
          <cell r="E1530" t="str">
            <v>D26000167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D26000229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D26000230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B26000332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B26000365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B26000367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B26000374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B26000403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B26000404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B26000411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B26000412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B26000490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B26000588</v>
          </cell>
          <cell r="AP1542">
            <v>0</v>
          </cell>
          <cell r="AQ1542">
            <v>0</v>
          </cell>
          <cell r="AV1542">
            <v>0</v>
          </cell>
        </row>
        <row r="1543">
          <cell r="E1543" t="str">
            <v>D26000673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B26000683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B26000863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B26000864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D26001128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D26001139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B26001217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B26001244</v>
          </cell>
          <cell r="AP1550">
            <v>0</v>
          </cell>
          <cell r="AQ1550">
            <v>0</v>
          </cell>
          <cell r="AV1550">
            <v>50000000</v>
          </cell>
        </row>
        <row r="1551">
          <cell r="E1551" t="str">
            <v>B26001244</v>
          </cell>
          <cell r="AP1551">
            <v>0</v>
          </cell>
          <cell r="AQ1551">
            <v>0</v>
          </cell>
          <cell r="AV1551">
            <v>25000000</v>
          </cell>
        </row>
        <row r="1552">
          <cell r="E1552" t="str">
            <v>B26001244</v>
          </cell>
          <cell r="AP1552">
            <v>0</v>
          </cell>
          <cell r="AQ1552">
            <v>0</v>
          </cell>
          <cell r="AV1552">
            <v>17500000</v>
          </cell>
        </row>
        <row r="1553">
          <cell r="E1553" t="str">
            <v>B26001290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B26001399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D26001433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D26001490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B26001483</v>
          </cell>
          <cell r="AP1557">
            <v>0</v>
          </cell>
          <cell r="AQ1557">
            <v>0</v>
          </cell>
          <cell r="AV1557">
            <v>14000000</v>
          </cell>
        </row>
        <row r="1558">
          <cell r="E1558" t="str">
            <v>B26001553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B26001554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D26001765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B26001798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B26001803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B26001909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B26001929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B26001930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D26002067</v>
          </cell>
          <cell r="AP1566">
            <v>0</v>
          </cell>
          <cell r="AQ1566">
            <v>0</v>
          </cell>
          <cell r="AV1566">
            <v>54250000</v>
          </cell>
        </row>
        <row r="1567">
          <cell r="E1567" t="str">
            <v>B26002090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D26002157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D26002158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Z26000404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Z26000411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Z26000412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Z26000413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Z26000414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Z26000415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Z26000418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B25015690</v>
          </cell>
          <cell r="AP1577">
            <v>0</v>
          </cell>
          <cell r="AQ1577">
            <v>0</v>
          </cell>
          <cell r="AV1577">
            <v>50000000</v>
          </cell>
        </row>
        <row r="1578">
          <cell r="E1578" t="str">
            <v>B25015690</v>
          </cell>
          <cell r="AP1578">
            <v>0</v>
          </cell>
          <cell r="AQ1578">
            <v>0</v>
          </cell>
          <cell r="AV1578">
            <v>50000000</v>
          </cell>
        </row>
        <row r="1579">
          <cell r="E1579" t="str">
            <v>B25015690</v>
          </cell>
          <cell r="AP1579">
            <v>355000</v>
          </cell>
          <cell r="AQ1579">
            <v>0</v>
          </cell>
          <cell r="AV1579">
            <v>0</v>
          </cell>
        </row>
        <row r="1580">
          <cell r="E1580" t="str">
            <v>D26000913</v>
          </cell>
          <cell r="AP1580">
            <v>1205000</v>
          </cell>
          <cell r="AQ1580">
            <v>0</v>
          </cell>
          <cell r="AV1580">
            <v>0</v>
          </cell>
        </row>
        <row r="1581">
          <cell r="E1581" t="str">
            <v>T26000060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T26000061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T26000062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D26001682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C25001129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B26001885</v>
          </cell>
          <cell r="AP1586">
            <v>0</v>
          </cell>
          <cell r="AQ1586">
            <v>0</v>
          </cell>
          <cell r="AV1586">
            <v>7400000</v>
          </cell>
        </row>
        <row r="1587">
          <cell r="E1587" t="str">
            <v>B26002141</v>
          </cell>
          <cell r="AP1587">
            <v>0</v>
          </cell>
          <cell r="AQ1587">
            <v>0</v>
          </cell>
          <cell r="AV1587">
            <v>3300000</v>
          </cell>
        </row>
        <row r="1588">
          <cell r="E1588" t="str">
            <v>D25019225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B26000054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B25014145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B25014223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T25001636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Z25002935</v>
          </cell>
          <cell r="AP1593">
            <v>0</v>
          </cell>
          <cell r="AQ1593">
            <v>0</v>
          </cell>
          <cell r="AV1593">
            <v>34160000</v>
          </cell>
        </row>
        <row r="1594">
          <cell r="E1594" t="str">
            <v>B25015058</v>
          </cell>
          <cell r="AP1594">
            <v>0</v>
          </cell>
          <cell r="AQ1594">
            <v>0</v>
          </cell>
          <cell r="AV1594">
            <v>31150000</v>
          </cell>
        </row>
        <row r="1595">
          <cell r="E1595" t="str">
            <v>Z25002997</v>
          </cell>
          <cell r="AP1595">
            <v>0</v>
          </cell>
          <cell r="AQ1595">
            <v>0</v>
          </cell>
          <cell r="AV1595">
            <v>34690000</v>
          </cell>
        </row>
        <row r="1596">
          <cell r="E1596" t="str">
            <v>Z25002997</v>
          </cell>
          <cell r="AP1596">
            <v>0</v>
          </cell>
          <cell r="AQ1596">
            <v>0</v>
          </cell>
          <cell r="AV1596">
            <v>70000000</v>
          </cell>
        </row>
        <row r="1597">
          <cell r="E1597" t="str">
            <v>Z25002997</v>
          </cell>
          <cell r="AP1597">
            <v>1608750</v>
          </cell>
          <cell r="AQ1597">
            <v>0</v>
          </cell>
          <cell r="AV1597">
            <v>0</v>
          </cell>
        </row>
        <row r="1598">
          <cell r="E1598" t="str">
            <v>Z25002997</v>
          </cell>
          <cell r="AP1598">
            <v>0</v>
          </cell>
          <cell r="AQ1598">
            <v>0</v>
          </cell>
          <cell r="AV1598">
            <v>7701250</v>
          </cell>
        </row>
        <row r="1599">
          <cell r="E1599" t="str">
            <v>D25017624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D25017734</v>
          </cell>
          <cell r="AP1600">
            <v>0</v>
          </cell>
          <cell r="AQ1600">
            <v>0</v>
          </cell>
          <cell r="AV1600">
            <v>20500000</v>
          </cell>
        </row>
        <row r="1601">
          <cell r="E1601" t="str">
            <v>Z25003042</v>
          </cell>
          <cell r="AP1601">
            <v>0</v>
          </cell>
          <cell r="AQ1601">
            <v>0</v>
          </cell>
          <cell r="AV1601">
            <v>21798750</v>
          </cell>
        </row>
        <row r="1602">
          <cell r="E1602" t="str">
            <v>Z25003042</v>
          </cell>
          <cell r="AP1602">
            <v>0</v>
          </cell>
          <cell r="AQ1602">
            <v>0</v>
          </cell>
          <cell r="AV1602">
            <v>61351250</v>
          </cell>
        </row>
        <row r="1603">
          <cell r="E1603" t="str">
            <v>Z25003049</v>
          </cell>
          <cell r="AP1603">
            <v>0</v>
          </cell>
          <cell r="AQ1603">
            <v>0</v>
          </cell>
          <cell r="AV1603">
            <v>38648750</v>
          </cell>
        </row>
        <row r="1604">
          <cell r="E1604" t="str">
            <v>Z25003049</v>
          </cell>
          <cell r="AP1604">
            <v>0</v>
          </cell>
          <cell r="AQ1604">
            <v>0</v>
          </cell>
          <cell r="AV1604">
            <v>13647250</v>
          </cell>
        </row>
        <row r="1605">
          <cell r="E1605" t="str">
            <v>B25015411</v>
          </cell>
          <cell r="AP1605">
            <v>0</v>
          </cell>
          <cell r="AQ1605">
            <v>0</v>
          </cell>
          <cell r="AV1605">
            <v>43000000</v>
          </cell>
        </row>
        <row r="1606">
          <cell r="E1606" t="str">
            <v>B25015419</v>
          </cell>
          <cell r="AP1606">
            <v>0</v>
          </cell>
          <cell r="AQ1606">
            <v>0</v>
          </cell>
          <cell r="AV1606">
            <v>4000000</v>
          </cell>
        </row>
        <row r="1607">
          <cell r="E1607" t="str">
            <v>B25015420</v>
          </cell>
          <cell r="AP1607">
            <v>0</v>
          </cell>
          <cell r="AQ1607">
            <v>0</v>
          </cell>
          <cell r="AV1607">
            <v>1720000</v>
          </cell>
        </row>
        <row r="1608">
          <cell r="E1608" t="str">
            <v>B25015650</v>
          </cell>
          <cell r="AP1608">
            <v>0</v>
          </cell>
          <cell r="AQ1608">
            <v>0</v>
          </cell>
          <cell r="AV1608">
            <v>7034000</v>
          </cell>
        </row>
        <row r="1609">
          <cell r="E1609" t="str">
            <v>Z25003073</v>
          </cell>
          <cell r="AP1609">
            <v>0</v>
          </cell>
          <cell r="AQ1609">
            <v>0</v>
          </cell>
          <cell r="AV1609">
            <v>7000000</v>
          </cell>
        </row>
        <row r="1610">
          <cell r="E1610" t="str">
            <v>B25015679</v>
          </cell>
          <cell r="AP1610">
            <v>0</v>
          </cell>
          <cell r="AQ1610">
            <v>0</v>
          </cell>
          <cell r="AV1610">
            <v>6000000</v>
          </cell>
        </row>
        <row r="1611">
          <cell r="E1611" t="str">
            <v>B25015722</v>
          </cell>
          <cell r="AP1611">
            <v>0</v>
          </cell>
          <cell r="AQ1611">
            <v>0</v>
          </cell>
          <cell r="AV1611">
            <v>2880000</v>
          </cell>
        </row>
        <row r="1612">
          <cell r="E1612" t="str">
            <v>B25015726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Z25003099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B25015823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D25018213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D25018256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B25015907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B25016015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Z25003163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Z25003166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Z25003169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B25016175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B25016271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D25018881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D25018971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Z25003294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B25016697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Z25003321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D25019448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D25019496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D25019504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Z25003354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B25017019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B25017026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Z25003356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D25019620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Z25003374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Z25003397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B26000429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D26000565</v>
          </cell>
          <cell r="AP1640">
            <v>0</v>
          </cell>
          <cell r="AQ1640">
            <v>0</v>
          </cell>
          <cell r="AV1640">
            <v>0</v>
          </cell>
        </row>
        <row r="1641">
          <cell r="E1641" t="str">
            <v>Z26000091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B26000651</v>
          </cell>
          <cell r="AP1642">
            <v>0</v>
          </cell>
          <cell r="AQ1642">
            <v>0</v>
          </cell>
          <cell r="AV1642">
            <v>2250000</v>
          </cell>
        </row>
        <row r="1643">
          <cell r="E1643" t="str">
            <v>D26000711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D26000775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D26000776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D26000887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D26001205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Z26000194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B26001567</v>
          </cell>
          <cell r="AP1649">
            <v>0</v>
          </cell>
          <cell r="AQ1649">
            <v>0</v>
          </cell>
          <cell r="AV1649">
            <v>705000</v>
          </cell>
        </row>
        <row r="1650">
          <cell r="E1650" t="str">
            <v>B26001638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D26001751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D26001824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D26001832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B26001738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D26001880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D26001881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D26001882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D26001883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Z26000329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Z26000349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D26002089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B26002041</v>
          </cell>
          <cell r="AP1662">
            <v>0</v>
          </cell>
          <cell r="AQ1662">
            <v>0</v>
          </cell>
          <cell r="AV1662">
            <v>14000000</v>
          </cell>
        </row>
        <row r="1663">
          <cell r="E1663" t="str">
            <v>D26002192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B26002173</v>
          </cell>
          <cell r="AP1664">
            <v>0</v>
          </cell>
          <cell r="AQ1664">
            <v>0</v>
          </cell>
          <cell r="AV1664">
            <v>2610000</v>
          </cell>
        </row>
        <row r="1665">
          <cell r="E1665" t="str">
            <v>D26002316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D26002394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B26001195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D26001628</v>
          </cell>
          <cell r="AP1668">
            <v>0</v>
          </cell>
          <cell r="AQ1668">
            <v>0</v>
          </cell>
          <cell r="AV1668">
            <v>984000</v>
          </cell>
        </row>
        <row r="1669">
          <cell r="E1669" t="str">
            <v>B26001863</v>
          </cell>
          <cell r="AP1669">
            <v>0</v>
          </cell>
          <cell r="AQ1669">
            <v>0</v>
          </cell>
          <cell r="AV1669">
            <v>4500000</v>
          </cell>
        </row>
        <row r="1670">
          <cell r="E1670" t="str">
            <v>B26001989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B26000455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B26000658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D26000790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B26000754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D26000874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D26000875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D26001201</v>
          </cell>
          <cell r="AP1677">
            <v>0</v>
          </cell>
          <cell r="AQ1677">
            <v>0</v>
          </cell>
          <cell r="AV1677">
            <v>3250000</v>
          </cell>
        </row>
        <row r="1678">
          <cell r="E1678" t="str">
            <v>T25001609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B25015779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B25016451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B25016452</v>
          </cell>
          <cell r="AP1681">
            <v>0</v>
          </cell>
          <cell r="AQ1681">
            <v>0</v>
          </cell>
          <cell r="AV1681">
            <v>8400000</v>
          </cell>
        </row>
        <row r="1682">
          <cell r="E1682" t="str">
            <v>T25001859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B25016731</v>
          </cell>
          <cell r="AP1683">
            <v>0</v>
          </cell>
          <cell r="AQ1683">
            <v>0</v>
          </cell>
          <cell r="AV1683">
            <v>7000000</v>
          </cell>
        </row>
        <row r="1684">
          <cell r="E1684" t="str">
            <v>B25016731</v>
          </cell>
          <cell r="AP1684">
            <v>0</v>
          </cell>
          <cell r="AQ1684">
            <v>0</v>
          </cell>
          <cell r="AV1684">
            <v>5190000</v>
          </cell>
        </row>
        <row r="1685">
          <cell r="E1685" t="str">
            <v>D25019246</v>
          </cell>
          <cell r="AP1685">
            <v>0</v>
          </cell>
          <cell r="AQ1685">
            <v>0</v>
          </cell>
          <cell r="AV1685">
            <v>11280000</v>
          </cell>
        </row>
        <row r="1686">
          <cell r="E1686" t="str">
            <v>B25016843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B26000238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B26000239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B26000240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B26000745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B26000746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D26001239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T26000083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D26001277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D26001287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B26001228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B26001248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B26001264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B26001275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B26001390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B26002071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B26002072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D26002365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B26002008</v>
          </cell>
          <cell r="AP1704">
            <v>0</v>
          </cell>
          <cell r="AQ1704">
            <v>0</v>
          </cell>
          <cell r="AV1704">
            <v>60000</v>
          </cell>
        </row>
        <row r="1705">
          <cell r="E1705" t="str">
            <v>B26002016</v>
          </cell>
          <cell r="AP1705">
            <v>0</v>
          </cell>
          <cell r="AQ1705">
            <v>0</v>
          </cell>
          <cell r="AV1705">
            <v>2900000</v>
          </cell>
        </row>
        <row r="1706">
          <cell r="E1706" t="str">
            <v>D26002384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T26000025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B26002245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D25019642</v>
          </cell>
          <cell r="AP1709">
            <v>0</v>
          </cell>
          <cell r="AQ1709">
            <v>0</v>
          </cell>
          <cell r="AV1709">
            <v>750000</v>
          </cell>
        </row>
        <row r="1710">
          <cell r="E1710" t="str">
            <v>B26000274</v>
          </cell>
          <cell r="AP1710">
            <v>0</v>
          </cell>
          <cell r="AQ1710">
            <v>0</v>
          </cell>
          <cell r="AV1710">
            <v>1500000</v>
          </cell>
        </row>
        <row r="1711">
          <cell r="E1711" t="str">
            <v>D26001376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B26001440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B26001923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D26002385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D25017361</v>
          </cell>
          <cell r="AP1715">
            <v>0</v>
          </cell>
          <cell r="AQ1715">
            <v>0</v>
          </cell>
          <cell r="AV1715">
            <v>3500000</v>
          </cell>
        </row>
        <row r="1716">
          <cell r="E1716" t="str">
            <v>D26000757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D25019567</v>
          </cell>
          <cell r="AP1717">
            <v>0</v>
          </cell>
          <cell r="AQ1717">
            <v>0</v>
          </cell>
          <cell r="AV1717">
            <v>6529500</v>
          </cell>
        </row>
        <row r="1718">
          <cell r="E1718" t="str">
            <v>D25019568</v>
          </cell>
          <cell r="AP1718">
            <v>0</v>
          </cell>
          <cell r="AQ1718">
            <v>0</v>
          </cell>
          <cell r="AV1718">
            <v>2449750</v>
          </cell>
        </row>
        <row r="1719">
          <cell r="E1719" t="str">
            <v>D26000718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D26000744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D26001932</v>
          </cell>
          <cell r="AP1721">
            <v>0</v>
          </cell>
          <cell r="AQ1721">
            <v>0</v>
          </cell>
          <cell r="AV1721">
            <v>0</v>
          </cell>
        </row>
        <row r="1722">
          <cell r="E1722" t="str">
            <v>D26001933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D26001934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D26001935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D26001936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D26001936</v>
          </cell>
          <cell r="AP1726">
            <v>0</v>
          </cell>
          <cell r="AQ1726">
            <v>0</v>
          </cell>
          <cell r="AV1726">
            <v>2320000</v>
          </cell>
        </row>
        <row r="1727">
          <cell r="E1727" t="str">
            <v>D26000765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D26000806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D26000824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D26001212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D26001281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D25019385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D25016327</v>
          </cell>
          <cell r="AP1733">
            <v>0</v>
          </cell>
          <cell r="AQ1733">
            <v>0</v>
          </cell>
          <cell r="AV1733">
            <v>2500000</v>
          </cell>
        </row>
        <row r="1734">
          <cell r="E1734" t="str">
            <v>B26000179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B26002244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D25018311</v>
          </cell>
          <cell r="AP1736">
            <v>0</v>
          </cell>
          <cell r="AQ1736">
            <v>0</v>
          </cell>
          <cell r="AV1736">
            <v>8777500</v>
          </cell>
        </row>
        <row r="1737">
          <cell r="E1737" t="str">
            <v>D26000223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D26000334</v>
          </cell>
          <cell r="AP1738">
            <v>0</v>
          </cell>
          <cell r="AQ1738">
            <v>0</v>
          </cell>
          <cell r="AV1738">
            <v>16520000</v>
          </cell>
        </row>
        <row r="1739">
          <cell r="E1739" t="str">
            <v>D26000336</v>
          </cell>
          <cell r="AP1739">
            <v>0</v>
          </cell>
          <cell r="AQ1739">
            <v>0</v>
          </cell>
          <cell r="AV1739">
            <v>3870000</v>
          </cell>
        </row>
        <row r="1740">
          <cell r="E1740" t="str">
            <v>D26000367</v>
          </cell>
          <cell r="AP1740">
            <v>0</v>
          </cell>
          <cell r="AQ1740">
            <v>0</v>
          </cell>
          <cell r="AV1740">
            <v>1067000</v>
          </cell>
        </row>
        <row r="1741">
          <cell r="E1741" t="str">
            <v>D26001177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D26001178</v>
          </cell>
          <cell r="AP1742">
            <v>0</v>
          </cell>
          <cell r="AQ1742">
            <v>0</v>
          </cell>
          <cell r="AV1742">
            <v>0</v>
          </cell>
        </row>
        <row r="1743">
          <cell r="E1743" t="str">
            <v>D26001197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B26001389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B26001896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B26001897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D25017318</v>
          </cell>
          <cell r="AP1747">
            <v>0</v>
          </cell>
          <cell r="AQ1747">
            <v>0</v>
          </cell>
          <cell r="AV1747">
            <v>13990200</v>
          </cell>
        </row>
        <row r="1748">
          <cell r="E1748" t="str">
            <v>B25015380</v>
          </cell>
          <cell r="AP1748">
            <v>0</v>
          </cell>
          <cell r="AQ1748">
            <v>0</v>
          </cell>
          <cell r="AV1748">
            <v>1350000</v>
          </cell>
        </row>
        <row r="1749">
          <cell r="E1749" t="str">
            <v>B25015502</v>
          </cell>
          <cell r="AP1749">
            <v>0</v>
          </cell>
          <cell r="AQ1749">
            <v>0</v>
          </cell>
          <cell r="AV1749">
            <v>1760000</v>
          </cell>
        </row>
        <row r="1750">
          <cell r="E1750" t="str">
            <v>D25018160</v>
          </cell>
          <cell r="AP1750">
            <v>0</v>
          </cell>
          <cell r="AQ1750">
            <v>0</v>
          </cell>
          <cell r="AV1750">
            <v>2899800</v>
          </cell>
        </row>
        <row r="1751">
          <cell r="E1751" t="str">
            <v>D25018160</v>
          </cell>
          <cell r="AP1751">
            <v>0</v>
          </cell>
          <cell r="AQ1751">
            <v>0</v>
          </cell>
          <cell r="AV1751">
            <v>6960200</v>
          </cell>
        </row>
        <row r="1752">
          <cell r="E1752" t="str">
            <v>B25016063</v>
          </cell>
          <cell r="AP1752">
            <v>0</v>
          </cell>
          <cell r="AQ1752">
            <v>0</v>
          </cell>
          <cell r="AV1752">
            <v>2520000</v>
          </cell>
        </row>
        <row r="1753">
          <cell r="E1753" t="str">
            <v>B25016154</v>
          </cell>
          <cell r="AP1753">
            <v>0</v>
          </cell>
          <cell r="AQ1753">
            <v>0</v>
          </cell>
          <cell r="AV1753">
            <v>8736000</v>
          </cell>
        </row>
        <row r="1754">
          <cell r="E1754" t="str">
            <v>B25016418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B25016550</v>
          </cell>
          <cell r="AP1755">
            <v>0</v>
          </cell>
          <cell r="AQ1755">
            <v>0</v>
          </cell>
          <cell r="AV1755">
            <v>0</v>
          </cell>
        </row>
        <row r="1756">
          <cell r="E1756" t="str">
            <v>D25019411</v>
          </cell>
          <cell r="AP1756">
            <v>0</v>
          </cell>
          <cell r="AQ1756">
            <v>0</v>
          </cell>
          <cell r="AV1756">
            <v>0</v>
          </cell>
        </row>
        <row r="1757">
          <cell r="E1757" t="str">
            <v>B25017052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B26000047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B26000244</v>
          </cell>
          <cell r="AP1759">
            <v>0</v>
          </cell>
          <cell r="AQ1759">
            <v>0</v>
          </cell>
          <cell r="AV1759">
            <v>0</v>
          </cell>
        </row>
        <row r="1760">
          <cell r="E1760" t="str">
            <v>B26000324</v>
          </cell>
          <cell r="AP1760">
            <v>0</v>
          </cell>
          <cell r="AQ1760">
            <v>0</v>
          </cell>
          <cell r="AV1760">
            <v>1783800</v>
          </cell>
        </row>
        <row r="1761">
          <cell r="E1761" t="str">
            <v>B26000701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D26000758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B26001359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B26001578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B26001629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B26001675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B26001704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D26001945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D26000861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D25016535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D25017076</v>
          </cell>
          <cell r="AP1771">
            <v>0</v>
          </cell>
          <cell r="AQ1771">
            <v>0</v>
          </cell>
          <cell r="AV1771">
            <v>3360000</v>
          </cell>
        </row>
        <row r="1772">
          <cell r="E1772" t="str">
            <v>B25014981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D25017295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B25016007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B25016087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B25016228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B25016798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B25016802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B25017093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D26000237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B26000783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B26001561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B25014225</v>
          </cell>
          <cell r="AP1783">
            <v>0</v>
          </cell>
          <cell r="AQ1783">
            <v>0</v>
          </cell>
          <cell r="AV1783">
            <v>46055000</v>
          </cell>
        </row>
        <row r="1784">
          <cell r="E1784" t="str">
            <v>B25014226</v>
          </cell>
          <cell r="AP1784">
            <v>0</v>
          </cell>
          <cell r="AQ1784">
            <v>0</v>
          </cell>
          <cell r="AV1784">
            <v>13900000</v>
          </cell>
        </row>
        <row r="1785">
          <cell r="E1785" t="str">
            <v>B25014517</v>
          </cell>
          <cell r="AP1785">
            <v>0</v>
          </cell>
          <cell r="AQ1785">
            <v>0</v>
          </cell>
          <cell r="AV1785">
            <v>27800000</v>
          </cell>
        </row>
        <row r="1786">
          <cell r="E1786" t="str">
            <v>D25017414</v>
          </cell>
          <cell r="AP1786">
            <v>0</v>
          </cell>
          <cell r="AQ1786">
            <v>0</v>
          </cell>
          <cell r="AV1786">
            <v>4200000</v>
          </cell>
        </row>
        <row r="1787">
          <cell r="E1787" t="str">
            <v>T25001720K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D25017650</v>
          </cell>
          <cell r="AP1788">
            <v>0</v>
          </cell>
          <cell r="AQ1788">
            <v>0</v>
          </cell>
          <cell r="AV1788">
            <v>22050000</v>
          </cell>
        </row>
        <row r="1789">
          <cell r="E1789" t="str">
            <v>B25015494</v>
          </cell>
          <cell r="AP1789">
            <v>0</v>
          </cell>
          <cell r="AQ1789">
            <v>0</v>
          </cell>
          <cell r="AV1789">
            <v>22880000</v>
          </cell>
        </row>
        <row r="1790">
          <cell r="E1790" t="str">
            <v>D25018030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D25018036</v>
          </cell>
          <cell r="AP1791">
            <v>0</v>
          </cell>
          <cell r="AQ1791">
            <v>0</v>
          </cell>
          <cell r="AV1791">
            <v>11120000</v>
          </cell>
        </row>
        <row r="1792">
          <cell r="E1792" t="str">
            <v>B25015871</v>
          </cell>
          <cell r="AP1792">
            <v>0</v>
          </cell>
          <cell r="AQ1792">
            <v>0</v>
          </cell>
          <cell r="AV1792">
            <v>9450000</v>
          </cell>
        </row>
        <row r="1793">
          <cell r="E1793" t="str">
            <v>B25015935</v>
          </cell>
          <cell r="AP1793">
            <v>0</v>
          </cell>
          <cell r="AQ1793">
            <v>0</v>
          </cell>
          <cell r="AV1793">
            <v>8400000</v>
          </cell>
        </row>
        <row r="1794">
          <cell r="E1794" t="str">
            <v>B25015936</v>
          </cell>
          <cell r="AP1794">
            <v>0</v>
          </cell>
          <cell r="AQ1794">
            <v>0</v>
          </cell>
          <cell r="AV1794">
            <v>5400000</v>
          </cell>
        </row>
        <row r="1795">
          <cell r="E1795" t="str">
            <v>B25016022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B25016035</v>
          </cell>
          <cell r="AP1796">
            <v>0</v>
          </cell>
          <cell r="AQ1796">
            <v>0</v>
          </cell>
          <cell r="AV1796">
            <v>59920000</v>
          </cell>
        </row>
        <row r="1797">
          <cell r="E1797" t="str">
            <v>D25018449</v>
          </cell>
          <cell r="AP1797">
            <v>0</v>
          </cell>
          <cell r="AQ1797">
            <v>0</v>
          </cell>
          <cell r="AV1797">
            <v>14700000</v>
          </cell>
        </row>
        <row r="1798">
          <cell r="E1798" t="str">
            <v>D25018452</v>
          </cell>
          <cell r="AP1798">
            <v>0</v>
          </cell>
          <cell r="AQ1798">
            <v>0</v>
          </cell>
          <cell r="AV1798">
            <v>20350000</v>
          </cell>
        </row>
        <row r="1799">
          <cell r="E1799" t="str">
            <v>D25018462</v>
          </cell>
          <cell r="AP1799">
            <v>0</v>
          </cell>
          <cell r="AQ1799">
            <v>0</v>
          </cell>
          <cell r="AV1799">
            <v>3000000</v>
          </cell>
        </row>
        <row r="1800">
          <cell r="E1800" t="str">
            <v>B25016099</v>
          </cell>
          <cell r="AP1800">
            <v>0</v>
          </cell>
          <cell r="AQ1800">
            <v>0</v>
          </cell>
          <cell r="AV1800">
            <v>3600000</v>
          </cell>
        </row>
        <row r="1801">
          <cell r="E1801" t="str">
            <v>D25018538</v>
          </cell>
          <cell r="AP1801">
            <v>0</v>
          </cell>
          <cell r="AQ1801">
            <v>0</v>
          </cell>
          <cell r="AV1801">
            <v>5832000</v>
          </cell>
        </row>
        <row r="1802">
          <cell r="E1802" t="str">
            <v>B25016381</v>
          </cell>
          <cell r="AP1802">
            <v>0</v>
          </cell>
          <cell r="AQ1802">
            <v>0</v>
          </cell>
          <cell r="AV1802">
            <v>38820000</v>
          </cell>
        </row>
        <row r="1803">
          <cell r="E1803" t="str">
            <v>D25018937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B25016507</v>
          </cell>
          <cell r="AP1804">
            <v>0</v>
          </cell>
          <cell r="AQ1804">
            <v>0</v>
          </cell>
          <cell r="AV1804">
            <v>3320000</v>
          </cell>
        </row>
        <row r="1805">
          <cell r="E1805" t="str">
            <v>B25016519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B25016585</v>
          </cell>
          <cell r="AP1806">
            <v>0</v>
          </cell>
          <cell r="AQ1806">
            <v>0</v>
          </cell>
          <cell r="AV1806">
            <v>6300000</v>
          </cell>
        </row>
        <row r="1807">
          <cell r="E1807" t="str">
            <v>B25016610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D25019152</v>
          </cell>
          <cell r="AP1808">
            <v>0</v>
          </cell>
          <cell r="AQ1808">
            <v>0</v>
          </cell>
          <cell r="AV1808">
            <v>36000000</v>
          </cell>
        </row>
        <row r="1809">
          <cell r="E1809" t="str">
            <v>B25016775</v>
          </cell>
          <cell r="AP1809">
            <v>0</v>
          </cell>
          <cell r="AQ1809">
            <v>0</v>
          </cell>
          <cell r="AV1809">
            <v>50000000</v>
          </cell>
        </row>
        <row r="1810">
          <cell r="E1810" t="str">
            <v>D25019315</v>
          </cell>
          <cell r="AP1810">
            <v>0</v>
          </cell>
          <cell r="AQ1810">
            <v>0</v>
          </cell>
          <cell r="AV1810">
            <v>119900000</v>
          </cell>
        </row>
        <row r="1811">
          <cell r="E1811" t="str">
            <v>D25019343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D25019376</v>
          </cell>
          <cell r="AP1812">
            <v>0</v>
          </cell>
          <cell r="AQ1812">
            <v>0</v>
          </cell>
          <cell r="AV1812">
            <v>10625000</v>
          </cell>
        </row>
        <row r="1813">
          <cell r="E1813" t="str">
            <v>D25019377</v>
          </cell>
          <cell r="AP1813">
            <v>0</v>
          </cell>
          <cell r="AQ1813">
            <v>0</v>
          </cell>
          <cell r="AV1813">
            <v>8400000</v>
          </cell>
        </row>
        <row r="1814">
          <cell r="E1814" t="str">
            <v>B25016973</v>
          </cell>
          <cell r="AP1814">
            <v>0</v>
          </cell>
          <cell r="AQ1814">
            <v>0</v>
          </cell>
          <cell r="AV1814">
            <v>43575000</v>
          </cell>
        </row>
        <row r="1815">
          <cell r="E1815" t="str">
            <v>B25016974</v>
          </cell>
          <cell r="AP1815">
            <v>0</v>
          </cell>
          <cell r="AQ1815">
            <v>0</v>
          </cell>
          <cell r="AV1815">
            <v>1260000</v>
          </cell>
        </row>
        <row r="1816">
          <cell r="E1816" t="str">
            <v>B25016975</v>
          </cell>
          <cell r="AP1816">
            <v>0</v>
          </cell>
          <cell r="AQ1816">
            <v>0</v>
          </cell>
          <cell r="AV1816">
            <v>7440000</v>
          </cell>
        </row>
        <row r="1817">
          <cell r="E1817" t="str">
            <v>B26000267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B26000268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B26000284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B26000323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D26000387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D26000391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B26000395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B26000666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D26000737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D26000873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D26000882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D26000884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B26000827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B26000831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B26000872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D26000914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B26000926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D26001016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B26001032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B26001033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B26001047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D26001140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D26001157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B26001163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D26001214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B26001239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D26001300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D26001326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D26001367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D26001574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B26001538</v>
          </cell>
          <cell r="AP1847">
            <v>0</v>
          </cell>
          <cell r="AQ1847">
            <v>0</v>
          </cell>
          <cell r="AV1847">
            <v>2250000</v>
          </cell>
        </row>
        <row r="1848">
          <cell r="E1848" t="str">
            <v>B26001560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D26001685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D26001686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D26001687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D26001742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D26001796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B26001730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D26001867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B26001840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B26001844</v>
          </cell>
          <cell r="AP1857">
            <v>0</v>
          </cell>
          <cell r="AQ1857">
            <v>0</v>
          </cell>
          <cell r="AV1857">
            <v>8750000</v>
          </cell>
        </row>
        <row r="1858">
          <cell r="E1858" t="str">
            <v>B26001854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B26001859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D26001967</v>
          </cell>
          <cell r="AP1860">
            <v>0</v>
          </cell>
          <cell r="AQ1860">
            <v>0</v>
          </cell>
          <cell r="AV1860">
            <v>13200000</v>
          </cell>
        </row>
        <row r="1861">
          <cell r="E1861" t="str">
            <v>T26000139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D26002202</v>
          </cell>
          <cell r="AP1862">
            <v>0</v>
          </cell>
          <cell r="AQ1862">
            <v>0</v>
          </cell>
          <cell r="AV1862">
            <v>14000000</v>
          </cell>
        </row>
        <row r="1863">
          <cell r="E1863" t="str">
            <v>B26002153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D26002256</v>
          </cell>
          <cell r="AP1864">
            <v>0</v>
          </cell>
          <cell r="AQ1864">
            <v>0</v>
          </cell>
          <cell r="AV1864">
            <v>0</v>
          </cell>
        </row>
        <row r="1865">
          <cell r="E1865" t="str">
            <v>Z26000401</v>
          </cell>
          <cell r="AP1865">
            <v>335000</v>
          </cell>
          <cell r="AQ1865">
            <v>0</v>
          </cell>
          <cell r="AV1865">
            <v>0</v>
          </cell>
        </row>
        <row r="1866">
          <cell r="E1866" t="str">
            <v>B26002228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B26002246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D26002440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D26000060</v>
          </cell>
          <cell r="AP1869">
            <v>0</v>
          </cell>
          <cell r="AQ1869">
            <v>355000</v>
          </cell>
          <cell r="AV1869">
            <v>0</v>
          </cell>
        </row>
        <row r="1870">
          <cell r="E1870" t="str">
            <v>D26000060</v>
          </cell>
          <cell r="AP1870">
            <v>0</v>
          </cell>
          <cell r="AQ1870">
            <v>0</v>
          </cell>
          <cell r="AV1870">
            <v>95000</v>
          </cell>
        </row>
        <row r="1871">
          <cell r="E1871" t="str">
            <v>B26000190</v>
          </cell>
          <cell r="AP1871">
            <v>0</v>
          </cell>
          <cell r="AQ1871">
            <v>1500000</v>
          </cell>
          <cell r="AV1871">
            <v>0</v>
          </cell>
        </row>
        <row r="1872">
          <cell r="E1872" t="str">
            <v>B26000214</v>
          </cell>
          <cell r="AP1872">
            <v>0</v>
          </cell>
          <cell r="AQ1872">
            <v>1200000</v>
          </cell>
          <cell r="AV1872">
            <v>0</v>
          </cell>
        </row>
        <row r="1873">
          <cell r="E1873" t="str">
            <v>D26000496</v>
          </cell>
          <cell r="AP1873">
            <v>0</v>
          </cell>
          <cell r="AQ1873">
            <v>870000</v>
          </cell>
          <cell r="AV1873">
            <v>0</v>
          </cell>
        </row>
        <row r="1874">
          <cell r="E1874" t="str">
            <v>D26000497</v>
          </cell>
          <cell r="AP1874">
            <v>0</v>
          </cell>
          <cell r="AQ1874">
            <v>2862500</v>
          </cell>
          <cell r="AV1874">
            <v>0</v>
          </cell>
        </row>
        <row r="1875">
          <cell r="E1875" t="str">
            <v>D26000878</v>
          </cell>
          <cell r="AP1875">
            <v>0</v>
          </cell>
          <cell r="AQ1875">
            <v>1275000</v>
          </cell>
          <cell r="AV1875">
            <v>0</v>
          </cell>
        </row>
        <row r="1876">
          <cell r="E1876" t="str">
            <v>T26000054</v>
          </cell>
          <cell r="AP1876">
            <v>0</v>
          </cell>
          <cell r="AQ1876">
            <v>2740000</v>
          </cell>
          <cell r="AV1876">
            <v>0</v>
          </cell>
        </row>
        <row r="1877">
          <cell r="E1877" t="str">
            <v>T26000055</v>
          </cell>
          <cell r="AP1877">
            <v>0</v>
          </cell>
          <cell r="AQ1877">
            <v>937500</v>
          </cell>
          <cell r="AV1877">
            <v>0</v>
          </cell>
        </row>
        <row r="1878">
          <cell r="E1878" t="str">
            <v>B26001384</v>
          </cell>
          <cell r="AP1878">
            <v>0</v>
          </cell>
          <cell r="AQ1878">
            <v>1210000</v>
          </cell>
          <cell r="AV1878">
            <v>0</v>
          </cell>
        </row>
        <row r="1879">
          <cell r="E1879" t="str">
            <v>B26001385</v>
          </cell>
          <cell r="AP1879">
            <v>0</v>
          </cell>
          <cell r="AQ1879">
            <v>2020000</v>
          </cell>
          <cell r="AV1879">
            <v>0</v>
          </cell>
        </row>
        <row r="1880">
          <cell r="E1880" t="str">
            <v>D26001559</v>
          </cell>
          <cell r="AP1880">
            <v>0</v>
          </cell>
          <cell r="AQ1880">
            <v>1670000</v>
          </cell>
          <cell r="AV1880">
            <v>0</v>
          </cell>
        </row>
        <row r="1881">
          <cell r="E1881" t="str">
            <v>B26001568</v>
          </cell>
          <cell r="AP1881">
            <v>0</v>
          </cell>
          <cell r="AQ1881">
            <v>1360000</v>
          </cell>
          <cell r="AV1881">
            <v>0</v>
          </cell>
        </row>
        <row r="1882">
          <cell r="E1882" t="str">
            <v>D26002181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D26002182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B26002125</v>
          </cell>
          <cell r="AP1884">
            <v>0</v>
          </cell>
          <cell r="AQ1884">
            <v>0</v>
          </cell>
          <cell r="AV1884">
            <v>470000</v>
          </cell>
        </row>
        <row r="1885">
          <cell r="E1885" t="str">
            <v>D26002310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D26002311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B25015550</v>
          </cell>
          <cell r="AP1887">
            <v>0</v>
          </cell>
          <cell r="AQ1887">
            <v>0</v>
          </cell>
          <cell r="AV1887">
            <v>6135000</v>
          </cell>
        </row>
        <row r="1888">
          <cell r="E1888" t="str">
            <v>B25015864</v>
          </cell>
          <cell r="AP1888">
            <v>0</v>
          </cell>
          <cell r="AQ1888">
            <v>0</v>
          </cell>
          <cell r="AV1888">
            <v>10840000</v>
          </cell>
        </row>
        <row r="1889">
          <cell r="E1889" t="str">
            <v>B25016092</v>
          </cell>
          <cell r="AP1889">
            <v>0</v>
          </cell>
          <cell r="AQ1889">
            <v>0</v>
          </cell>
          <cell r="AV1889">
            <v>2750000</v>
          </cell>
        </row>
        <row r="1890">
          <cell r="E1890" t="str">
            <v>B25016384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D25019393</v>
          </cell>
          <cell r="AP1891">
            <v>0</v>
          </cell>
          <cell r="AQ1891">
            <v>0</v>
          </cell>
          <cell r="AV1891">
            <v>0</v>
          </cell>
        </row>
        <row r="1892">
          <cell r="E1892" t="str">
            <v>D25019652</v>
          </cell>
          <cell r="AP1892">
            <v>0</v>
          </cell>
          <cell r="AQ1892">
            <v>0</v>
          </cell>
          <cell r="AV1892">
            <v>0</v>
          </cell>
        </row>
        <row r="1893">
          <cell r="E1893" t="str">
            <v>B26000606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B26000956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B26001207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C26000117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D26000012</v>
          </cell>
          <cell r="AP1897">
            <v>0</v>
          </cell>
          <cell r="AQ1897">
            <v>0</v>
          </cell>
          <cell r="AV1897">
            <v>7440000</v>
          </cell>
        </row>
        <row r="1898">
          <cell r="E1898" t="str">
            <v>D26000395</v>
          </cell>
          <cell r="AP1898">
            <v>0</v>
          </cell>
          <cell r="AQ1898">
            <v>0</v>
          </cell>
          <cell r="AV1898">
            <v>5520000</v>
          </cell>
        </row>
        <row r="1899">
          <cell r="E1899" t="str">
            <v>B26000722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B26001094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D26001151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B26001635</v>
          </cell>
          <cell r="AP1902">
            <v>0</v>
          </cell>
          <cell r="AQ1902">
            <v>0</v>
          </cell>
          <cell r="AV1902">
            <v>12950000</v>
          </cell>
        </row>
        <row r="1903">
          <cell r="E1903" t="str">
            <v>D26001766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B26001763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B26001974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D25019621</v>
          </cell>
          <cell r="AP1906">
            <v>0</v>
          </cell>
          <cell r="AQ1906">
            <v>0</v>
          </cell>
          <cell r="AV1906">
            <v>2580000</v>
          </cell>
        </row>
        <row r="1907">
          <cell r="E1907" t="str">
            <v>D25019622</v>
          </cell>
          <cell r="AP1907">
            <v>0</v>
          </cell>
          <cell r="AQ1907">
            <v>0</v>
          </cell>
          <cell r="AV1907">
            <v>4782500</v>
          </cell>
        </row>
        <row r="1908">
          <cell r="E1908" t="str">
            <v>D25019623</v>
          </cell>
          <cell r="AP1908">
            <v>0</v>
          </cell>
          <cell r="AQ1908">
            <v>0</v>
          </cell>
          <cell r="AV1908">
            <v>1497500</v>
          </cell>
        </row>
        <row r="1909">
          <cell r="E1909" t="str">
            <v>D25019624</v>
          </cell>
          <cell r="AP1909">
            <v>0</v>
          </cell>
          <cell r="AQ1909">
            <v>0</v>
          </cell>
          <cell r="AV1909">
            <v>1440000</v>
          </cell>
        </row>
        <row r="1910">
          <cell r="E1910" t="str">
            <v>T25001894</v>
          </cell>
          <cell r="AP1910">
            <v>0</v>
          </cell>
          <cell r="AQ1910">
            <v>0</v>
          </cell>
          <cell r="AV1910">
            <v>180000</v>
          </cell>
        </row>
        <row r="1911">
          <cell r="E1911" t="str">
            <v>B25017101</v>
          </cell>
          <cell r="AP1911">
            <v>0</v>
          </cell>
          <cell r="AQ1911">
            <v>0</v>
          </cell>
          <cell r="AV1911">
            <v>5120000</v>
          </cell>
        </row>
        <row r="1912">
          <cell r="E1912" t="str">
            <v>D26000201</v>
          </cell>
          <cell r="AP1912">
            <v>0</v>
          </cell>
          <cell r="AQ1912">
            <v>0</v>
          </cell>
          <cell r="AV1912">
            <v>2800000</v>
          </cell>
        </row>
        <row r="1913">
          <cell r="E1913" t="str">
            <v>D26000220</v>
          </cell>
          <cell r="AP1913">
            <v>0</v>
          </cell>
          <cell r="AQ1913">
            <v>0</v>
          </cell>
          <cell r="AV1913">
            <v>273000</v>
          </cell>
        </row>
        <row r="1914">
          <cell r="E1914" t="str">
            <v>D26000568</v>
          </cell>
          <cell r="AP1914">
            <v>0</v>
          </cell>
          <cell r="AQ1914">
            <v>0</v>
          </cell>
          <cell r="AV1914">
            <v>937500</v>
          </cell>
        </row>
        <row r="1915">
          <cell r="E1915" t="str">
            <v>D26000569</v>
          </cell>
          <cell r="AP1915">
            <v>0</v>
          </cell>
          <cell r="AQ1915">
            <v>0</v>
          </cell>
          <cell r="AV1915">
            <v>2115000</v>
          </cell>
        </row>
        <row r="1916">
          <cell r="E1916" t="str">
            <v>D26000570</v>
          </cell>
          <cell r="AP1916">
            <v>0</v>
          </cell>
          <cell r="AQ1916">
            <v>0</v>
          </cell>
          <cell r="AV1916">
            <v>2325000</v>
          </cell>
        </row>
        <row r="1917">
          <cell r="E1917" t="str">
            <v>D26000571</v>
          </cell>
          <cell r="AP1917">
            <v>0</v>
          </cell>
          <cell r="AQ1917">
            <v>0</v>
          </cell>
          <cell r="AV1917">
            <v>1765000</v>
          </cell>
        </row>
        <row r="1918">
          <cell r="E1918" t="str">
            <v>D26000572</v>
          </cell>
          <cell r="AP1918">
            <v>0</v>
          </cell>
          <cell r="AQ1918">
            <v>0</v>
          </cell>
          <cell r="AV1918">
            <v>683500</v>
          </cell>
        </row>
        <row r="1919">
          <cell r="E1919" t="str">
            <v>D26000573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B26000585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B26000640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B26001196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B26001197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B26001198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B26001199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B26001200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D26001307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B26001786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B26001787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B26001788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B26001789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B26001790</v>
          </cell>
          <cell r="AP1932">
            <v>0</v>
          </cell>
          <cell r="AQ1932">
            <v>0</v>
          </cell>
          <cell r="AV1932">
            <v>3880000</v>
          </cell>
        </row>
        <row r="1933">
          <cell r="E1933" t="str">
            <v>B26001791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B26002020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B26002021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B26002022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D26002249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D26001149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B26001901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B26002107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D25018262</v>
          </cell>
          <cell r="AP1941">
            <v>0</v>
          </cell>
          <cell r="AQ1941">
            <v>0</v>
          </cell>
          <cell r="AV1941">
            <v>6000000</v>
          </cell>
        </row>
        <row r="1942">
          <cell r="E1942" t="str">
            <v>B26002062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D26002017</v>
          </cell>
          <cell r="AP1943">
            <v>0</v>
          </cell>
          <cell r="AQ1943">
            <v>0</v>
          </cell>
          <cell r="AV1943">
            <v>5700000</v>
          </cell>
        </row>
        <row r="1944">
          <cell r="E1944" t="str">
            <v>T25001796</v>
          </cell>
          <cell r="AP1944">
            <v>0</v>
          </cell>
          <cell r="AQ1944">
            <v>0</v>
          </cell>
          <cell r="AV1944">
            <v>10400000</v>
          </cell>
        </row>
        <row r="1945">
          <cell r="E1945" t="str">
            <v>D26000332</v>
          </cell>
          <cell r="AP1945">
            <v>0</v>
          </cell>
          <cell r="AQ1945">
            <v>0</v>
          </cell>
          <cell r="AV1945">
            <v>7500000</v>
          </cell>
        </row>
        <row r="1946">
          <cell r="E1946" t="str">
            <v>B26000333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D26001846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D26002410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D26001670</v>
          </cell>
          <cell r="AP1949">
            <v>7140000</v>
          </cell>
          <cell r="AQ1949">
            <v>0</v>
          </cell>
          <cell r="AV1949">
            <v>0</v>
          </cell>
        </row>
        <row r="1950">
          <cell r="E1950" t="str">
            <v>D26001738</v>
          </cell>
          <cell r="AP1950">
            <v>0</v>
          </cell>
          <cell r="AQ1950">
            <v>0</v>
          </cell>
          <cell r="AV1950">
            <v>115000000</v>
          </cell>
        </row>
        <row r="1951">
          <cell r="E1951" t="str">
            <v>B26001650</v>
          </cell>
          <cell r="AP1951">
            <v>0</v>
          </cell>
          <cell r="AQ1951">
            <v>0</v>
          </cell>
          <cell r="AV1951">
            <v>27200000</v>
          </cell>
        </row>
        <row r="1952">
          <cell r="E1952" t="str">
            <v>B26001735</v>
          </cell>
          <cell r="AP1952">
            <v>0</v>
          </cell>
          <cell r="AQ1952">
            <v>0</v>
          </cell>
          <cell r="AV1952">
            <v>96660000</v>
          </cell>
        </row>
        <row r="1953">
          <cell r="E1953" t="str">
            <v>B26001751</v>
          </cell>
          <cell r="AP1953">
            <v>0</v>
          </cell>
          <cell r="AQ1953">
            <v>0</v>
          </cell>
          <cell r="AV1953">
            <v>297375000</v>
          </cell>
        </row>
        <row r="1954">
          <cell r="E1954" t="str">
            <v>B26001802</v>
          </cell>
          <cell r="AP1954">
            <v>0</v>
          </cell>
          <cell r="AQ1954">
            <v>0</v>
          </cell>
          <cell r="AV1954">
            <v>184000000</v>
          </cell>
        </row>
        <row r="1955">
          <cell r="E1955" t="str">
            <v>D26001912</v>
          </cell>
          <cell r="AP1955">
            <v>0</v>
          </cell>
          <cell r="AQ1955">
            <v>0</v>
          </cell>
          <cell r="AV1955">
            <v>244250000</v>
          </cell>
        </row>
        <row r="1956">
          <cell r="E1956" t="str">
            <v>B26001847</v>
          </cell>
          <cell r="AP1956">
            <v>0</v>
          </cell>
          <cell r="AQ1956">
            <v>0</v>
          </cell>
          <cell r="AV1956">
            <v>30000000</v>
          </cell>
        </row>
        <row r="1957">
          <cell r="E1957" t="str">
            <v>B26001891</v>
          </cell>
          <cell r="AP1957">
            <v>0</v>
          </cell>
          <cell r="AQ1957">
            <v>0</v>
          </cell>
          <cell r="AV1957">
            <v>34750000</v>
          </cell>
        </row>
        <row r="1958">
          <cell r="E1958" t="str">
            <v>B26001939</v>
          </cell>
          <cell r="AP1958">
            <v>0</v>
          </cell>
          <cell r="AQ1958">
            <v>0</v>
          </cell>
          <cell r="AV1958">
            <v>270000000</v>
          </cell>
        </row>
        <row r="1959">
          <cell r="E1959" t="str">
            <v>D26002066</v>
          </cell>
          <cell r="AP1959">
            <v>0</v>
          </cell>
          <cell r="AQ1959">
            <v>0</v>
          </cell>
          <cell r="AV1959">
            <v>338400000</v>
          </cell>
        </row>
        <row r="1960">
          <cell r="E1960" t="str">
            <v>D26002088</v>
          </cell>
          <cell r="AP1960">
            <v>0</v>
          </cell>
          <cell r="AQ1960">
            <v>0</v>
          </cell>
          <cell r="AV1960">
            <v>66800000</v>
          </cell>
        </row>
        <row r="1961">
          <cell r="E1961" t="str">
            <v>B26002001</v>
          </cell>
          <cell r="AP1961">
            <v>0</v>
          </cell>
          <cell r="AQ1961">
            <v>0</v>
          </cell>
          <cell r="AV1961">
            <v>69382000</v>
          </cell>
        </row>
        <row r="1962">
          <cell r="E1962" t="str">
            <v>D26002211</v>
          </cell>
          <cell r="AP1962">
            <v>0</v>
          </cell>
          <cell r="AQ1962">
            <v>0</v>
          </cell>
          <cell r="AV1962">
            <v>165750000</v>
          </cell>
        </row>
        <row r="1963">
          <cell r="E1963" t="str">
            <v>D26002227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D26002238</v>
          </cell>
          <cell r="AP1964">
            <v>0</v>
          </cell>
          <cell r="AQ1964">
            <v>0</v>
          </cell>
          <cell r="AV1964">
            <v>224000000</v>
          </cell>
        </row>
        <row r="1965">
          <cell r="E1965" t="str">
            <v>B25005869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D25010517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D26002022</v>
          </cell>
          <cell r="AP1967">
            <v>500</v>
          </cell>
          <cell r="AQ1967">
            <v>0</v>
          </cell>
          <cell r="AV1967">
            <v>1780000</v>
          </cell>
        </row>
        <row r="1968">
          <cell r="E1968" t="str">
            <v>B25015254</v>
          </cell>
          <cell r="AP1968">
            <v>0</v>
          </cell>
          <cell r="AQ1968">
            <v>0</v>
          </cell>
          <cell r="AV1968">
            <v>20000000</v>
          </cell>
        </row>
        <row r="1969">
          <cell r="E1969" t="str">
            <v>B26000617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D26002255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D25019574</v>
          </cell>
          <cell r="AP1971">
            <v>0</v>
          </cell>
          <cell r="AQ1971">
            <v>0</v>
          </cell>
          <cell r="AV1971">
            <v>6750000</v>
          </cell>
        </row>
        <row r="1972">
          <cell r="E1972" t="str">
            <v>D26002082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T26000147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B26002027</v>
          </cell>
          <cell r="AP1974">
            <v>0</v>
          </cell>
          <cell r="AQ1974">
            <v>0</v>
          </cell>
          <cell r="AV1974">
            <v>28500000</v>
          </cell>
        </row>
        <row r="1975">
          <cell r="E1975" t="str">
            <v>B26000044</v>
          </cell>
          <cell r="AP1975">
            <v>0</v>
          </cell>
          <cell r="AQ1975">
            <v>0</v>
          </cell>
          <cell r="AV1975">
            <v>7200000</v>
          </cell>
        </row>
        <row r="1976">
          <cell r="E1976" t="str">
            <v>D26000105</v>
          </cell>
          <cell r="AP1976">
            <v>0</v>
          </cell>
          <cell r="AQ1976">
            <v>0</v>
          </cell>
          <cell r="AV1976">
            <v>2900000</v>
          </cell>
        </row>
        <row r="1977">
          <cell r="E1977" t="str">
            <v>D26001797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B25014910</v>
          </cell>
          <cell r="AP1978">
            <v>0</v>
          </cell>
          <cell r="AQ1978">
            <v>0</v>
          </cell>
          <cell r="AV1978">
            <v>128375000</v>
          </cell>
        </row>
        <row r="1979">
          <cell r="E1979" t="str">
            <v>B25014911</v>
          </cell>
          <cell r="AP1979">
            <v>0</v>
          </cell>
          <cell r="AQ1979">
            <v>0</v>
          </cell>
          <cell r="AV1979">
            <v>23950000</v>
          </cell>
        </row>
        <row r="1980">
          <cell r="E1980" t="str">
            <v>B25014912</v>
          </cell>
          <cell r="AP1980">
            <v>0</v>
          </cell>
          <cell r="AQ1980">
            <v>0</v>
          </cell>
          <cell r="AV1980">
            <v>31500000</v>
          </cell>
        </row>
        <row r="1981">
          <cell r="E1981" t="str">
            <v>D25018930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D25018967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D26002047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D26002047</v>
          </cell>
          <cell r="AP1984">
            <v>0</v>
          </cell>
          <cell r="AQ1984">
            <v>0</v>
          </cell>
          <cell r="AV1984">
            <v>2688000</v>
          </cell>
        </row>
        <row r="1985">
          <cell r="E1985" t="str">
            <v>C26000095</v>
          </cell>
          <cell r="AP1985">
            <v>0</v>
          </cell>
          <cell r="AQ1985">
            <v>0</v>
          </cell>
          <cell r="AV1985">
            <v>1488000</v>
          </cell>
        </row>
        <row r="1986">
          <cell r="E1986" t="str">
            <v>C26000096</v>
          </cell>
          <cell r="AP1986">
            <v>0</v>
          </cell>
          <cell r="AQ1986">
            <v>0</v>
          </cell>
          <cell r="AV1986">
            <v>595000</v>
          </cell>
        </row>
        <row r="1987">
          <cell r="E1987" t="str">
            <v>M26000023</v>
          </cell>
          <cell r="AP1987">
            <v>0</v>
          </cell>
          <cell r="AQ1987">
            <v>0</v>
          </cell>
          <cell r="AV1987">
            <v>17500</v>
          </cell>
        </row>
        <row r="1988">
          <cell r="E1988" t="str">
            <v>C26000103</v>
          </cell>
          <cell r="AP1988">
            <v>0</v>
          </cell>
          <cell r="AQ1988">
            <v>0</v>
          </cell>
          <cell r="AV1988">
            <v>1625000</v>
          </cell>
        </row>
        <row r="1989">
          <cell r="E1989" t="str">
            <v>C26000105</v>
          </cell>
          <cell r="AP1989">
            <v>0</v>
          </cell>
          <cell r="AQ1989">
            <v>0</v>
          </cell>
          <cell r="AV1989">
            <v>126000</v>
          </cell>
        </row>
        <row r="1990">
          <cell r="E1990" t="str">
            <v>C26000106</v>
          </cell>
          <cell r="AP1990">
            <v>0</v>
          </cell>
          <cell r="AQ1990">
            <v>0</v>
          </cell>
          <cell r="AV1990">
            <v>66000</v>
          </cell>
        </row>
        <row r="1991">
          <cell r="E1991" t="str">
            <v>C26000108</v>
          </cell>
          <cell r="AP1991">
            <v>0</v>
          </cell>
          <cell r="AQ1991">
            <v>0</v>
          </cell>
          <cell r="AV1991">
            <v>1123500</v>
          </cell>
        </row>
        <row r="1992">
          <cell r="E1992" t="str">
            <v>C26000111</v>
          </cell>
          <cell r="AP1992">
            <v>0</v>
          </cell>
          <cell r="AQ1992">
            <v>0</v>
          </cell>
          <cell r="AV1992">
            <v>657000</v>
          </cell>
        </row>
        <row r="1993">
          <cell r="E1993" t="str">
            <v>C26000113</v>
          </cell>
          <cell r="AP1993">
            <v>0</v>
          </cell>
          <cell r="AQ1993">
            <v>0</v>
          </cell>
          <cell r="AV1993">
            <v>309500</v>
          </cell>
        </row>
        <row r="1994">
          <cell r="E1994" t="str">
            <v>M26000031</v>
          </cell>
          <cell r="AP1994">
            <v>0</v>
          </cell>
          <cell r="AQ1994">
            <v>0</v>
          </cell>
          <cell r="AV1994">
            <v>115500</v>
          </cell>
        </row>
        <row r="1995">
          <cell r="E1995" t="str">
            <v>M26000031</v>
          </cell>
          <cell r="AP1995">
            <v>0</v>
          </cell>
          <cell r="AQ1995">
            <v>0</v>
          </cell>
          <cell r="AV1995">
            <v>46000</v>
          </cell>
        </row>
        <row r="1996">
          <cell r="E1996" t="str">
            <v>M26000031</v>
          </cell>
          <cell r="AP1996">
            <v>0</v>
          </cell>
          <cell r="AQ1996">
            <v>0</v>
          </cell>
          <cell r="AV1996">
            <v>138500</v>
          </cell>
        </row>
        <row r="1997">
          <cell r="E1997" t="str">
            <v>C26000115</v>
          </cell>
          <cell r="AP1997">
            <v>0</v>
          </cell>
          <cell r="AQ1997">
            <v>0</v>
          </cell>
          <cell r="AV1997">
            <v>680000</v>
          </cell>
        </row>
        <row r="1998">
          <cell r="E1998" t="str">
            <v>C26000118</v>
          </cell>
          <cell r="AP1998">
            <v>0</v>
          </cell>
          <cell r="AQ1998">
            <v>0</v>
          </cell>
          <cell r="AV1998">
            <v>455000</v>
          </cell>
        </row>
        <row r="1999">
          <cell r="E1999" t="str">
            <v>C26000119</v>
          </cell>
          <cell r="AP1999">
            <v>0</v>
          </cell>
          <cell r="AQ1999">
            <v>0</v>
          </cell>
          <cell r="AV1999">
            <v>247000</v>
          </cell>
        </row>
        <row r="2000">
          <cell r="E2000" t="str">
            <v>M26000032</v>
          </cell>
          <cell r="AP2000">
            <v>0</v>
          </cell>
          <cell r="AQ2000">
            <v>0</v>
          </cell>
          <cell r="AV2000">
            <v>117500</v>
          </cell>
        </row>
        <row r="2001">
          <cell r="E2001" t="str">
            <v>C26000120</v>
          </cell>
          <cell r="AP2001">
            <v>0</v>
          </cell>
          <cell r="AQ2001">
            <v>0</v>
          </cell>
          <cell r="AV2001">
            <v>699500</v>
          </cell>
        </row>
        <row r="2002">
          <cell r="E2002" t="str">
            <v>C26000124</v>
          </cell>
          <cell r="AP2002">
            <v>0</v>
          </cell>
          <cell r="AQ2002">
            <v>0</v>
          </cell>
          <cell r="AV2002">
            <v>2156500</v>
          </cell>
        </row>
        <row r="2003">
          <cell r="E2003" t="str">
            <v>M26000033</v>
          </cell>
          <cell r="AP2003">
            <v>0</v>
          </cell>
          <cell r="AQ2003">
            <v>0</v>
          </cell>
          <cell r="AV2003">
            <v>57000</v>
          </cell>
        </row>
        <row r="2004">
          <cell r="E2004" t="str">
            <v>C26000132</v>
          </cell>
          <cell r="AP2004">
            <v>0</v>
          </cell>
          <cell r="AQ2004">
            <v>0</v>
          </cell>
          <cell r="AV2004">
            <v>439500</v>
          </cell>
        </row>
        <row r="2005">
          <cell r="E2005" t="str">
            <v>D26002372</v>
          </cell>
          <cell r="AP2005">
            <v>0</v>
          </cell>
          <cell r="AQ2005">
            <v>0</v>
          </cell>
          <cell r="AV2005">
            <v>1350000</v>
          </cell>
        </row>
        <row r="2006">
          <cell r="E2006" t="str">
            <v>C26000133</v>
          </cell>
          <cell r="AP2006">
            <v>0</v>
          </cell>
          <cell r="AQ2006">
            <v>0</v>
          </cell>
          <cell r="AV2006">
            <v>204000</v>
          </cell>
        </row>
        <row r="2007">
          <cell r="E2007" t="str">
            <v>B26001977</v>
          </cell>
          <cell r="AP2007">
            <v>0</v>
          </cell>
          <cell r="AQ2007">
            <v>0</v>
          </cell>
          <cell r="AV2007">
            <v>3940000</v>
          </cell>
        </row>
        <row r="2008">
          <cell r="E2008" t="str">
            <v>T26000149K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D25019067</v>
          </cell>
          <cell r="AP2009">
            <v>0</v>
          </cell>
          <cell r="AQ2009">
            <v>0</v>
          </cell>
          <cell r="AV2009">
            <v>579500</v>
          </cell>
        </row>
        <row r="2010">
          <cell r="E2010" t="str">
            <v>B25016684</v>
          </cell>
          <cell r="AP2010">
            <v>0</v>
          </cell>
          <cell r="AQ2010">
            <v>0</v>
          </cell>
          <cell r="AV2010">
            <v>560000</v>
          </cell>
        </row>
        <row r="2011">
          <cell r="E2011" t="str">
            <v>B26000154</v>
          </cell>
          <cell r="AP2011">
            <v>0</v>
          </cell>
          <cell r="AQ2011">
            <v>0</v>
          </cell>
          <cell r="AV2011">
            <v>860500</v>
          </cell>
        </row>
        <row r="2012">
          <cell r="E2012" t="str">
            <v>D26001055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D26001521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D26001554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D26001568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B26001889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D26002000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B26002156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D25017840</v>
          </cell>
          <cell r="AP2019">
            <v>0</v>
          </cell>
          <cell r="AQ2019">
            <v>0</v>
          </cell>
          <cell r="AV2019">
            <v>1620000</v>
          </cell>
        </row>
        <row r="2020">
          <cell r="E2020" t="str">
            <v>D25018603</v>
          </cell>
          <cell r="AP2020">
            <v>0</v>
          </cell>
          <cell r="AQ2020">
            <v>0</v>
          </cell>
          <cell r="AV2020">
            <v>9200000</v>
          </cell>
        </row>
        <row r="2021">
          <cell r="E2021" t="str">
            <v>D25018672</v>
          </cell>
          <cell r="AP2021">
            <v>0</v>
          </cell>
          <cell r="AQ2021">
            <v>0</v>
          </cell>
          <cell r="AV2021">
            <v>11000000</v>
          </cell>
        </row>
        <row r="2022">
          <cell r="E2022" t="str">
            <v>D25018799</v>
          </cell>
          <cell r="AP2022">
            <v>0</v>
          </cell>
          <cell r="AQ2022">
            <v>0</v>
          </cell>
          <cell r="AV2022">
            <v>9470000</v>
          </cell>
        </row>
        <row r="2023">
          <cell r="E2023" t="str">
            <v>B25016397</v>
          </cell>
          <cell r="AP2023">
            <v>0</v>
          </cell>
          <cell r="AQ2023">
            <v>0</v>
          </cell>
          <cell r="AV2023">
            <v>15870000</v>
          </cell>
        </row>
        <row r="2024">
          <cell r="E2024" t="str">
            <v>B25016408</v>
          </cell>
          <cell r="AP2024">
            <v>0</v>
          </cell>
          <cell r="AQ2024">
            <v>0</v>
          </cell>
          <cell r="AV2024">
            <v>6840000</v>
          </cell>
        </row>
        <row r="2025">
          <cell r="E2025" t="str">
            <v>B25016446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D25018938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D25018939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D25018940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D26001386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D26001392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D25019335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Z26000236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Z26000335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Z26000313</v>
          </cell>
          <cell r="AP2034">
            <v>0</v>
          </cell>
          <cell r="AQ2034">
            <v>0</v>
          </cell>
          <cell r="AV2034">
            <v>2025000</v>
          </cell>
        </row>
        <row r="2035">
          <cell r="E2035" t="str">
            <v>Z26000396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D26000317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B26001203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B26002247</v>
          </cell>
          <cell r="AP2038">
            <v>0</v>
          </cell>
          <cell r="AQ2038">
            <v>0</v>
          </cell>
          <cell r="AV2038">
            <v>0</v>
          </cell>
        </row>
        <row r="2039">
          <cell r="E2039" t="str">
            <v>T25001533K</v>
          </cell>
          <cell r="AP2039">
            <v>0</v>
          </cell>
          <cell r="AQ2039">
            <v>0</v>
          </cell>
          <cell r="AV2039">
            <v>0</v>
          </cell>
        </row>
        <row r="2040">
          <cell r="E2040" t="str">
            <v>T25001617</v>
          </cell>
          <cell r="AP2040">
            <v>0</v>
          </cell>
          <cell r="AQ2040">
            <v>0</v>
          </cell>
          <cell r="AV2040">
            <v>2000000</v>
          </cell>
        </row>
        <row r="2041">
          <cell r="E2041" t="str">
            <v>T26000086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D25017894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D25017895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D25017897</v>
          </cell>
          <cell r="AP2044">
            <v>0</v>
          </cell>
          <cell r="AQ2044">
            <v>0</v>
          </cell>
          <cell r="AV2044">
            <v>0</v>
          </cell>
        </row>
        <row r="2045">
          <cell r="E2045" t="str">
            <v>B25012755</v>
          </cell>
          <cell r="AP2045">
            <v>0</v>
          </cell>
          <cell r="AQ2045">
            <v>0</v>
          </cell>
          <cell r="AV2045">
            <v>0</v>
          </cell>
        </row>
        <row r="2046">
          <cell r="E2046" t="str">
            <v>D25015098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T25001556K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D26000323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B26001924</v>
          </cell>
          <cell r="AP2049">
            <v>0</v>
          </cell>
          <cell r="AQ2049">
            <v>0</v>
          </cell>
          <cell r="AV2049">
            <v>4062500</v>
          </cell>
        </row>
        <row r="2050">
          <cell r="E2050" t="str">
            <v>D25019539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D26000840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B26001123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B26001136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B26001590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B26001591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D26002416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Z25003263</v>
          </cell>
          <cell r="AP2057">
            <v>0</v>
          </cell>
          <cell r="AQ2057">
            <v>0</v>
          </cell>
          <cell r="AV2057">
            <v>14125000</v>
          </cell>
        </row>
        <row r="2058">
          <cell r="E2058" t="str">
            <v>Z25003273</v>
          </cell>
          <cell r="AP2058">
            <v>0</v>
          </cell>
          <cell r="AQ2058">
            <v>0</v>
          </cell>
          <cell r="AV2058">
            <v>2400000</v>
          </cell>
        </row>
        <row r="2059">
          <cell r="E2059" t="str">
            <v>Z26000020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Z26000021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Z26000024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Z26000231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Z26000232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D26000400</v>
          </cell>
          <cell r="AP2064">
            <v>800</v>
          </cell>
          <cell r="AQ2064">
            <v>0</v>
          </cell>
          <cell r="AV2064">
            <v>39980000</v>
          </cell>
        </row>
        <row r="2065">
          <cell r="E2065" t="str">
            <v>D26000401</v>
          </cell>
          <cell r="AP2065">
            <v>0</v>
          </cell>
          <cell r="AQ2065">
            <v>0</v>
          </cell>
          <cell r="AV2065">
            <v>6120000</v>
          </cell>
        </row>
        <row r="2066">
          <cell r="E2066" t="str">
            <v>B25015510</v>
          </cell>
          <cell r="AP2066">
            <v>0</v>
          </cell>
          <cell r="AQ2066">
            <v>0</v>
          </cell>
          <cell r="AV2066">
            <v>7000000</v>
          </cell>
        </row>
        <row r="2067">
          <cell r="E2067" t="str">
            <v>B25015647</v>
          </cell>
          <cell r="AP2067">
            <v>0</v>
          </cell>
          <cell r="AQ2067">
            <v>0</v>
          </cell>
          <cell r="AV2067">
            <v>105000000</v>
          </cell>
        </row>
        <row r="2068">
          <cell r="E2068" t="str">
            <v>B25015928</v>
          </cell>
          <cell r="AP2068">
            <v>0</v>
          </cell>
          <cell r="AQ2068">
            <v>0</v>
          </cell>
          <cell r="AV2068">
            <v>59350000</v>
          </cell>
        </row>
        <row r="2069">
          <cell r="E2069" t="str">
            <v>B25015929</v>
          </cell>
          <cell r="AP2069">
            <v>0</v>
          </cell>
          <cell r="AQ2069">
            <v>0</v>
          </cell>
          <cell r="AV2069">
            <v>46062500</v>
          </cell>
        </row>
        <row r="2070">
          <cell r="E2070" t="str">
            <v>B25015930</v>
          </cell>
          <cell r="AP2070">
            <v>0</v>
          </cell>
          <cell r="AQ2070">
            <v>0</v>
          </cell>
          <cell r="AV2070">
            <v>44050000</v>
          </cell>
        </row>
        <row r="2071">
          <cell r="E2071" t="str">
            <v>B25015991</v>
          </cell>
          <cell r="AP2071">
            <v>0</v>
          </cell>
          <cell r="AQ2071">
            <v>0</v>
          </cell>
          <cell r="AV2071">
            <v>7000000</v>
          </cell>
        </row>
        <row r="2072">
          <cell r="E2072" t="str">
            <v>D25018525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D25018606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B25016177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B25016825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B25016837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B25017008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D25019579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D26000036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D26000149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D26000150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B26000166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B26000347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D26000810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B26000982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B26000983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B26001042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B26001049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D26001275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D26001314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B26001274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B26001388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B26001410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B26001446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B26001574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B26001580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D26001839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B26001745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D26002091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D26002297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D26002058</v>
          </cell>
          <cell r="AP2101">
            <v>0</v>
          </cell>
          <cell r="AQ2101">
            <v>0</v>
          </cell>
          <cell r="AV2101">
            <v>20000000</v>
          </cell>
        </row>
        <row r="2102">
          <cell r="E2102" t="str">
            <v>B25015694</v>
          </cell>
          <cell r="AP2102">
            <v>0</v>
          </cell>
          <cell r="AQ2102">
            <v>0</v>
          </cell>
          <cell r="AV2102">
            <v>1630000</v>
          </cell>
        </row>
        <row r="2103">
          <cell r="E2103" t="str">
            <v>B25015943</v>
          </cell>
          <cell r="AP2103">
            <v>0</v>
          </cell>
          <cell r="AQ2103">
            <v>0</v>
          </cell>
          <cell r="AV2103">
            <v>5300000</v>
          </cell>
        </row>
        <row r="2104">
          <cell r="E2104" t="str">
            <v>D25019008</v>
          </cell>
          <cell r="AP2104">
            <v>0</v>
          </cell>
          <cell r="AQ2104">
            <v>0</v>
          </cell>
          <cell r="AV2104">
            <v>4125000</v>
          </cell>
        </row>
        <row r="2105">
          <cell r="E2105" t="str">
            <v>B25016619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D25019634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B25013203</v>
          </cell>
          <cell r="AP2107">
            <v>0</v>
          </cell>
          <cell r="AQ2107">
            <v>0</v>
          </cell>
          <cell r="AV2107">
            <v>1725000</v>
          </cell>
        </row>
        <row r="2108">
          <cell r="E2108" t="str">
            <v>B25013215</v>
          </cell>
          <cell r="AP2108">
            <v>0</v>
          </cell>
          <cell r="AQ2108">
            <v>0</v>
          </cell>
          <cell r="AV2108">
            <v>275000</v>
          </cell>
        </row>
        <row r="2109">
          <cell r="E2109" t="str">
            <v>B25013285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T24000347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E23005700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B25008183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D25017488</v>
          </cell>
          <cell r="AP2113">
            <v>0</v>
          </cell>
          <cell r="AQ2113">
            <v>0</v>
          </cell>
          <cell r="AV2113">
            <v>8600000</v>
          </cell>
        </row>
        <row r="2114">
          <cell r="E2114" t="str">
            <v>B26001004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D26002404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B25016804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B25016832</v>
          </cell>
          <cell r="AP2117">
            <v>0</v>
          </cell>
          <cell r="AQ2117">
            <v>0</v>
          </cell>
          <cell r="AV2117">
            <v>850000</v>
          </cell>
        </row>
        <row r="2118">
          <cell r="E2118" t="str">
            <v>B26002150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>
            <v>250190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>
            <v>250190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B25015868</v>
          </cell>
          <cell r="AP2121">
            <v>0</v>
          </cell>
          <cell r="AQ2121">
            <v>0</v>
          </cell>
          <cell r="AV2121">
            <v>4187500</v>
          </cell>
        </row>
        <row r="2122">
          <cell r="E2122" t="str">
            <v>B25016678</v>
          </cell>
          <cell r="AP2122">
            <v>0</v>
          </cell>
          <cell r="AQ2122">
            <v>0</v>
          </cell>
          <cell r="AV2122">
            <v>7000000</v>
          </cell>
        </row>
        <row r="2123">
          <cell r="E2123" t="str">
            <v>B25016955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D26000664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T25001725K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B25015538</v>
          </cell>
          <cell r="AP2126">
            <v>0</v>
          </cell>
          <cell r="AQ2126">
            <v>0</v>
          </cell>
          <cell r="AV2126">
            <v>11750000</v>
          </cell>
        </row>
        <row r="2127">
          <cell r="E2127" t="str">
            <v>B25015969</v>
          </cell>
          <cell r="AP2127">
            <v>0</v>
          </cell>
          <cell r="AQ2127">
            <v>0</v>
          </cell>
          <cell r="AV2127">
            <v>5312500</v>
          </cell>
        </row>
        <row r="2128">
          <cell r="E2128" t="str">
            <v>T26000030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D26000770</v>
          </cell>
          <cell r="AP2129">
            <v>0</v>
          </cell>
          <cell r="AQ2129">
            <v>0</v>
          </cell>
          <cell r="AV2129">
            <v>4500</v>
          </cell>
        </row>
        <row r="2130">
          <cell r="E2130" t="str">
            <v>D26000899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T26000064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T26000089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B26002113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D25015378</v>
          </cell>
          <cell r="AP2134">
            <v>0</v>
          </cell>
          <cell r="AQ2134">
            <v>0</v>
          </cell>
          <cell r="AV2134">
            <v>675000</v>
          </cell>
        </row>
        <row r="2135">
          <cell r="E2135" t="str">
            <v>D25019511</v>
          </cell>
          <cell r="AP2135">
            <v>0</v>
          </cell>
          <cell r="AQ2135">
            <v>0</v>
          </cell>
          <cell r="AV2135">
            <v>4300000</v>
          </cell>
        </row>
        <row r="2136">
          <cell r="E2136" t="str">
            <v>D26000811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B26002069</v>
          </cell>
          <cell r="AP2137">
            <v>0</v>
          </cell>
          <cell r="AQ2137">
            <v>0</v>
          </cell>
          <cell r="AV2137">
            <v>19600000</v>
          </cell>
        </row>
        <row r="2138">
          <cell r="E2138" t="str">
            <v>D26002364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D25015654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D26002401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B25015473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T25001759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D25018034</v>
          </cell>
          <cell r="AP2143">
            <v>0</v>
          </cell>
          <cell r="AQ2143">
            <v>0</v>
          </cell>
          <cell r="AV2143">
            <v>4500000</v>
          </cell>
        </row>
        <row r="2144">
          <cell r="E2144" t="str">
            <v>T25001854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D25019148</v>
          </cell>
          <cell r="AP2145">
            <v>0</v>
          </cell>
          <cell r="AQ2145">
            <v>0</v>
          </cell>
          <cell r="AV2145">
            <v>0</v>
          </cell>
        </row>
        <row r="2146">
          <cell r="E2146" t="str">
            <v>B26000046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B26000125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B26000508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B26001344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D26002160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D26001318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D26001747</v>
          </cell>
          <cell r="AP2152">
            <v>0</v>
          </cell>
          <cell r="AQ2152">
            <v>0</v>
          </cell>
          <cell r="AV2152">
            <v>11500000</v>
          </cell>
        </row>
        <row r="2153">
          <cell r="E2153" t="str">
            <v>Z26000424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B25015743</v>
          </cell>
          <cell r="AP2154">
            <v>0</v>
          </cell>
          <cell r="AQ2154">
            <v>0</v>
          </cell>
          <cell r="AV2154">
            <v>4500000</v>
          </cell>
        </row>
        <row r="2155">
          <cell r="E2155" t="str">
            <v>B25015755</v>
          </cell>
          <cell r="AP2155">
            <v>12665000</v>
          </cell>
          <cell r="AQ2155">
            <v>0</v>
          </cell>
          <cell r="AV2155">
            <v>0</v>
          </cell>
        </row>
        <row r="2156">
          <cell r="E2156" t="str">
            <v>B25015755</v>
          </cell>
          <cell r="AP2156">
            <v>0</v>
          </cell>
          <cell r="AQ2156">
            <v>0</v>
          </cell>
          <cell r="AV2156">
            <v>101585000</v>
          </cell>
        </row>
        <row r="2157">
          <cell r="E2157" t="str">
            <v>B25015756</v>
          </cell>
          <cell r="AP2157">
            <v>0</v>
          </cell>
          <cell r="AQ2157">
            <v>0</v>
          </cell>
          <cell r="AV2157">
            <v>124980500</v>
          </cell>
        </row>
        <row r="2158">
          <cell r="E2158" t="str">
            <v>B25015830</v>
          </cell>
          <cell r="AP2158">
            <v>0</v>
          </cell>
          <cell r="AQ2158">
            <v>0</v>
          </cell>
          <cell r="AV2158">
            <v>17305000</v>
          </cell>
        </row>
        <row r="2159">
          <cell r="E2159" t="str">
            <v>D25018201</v>
          </cell>
          <cell r="AP2159">
            <v>0</v>
          </cell>
          <cell r="AQ2159">
            <v>0</v>
          </cell>
          <cell r="AV2159">
            <v>88800000</v>
          </cell>
        </row>
        <row r="2160">
          <cell r="E2160" t="str">
            <v>D25018385</v>
          </cell>
          <cell r="AP2160">
            <v>0</v>
          </cell>
          <cell r="AQ2160">
            <v>0</v>
          </cell>
          <cell r="AV2160">
            <v>3840000</v>
          </cell>
        </row>
        <row r="2161">
          <cell r="E2161" t="str">
            <v>D25018386</v>
          </cell>
          <cell r="AP2161">
            <v>0</v>
          </cell>
          <cell r="AQ2161">
            <v>0</v>
          </cell>
          <cell r="AV2161">
            <v>46250000</v>
          </cell>
        </row>
        <row r="2162">
          <cell r="E2162" t="str">
            <v>D25018392</v>
          </cell>
          <cell r="AP2162">
            <v>0</v>
          </cell>
          <cell r="AQ2162">
            <v>0</v>
          </cell>
          <cell r="AV2162">
            <v>6739500</v>
          </cell>
        </row>
        <row r="2163">
          <cell r="E2163" t="str">
            <v>D25018392</v>
          </cell>
          <cell r="AP2163">
            <v>0</v>
          </cell>
          <cell r="AQ2163">
            <v>0</v>
          </cell>
          <cell r="AV2163">
            <v>10500</v>
          </cell>
        </row>
        <row r="2164">
          <cell r="E2164" t="str">
            <v>B25015993</v>
          </cell>
          <cell r="AP2164">
            <v>0</v>
          </cell>
          <cell r="AQ2164">
            <v>0</v>
          </cell>
          <cell r="AV2164">
            <v>6850000</v>
          </cell>
        </row>
        <row r="2165">
          <cell r="E2165" t="str">
            <v>D25018437</v>
          </cell>
          <cell r="AP2165">
            <v>0</v>
          </cell>
          <cell r="AQ2165">
            <v>0</v>
          </cell>
          <cell r="AV2165">
            <v>19905000</v>
          </cell>
        </row>
        <row r="2166">
          <cell r="E2166" t="str">
            <v>D25018500</v>
          </cell>
          <cell r="AP2166">
            <v>0</v>
          </cell>
          <cell r="AQ2166">
            <v>0</v>
          </cell>
          <cell r="AV2166">
            <v>25025000</v>
          </cell>
        </row>
        <row r="2167">
          <cell r="E2167" t="str">
            <v>D25018523</v>
          </cell>
          <cell r="AP2167">
            <v>0</v>
          </cell>
          <cell r="AQ2167">
            <v>0</v>
          </cell>
          <cell r="AV2167">
            <v>150000000</v>
          </cell>
        </row>
        <row r="2168">
          <cell r="E2168" t="str">
            <v>D25018567</v>
          </cell>
          <cell r="AP2168">
            <v>0</v>
          </cell>
          <cell r="AQ2168">
            <v>0</v>
          </cell>
          <cell r="AV2168">
            <v>670000</v>
          </cell>
        </row>
        <row r="2169">
          <cell r="E2169" t="str">
            <v>D25018663</v>
          </cell>
          <cell r="AP2169">
            <v>0</v>
          </cell>
          <cell r="AQ2169">
            <v>0</v>
          </cell>
          <cell r="AV2169">
            <v>915000</v>
          </cell>
        </row>
        <row r="2170">
          <cell r="E2170" t="str">
            <v>D25018692</v>
          </cell>
          <cell r="AP2170">
            <v>0</v>
          </cell>
          <cell r="AQ2170">
            <v>0</v>
          </cell>
          <cell r="AV2170">
            <v>190000</v>
          </cell>
        </row>
        <row r="2171">
          <cell r="E2171" t="str">
            <v>D25018729</v>
          </cell>
          <cell r="AP2171">
            <v>0</v>
          </cell>
          <cell r="AQ2171">
            <v>0</v>
          </cell>
          <cell r="AV2171">
            <v>6750000</v>
          </cell>
        </row>
        <row r="2172">
          <cell r="E2172" t="str">
            <v>B25016347</v>
          </cell>
          <cell r="AP2172">
            <v>0</v>
          </cell>
          <cell r="AQ2172">
            <v>0</v>
          </cell>
          <cell r="AV2172">
            <v>114250000</v>
          </cell>
        </row>
        <row r="2173">
          <cell r="E2173" t="str">
            <v>B25016352</v>
          </cell>
          <cell r="AP2173">
            <v>0</v>
          </cell>
          <cell r="AQ2173">
            <v>0</v>
          </cell>
          <cell r="AV2173">
            <v>16080000</v>
          </cell>
        </row>
        <row r="2174">
          <cell r="E2174" t="str">
            <v>B25016411</v>
          </cell>
          <cell r="AP2174">
            <v>0</v>
          </cell>
          <cell r="AQ2174">
            <v>0</v>
          </cell>
          <cell r="AV2174">
            <v>12000000</v>
          </cell>
        </row>
        <row r="2175">
          <cell r="E2175" t="str">
            <v>B25016412</v>
          </cell>
          <cell r="AP2175">
            <v>0</v>
          </cell>
          <cell r="AQ2175">
            <v>0</v>
          </cell>
          <cell r="AV2175">
            <v>7830000</v>
          </cell>
        </row>
        <row r="2176">
          <cell r="E2176" t="str">
            <v>B25016458</v>
          </cell>
          <cell r="AP2176">
            <v>0</v>
          </cell>
          <cell r="AQ2176">
            <v>0</v>
          </cell>
          <cell r="AV2176">
            <v>24800000</v>
          </cell>
        </row>
        <row r="2177">
          <cell r="E2177" t="str">
            <v>B25016459</v>
          </cell>
          <cell r="AP2177">
            <v>0</v>
          </cell>
          <cell r="AQ2177">
            <v>0</v>
          </cell>
          <cell r="AV2177">
            <v>420000</v>
          </cell>
        </row>
        <row r="2178">
          <cell r="E2178" t="str">
            <v>B25016534</v>
          </cell>
          <cell r="AP2178">
            <v>0</v>
          </cell>
          <cell r="AQ2178">
            <v>0</v>
          </cell>
          <cell r="AV2178">
            <v>190000</v>
          </cell>
        </row>
        <row r="2179">
          <cell r="E2179" t="str">
            <v>B25016535</v>
          </cell>
          <cell r="AP2179">
            <v>0</v>
          </cell>
          <cell r="AQ2179">
            <v>0</v>
          </cell>
          <cell r="AV2179">
            <v>14114500</v>
          </cell>
        </row>
        <row r="2180">
          <cell r="E2180" t="str">
            <v>B25016535</v>
          </cell>
          <cell r="AP2180">
            <v>0</v>
          </cell>
          <cell r="AQ2180">
            <v>0</v>
          </cell>
          <cell r="AV2180">
            <v>27885500</v>
          </cell>
        </row>
        <row r="2181">
          <cell r="E2181" t="str">
            <v>D25019100</v>
          </cell>
          <cell r="AP2181">
            <v>0</v>
          </cell>
          <cell r="AQ2181">
            <v>0</v>
          </cell>
          <cell r="AV2181">
            <v>80950000</v>
          </cell>
        </row>
        <row r="2182">
          <cell r="E2182" t="str">
            <v>D25019105</v>
          </cell>
          <cell r="AP2182">
            <v>0</v>
          </cell>
          <cell r="AQ2182">
            <v>0</v>
          </cell>
          <cell r="AV2182">
            <v>15000000</v>
          </cell>
        </row>
        <row r="2183">
          <cell r="E2183" t="str">
            <v>D25019194</v>
          </cell>
          <cell r="AP2183">
            <v>0</v>
          </cell>
          <cell r="AQ2183">
            <v>0</v>
          </cell>
          <cell r="AV2183">
            <v>46706000</v>
          </cell>
        </row>
        <row r="2184">
          <cell r="E2184" t="str">
            <v>D25019195</v>
          </cell>
          <cell r="AP2184">
            <v>0</v>
          </cell>
          <cell r="AQ2184">
            <v>0</v>
          </cell>
          <cell r="AV2184">
            <v>6940000</v>
          </cell>
        </row>
        <row r="2185">
          <cell r="E2185" t="str">
            <v>D25019247</v>
          </cell>
          <cell r="AP2185">
            <v>0</v>
          </cell>
          <cell r="AQ2185">
            <v>0</v>
          </cell>
          <cell r="AV2185">
            <v>15000000</v>
          </cell>
        </row>
        <row r="2186">
          <cell r="E2186" t="str">
            <v>D25019294</v>
          </cell>
          <cell r="AP2186">
            <v>0</v>
          </cell>
          <cell r="AQ2186">
            <v>0</v>
          </cell>
          <cell r="AV2186">
            <v>2925000</v>
          </cell>
        </row>
        <row r="2187">
          <cell r="E2187" t="str">
            <v>D25019325</v>
          </cell>
          <cell r="AP2187">
            <v>0</v>
          </cell>
          <cell r="AQ2187">
            <v>0</v>
          </cell>
          <cell r="AV2187">
            <v>95287500</v>
          </cell>
        </row>
        <row r="2188">
          <cell r="E2188" t="str">
            <v>B25016828</v>
          </cell>
          <cell r="AP2188">
            <v>0</v>
          </cell>
          <cell r="AQ2188">
            <v>0</v>
          </cell>
          <cell r="AV2188">
            <v>7800000</v>
          </cell>
        </row>
        <row r="2189">
          <cell r="E2189" t="str">
            <v>B25016877</v>
          </cell>
          <cell r="AP2189">
            <v>0</v>
          </cell>
          <cell r="AQ2189">
            <v>0</v>
          </cell>
          <cell r="AV2189">
            <v>12000000</v>
          </cell>
        </row>
        <row r="2190">
          <cell r="E2190" t="str">
            <v>B25016878</v>
          </cell>
          <cell r="AP2190">
            <v>0</v>
          </cell>
          <cell r="AQ2190">
            <v>0</v>
          </cell>
          <cell r="AV2190">
            <v>14770000</v>
          </cell>
        </row>
        <row r="2191">
          <cell r="E2191" t="str">
            <v>B25016884</v>
          </cell>
          <cell r="AP2191">
            <v>0</v>
          </cell>
          <cell r="AQ2191">
            <v>0</v>
          </cell>
          <cell r="AV2191">
            <v>3920000</v>
          </cell>
        </row>
        <row r="2192">
          <cell r="E2192" t="str">
            <v>B25016885</v>
          </cell>
          <cell r="AP2192">
            <v>0</v>
          </cell>
          <cell r="AQ2192">
            <v>0</v>
          </cell>
          <cell r="AV2192">
            <v>19800000</v>
          </cell>
        </row>
        <row r="2193">
          <cell r="E2193" t="str">
            <v>B25016908</v>
          </cell>
          <cell r="AP2193">
            <v>0</v>
          </cell>
          <cell r="AQ2193">
            <v>0</v>
          </cell>
          <cell r="AV2193">
            <v>4980000</v>
          </cell>
        </row>
        <row r="2194">
          <cell r="E2194" t="str">
            <v>B25016950</v>
          </cell>
          <cell r="AP2194">
            <v>0</v>
          </cell>
          <cell r="AQ2194">
            <v>0</v>
          </cell>
          <cell r="AV2194">
            <v>44675000</v>
          </cell>
        </row>
        <row r="2195">
          <cell r="E2195" t="str">
            <v>B25016957</v>
          </cell>
          <cell r="AP2195">
            <v>0</v>
          </cell>
          <cell r="AQ2195">
            <v>0</v>
          </cell>
          <cell r="AV2195">
            <v>1361000</v>
          </cell>
        </row>
        <row r="2196">
          <cell r="E2196" t="str">
            <v>B25016957</v>
          </cell>
          <cell r="AP2196">
            <v>0</v>
          </cell>
          <cell r="AQ2196">
            <v>0</v>
          </cell>
          <cell r="AV2196">
            <v>5639000</v>
          </cell>
        </row>
        <row r="2197">
          <cell r="E2197" t="str">
            <v>D25019538</v>
          </cell>
          <cell r="AP2197">
            <v>0</v>
          </cell>
          <cell r="AQ2197">
            <v>0</v>
          </cell>
          <cell r="AV2197">
            <v>4200000</v>
          </cell>
        </row>
        <row r="2198">
          <cell r="E2198" t="str">
            <v>B25017082</v>
          </cell>
          <cell r="AP2198">
            <v>0</v>
          </cell>
          <cell r="AQ2198">
            <v>0</v>
          </cell>
          <cell r="AV2198">
            <v>8775000</v>
          </cell>
        </row>
        <row r="2199">
          <cell r="E2199" t="str">
            <v>D25019671</v>
          </cell>
          <cell r="AP2199">
            <v>0</v>
          </cell>
          <cell r="AQ2199">
            <v>0</v>
          </cell>
          <cell r="AV2199">
            <v>15000000</v>
          </cell>
        </row>
        <row r="2200">
          <cell r="E2200" t="str">
            <v>B25017106</v>
          </cell>
          <cell r="AP2200">
            <v>0</v>
          </cell>
          <cell r="AQ2200">
            <v>0</v>
          </cell>
          <cell r="AV2200">
            <v>14625000</v>
          </cell>
        </row>
        <row r="2201">
          <cell r="E2201" t="str">
            <v>D25019697</v>
          </cell>
          <cell r="AP2201">
            <v>0</v>
          </cell>
          <cell r="AQ2201">
            <v>0</v>
          </cell>
          <cell r="AV2201">
            <v>60125000</v>
          </cell>
        </row>
        <row r="2202">
          <cell r="E2202" t="str">
            <v>B26000001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B26000052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B26000053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B26000062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B26000102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D26000066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D26000222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D26000314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B26000311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B26000314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D26000382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D26000383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D26000460</v>
          </cell>
          <cell r="AP2214">
            <v>0</v>
          </cell>
          <cell r="AQ2214">
            <v>0</v>
          </cell>
          <cell r="AV2214">
            <v>0</v>
          </cell>
        </row>
        <row r="2215">
          <cell r="E2215" t="str">
            <v>D26000513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D26000514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D26000515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B26000502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B26000531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B26000580</v>
          </cell>
          <cell r="AP2220">
            <v>0</v>
          </cell>
          <cell r="AQ2220">
            <v>0</v>
          </cell>
          <cell r="AV2220">
            <v>0</v>
          </cell>
        </row>
        <row r="2221">
          <cell r="E2221" t="str">
            <v>D26000633</v>
          </cell>
          <cell r="AP2221">
            <v>0</v>
          </cell>
          <cell r="AQ2221">
            <v>0</v>
          </cell>
          <cell r="AV2221">
            <v>0</v>
          </cell>
        </row>
        <row r="2222">
          <cell r="E2222" t="str">
            <v>D26000655</v>
          </cell>
          <cell r="AP2222">
            <v>0</v>
          </cell>
          <cell r="AQ2222">
            <v>0</v>
          </cell>
          <cell r="AV2222">
            <v>0</v>
          </cell>
        </row>
        <row r="2223">
          <cell r="E2223" t="str">
            <v>B26000665</v>
          </cell>
          <cell r="AP2223">
            <v>0</v>
          </cell>
          <cell r="AQ2223">
            <v>0</v>
          </cell>
          <cell r="AV2223">
            <v>0</v>
          </cell>
        </row>
        <row r="2224">
          <cell r="E2224" t="str">
            <v>B26000679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D26000708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D26000712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B26000731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D26000812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B26000778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D26000848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B26000811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B26000842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B26000843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B26000894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B26000895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B26000907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D26001026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D26001084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B26001113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D26001153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D26001171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D26001172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B26001146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D26001224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B26001218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B26001219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D26001283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D26001297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B26001238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B26001295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D26001383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D26001466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B26001433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B26001434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B26001459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B26001480</v>
          </cell>
          <cell r="AP2256">
            <v>0</v>
          </cell>
          <cell r="AQ2256">
            <v>0</v>
          </cell>
          <cell r="AV2256">
            <v>32250000</v>
          </cell>
        </row>
        <row r="2257">
          <cell r="E2257" t="str">
            <v>D26001631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D26001632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D26001684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D26001732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B26001655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B26001669</v>
          </cell>
          <cell r="AP2262">
            <v>0</v>
          </cell>
          <cell r="AQ2262">
            <v>0</v>
          </cell>
          <cell r="AV2262">
            <v>46250000</v>
          </cell>
        </row>
        <row r="2263">
          <cell r="E2263" t="str">
            <v>B26001670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D26001858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D26001859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D26001902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B26001821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B26001822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B26001869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B26001870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D26002052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D26002053</v>
          </cell>
          <cell r="AP2272">
            <v>0</v>
          </cell>
          <cell r="AQ2272">
            <v>0</v>
          </cell>
          <cell r="AV2272">
            <v>9700000</v>
          </cell>
        </row>
        <row r="2273">
          <cell r="E2273" t="str">
            <v>B26001985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B26001986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B26002024</v>
          </cell>
          <cell r="AP2275">
            <v>0</v>
          </cell>
          <cell r="AQ2275">
            <v>0</v>
          </cell>
          <cell r="AV2275">
            <v>16250000</v>
          </cell>
        </row>
        <row r="2276">
          <cell r="E2276" t="str">
            <v>B26002054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B26002055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B26002133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B26002134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D26002277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D26002374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B26002209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B26000024</v>
          </cell>
          <cell r="AP2283">
            <v>0</v>
          </cell>
          <cell r="AQ2283">
            <v>0</v>
          </cell>
          <cell r="AV2283">
            <v>2255000</v>
          </cell>
        </row>
        <row r="2284">
          <cell r="E2284" t="str">
            <v>D26000047</v>
          </cell>
          <cell r="AP2284">
            <v>0</v>
          </cell>
          <cell r="AQ2284">
            <v>0</v>
          </cell>
          <cell r="AV2284">
            <v>1600000</v>
          </cell>
        </row>
        <row r="2285">
          <cell r="E2285" t="str">
            <v>B26000878</v>
          </cell>
          <cell r="AP2285">
            <v>0</v>
          </cell>
          <cell r="AQ2285">
            <v>0</v>
          </cell>
          <cell r="AV2285">
            <v>5367500</v>
          </cell>
        </row>
        <row r="2286">
          <cell r="E2286" t="str">
            <v>B26001725</v>
          </cell>
          <cell r="AP2286">
            <v>0</v>
          </cell>
          <cell r="AQ2286">
            <v>0</v>
          </cell>
          <cell r="AV2286">
            <v>2632500</v>
          </cell>
        </row>
        <row r="2287">
          <cell r="E2287" t="str">
            <v>B26001726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D26002272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D26002273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B26000025</v>
          </cell>
          <cell r="AP2290">
            <v>0</v>
          </cell>
          <cell r="AQ2290">
            <v>0</v>
          </cell>
          <cell r="AV2290">
            <v>270000</v>
          </cell>
        </row>
        <row r="2291">
          <cell r="E2291" t="str">
            <v>B26000847</v>
          </cell>
          <cell r="AP2291">
            <v>0</v>
          </cell>
          <cell r="AQ2291">
            <v>0</v>
          </cell>
          <cell r="AV2291">
            <v>2550000</v>
          </cell>
        </row>
        <row r="2292">
          <cell r="E2292" t="str">
            <v>D26001361</v>
          </cell>
          <cell r="AP2292">
            <v>0</v>
          </cell>
          <cell r="AQ2292">
            <v>0</v>
          </cell>
          <cell r="AV2292">
            <v>3600000</v>
          </cell>
        </row>
        <row r="2293">
          <cell r="E2293" t="str">
            <v>D26001875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D26001969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D26002111</v>
          </cell>
          <cell r="AP2295">
            <v>0</v>
          </cell>
          <cell r="AQ2295">
            <v>0</v>
          </cell>
          <cell r="AV2295">
            <v>2400000</v>
          </cell>
        </row>
        <row r="2296">
          <cell r="E2296" t="str">
            <v>D26001101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B26001374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D26001733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B26001753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D26001879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D25019617</v>
          </cell>
          <cell r="AP2301">
            <v>0</v>
          </cell>
          <cell r="AQ2301">
            <v>0</v>
          </cell>
          <cell r="AV2301">
            <v>7470000</v>
          </cell>
        </row>
        <row r="2302">
          <cell r="E2302" t="str">
            <v>D25019692</v>
          </cell>
          <cell r="AP2302">
            <v>0</v>
          </cell>
          <cell r="AQ2302">
            <v>0</v>
          </cell>
          <cell r="AV2302">
            <v>1350000</v>
          </cell>
        </row>
        <row r="2303">
          <cell r="E2303" t="str">
            <v>D25019694</v>
          </cell>
          <cell r="AP2303">
            <v>0</v>
          </cell>
          <cell r="AQ2303">
            <v>0</v>
          </cell>
          <cell r="AV2303">
            <v>7440000</v>
          </cell>
        </row>
        <row r="2304">
          <cell r="E2304" t="str">
            <v>D26000648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B26000637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B26000870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D26000924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D26001053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D26001062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B26001055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D26001319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B26001537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B26001550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D25018610</v>
          </cell>
          <cell r="AP2314">
            <v>0</v>
          </cell>
          <cell r="AQ2314">
            <v>0</v>
          </cell>
          <cell r="AV2314">
            <v>8500000</v>
          </cell>
        </row>
        <row r="2315">
          <cell r="E2315" t="str">
            <v>D25019233</v>
          </cell>
          <cell r="AP2315">
            <v>0</v>
          </cell>
          <cell r="AQ2315">
            <v>0</v>
          </cell>
          <cell r="AV2315">
            <v>13600000</v>
          </cell>
        </row>
        <row r="2316">
          <cell r="E2316" t="str">
            <v>D25019485</v>
          </cell>
          <cell r="AP2316">
            <v>0</v>
          </cell>
          <cell r="AQ2316">
            <v>0</v>
          </cell>
          <cell r="AV2316">
            <v>19500000</v>
          </cell>
        </row>
        <row r="2317">
          <cell r="E2317" t="str">
            <v>B26000108</v>
          </cell>
          <cell r="AP2317">
            <v>0</v>
          </cell>
          <cell r="AQ2317">
            <v>0</v>
          </cell>
          <cell r="AV2317">
            <v>5100000</v>
          </cell>
        </row>
        <row r="2318">
          <cell r="E2318" t="str">
            <v>B26000315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B26001243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D26001524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D26001596</v>
          </cell>
          <cell r="AP2321">
            <v>0</v>
          </cell>
          <cell r="AQ2321">
            <v>0</v>
          </cell>
          <cell r="AV2321">
            <v>13400000</v>
          </cell>
        </row>
        <row r="2322">
          <cell r="E2322" t="str">
            <v>B26001575</v>
          </cell>
          <cell r="AP2322">
            <v>0</v>
          </cell>
          <cell r="AQ2322">
            <v>0</v>
          </cell>
          <cell r="AV2322">
            <v>11350000</v>
          </cell>
        </row>
        <row r="2323">
          <cell r="E2323" t="str">
            <v>B26001576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B26001846</v>
          </cell>
          <cell r="AP2324">
            <v>0</v>
          </cell>
          <cell r="AQ2324">
            <v>0</v>
          </cell>
          <cell r="AV2324">
            <v>67000000</v>
          </cell>
        </row>
        <row r="2325">
          <cell r="E2325" t="str">
            <v>D26001982</v>
          </cell>
          <cell r="AP2325">
            <v>0</v>
          </cell>
          <cell r="AQ2325">
            <v>0</v>
          </cell>
          <cell r="AV2325">
            <v>11350000</v>
          </cell>
        </row>
        <row r="2326">
          <cell r="E2326" t="str">
            <v>D26002146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D26002300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D25016516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N25000063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B25016278</v>
          </cell>
          <cell r="AP2330">
            <v>0</v>
          </cell>
          <cell r="AQ2330">
            <v>0</v>
          </cell>
          <cell r="AV2330">
            <v>83250000</v>
          </cell>
        </row>
        <row r="2331">
          <cell r="E2331" t="str">
            <v>B26000678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B25014533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B25014549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D25017159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D25017524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B25015180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B25015962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D25018402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B25016026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D25019077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B26000050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B26000726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D26000942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D26001481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D26001580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B25014904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B25015817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B25016025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B26000049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B26001029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T26000092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T26000093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B25015882</v>
          </cell>
          <cell r="AP2353">
            <v>0</v>
          </cell>
          <cell r="AQ2353">
            <v>0</v>
          </cell>
          <cell r="AV2353">
            <v>5400000</v>
          </cell>
        </row>
        <row r="2354">
          <cell r="E2354" t="str">
            <v>D25018793</v>
          </cell>
          <cell r="AP2354">
            <v>0</v>
          </cell>
          <cell r="AQ2354">
            <v>0</v>
          </cell>
          <cell r="AV2354">
            <v>5680000</v>
          </cell>
        </row>
        <row r="2355">
          <cell r="E2355" t="str">
            <v>D25019576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D26000315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D26000316</v>
          </cell>
          <cell r="AP2357">
            <v>500</v>
          </cell>
          <cell r="AQ2357">
            <v>0</v>
          </cell>
          <cell r="AV2357">
            <v>1357000</v>
          </cell>
        </row>
        <row r="2358">
          <cell r="E2358" t="str">
            <v>B26000653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B26001059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D26001184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D26002063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D26002119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D26002183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B26002218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B26002219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Z25003159</v>
          </cell>
          <cell r="AP2366">
            <v>0</v>
          </cell>
          <cell r="AQ2366">
            <v>0</v>
          </cell>
          <cell r="AV2366">
            <v>5759000</v>
          </cell>
        </row>
        <row r="2367">
          <cell r="E2367" t="str">
            <v>Z25003176</v>
          </cell>
          <cell r="AP2367">
            <v>0</v>
          </cell>
          <cell r="AQ2367">
            <v>0</v>
          </cell>
          <cell r="AV2367">
            <v>16350000</v>
          </cell>
        </row>
        <row r="2368">
          <cell r="E2368" t="str">
            <v>Z25003193</v>
          </cell>
          <cell r="AP2368">
            <v>0</v>
          </cell>
          <cell r="AQ2368">
            <v>0</v>
          </cell>
          <cell r="AV2368">
            <v>3000000</v>
          </cell>
        </row>
        <row r="2369">
          <cell r="E2369" t="str">
            <v>Z25003205</v>
          </cell>
          <cell r="AP2369">
            <v>0</v>
          </cell>
          <cell r="AQ2369">
            <v>0</v>
          </cell>
          <cell r="AV2369">
            <v>4891000</v>
          </cell>
        </row>
        <row r="2370">
          <cell r="E2370" t="str">
            <v>Z25003261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Z25003267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Z25003314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Z25003333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Z25003346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Z25003348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Z25003358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Z25003375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Z26000012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Z26000029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Z26000094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Z26000102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Z26000130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Z26000153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Z26000177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Z26000220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Z26000279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Z26000372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B26001903</v>
          </cell>
          <cell r="AP2388">
            <v>0</v>
          </cell>
          <cell r="AQ2388">
            <v>0</v>
          </cell>
          <cell r="AV2388">
            <v>4800000</v>
          </cell>
        </row>
        <row r="2389">
          <cell r="E2389" t="str">
            <v>D25017662</v>
          </cell>
          <cell r="AP2389">
            <v>0</v>
          </cell>
          <cell r="AQ2389">
            <v>0</v>
          </cell>
          <cell r="AV2389">
            <v>194719825</v>
          </cell>
        </row>
        <row r="2390">
          <cell r="E2390" t="str">
            <v>D25017911</v>
          </cell>
          <cell r="AP2390">
            <v>0</v>
          </cell>
          <cell r="AQ2390">
            <v>0</v>
          </cell>
          <cell r="AV2390">
            <v>7850000</v>
          </cell>
        </row>
        <row r="2391">
          <cell r="E2391" t="str">
            <v>D25017932</v>
          </cell>
          <cell r="AP2391">
            <v>0</v>
          </cell>
          <cell r="AQ2391">
            <v>0</v>
          </cell>
          <cell r="AV2391">
            <v>116640000</v>
          </cell>
        </row>
        <row r="2392">
          <cell r="E2392" t="str">
            <v>D25017933</v>
          </cell>
          <cell r="AP2392">
            <v>0</v>
          </cell>
          <cell r="AQ2392">
            <v>0</v>
          </cell>
          <cell r="AV2392">
            <v>171440000</v>
          </cell>
        </row>
        <row r="2393">
          <cell r="E2393" t="str">
            <v>D25018001</v>
          </cell>
          <cell r="AP2393">
            <v>0</v>
          </cell>
          <cell r="AQ2393">
            <v>0</v>
          </cell>
          <cell r="AV2393">
            <v>24000000</v>
          </cell>
        </row>
        <row r="2394">
          <cell r="E2394" t="str">
            <v>D25018139</v>
          </cell>
          <cell r="AP2394">
            <v>0</v>
          </cell>
          <cell r="AQ2394">
            <v>0</v>
          </cell>
          <cell r="AV2394">
            <v>177350175</v>
          </cell>
        </row>
        <row r="2395">
          <cell r="E2395" t="str">
            <v>D25018229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B25015912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D25018287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D25018353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D25018429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D25018492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D25018617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B25016247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B25016267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B25016447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B25016509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B25016792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D25019469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B26000118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D26000102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B26000292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B26000293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B26000528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B26000572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B26000621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B26000671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B26000696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B26000829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B26000865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B26001201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B26001231</v>
          </cell>
          <cell r="AP2420">
            <v>0</v>
          </cell>
          <cell r="AQ2420">
            <v>0</v>
          </cell>
          <cell r="AV2420">
            <v>463500000</v>
          </cell>
        </row>
        <row r="2421">
          <cell r="E2421" t="str">
            <v>B26001233</v>
          </cell>
          <cell r="AP2421">
            <v>0</v>
          </cell>
          <cell r="AQ2421">
            <v>0</v>
          </cell>
          <cell r="AV2421">
            <v>51500000</v>
          </cell>
        </row>
        <row r="2422">
          <cell r="E2422" t="str">
            <v>B26001289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B26001340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B26001341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B26001348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B26001382</v>
          </cell>
          <cell r="AP2426">
            <v>0</v>
          </cell>
          <cell r="AQ2426">
            <v>0</v>
          </cell>
          <cell r="AV2426">
            <v>264000000</v>
          </cell>
        </row>
        <row r="2427">
          <cell r="E2427" t="str">
            <v>B26001383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B26001464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B26001466</v>
          </cell>
          <cell r="AP2429">
            <v>0</v>
          </cell>
          <cell r="AQ2429">
            <v>0</v>
          </cell>
          <cell r="AV2429">
            <v>221000000</v>
          </cell>
        </row>
        <row r="2430">
          <cell r="E2430" t="str">
            <v>B26001466</v>
          </cell>
          <cell r="AP2430">
            <v>0</v>
          </cell>
          <cell r="AQ2430">
            <v>0</v>
          </cell>
          <cell r="AV2430">
            <v>43000000</v>
          </cell>
        </row>
        <row r="2431">
          <cell r="E2431" t="str">
            <v>B26001551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B26001552</v>
          </cell>
          <cell r="AP2432">
            <v>0</v>
          </cell>
          <cell r="AQ2432">
            <v>0</v>
          </cell>
          <cell r="AV2432">
            <v>957000000</v>
          </cell>
        </row>
        <row r="2433">
          <cell r="E2433" t="str">
            <v>B26001552</v>
          </cell>
          <cell r="AP2433">
            <v>0</v>
          </cell>
          <cell r="AQ2433">
            <v>0</v>
          </cell>
          <cell r="AV2433">
            <v>308000000</v>
          </cell>
        </row>
        <row r="2434">
          <cell r="E2434" t="str">
            <v>B26001664</v>
          </cell>
          <cell r="AP2434">
            <v>0</v>
          </cell>
          <cell r="AQ2434">
            <v>0</v>
          </cell>
          <cell r="AV2434">
            <v>546000000</v>
          </cell>
        </row>
        <row r="2435">
          <cell r="E2435" t="str">
            <v>B26001665</v>
          </cell>
          <cell r="AP2435">
            <v>0</v>
          </cell>
          <cell r="AQ2435">
            <v>0</v>
          </cell>
          <cell r="AV2435">
            <v>39000000</v>
          </cell>
        </row>
        <row r="2436">
          <cell r="E2436" t="str">
            <v>B26001698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B26001774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B26001779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B26001782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D26001927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D26001928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D26001938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D26002002</v>
          </cell>
          <cell r="AP2443">
            <v>0</v>
          </cell>
          <cell r="AQ2443">
            <v>0</v>
          </cell>
          <cell r="AV2443">
            <v>132000000</v>
          </cell>
        </row>
        <row r="2444">
          <cell r="E2444" t="str">
            <v>D26002049</v>
          </cell>
          <cell r="AP2444">
            <v>0</v>
          </cell>
          <cell r="AQ2444">
            <v>0</v>
          </cell>
          <cell r="AV2444">
            <v>283000000</v>
          </cell>
        </row>
        <row r="2445">
          <cell r="E2445" t="str">
            <v>D26002050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D26002051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D26002094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D26002098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D26002167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D26002193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D26002270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D26002301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D26002302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B26002210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D26002437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B26000380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D26002180</v>
          </cell>
          <cell r="AP2457">
            <v>0</v>
          </cell>
          <cell r="AQ2457">
            <v>0</v>
          </cell>
          <cell r="AV2457">
            <v>780000</v>
          </cell>
        </row>
        <row r="2458">
          <cell r="E2458" t="str">
            <v>D26002180</v>
          </cell>
          <cell r="AP2458">
            <v>0</v>
          </cell>
          <cell r="AQ2458">
            <v>0</v>
          </cell>
          <cell r="AV2458">
            <v>5700000</v>
          </cell>
        </row>
        <row r="2459">
          <cell r="E2459" t="str">
            <v>B25002140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B25016848</v>
          </cell>
          <cell r="AP2460">
            <v>0</v>
          </cell>
          <cell r="AQ2460">
            <v>0</v>
          </cell>
          <cell r="AV2460">
            <v>19800000</v>
          </cell>
        </row>
        <row r="2461">
          <cell r="E2461" t="str">
            <v>D25019429</v>
          </cell>
          <cell r="AP2461">
            <v>0</v>
          </cell>
          <cell r="AQ2461">
            <v>0</v>
          </cell>
          <cell r="AV2461">
            <v>2100000</v>
          </cell>
        </row>
        <row r="2462">
          <cell r="E2462" t="str">
            <v>B26000013</v>
          </cell>
          <cell r="AP2462">
            <v>0</v>
          </cell>
          <cell r="AQ2462">
            <v>0</v>
          </cell>
          <cell r="AV2462">
            <v>12828000</v>
          </cell>
        </row>
        <row r="2463">
          <cell r="E2463" t="str">
            <v>D26000461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B26000517</v>
          </cell>
          <cell r="AP2464">
            <v>0</v>
          </cell>
          <cell r="AQ2464">
            <v>0</v>
          </cell>
          <cell r="AV2464">
            <v>21550000</v>
          </cell>
        </row>
        <row r="2465">
          <cell r="E2465" t="str">
            <v>B26000690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D26001024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B26001581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B26002005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B26002040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B26002051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D26002357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Z25003195</v>
          </cell>
          <cell r="AP2472">
            <v>0</v>
          </cell>
          <cell r="AQ2472">
            <v>0</v>
          </cell>
          <cell r="AV2472">
            <v>16600000</v>
          </cell>
        </row>
        <row r="2473">
          <cell r="E2473" t="str">
            <v>Z25003204</v>
          </cell>
          <cell r="AP2473">
            <v>0</v>
          </cell>
          <cell r="AQ2473">
            <v>0</v>
          </cell>
          <cell r="AV2473">
            <v>14005000</v>
          </cell>
        </row>
        <row r="2474">
          <cell r="E2474" t="str">
            <v>Z25003286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Z25003297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Z26000140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Z26000160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Z26000402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B25016833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B25016892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D26000030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D25018540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D25018671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B25016259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D25019399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B25016922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B26001649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B26001714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C25000307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D24015365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D24015541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C25000192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C25000195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C25000196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C25000197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C25000198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C25000445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B25008299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B25008808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B25009712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M25000081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D25018593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D26002033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B26000145</v>
          </cell>
          <cell r="AP2504">
            <v>0</v>
          </cell>
          <cell r="AQ2504">
            <v>0</v>
          </cell>
          <cell r="AV2504">
            <v>2261000</v>
          </cell>
        </row>
        <row r="2505">
          <cell r="E2505" t="str">
            <v>B26000146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D26000177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D26001775</v>
          </cell>
          <cell r="AP2507">
            <v>0</v>
          </cell>
          <cell r="AQ2507">
            <v>0</v>
          </cell>
          <cell r="AV2507">
            <v>1800000</v>
          </cell>
        </row>
        <row r="2508">
          <cell r="E2508" t="str">
            <v>B26002123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D26002233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D26001416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D26001537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D26001621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B26002254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D25018553</v>
          </cell>
          <cell r="AP2514">
            <v>0</v>
          </cell>
          <cell r="AQ2514">
            <v>0</v>
          </cell>
          <cell r="AV2514">
            <v>30000000</v>
          </cell>
        </row>
        <row r="2515">
          <cell r="E2515" t="str">
            <v>D26001327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T25001822</v>
          </cell>
          <cell r="AP2516">
            <v>0</v>
          </cell>
          <cell r="AQ2516">
            <v>0</v>
          </cell>
          <cell r="AV2516">
            <v>650000</v>
          </cell>
        </row>
        <row r="2517">
          <cell r="E2517" t="str">
            <v>B25016227</v>
          </cell>
          <cell r="AP2517">
            <v>0</v>
          </cell>
          <cell r="AQ2517">
            <v>0</v>
          </cell>
          <cell r="AV2517">
            <v>2660000</v>
          </cell>
        </row>
        <row r="2518">
          <cell r="E2518" t="str">
            <v>D25019423</v>
          </cell>
          <cell r="AP2518">
            <v>0</v>
          </cell>
          <cell r="AQ2518">
            <v>0</v>
          </cell>
          <cell r="AV2518">
            <v>1062500</v>
          </cell>
        </row>
        <row r="2519">
          <cell r="E2519" t="str">
            <v>B25016972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B25017133</v>
          </cell>
          <cell r="AP2520">
            <v>0</v>
          </cell>
          <cell r="AQ2520">
            <v>0</v>
          </cell>
          <cell r="AV2520">
            <v>2252000</v>
          </cell>
        </row>
        <row r="2521">
          <cell r="E2521" t="str">
            <v>B26000326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B26001041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B26001680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B26000030</v>
          </cell>
          <cell r="AP2524">
            <v>0</v>
          </cell>
          <cell r="AQ2524">
            <v>0</v>
          </cell>
          <cell r="AV2524">
            <v>1395000</v>
          </cell>
        </row>
        <row r="2525">
          <cell r="E2525" t="str">
            <v>B26000073</v>
          </cell>
          <cell r="AP2525">
            <v>0</v>
          </cell>
          <cell r="AQ2525">
            <v>0</v>
          </cell>
          <cell r="AV2525">
            <v>5340000</v>
          </cell>
        </row>
        <row r="2526">
          <cell r="E2526" t="str">
            <v>D26000190</v>
          </cell>
          <cell r="AP2526">
            <v>0</v>
          </cell>
          <cell r="AQ2526">
            <v>0</v>
          </cell>
          <cell r="AV2526">
            <v>1580000</v>
          </cell>
        </row>
        <row r="2527">
          <cell r="E2527" t="str">
            <v>D26000235</v>
          </cell>
          <cell r="AP2527">
            <v>0</v>
          </cell>
          <cell r="AQ2527">
            <v>0</v>
          </cell>
          <cell r="AV2527">
            <v>5300000</v>
          </cell>
        </row>
        <row r="2528">
          <cell r="E2528" t="str">
            <v>B26000281</v>
          </cell>
          <cell r="AP2528">
            <v>0</v>
          </cell>
          <cell r="AQ2528">
            <v>0</v>
          </cell>
          <cell r="AV2528">
            <v>4755000</v>
          </cell>
        </row>
        <row r="2529">
          <cell r="E2529" t="str">
            <v>B26000487</v>
          </cell>
          <cell r="AP2529">
            <v>0</v>
          </cell>
          <cell r="AQ2529">
            <v>0</v>
          </cell>
          <cell r="AV2529">
            <v>5300000</v>
          </cell>
        </row>
        <row r="2530">
          <cell r="E2530" t="str">
            <v>B26000556</v>
          </cell>
          <cell r="AP2530">
            <v>0</v>
          </cell>
          <cell r="AQ2530">
            <v>0</v>
          </cell>
          <cell r="AV2530">
            <v>3680000</v>
          </cell>
        </row>
        <row r="2531">
          <cell r="E2531" t="str">
            <v>B26000557</v>
          </cell>
          <cell r="AP2531">
            <v>0</v>
          </cell>
          <cell r="AQ2531">
            <v>0</v>
          </cell>
          <cell r="AV2531">
            <v>920000</v>
          </cell>
        </row>
        <row r="2532">
          <cell r="E2532" t="str">
            <v>B26000730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B26000777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B26000781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D26001025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B26001246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D26001520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D26001769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B26001766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B26001767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T26000124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D26001924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B26002166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D26002309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D26002350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N26000021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D26002389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D26001929</v>
          </cell>
          <cell r="AP2548">
            <v>0</v>
          </cell>
          <cell r="AQ2548">
            <v>0</v>
          </cell>
          <cell r="AV2548">
            <v>278000000</v>
          </cell>
        </row>
        <row r="2549">
          <cell r="E2549" t="str">
            <v>D26002124</v>
          </cell>
          <cell r="AP2549">
            <v>0</v>
          </cell>
          <cell r="AQ2549">
            <v>0</v>
          </cell>
          <cell r="AV2549">
            <v>57500000</v>
          </cell>
        </row>
        <row r="2550">
          <cell r="E2550" t="str">
            <v>D25019707</v>
          </cell>
          <cell r="AP2550">
            <v>0</v>
          </cell>
          <cell r="AQ2550">
            <v>0</v>
          </cell>
          <cell r="AV2550">
            <v>45600000</v>
          </cell>
        </row>
        <row r="2551">
          <cell r="E2551" t="str">
            <v>D25019707</v>
          </cell>
          <cell r="AP2551">
            <v>0</v>
          </cell>
          <cell r="AQ2551">
            <v>0</v>
          </cell>
          <cell r="AV2551">
            <v>130000000</v>
          </cell>
        </row>
        <row r="2552">
          <cell r="E2552" t="str">
            <v>D25019707</v>
          </cell>
          <cell r="AP2552">
            <v>0</v>
          </cell>
          <cell r="AQ2552">
            <v>0</v>
          </cell>
          <cell r="AV2552">
            <v>10000000</v>
          </cell>
        </row>
        <row r="2553">
          <cell r="E2553" t="str">
            <v>B26000288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D26000547</v>
          </cell>
          <cell r="AP2554">
            <v>0</v>
          </cell>
          <cell r="AQ2554">
            <v>0</v>
          </cell>
          <cell r="AV2554">
            <v>64000000</v>
          </cell>
        </row>
        <row r="2555">
          <cell r="E2555" t="str">
            <v>D26000547</v>
          </cell>
          <cell r="AP2555">
            <v>0</v>
          </cell>
          <cell r="AQ2555">
            <v>0</v>
          </cell>
          <cell r="AV2555">
            <v>174800000</v>
          </cell>
        </row>
        <row r="2556">
          <cell r="E2556" t="str">
            <v>D26000547</v>
          </cell>
          <cell r="AP2556">
            <v>0</v>
          </cell>
          <cell r="AQ2556">
            <v>0</v>
          </cell>
          <cell r="AV2556">
            <v>90000000</v>
          </cell>
        </row>
        <row r="2557">
          <cell r="E2557" t="str">
            <v>T26000034</v>
          </cell>
          <cell r="AP2557">
            <v>0</v>
          </cell>
          <cell r="AQ2557">
            <v>0</v>
          </cell>
          <cell r="AV2557">
            <v>2450000</v>
          </cell>
        </row>
        <row r="2558">
          <cell r="E2558" t="str">
            <v>D26000779</v>
          </cell>
          <cell r="AP2558">
            <v>0</v>
          </cell>
          <cell r="AQ2558">
            <v>0</v>
          </cell>
          <cell r="AV2558">
            <v>8000</v>
          </cell>
        </row>
        <row r="2559">
          <cell r="E2559" t="str">
            <v>D26000780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D26000885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D26001196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D26001504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D26001571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D26001745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D26001800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D26001801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D26001817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B26001712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D26002019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B26001898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D26002042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B26002167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B26002168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B25016747</v>
          </cell>
          <cell r="AP2574">
            <v>0</v>
          </cell>
          <cell r="AQ2574">
            <v>0</v>
          </cell>
          <cell r="AV2574">
            <v>1680000</v>
          </cell>
        </row>
        <row r="2575">
          <cell r="E2575" t="str">
            <v>B25016748</v>
          </cell>
          <cell r="AP2575">
            <v>0</v>
          </cell>
          <cell r="AQ2575">
            <v>0</v>
          </cell>
          <cell r="AV2575">
            <v>1500000</v>
          </cell>
        </row>
        <row r="2576">
          <cell r="E2576" t="str">
            <v>B26000037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D26000089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D26001302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D26001303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B26001765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D26002387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D26002388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T26000122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D26002120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D26000752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D26000093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B26000913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T25001849</v>
          </cell>
          <cell r="AP2588">
            <v>0</v>
          </cell>
          <cell r="AQ2588">
            <v>0</v>
          </cell>
          <cell r="AV2588">
            <v>2630000</v>
          </cell>
        </row>
        <row r="2589">
          <cell r="E2589" t="str">
            <v>T25001850</v>
          </cell>
          <cell r="AP2589">
            <v>0</v>
          </cell>
          <cell r="AQ2589">
            <v>0</v>
          </cell>
          <cell r="AV2589">
            <v>11380000</v>
          </cell>
        </row>
        <row r="2590">
          <cell r="E2590" t="str">
            <v>B26000357</v>
          </cell>
          <cell r="AP2590">
            <v>0</v>
          </cell>
          <cell r="AQ2590">
            <v>0</v>
          </cell>
          <cell r="AV2590">
            <v>5990000</v>
          </cell>
        </row>
        <row r="2591">
          <cell r="E2591" t="str">
            <v>D26000440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B25009894</v>
          </cell>
          <cell r="AP2592">
            <v>0</v>
          </cell>
          <cell r="AQ2592">
            <v>0</v>
          </cell>
          <cell r="AV2592">
            <v>525000000</v>
          </cell>
        </row>
        <row r="2593">
          <cell r="E2593" t="str">
            <v>D25014407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B26001733</v>
          </cell>
          <cell r="AP2594">
            <v>0</v>
          </cell>
          <cell r="AQ2594">
            <v>0</v>
          </cell>
          <cell r="AV2594">
            <v>3300000</v>
          </cell>
        </row>
        <row r="2595">
          <cell r="E2595" t="str">
            <v>D25019157</v>
          </cell>
          <cell r="AP2595">
            <v>0</v>
          </cell>
          <cell r="AQ2595">
            <v>0</v>
          </cell>
          <cell r="AV2595">
            <v>2260000</v>
          </cell>
        </row>
        <row r="2596">
          <cell r="E2596" t="str">
            <v>D26001468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D26001781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B26000171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D26001079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T25001881k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D25019605</v>
          </cell>
          <cell r="AP2601">
            <v>0</v>
          </cell>
          <cell r="AQ2601">
            <v>0</v>
          </cell>
          <cell r="AV2601">
            <v>3380000</v>
          </cell>
        </row>
        <row r="2602">
          <cell r="E2602" t="str">
            <v>T26000023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D26000738</v>
          </cell>
          <cell r="AP2603">
            <v>0</v>
          </cell>
          <cell r="AQ2603">
            <v>0</v>
          </cell>
          <cell r="AV2603">
            <v>3930000</v>
          </cell>
        </row>
        <row r="2604">
          <cell r="E2604" t="str">
            <v>B26001319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D26002055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B25016739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B25016739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B25016739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B25016740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B25016740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D25019250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D25019250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D25019250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B25016887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B25016947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D26001633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D25017428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B25016171</v>
          </cell>
          <cell r="AP2618">
            <v>0</v>
          </cell>
          <cell r="AQ2618">
            <v>0</v>
          </cell>
          <cell r="AV2618">
            <v>2120000</v>
          </cell>
        </row>
        <row r="2619">
          <cell r="E2619" t="str">
            <v>D25019645</v>
          </cell>
          <cell r="AP2619">
            <v>0</v>
          </cell>
          <cell r="AQ2619">
            <v>0</v>
          </cell>
          <cell r="AV2619">
            <v>3640000</v>
          </cell>
        </row>
        <row r="2620">
          <cell r="E2620" t="str">
            <v>D26000850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B26001089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B26001313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B26001585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D25016631</v>
          </cell>
          <cell r="AP2624">
            <v>0</v>
          </cell>
          <cell r="AQ2624">
            <v>0</v>
          </cell>
          <cell r="AV2624">
            <v>981000</v>
          </cell>
        </row>
        <row r="2625">
          <cell r="E2625" t="str">
            <v>T25001655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D25016872</v>
          </cell>
          <cell r="AP2626">
            <v>0</v>
          </cell>
          <cell r="AQ2626">
            <v>0</v>
          </cell>
          <cell r="AV2626">
            <v>1480000</v>
          </cell>
        </row>
        <row r="2627">
          <cell r="E2627" t="str">
            <v>D25016902</v>
          </cell>
          <cell r="AP2627">
            <v>0</v>
          </cell>
          <cell r="AQ2627">
            <v>0</v>
          </cell>
          <cell r="AV2627">
            <v>4800000</v>
          </cell>
        </row>
        <row r="2628">
          <cell r="E2628" t="str">
            <v>T25001703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B25015308</v>
          </cell>
          <cell r="AP2629">
            <v>0</v>
          </cell>
          <cell r="AQ2629">
            <v>0</v>
          </cell>
          <cell r="AV2629">
            <v>1800000</v>
          </cell>
        </row>
        <row r="2630">
          <cell r="E2630" t="str">
            <v>B25016198</v>
          </cell>
          <cell r="AP2630">
            <v>0</v>
          </cell>
          <cell r="AQ2630">
            <v>0</v>
          </cell>
          <cell r="AV2630">
            <v>2629000</v>
          </cell>
        </row>
        <row r="2631">
          <cell r="E2631" t="str">
            <v>B25016199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B25016200</v>
          </cell>
          <cell r="AP2632">
            <v>0</v>
          </cell>
          <cell r="AQ2632">
            <v>0</v>
          </cell>
          <cell r="AV2632">
            <v>3310000</v>
          </cell>
        </row>
        <row r="2633">
          <cell r="E2633" t="str">
            <v>D26000630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D26000631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T26000033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D26000911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B26001613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T26000165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D25018823</v>
          </cell>
          <cell r="AP2639">
            <v>0</v>
          </cell>
          <cell r="AQ2639">
            <v>0</v>
          </cell>
          <cell r="AV2639">
            <v>5472000</v>
          </cell>
        </row>
        <row r="2640">
          <cell r="E2640" t="str">
            <v>D25019101</v>
          </cell>
          <cell r="AP2640">
            <v>0</v>
          </cell>
          <cell r="AQ2640">
            <v>0</v>
          </cell>
          <cell r="AV2640">
            <v>1600000</v>
          </cell>
        </row>
        <row r="2641">
          <cell r="E2641" t="str">
            <v>D25019298</v>
          </cell>
          <cell r="AP2641">
            <v>0</v>
          </cell>
          <cell r="AQ2641">
            <v>0</v>
          </cell>
          <cell r="AV2641">
            <v>13250000</v>
          </cell>
        </row>
        <row r="2642">
          <cell r="E2642" t="str">
            <v>B25016923</v>
          </cell>
          <cell r="AP2642">
            <v>0</v>
          </cell>
          <cell r="AQ2642">
            <v>0</v>
          </cell>
          <cell r="AV2642">
            <v>4535000</v>
          </cell>
        </row>
        <row r="2643">
          <cell r="E2643" t="str">
            <v>D25019463</v>
          </cell>
          <cell r="AP2643">
            <v>0</v>
          </cell>
          <cell r="AQ2643">
            <v>0</v>
          </cell>
          <cell r="AV2643">
            <v>6475000</v>
          </cell>
        </row>
        <row r="2644">
          <cell r="E2644" t="str">
            <v>D26000125</v>
          </cell>
          <cell r="AP2644">
            <v>0</v>
          </cell>
          <cell r="AQ2644">
            <v>0</v>
          </cell>
          <cell r="AV2644">
            <v>4500000</v>
          </cell>
        </row>
        <row r="2645">
          <cell r="E2645" t="str">
            <v>D26000501</v>
          </cell>
          <cell r="AP2645">
            <v>0</v>
          </cell>
          <cell r="AQ2645">
            <v>0</v>
          </cell>
          <cell r="AV2645">
            <v>3500000</v>
          </cell>
        </row>
        <row r="2646">
          <cell r="E2646" t="str">
            <v>D26000524</v>
          </cell>
          <cell r="AP2646">
            <v>0</v>
          </cell>
          <cell r="AQ2646">
            <v>0</v>
          </cell>
          <cell r="AV2646">
            <v>1932000</v>
          </cell>
        </row>
        <row r="2647">
          <cell r="E2647" t="str">
            <v>D26000525</v>
          </cell>
          <cell r="AP2647">
            <v>0</v>
          </cell>
          <cell r="AQ2647">
            <v>0</v>
          </cell>
          <cell r="AV2647">
            <v>1610000</v>
          </cell>
        </row>
        <row r="2648">
          <cell r="E2648" t="str">
            <v>D26000541</v>
          </cell>
          <cell r="AP2648">
            <v>0</v>
          </cell>
          <cell r="AQ2648">
            <v>0</v>
          </cell>
          <cell r="AV2648">
            <v>15200000</v>
          </cell>
        </row>
        <row r="2649">
          <cell r="E2649" t="str">
            <v>D26000542</v>
          </cell>
          <cell r="AP2649">
            <v>0</v>
          </cell>
          <cell r="AQ2649">
            <v>0</v>
          </cell>
          <cell r="AV2649">
            <v>7600000</v>
          </cell>
        </row>
        <row r="2650">
          <cell r="E2650" t="str">
            <v>B26001159</v>
          </cell>
          <cell r="AP2650">
            <v>0</v>
          </cell>
          <cell r="AQ2650">
            <v>0</v>
          </cell>
          <cell r="AV2650">
            <v>7755000</v>
          </cell>
        </row>
        <row r="2651">
          <cell r="E2651" t="str">
            <v>B26001164</v>
          </cell>
          <cell r="AP2651">
            <v>0</v>
          </cell>
          <cell r="AQ2651">
            <v>0</v>
          </cell>
          <cell r="AV2651">
            <v>26571000</v>
          </cell>
        </row>
        <row r="2652">
          <cell r="E2652" t="str">
            <v>D26001298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D26001313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D26001380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D26001382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D26001428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B26001435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D26001644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D26001645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D26001854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B26001851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D26002080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B26002052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B26002100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B26002240</v>
          </cell>
          <cell r="AP2665">
            <v>0</v>
          </cell>
          <cell r="AQ2665">
            <v>0</v>
          </cell>
          <cell r="AV2665">
            <v>1720000</v>
          </cell>
        </row>
        <row r="2666">
          <cell r="E2666" t="str">
            <v>D26000259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D26000265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D26000384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B26000695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D26001111</v>
          </cell>
          <cell r="AP2670">
            <v>0</v>
          </cell>
          <cell r="AQ2670">
            <v>2750000</v>
          </cell>
          <cell r="AV2670">
            <v>0</v>
          </cell>
        </row>
        <row r="2671">
          <cell r="E2671" t="str">
            <v>B26001065</v>
          </cell>
          <cell r="AP2671">
            <v>0</v>
          </cell>
          <cell r="AQ2671">
            <v>17250000</v>
          </cell>
          <cell r="AV2671">
            <v>0</v>
          </cell>
        </row>
        <row r="2672">
          <cell r="E2672" t="str">
            <v>B26001065</v>
          </cell>
          <cell r="AP2672">
            <v>0</v>
          </cell>
          <cell r="AQ2672">
            <v>18301750</v>
          </cell>
          <cell r="AV2672">
            <v>0</v>
          </cell>
        </row>
        <row r="2673">
          <cell r="E2673" t="str">
            <v>D26001794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D26001811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B26001834</v>
          </cell>
          <cell r="AP2675">
            <v>0</v>
          </cell>
          <cell r="AQ2675">
            <v>0</v>
          </cell>
          <cell r="AV2675">
            <v>860000</v>
          </cell>
        </row>
        <row r="2676">
          <cell r="E2676" t="str">
            <v>D26002059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D26001917</v>
          </cell>
          <cell r="AP2677">
            <v>0</v>
          </cell>
          <cell r="AQ2677">
            <v>0</v>
          </cell>
          <cell r="AV2677">
            <v>18000000</v>
          </cell>
        </row>
        <row r="2678">
          <cell r="E2678" t="str">
            <v>B26002124</v>
          </cell>
          <cell r="AP2678">
            <v>0</v>
          </cell>
          <cell r="AQ2678">
            <v>0</v>
          </cell>
          <cell r="AV2678">
            <v>2740000</v>
          </cell>
        </row>
        <row r="2679">
          <cell r="E2679" t="str">
            <v>D26000393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D26000431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B26000625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D26000901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D26000916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D26001146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B26001472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B26001555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B26001902</v>
          </cell>
          <cell r="AP2687">
            <v>0</v>
          </cell>
          <cell r="AQ2687">
            <v>0</v>
          </cell>
          <cell r="AV2687">
            <v>11000000</v>
          </cell>
        </row>
        <row r="2688">
          <cell r="E2688" t="str">
            <v>B26001855</v>
          </cell>
          <cell r="AP2688">
            <v>0</v>
          </cell>
          <cell r="AQ2688">
            <v>0</v>
          </cell>
          <cell r="AV2688">
            <v>1360000</v>
          </cell>
        </row>
        <row r="2689">
          <cell r="E2689" t="str">
            <v>B26001856</v>
          </cell>
          <cell r="AP2689">
            <v>0</v>
          </cell>
          <cell r="AQ2689">
            <v>0</v>
          </cell>
          <cell r="AV2689">
            <v>2314500</v>
          </cell>
        </row>
        <row r="2690">
          <cell r="E2690" t="str">
            <v>B26001857</v>
          </cell>
          <cell r="AP2690">
            <v>0</v>
          </cell>
          <cell r="AQ2690">
            <v>0</v>
          </cell>
          <cell r="AV2690">
            <v>260000</v>
          </cell>
        </row>
        <row r="2691">
          <cell r="E2691" t="str">
            <v>D26001719</v>
          </cell>
          <cell r="AP2691">
            <v>0</v>
          </cell>
          <cell r="AQ2691">
            <v>0</v>
          </cell>
          <cell r="AV2691">
            <v>6300000</v>
          </cell>
        </row>
        <row r="2692">
          <cell r="E2692" t="str">
            <v>B26002114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T25000698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T25000700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D25016721</v>
          </cell>
          <cell r="AP2695">
            <v>0</v>
          </cell>
          <cell r="AQ2695">
            <v>0</v>
          </cell>
          <cell r="AV2695">
            <v>4440000</v>
          </cell>
        </row>
        <row r="2696">
          <cell r="E2696" t="str">
            <v>D25016721</v>
          </cell>
          <cell r="AP2696">
            <v>0</v>
          </cell>
          <cell r="AQ2696">
            <v>0</v>
          </cell>
          <cell r="AV2696">
            <v>5000000</v>
          </cell>
        </row>
        <row r="2697">
          <cell r="E2697" t="str">
            <v>B25014674</v>
          </cell>
          <cell r="AP2697">
            <v>0</v>
          </cell>
          <cell r="AQ2697">
            <v>0</v>
          </cell>
          <cell r="AV2697">
            <v>3852750</v>
          </cell>
        </row>
        <row r="2698">
          <cell r="E2698" t="str">
            <v>B25014675</v>
          </cell>
          <cell r="AP2698">
            <v>0</v>
          </cell>
          <cell r="AQ2698">
            <v>0</v>
          </cell>
          <cell r="AV2698">
            <v>147250</v>
          </cell>
        </row>
        <row r="2699">
          <cell r="E2699" t="str">
            <v>D25017210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B25015697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D25018775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D25018776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D25019491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B25016962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D26001199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D25015491</v>
          </cell>
          <cell r="AP2706">
            <v>0</v>
          </cell>
          <cell r="AQ2706">
            <v>0</v>
          </cell>
          <cell r="AV2706">
            <v>50000000</v>
          </cell>
        </row>
        <row r="2707">
          <cell r="E2707" t="str">
            <v>D25015491</v>
          </cell>
          <cell r="AP2707">
            <v>0</v>
          </cell>
          <cell r="AQ2707">
            <v>0</v>
          </cell>
          <cell r="AV2707">
            <v>4242500</v>
          </cell>
        </row>
        <row r="2708">
          <cell r="E2708" t="str">
            <v>D25015492</v>
          </cell>
          <cell r="AP2708">
            <v>0</v>
          </cell>
          <cell r="AQ2708">
            <v>0</v>
          </cell>
          <cell r="AV2708">
            <v>7775000</v>
          </cell>
        </row>
        <row r="2709">
          <cell r="E2709" t="str">
            <v>D25015518</v>
          </cell>
          <cell r="AP2709">
            <v>0</v>
          </cell>
          <cell r="AQ2709">
            <v>0</v>
          </cell>
          <cell r="AV2709">
            <v>21070000</v>
          </cell>
        </row>
        <row r="2710">
          <cell r="E2710" t="str">
            <v>D25015519</v>
          </cell>
          <cell r="AP2710">
            <v>0</v>
          </cell>
          <cell r="AQ2710">
            <v>0</v>
          </cell>
          <cell r="AV2710">
            <v>16912500</v>
          </cell>
        </row>
        <row r="2711">
          <cell r="E2711" t="str">
            <v>D25018010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D25018011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B26001039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D26001222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B25012709</v>
          </cell>
          <cell r="AP2715">
            <v>0</v>
          </cell>
          <cell r="AQ2715">
            <v>0</v>
          </cell>
          <cell r="AV2715">
            <v>32757750</v>
          </cell>
        </row>
        <row r="2716">
          <cell r="E2716" t="str">
            <v>B25012875</v>
          </cell>
          <cell r="AP2716">
            <v>0</v>
          </cell>
          <cell r="AQ2716">
            <v>0</v>
          </cell>
          <cell r="AV2716">
            <v>16887750</v>
          </cell>
        </row>
        <row r="2717">
          <cell r="E2717" t="str">
            <v>B25012876</v>
          </cell>
          <cell r="AP2717">
            <v>0</v>
          </cell>
          <cell r="AQ2717">
            <v>0</v>
          </cell>
          <cell r="AV2717">
            <v>57743200</v>
          </cell>
        </row>
        <row r="2718">
          <cell r="E2718" t="str">
            <v>B25012907</v>
          </cell>
          <cell r="AP2718">
            <v>0</v>
          </cell>
          <cell r="AQ2718">
            <v>0</v>
          </cell>
          <cell r="AV2718">
            <v>30119000</v>
          </cell>
        </row>
        <row r="2719">
          <cell r="E2719" t="str">
            <v>D25016022</v>
          </cell>
          <cell r="AP2719">
            <v>0</v>
          </cell>
          <cell r="AQ2719">
            <v>0</v>
          </cell>
          <cell r="AV2719">
            <v>120625000</v>
          </cell>
        </row>
        <row r="2720">
          <cell r="E2720" t="str">
            <v>D25016347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B25014255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B25014494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D25016931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D25016947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D25016948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B25014783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B25015004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B25015067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D25017412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B25015250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B25015395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D25017843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B25015533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D25017972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D25018032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B25015677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D25018648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D25018929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B25016629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D25019093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D25019171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B25016746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D25019258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B25017047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B25017107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B25017109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D26000485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D26000506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D26000575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D26000852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D26001446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D26001587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D26001625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D26001850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D26002100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D26002356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T22000046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T22000053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T22000087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T22000122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T22000134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T22000139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T22000141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T22000167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T22000207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T22000231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T22000254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T22000265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T22000282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T22000316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T22000338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T22000378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T22000394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T22000405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T22000425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T22000456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T22000472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T22000491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T22000520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T22000560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T22000561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T22000580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T22000604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T22000664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T22000725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T22000772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T22000799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T23000003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T23000012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T23000013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T23000057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T23000064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T23000087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T23000120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D23001207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T23000149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T23000180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T23000184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T23000187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T23000252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T23000257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T23000275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T23000285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T23000332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T23000355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T23000382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T23000419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T23000426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T23000485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T23000492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T23000504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T23000507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T23000508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T23000509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T23000522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T23000524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T23000577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T23000584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T23000594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T23000630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T23000644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T23000686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T23000695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T23000741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T23000742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T23000772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T23000781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T23000782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T23000809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T23000845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T23000846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T23000860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T23000881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T23000884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T23000911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T23000912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T23000914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T23000919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T23000924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T23000935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T23000936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T23000986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T23000989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T23000994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T23000998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T23000999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T23001024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T23001025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T23001026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T23001057</v>
          </cell>
          <cell r="AP2850">
            <v>0</v>
          </cell>
          <cell r="AQ2850">
            <v>0</v>
          </cell>
          <cell r="AV2850">
            <v>0</v>
          </cell>
        </row>
        <row r="2851">
          <cell r="E2851" t="str">
            <v>T23001090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T23001094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T23001095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T23001103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T24000001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T24000018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T24000040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T24000113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T24000118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T24000126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T24000149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T24000166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T24000175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T24000176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T24000250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T24000251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T24000260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T24000265</v>
          </cell>
          <cell r="AP2868">
            <v>0</v>
          </cell>
          <cell r="AQ2868">
            <v>0</v>
          </cell>
          <cell r="AV2868">
            <v>0</v>
          </cell>
        </row>
        <row r="2869">
          <cell r="E2869" t="str">
            <v>T24000279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T24000299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T24000376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T24000384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T24000391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T24000392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T24000419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T24000448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T24000488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T24000489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T24000495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T24000496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T24000497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T24000498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T24000499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T24000519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T24000527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T24000598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T24000600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T24000601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T24000602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T24000603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T24000612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T24000631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T24000635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T24000673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T24000717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T24000718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T24000719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T24000720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T24000726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T24000727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T24000754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T24000755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T24000787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T24000936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T24000937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T24000938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T24000939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T24000946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T24000983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T24000984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T24000985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T24001077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T24001078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T24001079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T24001085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T24001086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T24001087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T24001088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T24001108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T24001119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T24001120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T24001121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T24001210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T24001211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T24001215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T24001220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T24001241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T24001249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T24001250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T24001265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T24001359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T24001360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T24001361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T24001369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T24001372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T24001380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T24001423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T24001424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T24001446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T24001447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T24001638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T24001639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T24001651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T24001652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T24001653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T24001654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T24001655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T24001697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T24001717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T24001721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T24001842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T25000023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T25000025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T25000026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T25000027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T25000028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T25000029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T25000035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T25000036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T25000091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T25000142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T25000157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T25000158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T25000161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T25000171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T25000172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T25000178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T25000328</v>
          </cell>
          <cell r="AP2968">
            <v>0</v>
          </cell>
          <cell r="AQ2968">
            <v>0</v>
          </cell>
          <cell r="AV2968">
            <v>0</v>
          </cell>
        </row>
        <row r="2969">
          <cell r="E2969" t="str">
            <v>T25000329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T25000357</v>
          </cell>
          <cell r="AP2970">
            <v>0</v>
          </cell>
          <cell r="AQ2970">
            <v>0</v>
          </cell>
          <cell r="AV2970">
            <v>0</v>
          </cell>
        </row>
        <row r="2971">
          <cell r="E2971" t="str">
            <v>T25000363</v>
          </cell>
          <cell r="AP2971">
            <v>0</v>
          </cell>
          <cell r="AQ2971">
            <v>0</v>
          </cell>
          <cell r="AV2971">
            <v>0</v>
          </cell>
        </row>
        <row r="2972">
          <cell r="E2972" t="str">
            <v>T25000364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T25000365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T25000366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T25000367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T25000368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T25000372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T25000432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T25000523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T25000546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T25000547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T25000548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T25000558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T25000559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T25000563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T25000564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T25000578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T25000626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T25000685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T25000686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T25000702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T25000706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T25000707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T25000734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T25000735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T25000740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T25000764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T25000770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R25000015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T25000878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T25000886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T25000887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T25000888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T25000895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T25000902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T25000903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T25000912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T25000914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T25000915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C25000475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T25000936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T25000956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T25000957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T25000958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D25009205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T25000988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T25000997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T25000999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T25001020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T25001022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T25001023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T25001024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T25001025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T25001033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T25001062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T25001078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T25001110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T25001162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T25001165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T25001173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T25001189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T25001203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T25001207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T25001222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T25001269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T25001294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T25001317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T25001323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T25001329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T25001330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T25001336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T25001343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T25001395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T25001408</v>
          </cell>
          <cell r="AP3044">
            <v>0</v>
          </cell>
          <cell r="AQ3044">
            <v>0</v>
          </cell>
          <cell r="AV3044">
            <v>0</v>
          </cell>
        </row>
        <row r="3045">
          <cell r="E3045" t="str">
            <v>T25001452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T25001456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T25001457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T25001458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T25001459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T25001460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T25001463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T25001464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T25001485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T25001497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T25001546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T25001592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T25001593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T25001604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T25001608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T25001627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T25001628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T25001629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T25001630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T25001683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T25001712</v>
          </cell>
          <cell r="AP3065">
            <v>0</v>
          </cell>
          <cell r="AQ3065">
            <v>0</v>
          </cell>
          <cell r="AV3065">
            <v>0</v>
          </cell>
        </row>
        <row r="3066">
          <cell r="E3066" t="str">
            <v>T25001729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T25001741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T25001742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T25001746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T25001750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T25001751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T25001752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T25001756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T25001757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T25001764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T25001765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T25001766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T25001767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T25001768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T25001769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T25001807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T25001832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T25001896</v>
          </cell>
          <cell r="AP3083">
            <v>0</v>
          </cell>
          <cell r="AQ3083">
            <v>0</v>
          </cell>
          <cell r="AV3083">
            <v>0</v>
          </cell>
        </row>
        <row r="3084">
          <cell r="E3084" t="str">
            <v>T26000004</v>
          </cell>
          <cell r="AP3084">
            <v>0</v>
          </cell>
          <cell r="AQ3084">
            <v>0</v>
          </cell>
          <cell r="AV3084">
            <v>0</v>
          </cell>
        </row>
        <row r="3085">
          <cell r="E3085" t="str">
            <v>T26000005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T26000007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T26000011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T26000012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T26000015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T26000020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T26000048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T26000069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T26000080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T26000084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C26000100</v>
          </cell>
          <cell r="AP3095">
            <v>0</v>
          </cell>
          <cell r="AQ3095">
            <v>0</v>
          </cell>
          <cell r="AV3095">
            <v>189500</v>
          </cell>
        </row>
        <row r="3096">
          <cell r="E3096" t="str">
            <v>T26000112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T26000113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T26000119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Z26000323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T26000130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T26000131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Z26000332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T26000137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T26000138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B26001858</v>
          </cell>
          <cell r="AP3105">
            <v>0</v>
          </cell>
          <cell r="AQ3105">
            <v>0</v>
          </cell>
          <cell r="AV3105">
            <v>2654955</v>
          </cell>
        </row>
        <row r="3106">
          <cell r="E3106" t="str">
            <v>T26000141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C26000114</v>
          </cell>
          <cell r="AP3107">
            <v>0</v>
          </cell>
          <cell r="AQ3107">
            <v>0</v>
          </cell>
          <cell r="AV3107">
            <v>690000</v>
          </cell>
        </row>
        <row r="3108">
          <cell r="E3108" t="str">
            <v>D25016874</v>
          </cell>
          <cell r="AP3108">
            <v>0</v>
          </cell>
          <cell r="AQ3108">
            <v>0</v>
          </cell>
          <cell r="AV3108">
            <v>2060000</v>
          </cell>
        </row>
        <row r="3109">
          <cell r="E3109" t="str">
            <v>D25016915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B25016903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D25019699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T26000001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M26000024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M26000026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M26000027</v>
          </cell>
          <cell r="AP3115">
            <v>0</v>
          </cell>
          <cell r="AQ3115">
            <v>0</v>
          </cell>
          <cell r="AV3115">
            <v>51502.51</v>
          </cell>
        </row>
        <row r="3116">
          <cell r="E3116" t="str">
            <v>M26000028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M26000029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M26000030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N26000018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N26000019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B26000953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D26002231</v>
          </cell>
          <cell r="AP3122">
            <v>0</v>
          </cell>
          <cell r="AQ3122">
            <v>0</v>
          </cell>
          <cell r="AV3122">
            <v>1509000</v>
          </cell>
        </row>
        <row r="3123">
          <cell r="E3123" t="str">
            <v>D26002330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D26002366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Z26000115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Z26000316</v>
          </cell>
          <cell r="AP3126">
            <v>0</v>
          </cell>
          <cell r="AQ3126">
            <v>0</v>
          </cell>
          <cell r="AV3126">
            <v>2940000</v>
          </cell>
        </row>
        <row r="3127">
          <cell r="E3127" t="str">
            <v>Z26000358</v>
          </cell>
          <cell r="AP3127">
            <v>0</v>
          </cell>
          <cell r="AQ3127">
            <v>0</v>
          </cell>
          <cell r="AV3127">
            <v>6210000</v>
          </cell>
        </row>
        <row r="3128">
          <cell r="E3128" t="str">
            <v>Z26000377</v>
          </cell>
          <cell r="AP3128">
            <v>0</v>
          </cell>
          <cell r="AQ3128">
            <v>0</v>
          </cell>
          <cell r="AV3128">
            <v>840000</v>
          </cell>
        </row>
        <row r="3129">
          <cell r="E3129" t="str">
            <v>Z26000380</v>
          </cell>
          <cell r="AP3129">
            <v>0</v>
          </cell>
          <cell r="AQ3129">
            <v>0</v>
          </cell>
          <cell r="AV3129">
            <v>840000</v>
          </cell>
        </row>
        <row r="3130">
          <cell r="E3130" t="str">
            <v>Z26000383</v>
          </cell>
          <cell r="AP3130">
            <v>0</v>
          </cell>
          <cell r="AQ3130">
            <v>0</v>
          </cell>
          <cell r="AV3130">
            <v>25380000</v>
          </cell>
        </row>
        <row r="3131">
          <cell r="E3131" t="str">
            <v>Z26000384</v>
          </cell>
          <cell r="AP3131">
            <v>0</v>
          </cell>
          <cell r="AQ3131">
            <v>0</v>
          </cell>
          <cell r="AV3131">
            <v>3840000</v>
          </cell>
        </row>
        <row r="3132">
          <cell r="E3132" t="str">
            <v>Z26000421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D26001975</v>
          </cell>
          <cell r="AP3133">
            <v>0</v>
          </cell>
          <cell r="AQ3133">
            <v>0</v>
          </cell>
          <cell r="AV3133">
            <v>3110000</v>
          </cell>
        </row>
        <row r="3134">
          <cell r="E3134" t="str">
            <v>B25016592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B25016593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B25016626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B25016686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D25019320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B25016987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B25016996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B25016997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B26000162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D26000376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D26000585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D26000586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D26000864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D26000929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D26001042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B26001102</v>
          </cell>
          <cell r="AP3149">
            <v>0</v>
          </cell>
          <cell r="AQ3149">
            <v>0</v>
          </cell>
          <cell r="AV3149">
            <v>0</v>
          </cell>
        </row>
        <row r="3150">
          <cell r="E3150" t="str">
            <v>D26001825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D26001826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B26001830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B26002061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T25001845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B26000289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B26001305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Z25003207</v>
          </cell>
          <cell r="AP3157">
            <v>0</v>
          </cell>
          <cell r="AQ3157">
            <v>0</v>
          </cell>
          <cell r="AV3157">
            <v>8900000</v>
          </cell>
        </row>
        <row r="3158">
          <cell r="E3158" t="str">
            <v>Z26000041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Z26000045</v>
          </cell>
          <cell r="AP3159">
            <v>0</v>
          </cell>
          <cell r="AQ3159">
            <v>0</v>
          </cell>
          <cell r="AV3159">
            <v>9000000</v>
          </cell>
        </row>
        <row r="3160">
          <cell r="E3160" t="str">
            <v>Z26000288</v>
          </cell>
          <cell r="AP3160">
            <v>0</v>
          </cell>
          <cell r="AQ3160">
            <v>0</v>
          </cell>
          <cell r="AV3160">
            <v>39330000</v>
          </cell>
        </row>
        <row r="3161">
          <cell r="E3161" t="str">
            <v>Z26000292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T26000125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Z26000374</v>
          </cell>
          <cell r="AP3163">
            <v>0</v>
          </cell>
          <cell r="AQ3163">
            <v>0</v>
          </cell>
          <cell r="AV3163">
            <v>39600000</v>
          </cell>
        </row>
        <row r="3164">
          <cell r="E3164" t="str">
            <v>B26001144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B26001241</v>
          </cell>
          <cell r="AP3165">
            <v>0</v>
          </cell>
          <cell r="AQ3165">
            <v>0</v>
          </cell>
          <cell r="AV3165">
            <v>94600000</v>
          </cell>
        </row>
        <row r="3166">
          <cell r="E3166" t="str">
            <v>B26001406</v>
          </cell>
          <cell r="AP3166">
            <v>0</v>
          </cell>
          <cell r="AQ3166">
            <v>0</v>
          </cell>
          <cell r="AV3166">
            <v>40750000</v>
          </cell>
        </row>
        <row r="3167">
          <cell r="E3167" t="str">
            <v>B26001415</v>
          </cell>
          <cell r="AP3167">
            <v>0</v>
          </cell>
          <cell r="AQ3167">
            <v>0</v>
          </cell>
          <cell r="AV3167">
            <v>43600000</v>
          </cell>
        </row>
        <row r="3168">
          <cell r="E3168" t="str">
            <v>D26001810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B26002112</v>
          </cell>
          <cell r="AP3169">
            <v>0</v>
          </cell>
          <cell r="AQ3169">
            <v>0</v>
          </cell>
          <cell r="AV3169">
            <v>6750000</v>
          </cell>
        </row>
        <row r="3170">
          <cell r="E3170" t="str">
            <v>B25016070</v>
          </cell>
          <cell r="AP3170">
            <v>0</v>
          </cell>
          <cell r="AQ3170">
            <v>0</v>
          </cell>
          <cell r="AV3170">
            <v>5875000</v>
          </cell>
        </row>
        <row r="3171">
          <cell r="E3171" t="str">
            <v>D25018774</v>
          </cell>
          <cell r="AP3171">
            <v>0</v>
          </cell>
          <cell r="AQ3171">
            <v>0</v>
          </cell>
          <cell r="AV3171">
            <v>6250000</v>
          </cell>
        </row>
        <row r="3172">
          <cell r="E3172" t="str">
            <v>T25001898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D25016578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B26000464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B26001015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B26001016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D26002143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D26002276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T25001826</v>
          </cell>
          <cell r="AP3179">
            <v>0</v>
          </cell>
          <cell r="AQ3179">
            <v>0</v>
          </cell>
          <cell r="AV3179">
            <v>6562500</v>
          </cell>
        </row>
        <row r="3180">
          <cell r="E3180" t="str">
            <v>D26000017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B26001154</v>
          </cell>
          <cell r="AP3181">
            <v>0</v>
          </cell>
          <cell r="AQ3181">
            <v>0</v>
          </cell>
          <cell r="AV3181">
            <v>0</v>
          </cell>
        </row>
        <row r="3182">
          <cell r="E3182" t="str">
            <v>B26001167</v>
          </cell>
          <cell r="AP3182">
            <v>0</v>
          </cell>
          <cell r="AQ3182">
            <v>0</v>
          </cell>
          <cell r="AV3182">
            <v>0</v>
          </cell>
        </row>
        <row r="3183">
          <cell r="E3183" t="str">
            <v>B26001222</v>
          </cell>
          <cell r="AP3183">
            <v>0</v>
          </cell>
          <cell r="AQ3183">
            <v>0</v>
          </cell>
          <cell r="AV3183">
            <v>0</v>
          </cell>
        </row>
        <row r="3184">
          <cell r="E3184" t="str">
            <v>B26001223</v>
          </cell>
          <cell r="AP3184">
            <v>0</v>
          </cell>
          <cell r="AQ3184">
            <v>0</v>
          </cell>
          <cell r="AV3184">
            <v>0</v>
          </cell>
        </row>
        <row r="3185">
          <cell r="E3185" t="str">
            <v>B26001686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D26001901</v>
          </cell>
          <cell r="AP3186">
            <v>0</v>
          </cell>
          <cell r="AQ3186">
            <v>0</v>
          </cell>
          <cell r="AV3186">
            <v>52000000</v>
          </cell>
        </row>
        <row r="3187">
          <cell r="E3187" t="str">
            <v>D26002154</v>
          </cell>
          <cell r="AP3187">
            <v>0</v>
          </cell>
          <cell r="AQ3187">
            <v>0</v>
          </cell>
          <cell r="AV3187">
            <v>70000000</v>
          </cell>
        </row>
        <row r="3188">
          <cell r="E3188" t="str">
            <v>D26002154</v>
          </cell>
          <cell r="AP3188">
            <v>0</v>
          </cell>
          <cell r="AQ3188">
            <v>0</v>
          </cell>
          <cell r="AV3188">
            <v>47750000</v>
          </cell>
        </row>
        <row r="3189">
          <cell r="E3189" t="str">
            <v>D26002213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B26000048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D25018564</v>
          </cell>
          <cell r="AP3191">
            <v>0</v>
          </cell>
          <cell r="AQ3191">
            <v>0</v>
          </cell>
          <cell r="AV3191">
            <v>43275000</v>
          </cell>
        </row>
        <row r="3192">
          <cell r="E3192" t="str">
            <v>B25016409</v>
          </cell>
          <cell r="AP3192">
            <v>0</v>
          </cell>
          <cell r="AQ3192">
            <v>0</v>
          </cell>
          <cell r="AV3192">
            <v>156187500</v>
          </cell>
        </row>
        <row r="3193">
          <cell r="E3193" t="str">
            <v>B25016414</v>
          </cell>
          <cell r="AP3193">
            <v>0</v>
          </cell>
          <cell r="AQ3193">
            <v>0</v>
          </cell>
          <cell r="AV3193">
            <v>18600000</v>
          </cell>
        </row>
        <row r="3194">
          <cell r="E3194" t="str">
            <v>B25016421</v>
          </cell>
          <cell r="AP3194">
            <v>0</v>
          </cell>
          <cell r="AQ3194">
            <v>0</v>
          </cell>
          <cell r="AV3194">
            <v>13170000</v>
          </cell>
        </row>
        <row r="3195">
          <cell r="E3195" t="str">
            <v>B25016438</v>
          </cell>
          <cell r="AP3195">
            <v>0</v>
          </cell>
          <cell r="AQ3195">
            <v>0</v>
          </cell>
          <cell r="AV3195">
            <v>61312500</v>
          </cell>
        </row>
        <row r="3196">
          <cell r="E3196" t="str">
            <v>D26000472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D26000473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T26000028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B26000832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D26002037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D26002038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B25016762</v>
          </cell>
          <cell r="AP3202">
            <v>0</v>
          </cell>
          <cell r="AQ3202">
            <v>0</v>
          </cell>
          <cell r="AV3202">
            <v>113000</v>
          </cell>
        </row>
        <row r="3203">
          <cell r="E3203" t="str">
            <v>B26000183</v>
          </cell>
          <cell r="AP3203">
            <v>0</v>
          </cell>
          <cell r="AQ3203">
            <v>0</v>
          </cell>
          <cell r="AV3203">
            <v>72225000</v>
          </cell>
        </row>
        <row r="3204">
          <cell r="E3204" t="str">
            <v>D26000634</v>
          </cell>
          <cell r="AP3204">
            <v>0</v>
          </cell>
          <cell r="AQ3204">
            <v>0</v>
          </cell>
          <cell r="AV3204">
            <v>27662000</v>
          </cell>
        </row>
        <row r="3205">
          <cell r="E3205" t="str">
            <v>D26000797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B26001194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D26001311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B26001984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B26002004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B26002128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D26000188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B26000211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B25015599</v>
          </cell>
          <cell r="AP3213">
            <v>0</v>
          </cell>
          <cell r="AQ3213">
            <v>0</v>
          </cell>
          <cell r="AV3213">
            <v>3525000</v>
          </cell>
        </row>
        <row r="3214">
          <cell r="E3214" t="str">
            <v>D25018078</v>
          </cell>
          <cell r="AP3214">
            <v>0</v>
          </cell>
          <cell r="AQ3214">
            <v>0</v>
          </cell>
          <cell r="AV3214">
            <v>5575000</v>
          </cell>
        </row>
        <row r="3215">
          <cell r="E3215" t="str">
            <v>D25019361</v>
          </cell>
          <cell r="AP3215">
            <v>0</v>
          </cell>
          <cell r="AQ3215">
            <v>0</v>
          </cell>
          <cell r="AV3215">
            <v>6475000</v>
          </cell>
        </row>
        <row r="3216">
          <cell r="E3216" t="str">
            <v>B26000354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D26000448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B26000835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D26000920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B26000897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D26000963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B26001369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D26001450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D26001453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D26001482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D26001492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D26002109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B26001296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D26001432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D26000072</v>
          </cell>
          <cell r="AP3230">
            <v>0</v>
          </cell>
          <cell r="AQ3230">
            <v>0</v>
          </cell>
          <cell r="AV3230">
            <v>17000000</v>
          </cell>
        </row>
        <row r="3231">
          <cell r="E3231" t="str">
            <v>B26001645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D25019244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D26001058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D26001059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D25016207</v>
          </cell>
          <cell r="AP3235">
            <v>0</v>
          </cell>
          <cell r="AQ3235">
            <v>0</v>
          </cell>
          <cell r="AV3235">
            <v>12000000</v>
          </cell>
        </row>
        <row r="3236">
          <cell r="E3236" t="str">
            <v>D25016208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D26000628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D26000641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B26001101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T26000077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B26001913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B26001914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B26001864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B26001864</v>
          </cell>
          <cell r="AP3244">
            <v>0</v>
          </cell>
          <cell r="AQ3244">
            <v>0</v>
          </cell>
          <cell r="AV3244">
            <v>28935000</v>
          </cell>
        </row>
        <row r="3245">
          <cell r="E3245" t="str">
            <v>B26002148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B26001331</v>
          </cell>
          <cell r="AP3246">
            <v>0</v>
          </cell>
          <cell r="AQ3246">
            <v>0</v>
          </cell>
          <cell r="AV3246">
            <v>6600000</v>
          </cell>
        </row>
        <row r="3247">
          <cell r="E3247" t="str">
            <v>B26001620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B26001807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B26002193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Z26000046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Z26000118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Z26000147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Z26000325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Z26000373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D26001951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B26000769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D26000872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D26000888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D26000889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D26000890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B26001075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D26001352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D26001353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D26001487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D26001518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D26001995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B26002110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B26002111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D26002237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D26002291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D26002412</v>
          </cell>
          <cell r="AP3271">
            <v>0</v>
          </cell>
          <cell r="AQ3271">
            <v>0</v>
          </cell>
          <cell r="AV3271">
            <v>0</v>
          </cell>
        </row>
        <row r="3272">
          <cell r="E3272" t="str">
            <v>D26002413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D26002414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D26002375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T25001634K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T25001713K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T26000058K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B26001692</v>
          </cell>
          <cell r="AP3278">
            <v>0</v>
          </cell>
          <cell r="AQ3278">
            <v>0</v>
          </cell>
          <cell r="AV3278">
            <v>1650000</v>
          </cell>
        </row>
        <row r="3279">
          <cell r="E3279" t="str">
            <v>B26001628</v>
          </cell>
          <cell r="AP3279">
            <v>0</v>
          </cell>
          <cell r="AQ3279">
            <v>0</v>
          </cell>
          <cell r="AV3279">
            <v>4720000</v>
          </cell>
        </row>
        <row r="3280">
          <cell r="E3280" t="str">
            <v>D26001763</v>
          </cell>
          <cell r="AP3280">
            <v>0</v>
          </cell>
          <cell r="AQ3280">
            <v>0</v>
          </cell>
          <cell r="AV3280">
            <v>7050500</v>
          </cell>
        </row>
        <row r="3281">
          <cell r="E3281" t="str">
            <v>D26002295</v>
          </cell>
          <cell r="AP3281">
            <v>0</v>
          </cell>
          <cell r="AQ3281">
            <v>0</v>
          </cell>
          <cell r="AV3281">
            <v>26200000</v>
          </cell>
        </row>
        <row r="3282">
          <cell r="E3282" t="str">
            <v>D26001031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D26001032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B25016367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B25016369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T25001240K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D25018578</v>
          </cell>
          <cell r="AP3287">
            <v>0</v>
          </cell>
          <cell r="AQ3287">
            <v>0</v>
          </cell>
          <cell r="AV3287">
            <v>2000000</v>
          </cell>
        </row>
        <row r="3288">
          <cell r="E3288" t="str">
            <v>T25001802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T25001804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B25016613</v>
          </cell>
          <cell r="AP3290">
            <v>0</v>
          </cell>
          <cell r="AQ3290">
            <v>0</v>
          </cell>
          <cell r="AV3290">
            <v>26900000</v>
          </cell>
        </row>
        <row r="3291">
          <cell r="E3291" t="str">
            <v>B25016673</v>
          </cell>
          <cell r="AP3291">
            <v>0</v>
          </cell>
          <cell r="AQ3291">
            <v>0</v>
          </cell>
          <cell r="AV3291">
            <v>16300000</v>
          </cell>
        </row>
        <row r="3292">
          <cell r="E3292" t="str">
            <v>B25017077</v>
          </cell>
          <cell r="AP3292">
            <v>0</v>
          </cell>
          <cell r="AQ3292">
            <v>0</v>
          </cell>
          <cell r="AV3292">
            <v>26180000</v>
          </cell>
        </row>
        <row r="3293">
          <cell r="E3293" t="str">
            <v>D25019708</v>
          </cell>
          <cell r="AP3293">
            <v>0</v>
          </cell>
          <cell r="AQ3293">
            <v>0</v>
          </cell>
          <cell r="AV3293">
            <v>11600000</v>
          </cell>
        </row>
        <row r="3294">
          <cell r="E3294" t="str">
            <v>B26000538</v>
          </cell>
          <cell r="AP3294">
            <v>0</v>
          </cell>
          <cell r="AQ3294">
            <v>0</v>
          </cell>
          <cell r="AV3294">
            <v>18200000</v>
          </cell>
        </row>
        <row r="3295">
          <cell r="E3295" t="str">
            <v>D26000556</v>
          </cell>
          <cell r="AP3295">
            <v>0</v>
          </cell>
          <cell r="AQ3295">
            <v>0</v>
          </cell>
          <cell r="AV3295">
            <v>18200000</v>
          </cell>
        </row>
        <row r="3296">
          <cell r="E3296" t="str">
            <v>T26000031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D26000863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D26000868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D26000876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T26000049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T26000056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B26001091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B26001121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B26001122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B26001127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D26001370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D26001592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B26001587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T26000126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B26001938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D26002043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D26002069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D26002083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D25017349</v>
          </cell>
          <cell r="AP3314">
            <v>0</v>
          </cell>
          <cell r="AQ3314">
            <v>0</v>
          </cell>
          <cell r="AV3314">
            <v>13400000</v>
          </cell>
        </row>
        <row r="3315">
          <cell r="E3315" t="str">
            <v>B26000144</v>
          </cell>
          <cell r="AP3315">
            <v>0</v>
          </cell>
          <cell r="AQ3315">
            <v>0</v>
          </cell>
          <cell r="AV3315">
            <v>9275000</v>
          </cell>
        </row>
        <row r="3316">
          <cell r="E3316" t="str">
            <v>D26000192</v>
          </cell>
          <cell r="AP3316">
            <v>0</v>
          </cell>
          <cell r="AQ3316">
            <v>0</v>
          </cell>
          <cell r="AV3316">
            <v>12530000</v>
          </cell>
        </row>
        <row r="3317">
          <cell r="E3317" t="str">
            <v>D26000588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D26000589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D26000800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D26000823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B26001342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B26001343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B26001522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B26001852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B26001853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D26002332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T26000134</v>
          </cell>
          <cell r="AP3327">
            <v>0</v>
          </cell>
          <cell r="AQ3327">
            <v>0</v>
          </cell>
          <cell r="AV3327">
            <v>4590000</v>
          </cell>
        </row>
        <row r="3328">
          <cell r="E3328" t="str">
            <v>D26001740</v>
          </cell>
          <cell r="AP3328">
            <v>0</v>
          </cell>
          <cell r="AQ3328">
            <v>0</v>
          </cell>
          <cell r="AV3328">
            <v>2200000</v>
          </cell>
        </row>
        <row r="3329">
          <cell r="E3329" t="str">
            <v>D26002045</v>
          </cell>
          <cell r="AP3329">
            <v>0</v>
          </cell>
          <cell r="AQ3329">
            <v>0</v>
          </cell>
          <cell r="AV3329">
            <v>4547500</v>
          </cell>
        </row>
        <row r="3330">
          <cell r="E3330" t="str">
            <v>B25015214</v>
          </cell>
          <cell r="AP3330">
            <v>0</v>
          </cell>
          <cell r="AQ3330">
            <v>0</v>
          </cell>
          <cell r="AV3330">
            <v>110000000</v>
          </cell>
        </row>
        <row r="3331">
          <cell r="E3331" t="str">
            <v>B25015214</v>
          </cell>
          <cell r="AP3331">
            <v>0</v>
          </cell>
          <cell r="AQ3331">
            <v>0</v>
          </cell>
          <cell r="AV3331">
            <v>4735000</v>
          </cell>
        </row>
        <row r="3332">
          <cell r="E3332" t="str">
            <v>B25015215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D25017683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B25015403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B25015712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B25015714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B25015862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B25015863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B25016045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B25016365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B25016370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D25018821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B25016386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B25016466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B25016695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B25016696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B25017117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B25017118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B26000110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B26000111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D26000050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D26000159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D26000160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T26000010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B26000174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D26000481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B26000547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B26000548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B26000549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B26000820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D26000934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D26001000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D26001001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D26001252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D26001253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D26001397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D26001406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B26001746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B26001747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B26001748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B26001749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B26001827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B26001828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B26001951</v>
          </cell>
          <cell r="AP3374">
            <v>0</v>
          </cell>
          <cell r="AQ3374">
            <v>0</v>
          </cell>
          <cell r="AV3374">
            <v>2840000</v>
          </cell>
        </row>
        <row r="3375">
          <cell r="E3375" t="str">
            <v>B25016758</v>
          </cell>
          <cell r="AP3375">
            <v>0</v>
          </cell>
          <cell r="AQ3375">
            <v>0</v>
          </cell>
          <cell r="AV3375">
            <v>18000000</v>
          </cell>
        </row>
        <row r="3376">
          <cell r="E3376" t="str">
            <v>D25019709</v>
          </cell>
          <cell r="AP3376">
            <v>0</v>
          </cell>
          <cell r="AQ3376">
            <v>0</v>
          </cell>
          <cell r="AV3376">
            <v>6250000</v>
          </cell>
        </row>
        <row r="3377">
          <cell r="E3377" t="str">
            <v>D26000706</v>
          </cell>
          <cell r="AP3377">
            <v>0</v>
          </cell>
          <cell r="AQ3377">
            <v>0</v>
          </cell>
          <cell r="AV3377">
            <v>25400000</v>
          </cell>
        </row>
        <row r="3378">
          <cell r="E3378" t="str">
            <v>T26000081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D26001293</v>
          </cell>
          <cell r="AP3379">
            <v>0</v>
          </cell>
          <cell r="AQ3379">
            <v>0</v>
          </cell>
          <cell r="AV3379">
            <v>0</v>
          </cell>
        </row>
        <row r="3380">
          <cell r="E3380" t="str">
            <v>D26001649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T26000107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B26001915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D26002335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D26002336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D25019163</v>
          </cell>
          <cell r="AP3385">
            <v>0</v>
          </cell>
          <cell r="AQ3385">
            <v>0</v>
          </cell>
          <cell r="AV3385">
            <v>39800000</v>
          </cell>
        </row>
        <row r="3386">
          <cell r="E3386" t="str">
            <v>B25016853</v>
          </cell>
          <cell r="AP3386">
            <v>0</v>
          </cell>
          <cell r="AQ3386">
            <v>0</v>
          </cell>
          <cell r="AV3386">
            <v>3300000</v>
          </cell>
        </row>
        <row r="3387">
          <cell r="E3387" t="str">
            <v>D26000411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D26000748</v>
          </cell>
          <cell r="AP3388">
            <v>0</v>
          </cell>
          <cell r="AQ3388">
            <v>0</v>
          </cell>
          <cell r="AV3388">
            <v>0</v>
          </cell>
        </row>
        <row r="3389">
          <cell r="E3389" t="str">
            <v>D26000966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B26001804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D26002103</v>
          </cell>
          <cell r="AP3391">
            <v>0</v>
          </cell>
          <cell r="AQ3391">
            <v>0</v>
          </cell>
          <cell r="AV3391">
            <v>0</v>
          </cell>
        </row>
        <row r="3392">
          <cell r="E3392" t="str">
            <v>D25018954</v>
          </cell>
          <cell r="AP3392">
            <v>0</v>
          </cell>
          <cell r="AQ3392">
            <v>0</v>
          </cell>
          <cell r="AV3392">
            <v>2000000</v>
          </cell>
        </row>
        <row r="3393">
          <cell r="E3393" t="str">
            <v>B26001208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B26001209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B25016542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B26001414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D26000532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D26001348</v>
          </cell>
          <cell r="AP3398">
            <v>0</v>
          </cell>
          <cell r="AQ3398">
            <v>0</v>
          </cell>
          <cell r="AV3398">
            <v>1600000</v>
          </cell>
        </row>
        <row r="3399">
          <cell r="E3399" t="str">
            <v>D26001348</v>
          </cell>
          <cell r="AP3399">
            <v>0</v>
          </cell>
          <cell r="AQ3399">
            <v>0</v>
          </cell>
          <cell r="AV3399">
            <v>1500000</v>
          </cell>
        </row>
        <row r="3400">
          <cell r="E3400" t="str">
            <v>D26001964</v>
          </cell>
          <cell r="AP3400">
            <v>0</v>
          </cell>
          <cell r="AQ3400">
            <v>0</v>
          </cell>
          <cell r="AV3400">
            <v>2670000</v>
          </cell>
        </row>
        <row r="3401">
          <cell r="E3401" t="str">
            <v>Z26000290</v>
          </cell>
          <cell r="AP3401">
            <v>0</v>
          </cell>
          <cell r="AQ3401">
            <v>0</v>
          </cell>
          <cell r="AV3401">
            <v>8280000</v>
          </cell>
        </row>
        <row r="3402">
          <cell r="E3402" t="str">
            <v>Z26000293</v>
          </cell>
          <cell r="AP3402">
            <v>0</v>
          </cell>
          <cell r="AQ3402">
            <v>0</v>
          </cell>
          <cell r="AV3402">
            <v>18300000</v>
          </cell>
        </row>
        <row r="3403">
          <cell r="E3403" t="str">
            <v>Z26000296</v>
          </cell>
          <cell r="AP3403">
            <v>0</v>
          </cell>
          <cell r="AQ3403">
            <v>0</v>
          </cell>
          <cell r="AV3403">
            <v>53300000</v>
          </cell>
        </row>
        <row r="3404">
          <cell r="E3404" t="str">
            <v>Z26000297</v>
          </cell>
          <cell r="AP3404">
            <v>0</v>
          </cell>
          <cell r="AQ3404">
            <v>0</v>
          </cell>
          <cell r="AV3404">
            <v>5820000</v>
          </cell>
        </row>
        <row r="3405">
          <cell r="E3405" t="str">
            <v>Z26000299</v>
          </cell>
          <cell r="AP3405">
            <v>0</v>
          </cell>
          <cell r="AQ3405">
            <v>0</v>
          </cell>
          <cell r="AV3405">
            <v>3500000</v>
          </cell>
        </row>
        <row r="3406">
          <cell r="E3406" t="str">
            <v>D26001805</v>
          </cell>
          <cell r="AP3406">
            <v>0</v>
          </cell>
          <cell r="AQ3406">
            <v>0</v>
          </cell>
          <cell r="AV3406">
            <v>8280000</v>
          </cell>
        </row>
        <row r="3407">
          <cell r="E3407" t="str">
            <v>Z26000308</v>
          </cell>
          <cell r="AP3407">
            <v>0</v>
          </cell>
          <cell r="AQ3407">
            <v>0</v>
          </cell>
          <cell r="AV3407">
            <v>570000</v>
          </cell>
        </row>
        <row r="3408">
          <cell r="E3408" t="str">
            <v>Z26000311</v>
          </cell>
          <cell r="AP3408">
            <v>0</v>
          </cell>
          <cell r="AQ3408">
            <v>0</v>
          </cell>
          <cell r="AV3408">
            <v>7968000</v>
          </cell>
        </row>
        <row r="3409">
          <cell r="E3409" t="str">
            <v>Z26000314</v>
          </cell>
          <cell r="AP3409">
            <v>0</v>
          </cell>
          <cell r="AQ3409">
            <v>0</v>
          </cell>
          <cell r="AV3409">
            <v>2420000</v>
          </cell>
        </row>
        <row r="3410">
          <cell r="E3410" t="str">
            <v>Z26000315</v>
          </cell>
          <cell r="AP3410">
            <v>0</v>
          </cell>
          <cell r="AQ3410">
            <v>0</v>
          </cell>
          <cell r="AV3410">
            <v>5520000</v>
          </cell>
        </row>
        <row r="3411">
          <cell r="E3411" t="str">
            <v>Z26000334</v>
          </cell>
          <cell r="AP3411">
            <v>0</v>
          </cell>
          <cell r="AQ3411">
            <v>0</v>
          </cell>
          <cell r="AV3411">
            <v>14200000</v>
          </cell>
        </row>
        <row r="3412">
          <cell r="E3412" t="str">
            <v>Z26000339</v>
          </cell>
          <cell r="AP3412">
            <v>0</v>
          </cell>
          <cell r="AQ3412">
            <v>0</v>
          </cell>
          <cell r="AV3412">
            <v>3200000</v>
          </cell>
        </row>
        <row r="3413">
          <cell r="E3413" t="str">
            <v>Z26000340</v>
          </cell>
          <cell r="AP3413">
            <v>0</v>
          </cell>
          <cell r="AQ3413">
            <v>0</v>
          </cell>
          <cell r="AV3413">
            <v>2420000</v>
          </cell>
        </row>
        <row r="3414">
          <cell r="E3414" t="str">
            <v>Z26000341</v>
          </cell>
          <cell r="AP3414">
            <v>0</v>
          </cell>
          <cell r="AQ3414">
            <v>0</v>
          </cell>
          <cell r="AV3414">
            <v>18300000</v>
          </cell>
        </row>
        <row r="3415">
          <cell r="E3415" t="str">
            <v>Z26000342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Z26000342</v>
          </cell>
          <cell r="AP3416">
            <v>0</v>
          </cell>
          <cell r="AQ3416">
            <v>0</v>
          </cell>
          <cell r="AV3416">
            <v>39020000</v>
          </cell>
        </row>
        <row r="3417">
          <cell r="E3417" t="str">
            <v>B26001848</v>
          </cell>
          <cell r="AP3417">
            <v>0</v>
          </cell>
          <cell r="AQ3417">
            <v>0</v>
          </cell>
          <cell r="AV3417">
            <v>5700000</v>
          </cell>
        </row>
        <row r="3418">
          <cell r="E3418" t="str">
            <v>Z26000346</v>
          </cell>
          <cell r="AP3418">
            <v>0</v>
          </cell>
          <cell r="AQ3418">
            <v>0</v>
          </cell>
          <cell r="AV3418">
            <v>2630000</v>
          </cell>
        </row>
        <row r="3419">
          <cell r="E3419" t="str">
            <v>Z26000347</v>
          </cell>
          <cell r="AP3419">
            <v>0</v>
          </cell>
          <cell r="AQ3419">
            <v>0</v>
          </cell>
          <cell r="AV3419">
            <v>3400000</v>
          </cell>
        </row>
        <row r="3420">
          <cell r="E3420" t="str">
            <v>Z26000350</v>
          </cell>
          <cell r="AP3420">
            <v>0</v>
          </cell>
          <cell r="AQ3420">
            <v>0</v>
          </cell>
          <cell r="AV3420">
            <v>10980000</v>
          </cell>
        </row>
        <row r="3421">
          <cell r="E3421" t="str">
            <v>Z26000351</v>
          </cell>
          <cell r="AP3421">
            <v>0</v>
          </cell>
          <cell r="AQ3421">
            <v>0</v>
          </cell>
          <cell r="AV3421">
            <v>1060000</v>
          </cell>
        </row>
        <row r="3422">
          <cell r="E3422" t="str">
            <v>Z26000353</v>
          </cell>
          <cell r="AP3422">
            <v>0</v>
          </cell>
          <cell r="AQ3422">
            <v>0</v>
          </cell>
          <cell r="AV3422">
            <v>11400000</v>
          </cell>
        </row>
        <row r="3423">
          <cell r="E3423" t="str">
            <v>Z26000355</v>
          </cell>
          <cell r="AP3423">
            <v>0</v>
          </cell>
          <cell r="AQ3423">
            <v>0</v>
          </cell>
          <cell r="AV3423">
            <v>22600000</v>
          </cell>
        </row>
        <row r="3424">
          <cell r="E3424" t="str">
            <v>Z26000356</v>
          </cell>
          <cell r="AP3424">
            <v>0</v>
          </cell>
          <cell r="AQ3424">
            <v>0</v>
          </cell>
          <cell r="AV3424">
            <v>4859000</v>
          </cell>
        </row>
        <row r="3425">
          <cell r="E3425" t="str">
            <v>Z26000360</v>
          </cell>
          <cell r="AP3425">
            <v>0</v>
          </cell>
          <cell r="AQ3425">
            <v>0</v>
          </cell>
          <cell r="AV3425">
            <v>8300000</v>
          </cell>
        </row>
        <row r="3426">
          <cell r="E3426" t="str">
            <v>Z26000361</v>
          </cell>
          <cell r="AP3426">
            <v>0</v>
          </cell>
          <cell r="AQ3426">
            <v>0</v>
          </cell>
          <cell r="AV3426">
            <v>46233600</v>
          </cell>
        </row>
        <row r="3427">
          <cell r="E3427" t="str">
            <v>Z26000362</v>
          </cell>
          <cell r="AP3427">
            <v>0</v>
          </cell>
          <cell r="AQ3427">
            <v>0</v>
          </cell>
          <cell r="AV3427">
            <v>49800000</v>
          </cell>
        </row>
        <row r="3428">
          <cell r="E3428" t="str">
            <v>Z26000363</v>
          </cell>
          <cell r="AP3428">
            <v>0</v>
          </cell>
          <cell r="AQ3428">
            <v>0</v>
          </cell>
          <cell r="AV3428">
            <v>193175000</v>
          </cell>
        </row>
        <row r="3429">
          <cell r="E3429" t="str">
            <v>Z26000364</v>
          </cell>
          <cell r="AP3429">
            <v>0</v>
          </cell>
          <cell r="AQ3429">
            <v>0</v>
          </cell>
          <cell r="AV3429">
            <v>25200000</v>
          </cell>
        </row>
        <row r="3430">
          <cell r="E3430" t="str">
            <v>Z26000365</v>
          </cell>
          <cell r="AP3430">
            <v>0</v>
          </cell>
          <cell r="AQ3430">
            <v>0</v>
          </cell>
          <cell r="AV3430">
            <v>7890000</v>
          </cell>
        </row>
        <row r="3431">
          <cell r="E3431" t="str">
            <v>Z26000366</v>
          </cell>
          <cell r="AP3431">
            <v>0</v>
          </cell>
          <cell r="AQ3431">
            <v>0</v>
          </cell>
          <cell r="AV3431">
            <v>3200000</v>
          </cell>
        </row>
        <row r="3432">
          <cell r="E3432" t="str">
            <v>Z26000391</v>
          </cell>
          <cell r="AP3432">
            <v>0</v>
          </cell>
          <cell r="AQ3432">
            <v>0</v>
          </cell>
          <cell r="AV3432">
            <v>30240000</v>
          </cell>
        </row>
        <row r="3433">
          <cell r="E3433" t="str">
            <v>Z26000395</v>
          </cell>
          <cell r="AP3433">
            <v>0</v>
          </cell>
          <cell r="AQ3433">
            <v>0</v>
          </cell>
          <cell r="AV3433">
            <v>9800000</v>
          </cell>
        </row>
        <row r="3434">
          <cell r="E3434" t="str">
            <v>Z26000416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Z26000417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Z26000425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B25014986</v>
          </cell>
          <cell r="AP3437">
            <v>0</v>
          </cell>
          <cell r="AQ3437">
            <v>0</v>
          </cell>
          <cell r="AV3437">
            <v>100000000</v>
          </cell>
        </row>
        <row r="3438">
          <cell r="E3438" t="str">
            <v>D25019317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D25019601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D26000157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D26000158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B26000947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B26000948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B26000966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B26001118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B26001119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B26001249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B26001250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B26001475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B26001478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B26001642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B26001643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D26001961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D26001962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D25015134</v>
          </cell>
          <cell r="AP3455">
            <v>0</v>
          </cell>
          <cell r="AQ3455">
            <v>0</v>
          </cell>
          <cell r="AV3455">
            <v>12582500</v>
          </cell>
        </row>
        <row r="3456">
          <cell r="E3456" t="str">
            <v>D25015237</v>
          </cell>
          <cell r="AP3456">
            <v>0</v>
          </cell>
          <cell r="AQ3456">
            <v>0</v>
          </cell>
          <cell r="AV3456">
            <v>5360000</v>
          </cell>
        </row>
        <row r="3457">
          <cell r="E3457" t="str">
            <v>B25012977</v>
          </cell>
          <cell r="AP3457">
            <v>0</v>
          </cell>
          <cell r="AQ3457">
            <v>0</v>
          </cell>
          <cell r="AV3457">
            <v>2057500</v>
          </cell>
        </row>
        <row r="3458">
          <cell r="E3458" t="str">
            <v>B25012977</v>
          </cell>
          <cell r="AP3458">
            <v>0</v>
          </cell>
          <cell r="AQ3458">
            <v>0</v>
          </cell>
          <cell r="AV3458">
            <v>1442500</v>
          </cell>
        </row>
        <row r="3459">
          <cell r="E3459" t="str">
            <v>D25015318</v>
          </cell>
          <cell r="AP3459">
            <v>0</v>
          </cell>
          <cell r="AQ3459">
            <v>0</v>
          </cell>
          <cell r="AV3459">
            <v>3557500</v>
          </cell>
        </row>
        <row r="3460">
          <cell r="E3460" t="str">
            <v>D25015318</v>
          </cell>
          <cell r="AP3460">
            <v>0</v>
          </cell>
          <cell r="AQ3460">
            <v>0</v>
          </cell>
          <cell r="AV3460">
            <v>3642500</v>
          </cell>
        </row>
        <row r="3461">
          <cell r="E3461" t="str">
            <v>T25001535</v>
          </cell>
          <cell r="AP3461">
            <v>0</v>
          </cell>
          <cell r="AQ3461">
            <v>0</v>
          </cell>
          <cell r="AV3461">
            <v>2650000</v>
          </cell>
        </row>
        <row r="3462">
          <cell r="E3462" t="str">
            <v>T25001567</v>
          </cell>
          <cell r="AP3462">
            <v>0</v>
          </cell>
          <cell r="AQ3462">
            <v>0</v>
          </cell>
          <cell r="AV3462">
            <v>7100000</v>
          </cell>
        </row>
        <row r="3463">
          <cell r="E3463" t="str">
            <v>D25016827</v>
          </cell>
          <cell r="AP3463">
            <v>0</v>
          </cell>
          <cell r="AQ3463">
            <v>0</v>
          </cell>
          <cell r="AV3463">
            <v>2250000</v>
          </cell>
        </row>
        <row r="3464">
          <cell r="E3464" t="str">
            <v>D25017607</v>
          </cell>
          <cell r="AP3464">
            <v>0</v>
          </cell>
          <cell r="AQ3464">
            <v>0</v>
          </cell>
          <cell r="AV3464">
            <v>6450000</v>
          </cell>
        </row>
        <row r="3465">
          <cell r="E3465" t="str">
            <v>D25017620</v>
          </cell>
          <cell r="AP3465">
            <v>0</v>
          </cell>
          <cell r="AQ3465">
            <v>0</v>
          </cell>
          <cell r="AV3465">
            <v>8640000</v>
          </cell>
        </row>
        <row r="3466">
          <cell r="E3466" t="str">
            <v>D25017774</v>
          </cell>
          <cell r="AP3466">
            <v>0</v>
          </cell>
          <cell r="AQ3466">
            <v>0</v>
          </cell>
          <cell r="AV3466">
            <v>3000000</v>
          </cell>
        </row>
        <row r="3467">
          <cell r="E3467" t="str">
            <v>D25018154</v>
          </cell>
          <cell r="AP3467">
            <v>0</v>
          </cell>
          <cell r="AQ3467">
            <v>0</v>
          </cell>
          <cell r="AV3467">
            <v>1900000</v>
          </cell>
        </row>
        <row r="3468">
          <cell r="E3468" t="str">
            <v>B25016005</v>
          </cell>
          <cell r="AP3468">
            <v>0</v>
          </cell>
          <cell r="AQ3468">
            <v>0</v>
          </cell>
          <cell r="AV3468">
            <v>157500</v>
          </cell>
        </row>
        <row r="3469">
          <cell r="E3469" t="str">
            <v>B25016005</v>
          </cell>
          <cell r="AP3469">
            <v>0</v>
          </cell>
          <cell r="AQ3469">
            <v>0</v>
          </cell>
          <cell r="AV3469">
            <v>2592500</v>
          </cell>
        </row>
        <row r="3470">
          <cell r="E3470" t="str">
            <v>D25018740</v>
          </cell>
          <cell r="AP3470">
            <v>0</v>
          </cell>
          <cell r="AQ3470">
            <v>0</v>
          </cell>
          <cell r="AV3470">
            <v>23115000</v>
          </cell>
        </row>
        <row r="3471">
          <cell r="E3471" t="str">
            <v>B25016651</v>
          </cell>
          <cell r="AP3471">
            <v>0</v>
          </cell>
          <cell r="AQ3471">
            <v>0</v>
          </cell>
          <cell r="AV3471">
            <v>472500</v>
          </cell>
        </row>
        <row r="3472">
          <cell r="E3472" t="str">
            <v>D25019319</v>
          </cell>
          <cell r="AP3472">
            <v>0</v>
          </cell>
          <cell r="AQ3472">
            <v>0</v>
          </cell>
          <cell r="AV3472">
            <v>2750000</v>
          </cell>
        </row>
        <row r="3473">
          <cell r="E3473" t="str">
            <v>D25019704</v>
          </cell>
          <cell r="AP3473">
            <v>0</v>
          </cell>
          <cell r="AQ3473">
            <v>0</v>
          </cell>
          <cell r="AV3473">
            <v>5280000</v>
          </cell>
        </row>
        <row r="3474">
          <cell r="E3474" t="str">
            <v>B26000642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D26000695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B26000765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D26001107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D26001255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D26001507</v>
          </cell>
          <cell r="AP3479">
            <v>0</v>
          </cell>
          <cell r="AQ3479">
            <v>0</v>
          </cell>
          <cell r="AV3479">
            <v>0</v>
          </cell>
        </row>
        <row r="3480">
          <cell r="E3480" t="str">
            <v>B26001502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D26002281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D26002367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D26002420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T25001562k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B25016773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B25016778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B26000578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B26000657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D26000766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B26001187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D26001270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D26001401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D26001431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D26002165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B26002176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B26000978</v>
          </cell>
          <cell r="AP3496">
            <v>0</v>
          </cell>
          <cell r="AQ3496">
            <v>0</v>
          </cell>
          <cell r="AV3496">
            <v>1000000</v>
          </cell>
        </row>
        <row r="3497">
          <cell r="E3497" t="str">
            <v>T26000067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T25001828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T25001833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B26000222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B26001178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B26001179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D26001703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T25001654</v>
          </cell>
          <cell r="AP3504">
            <v>0</v>
          </cell>
          <cell r="AQ3504">
            <v>0</v>
          </cell>
          <cell r="AV3504">
            <v>2792500</v>
          </cell>
        </row>
        <row r="3505">
          <cell r="E3505" t="str">
            <v>T25001690</v>
          </cell>
          <cell r="AP3505">
            <v>0</v>
          </cell>
          <cell r="AQ3505">
            <v>0</v>
          </cell>
          <cell r="AV3505">
            <v>1040000</v>
          </cell>
        </row>
        <row r="3506">
          <cell r="E3506" t="str">
            <v>T25001745</v>
          </cell>
          <cell r="AP3506">
            <v>0</v>
          </cell>
          <cell r="AQ3506">
            <v>0</v>
          </cell>
          <cell r="AV3506">
            <v>167500</v>
          </cell>
        </row>
        <row r="3507">
          <cell r="E3507" t="str">
            <v>B25015470</v>
          </cell>
          <cell r="AP3507">
            <v>0</v>
          </cell>
          <cell r="AQ3507">
            <v>0</v>
          </cell>
          <cell r="AV3507">
            <v>2400000</v>
          </cell>
        </row>
        <row r="3508">
          <cell r="E3508">
            <v>250207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>
            <v>250207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B25017090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B26000159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D26000121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T26000008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D26000439</v>
          </cell>
          <cell r="AP3514">
            <v>0</v>
          </cell>
          <cell r="AQ3514">
            <v>0</v>
          </cell>
          <cell r="AV3514">
            <v>0</v>
          </cell>
        </row>
        <row r="3515">
          <cell r="E3515" t="str">
            <v>D26000742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T26000037K</v>
          </cell>
          <cell r="AP3516">
            <v>0</v>
          </cell>
          <cell r="AQ3516">
            <v>0</v>
          </cell>
          <cell r="AV3516">
            <v>0</v>
          </cell>
        </row>
        <row r="3517">
          <cell r="E3517" t="str">
            <v>T26000087</v>
          </cell>
          <cell r="AP3517">
            <v>0</v>
          </cell>
          <cell r="AQ3517">
            <v>0</v>
          </cell>
          <cell r="AV3517">
            <v>0</v>
          </cell>
        </row>
        <row r="3518">
          <cell r="E3518" t="str">
            <v>D26001362</v>
          </cell>
          <cell r="AP3518">
            <v>0</v>
          </cell>
          <cell r="AQ3518">
            <v>0</v>
          </cell>
          <cell r="AV3518">
            <v>0</v>
          </cell>
        </row>
        <row r="3519">
          <cell r="E3519" t="str">
            <v>T26000111</v>
          </cell>
          <cell r="AP3519">
            <v>0</v>
          </cell>
          <cell r="AQ3519">
            <v>0</v>
          </cell>
          <cell r="AV3519">
            <v>0</v>
          </cell>
        </row>
        <row r="3520">
          <cell r="E3520" t="str">
            <v>B26002145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D26002235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T26000154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B26002224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B26002225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B26001967</v>
          </cell>
          <cell r="AP3525">
            <v>0</v>
          </cell>
          <cell r="AQ3525">
            <v>0</v>
          </cell>
          <cell r="AV3525">
            <v>5935000</v>
          </cell>
        </row>
        <row r="3526">
          <cell r="E3526" t="str">
            <v>B26001968</v>
          </cell>
          <cell r="AP3526">
            <v>0</v>
          </cell>
          <cell r="AQ3526">
            <v>0</v>
          </cell>
          <cell r="AV3526">
            <v>3200000</v>
          </cell>
        </row>
        <row r="3527">
          <cell r="E3527" t="str">
            <v>B26001969</v>
          </cell>
          <cell r="AP3527">
            <v>0</v>
          </cell>
          <cell r="AQ3527">
            <v>0</v>
          </cell>
          <cell r="AV3527">
            <v>250000</v>
          </cell>
        </row>
        <row r="3528">
          <cell r="E3528" t="str">
            <v>B25014948</v>
          </cell>
          <cell r="AP3528">
            <v>0</v>
          </cell>
          <cell r="AQ3528">
            <v>0</v>
          </cell>
          <cell r="AV3528">
            <v>362340000</v>
          </cell>
        </row>
        <row r="3529">
          <cell r="E3529" t="str">
            <v>D25018257</v>
          </cell>
          <cell r="AP3529">
            <v>0</v>
          </cell>
          <cell r="AQ3529">
            <v>0</v>
          </cell>
          <cell r="AV3529">
            <v>127500000</v>
          </cell>
        </row>
        <row r="3530">
          <cell r="E3530" t="str">
            <v>B25015870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B25016191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B25016709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D26000546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D26000623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D26001522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R26000001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T25001576</v>
          </cell>
          <cell r="AP3537">
            <v>0</v>
          </cell>
          <cell r="AQ3537">
            <v>0</v>
          </cell>
          <cell r="AV3537">
            <v>2500000</v>
          </cell>
        </row>
        <row r="3538">
          <cell r="E3538" t="str">
            <v>T25001576</v>
          </cell>
          <cell r="AP3538">
            <v>0</v>
          </cell>
          <cell r="AQ3538">
            <v>0</v>
          </cell>
          <cell r="AV3538">
            <v>2000000</v>
          </cell>
        </row>
        <row r="3539">
          <cell r="E3539" t="str">
            <v>B25014771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B25015904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D25019221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T26000072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T26000075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B26002165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T26000159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B26001333</v>
          </cell>
          <cell r="AP3546">
            <v>0</v>
          </cell>
          <cell r="AQ3546">
            <v>0</v>
          </cell>
          <cell r="AV3546">
            <v>5720000</v>
          </cell>
        </row>
        <row r="3547">
          <cell r="E3547" t="str">
            <v>B26001682</v>
          </cell>
          <cell r="AP3547">
            <v>0</v>
          </cell>
          <cell r="AQ3547">
            <v>0</v>
          </cell>
          <cell r="AV3547">
            <v>350000</v>
          </cell>
        </row>
        <row r="3548">
          <cell r="E3548" t="str">
            <v>D26000750</v>
          </cell>
          <cell r="AP3548">
            <v>0</v>
          </cell>
          <cell r="AQ3548">
            <v>0</v>
          </cell>
          <cell r="AV3548">
            <v>4919475</v>
          </cell>
        </row>
        <row r="3549">
          <cell r="E3549" t="str">
            <v>D26000851</v>
          </cell>
          <cell r="AP3549">
            <v>0</v>
          </cell>
          <cell r="AQ3549">
            <v>0</v>
          </cell>
          <cell r="AV3549">
            <v>10412500</v>
          </cell>
        </row>
        <row r="3550">
          <cell r="E3550" t="str">
            <v>D26001010</v>
          </cell>
          <cell r="AP3550">
            <v>0</v>
          </cell>
          <cell r="AQ3550">
            <v>0</v>
          </cell>
          <cell r="AV3550">
            <v>14668025</v>
          </cell>
        </row>
        <row r="3551">
          <cell r="E3551" t="str">
            <v>D26001589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B26002185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Z25003250</v>
          </cell>
          <cell r="AP3553">
            <v>0</v>
          </cell>
          <cell r="AQ3553">
            <v>0</v>
          </cell>
          <cell r="AV3553">
            <v>30000000</v>
          </cell>
        </row>
        <row r="3554">
          <cell r="E3554" t="str">
            <v>D25015849</v>
          </cell>
          <cell r="AP3554">
            <v>0</v>
          </cell>
          <cell r="AQ3554">
            <v>0</v>
          </cell>
          <cell r="AV3554">
            <v>6916800</v>
          </cell>
        </row>
        <row r="3555">
          <cell r="E3555">
            <v>250144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>
            <v>250144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>
            <v>250149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B25014405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B25015908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D25018315</v>
          </cell>
          <cell r="AP3560">
            <v>0</v>
          </cell>
          <cell r="AQ3560">
            <v>0</v>
          </cell>
          <cell r="AV3560">
            <v>0</v>
          </cell>
        </row>
        <row r="3561">
          <cell r="E3561" t="str">
            <v>D25018762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D25018851</v>
          </cell>
          <cell r="AP3562">
            <v>0</v>
          </cell>
          <cell r="AQ3562">
            <v>0</v>
          </cell>
          <cell r="AV3562">
            <v>0</v>
          </cell>
        </row>
        <row r="3563">
          <cell r="E3563" t="str">
            <v>B25016978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B25017020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D25019626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B26000278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B26000628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B26000074</v>
          </cell>
          <cell r="AP3568">
            <v>0</v>
          </cell>
          <cell r="AQ3568">
            <v>0</v>
          </cell>
          <cell r="AV3568">
            <v>1179500</v>
          </cell>
        </row>
        <row r="3569">
          <cell r="E3569" t="str">
            <v>B26000533</v>
          </cell>
          <cell r="AP3569">
            <v>0</v>
          </cell>
          <cell r="AQ3569">
            <v>0</v>
          </cell>
          <cell r="AV3569">
            <v>1152000</v>
          </cell>
        </row>
        <row r="3570">
          <cell r="E3570" t="str">
            <v>D26001597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D26002359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D25017597</v>
          </cell>
          <cell r="AP3572">
            <v>0</v>
          </cell>
          <cell r="AQ3572">
            <v>0</v>
          </cell>
          <cell r="AV3572">
            <v>15440000</v>
          </cell>
        </row>
        <row r="3573">
          <cell r="E3573" t="str">
            <v>D25019506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B26001471</v>
          </cell>
          <cell r="AP3574">
            <v>0</v>
          </cell>
          <cell r="AQ3574">
            <v>0</v>
          </cell>
          <cell r="AV3574">
            <v>42000000</v>
          </cell>
        </row>
        <row r="3575">
          <cell r="E3575" t="str">
            <v>B26001703</v>
          </cell>
          <cell r="AP3575">
            <v>0</v>
          </cell>
          <cell r="AQ3575">
            <v>0</v>
          </cell>
          <cell r="AV3575">
            <v>10000000</v>
          </cell>
        </row>
        <row r="3576">
          <cell r="E3576" t="str">
            <v>B26001703</v>
          </cell>
          <cell r="AP3576">
            <v>0</v>
          </cell>
          <cell r="AQ3576">
            <v>0</v>
          </cell>
          <cell r="AV3576">
            <v>8000000</v>
          </cell>
        </row>
        <row r="3577">
          <cell r="E3577" t="str">
            <v>T25001473</v>
          </cell>
          <cell r="AP3577">
            <v>0</v>
          </cell>
          <cell r="AQ3577">
            <v>0</v>
          </cell>
          <cell r="AV3577">
            <v>1700000</v>
          </cell>
        </row>
        <row r="3578">
          <cell r="E3578" t="str">
            <v>T25001831</v>
          </cell>
          <cell r="AP3578">
            <v>0</v>
          </cell>
          <cell r="AQ3578">
            <v>0</v>
          </cell>
          <cell r="AV3578">
            <v>2575000</v>
          </cell>
        </row>
        <row r="3579">
          <cell r="E3579" t="str">
            <v>D25019065</v>
          </cell>
          <cell r="AP3579">
            <v>0</v>
          </cell>
          <cell r="AQ3579">
            <v>0</v>
          </cell>
          <cell r="AV3579">
            <v>2700000</v>
          </cell>
        </row>
        <row r="3580">
          <cell r="E3580" t="str">
            <v>D25019213</v>
          </cell>
          <cell r="AP3580">
            <v>0</v>
          </cell>
          <cell r="AQ3580">
            <v>0</v>
          </cell>
          <cell r="AV3580">
            <v>1900000</v>
          </cell>
        </row>
        <row r="3581">
          <cell r="E3581" t="str">
            <v>D25019332</v>
          </cell>
          <cell r="AP3581">
            <v>0</v>
          </cell>
          <cell r="AQ3581">
            <v>0</v>
          </cell>
          <cell r="AV3581">
            <v>9800000</v>
          </cell>
        </row>
        <row r="3582">
          <cell r="E3582" t="str">
            <v>D25019445</v>
          </cell>
          <cell r="AP3582">
            <v>0</v>
          </cell>
          <cell r="AQ3582">
            <v>0</v>
          </cell>
          <cell r="AV3582">
            <v>5925000</v>
          </cell>
        </row>
        <row r="3583">
          <cell r="E3583" t="str">
            <v>D25019683</v>
          </cell>
          <cell r="AP3583">
            <v>0</v>
          </cell>
          <cell r="AQ3583">
            <v>0</v>
          </cell>
          <cell r="AV3583">
            <v>5400000</v>
          </cell>
        </row>
        <row r="3584">
          <cell r="E3584" t="str">
            <v>D26000422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B26000426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B26000457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B26000596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D26000936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D26001127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D26001360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B26001653</v>
          </cell>
          <cell r="AP3591">
            <v>0</v>
          </cell>
          <cell r="AQ3591">
            <v>0</v>
          </cell>
          <cell r="AV3591">
            <v>12000000</v>
          </cell>
        </row>
        <row r="3592">
          <cell r="E3592" t="str">
            <v>B26002014</v>
          </cell>
          <cell r="AP3592">
            <v>0</v>
          </cell>
          <cell r="AQ3592">
            <v>0</v>
          </cell>
          <cell r="AV3592">
            <v>33600000</v>
          </cell>
        </row>
        <row r="3593">
          <cell r="E3593" t="str">
            <v>D26002208</v>
          </cell>
          <cell r="AP3593">
            <v>0</v>
          </cell>
          <cell r="AQ3593">
            <v>0</v>
          </cell>
          <cell r="AV3593">
            <v>5600000</v>
          </cell>
        </row>
        <row r="3594">
          <cell r="E3594" t="str">
            <v>D26002314</v>
          </cell>
          <cell r="AP3594">
            <v>0</v>
          </cell>
          <cell r="AQ3594">
            <v>0</v>
          </cell>
          <cell r="AV3594">
            <v>75520000</v>
          </cell>
        </row>
        <row r="3595">
          <cell r="E3595" t="str">
            <v>D26002314</v>
          </cell>
          <cell r="AP3595">
            <v>0</v>
          </cell>
          <cell r="AQ3595">
            <v>0</v>
          </cell>
          <cell r="AV3595">
            <v>20480000</v>
          </cell>
        </row>
        <row r="3596">
          <cell r="E3596" t="str">
            <v>B26002232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D26002398</v>
          </cell>
          <cell r="AP3597">
            <v>0</v>
          </cell>
          <cell r="AQ3597">
            <v>0</v>
          </cell>
          <cell r="AV3597">
            <v>9520000</v>
          </cell>
        </row>
        <row r="3598">
          <cell r="E3598" t="str">
            <v>T25001873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D25019628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D25019721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B26000452</v>
          </cell>
          <cell r="AP3601">
            <v>0</v>
          </cell>
          <cell r="AQ3601">
            <v>0</v>
          </cell>
          <cell r="AV3601">
            <v>0</v>
          </cell>
        </row>
        <row r="3602">
          <cell r="E3602" t="str">
            <v>D26001889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B26001976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B26001908</v>
          </cell>
          <cell r="AP3604">
            <v>0</v>
          </cell>
          <cell r="AQ3604">
            <v>0</v>
          </cell>
          <cell r="AV3604">
            <v>10000000</v>
          </cell>
        </row>
        <row r="3605">
          <cell r="E3605" t="str">
            <v>T25001857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D26002005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B25016933</v>
          </cell>
          <cell r="AP3607">
            <v>0</v>
          </cell>
          <cell r="AQ3607">
            <v>0</v>
          </cell>
          <cell r="AV3607">
            <v>980000</v>
          </cell>
        </row>
        <row r="3608">
          <cell r="E3608" t="str">
            <v>D26000881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D26000954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D26000956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B26001363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B26002106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B26002108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B26002109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B26000488</v>
          </cell>
          <cell r="AP3615">
            <v>0</v>
          </cell>
          <cell r="AQ3615">
            <v>0</v>
          </cell>
          <cell r="AV3615">
            <v>4330000</v>
          </cell>
        </row>
        <row r="3616">
          <cell r="E3616" t="str">
            <v>D26001734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D26001735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B25016727</v>
          </cell>
          <cell r="AP3618">
            <v>0</v>
          </cell>
          <cell r="AQ3618">
            <v>0</v>
          </cell>
          <cell r="AV3618">
            <v>3960000</v>
          </cell>
        </row>
        <row r="3619">
          <cell r="E3619" t="str">
            <v>B26000129</v>
          </cell>
          <cell r="AP3619">
            <v>0</v>
          </cell>
          <cell r="AQ3619">
            <v>0</v>
          </cell>
          <cell r="AV3619">
            <v>2160000</v>
          </cell>
        </row>
        <row r="3620">
          <cell r="E3620" t="str">
            <v>B26000158</v>
          </cell>
          <cell r="AP3620">
            <v>0</v>
          </cell>
          <cell r="AQ3620">
            <v>0</v>
          </cell>
          <cell r="AV3620">
            <v>18120000</v>
          </cell>
        </row>
        <row r="3621">
          <cell r="E3621" t="str">
            <v>D26000198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D26000503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D26000716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D26000724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B26001025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D26001525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D26001590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B26001732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B26002038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B26001832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B26000447</v>
          </cell>
          <cell r="AP3631">
            <v>0</v>
          </cell>
          <cell r="AQ3631">
            <v>0</v>
          </cell>
          <cell r="AV3631">
            <v>9930000</v>
          </cell>
        </row>
        <row r="3632">
          <cell r="E3632" t="str">
            <v>D26001937</v>
          </cell>
          <cell r="AP3632">
            <v>0</v>
          </cell>
          <cell r="AQ3632">
            <v>0</v>
          </cell>
          <cell r="AV3632">
            <v>0</v>
          </cell>
        </row>
        <row r="3633">
          <cell r="E3633" t="str">
            <v>B26001877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B26001919</v>
          </cell>
          <cell r="AP3634">
            <v>0</v>
          </cell>
          <cell r="AQ3634">
            <v>0</v>
          </cell>
          <cell r="AV3634">
            <v>3840000</v>
          </cell>
        </row>
        <row r="3635">
          <cell r="E3635" t="str">
            <v>B26002085</v>
          </cell>
          <cell r="AP3635">
            <v>0</v>
          </cell>
          <cell r="AQ3635">
            <v>0</v>
          </cell>
          <cell r="AV3635">
            <v>19200000</v>
          </cell>
        </row>
        <row r="3636">
          <cell r="E3636" t="str">
            <v>B26002147</v>
          </cell>
          <cell r="AP3636">
            <v>0</v>
          </cell>
          <cell r="AQ3636">
            <v>0</v>
          </cell>
          <cell r="AV3636">
            <v>14040000</v>
          </cell>
        </row>
        <row r="3637">
          <cell r="E3637" t="str">
            <v>B26002147</v>
          </cell>
          <cell r="AP3637">
            <v>0</v>
          </cell>
          <cell r="AQ3637">
            <v>0</v>
          </cell>
          <cell r="AV3637">
            <v>5160000</v>
          </cell>
        </row>
        <row r="3638">
          <cell r="E3638" t="str">
            <v>B25016334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B25016529</v>
          </cell>
          <cell r="AP3639">
            <v>0</v>
          </cell>
          <cell r="AQ3639">
            <v>0</v>
          </cell>
          <cell r="AV3639">
            <v>10000000</v>
          </cell>
        </row>
        <row r="3640">
          <cell r="E3640" t="str">
            <v>B25016529</v>
          </cell>
          <cell r="AP3640">
            <v>0</v>
          </cell>
          <cell r="AQ3640">
            <v>0</v>
          </cell>
          <cell r="AV3640">
            <v>10000000</v>
          </cell>
        </row>
        <row r="3641">
          <cell r="E3641" t="str">
            <v>B26000414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B26001424</v>
          </cell>
          <cell r="AP3642">
            <v>0</v>
          </cell>
          <cell r="AQ3642">
            <v>0</v>
          </cell>
          <cell r="AV3642">
            <v>0</v>
          </cell>
        </row>
        <row r="3643">
          <cell r="E3643" t="str">
            <v>B26002026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B26002098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B26001671</v>
          </cell>
          <cell r="AP3645">
            <v>0</v>
          </cell>
          <cell r="AQ3645">
            <v>0</v>
          </cell>
          <cell r="AV3645">
            <v>26380000</v>
          </cell>
        </row>
        <row r="3646">
          <cell r="E3646" t="str">
            <v>D25018644</v>
          </cell>
          <cell r="AP3646">
            <v>0</v>
          </cell>
          <cell r="AQ3646">
            <v>0</v>
          </cell>
          <cell r="AV3646">
            <v>10000000</v>
          </cell>
        </row>
        <row r="3647">
          <cell r="E3647" t="str">
            <v>D25018644</v>
          </cell>
          <cell r="AP3647">
            <v>0</v>
          </cell>
          <cell r="AQ3647">
            <v>0</v>
          </cell>
          <cell r="AV3647">
            <v>2760000</v>
          </cell>
        </row>
        <row r="3648">
          <cell r="E3648" t="str">
            <v>D25019241</v>
          </cell>
          <cell r="AP3648">
            <v>0</v>
          </cell>
          <cell r="AQ3648">
            <v>0</v>
          </cell>
          <cell r="AV3648">
            <v>7240000</v>
          </cell>
        </row>
        <row r="3649">
          <cell r="E3649" t="str">
            <v>B25017119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D26000410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B26001140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B26001505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B26002099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B26002119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D25016662</v>
          </cell>
          <cell r="AP3655">
            <v>0</v>
          </cell>
          <cell r="AQ3655">
            <v>0</v>
          </cell>
          <cell r="AV3655">
            <v>1125000</v>
          </cell>
        </row>
        <row r="3656">
          <cell r="E3656" t="str">
            <v>B25014446</v>
          </cell>
          <cell r="AP3656">
            <v>0</v>
          </cell>
          <cell r="AQ3656">
            <v>0</v>
          </cell>
          <cell r="AV3656">
            <v>4510000</v>
          </cell>
        </row>
        <row r="3657">
          <cell r="E3657" t="str">
            <v>B25014447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D25019693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D26000787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B26001474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B26002102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B26000338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B26000339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B26000340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B26001085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B26001133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D26000958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D26000959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D26001641</v>
          </cell>
          <cell r="AP3669">
            <v>0</v>
          </cell>
          <cell r="AQ3669">
            <v>0</v>
          </cell>
          <cell r="AV3669">
            <v>148000000</v>
          </cell>
        </row>
        <row r="3670">
          <cell r="E3670" t="str">
            <v>D26001997</v>
          </cell>
          <cell r="AP3670">
            <v>0</v>
          </cell>
          <cell r="AQ3670">
            <v>0</v>
          </cell>
          <cell r="AV3670">
            <v>152000000</v>
          </cell>
        </row>
        <row r="3671">
          <cell r="E3671" t="str">
            <v>D25019256</v>
          </cell>
          <cell r="AP3671">
            <v>0</v>
          </cell>
          <cell r="AQ3671">
            <v>0</v>
          </cell>
          <cell r="AV3671">
            <v>566500000</v>
          </cell>
        </row>
        <row r="3672">
          <cell r="E3672" t="str">
            <v>B25016895</v>
          </cell>
          <cell r="AP3672">
            <v>0</v>
          </cell>
          <cell r="AQ3672">
            <v>0</v>
          </cell>
          <cell r="AV3672">
            <v>103000000</v>
          </cell>
        </row>
        <row r="3673">
          <cell r="E3673" t="str">
            <v>D26000225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D26001335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D26002318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D26000248</v>
          </cell>
          <cell r="AP3676">
            <v>0</v>
          </cell>
          <cell r="AQ3676">
            <v>0</v>
          </cell>
          <cell r="AV3676">
            <v>94000000</v>
          </cell>
        </row>
        <row r="3677">
          <cell r="E3677" t="str">
            <v>D25017916</v>
          </cell>
          <cell r="AP3677">
            <v>0</v>
          </cell>
          <cell r="AQ3677">
            <v>0</v>
          </cell>
          <cell r="AV3677">
            <v>2125000</v>
          </cell>
        </row>
        <row r="3678">
          <cell r="E3678" t="str">
            <v>T25001762</v>
          </cell>
          <cell r="AP3678">
            <v>500</v>
          </cell>
          <cell r="AQ3678">
            <v>0</v>
          </cell>
          <cell r="AV3678">
            <v>823000</v>
          </cell>
        </row>
        <row r="3679">
          <cell r="E3679" t="str">
            <v>B25016635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T25001862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T26000045k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D26001958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D26001959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B26002222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D21000994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D25015293</v>
          </cell>
          <cell r="AP3686">
            <v>0</v>
          </cell>
          <cell r="AQ3686">
            <v>0</v>
          </cell>
          <cell r="AV3686">
            <v>47000000</v>
          </cell>
        </row>
        <row r="3687">
          <cell r="E3687" t="str">
            <v>D25015583</v>
          </cell>
          <cell r="AP3687">
            <v>0</v>
          </cell>
          <cell r="AQ3687">
            <v>0</v>
          </cell>
          <cell r="AV3687">
            <v>56150000</v>
          </cell>
        </row>
        <row r="3688">
          <cell r="E3688" t="str">
            <v>D25015583</v>
          </cell>
          <cell r="AP3688">
            <v>0</v>
          </cell>
          <cell r="AQ3688">
            <v>0</v>
          </cell>
          <cell r="AV3688">
            <v>50000</v>
          </cell>
        </row>
        <row r="3689">
          <cell r="E3689" t="str">
            <v>D25016141</v>
          </cell>
          <cell r="AP3689">
            <v>0</v>
          </cell>
          <cell r="AQ3689">
            <v>0</v>
          </cell>
          <cell r="AV3689">
            <v>4000000</v>
          </cell>
        </row>
        <row r="3690">
          <cell r="E3690" t="str">
            <v>T25001595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B25014837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B25015409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B25016067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D25018472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D25018888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B25016767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B25016768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B25016769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T25001878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D25019426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D25019525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B26000135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D26000138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D26000258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D26000379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D26000443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T26000091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D26001793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D26001799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B26002045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B26002046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D26002265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D26001260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B26001673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D26001812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B26000210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D26000907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D25019115</v>
          </cell>
          <cell r="AP3718">
            <v>0</v>
          </cell>
          <cell r="AQ3718">
            <v>0</v>
          </cell>
          <cell r="AV3718">
            <v>5520000</v>
          </cell>
        </row>
        <row r="3719">
          <cell r="E3719" t="str">
            <v>D25019212</v>
          </cell>
          <cell r="AP3719">
            <v>0</v>
          </cell>
          <cell r="AQ3719">
            <v>0</v>
          </cell>
          <cell r="AV3719">
            <v>63480000</v>
          </cell>
        </row>
        <row r="3720">
          <cell r="E3720" t="str">
            <v>B26002206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B26002207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B26000007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B26000094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B26000232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D26000652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B26000855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D26001047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B26001565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D25016822</v>
          </cell>
          <cell r="AP3729">
            <v>0</v>
          </cell>
          <cell r="AQ3729">
            <v>0</v>
          </cell>
          <cell r="AV3729">
            <v>1505000</v>
          </cell>
        </row>
        <row r="3730">
          <cell r="E3730" t="str">
            <v>D25016823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D25016917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B25014748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D25017496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D25017925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B25015850</v>
          </cell>
          <cell r="AP3735">
            <v>0</v>
          </cell>
          <cell r="AQ3735">
            <v>0</v>
          </cell>
          <cell r="AV3735">
            <v>3180000</v>
          </cell>
        </row>
        <row r="3736">
          <cell r="E3736" t="str">
            <v>B25015851</v>
          </cell>
          <cell r="AP3736">
            <v>0</v>
          </cell>
          <cell r="AQ3736">
            <v>0</v>
          </cell>
          <cell r="AV3736">
            <v>920000</v>
          </cell>
        </row>
        <row r="3737">
          <cell r="E3737" t="str">
            <v>B25016043</v>
          </cell>
          <cell r="AP3737">
            <v>0</v>
          </cell>
          <cell r="AQ3737">
            <v>0</v>
          </cell>
          <cell r="AV3737">
            <v>0</v>
          </cell>
        </row>
        <row r="3738">
          <cell r="E3738" t="str">
            <v>B25016050</v>
          </cell>
          <cell r="AP3738">
            <v>0</v>
          </cell>
          <cell r="AQ3738">
            <v>0</v>
          </cell>
          <cell r="AV3738">
            <v>675000</v>
          </cell>
        </row>
        <row r="3739">
          <cell r="E3739" t="str">
            <v>B25016074</v>
          </cell>
          <cell r="AP3739">
            <v>0</v>
          </cell>
          <cell r="AQ3739">
            <v>0</v>
          </cell>
          <cell r="AV3739">
            <v>3720000</v>
          </cell>
        </row>
        <row r="3740">
          <cell r="E3740" t="str">
            <v>B25016744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T25001872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D26000340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B26000589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B26000664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D26000767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D26001109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D26001346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B26001518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B26001871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T25001684</v>
          </cell>
          <cell r="AP3750">
            <v>0</v>
          </cell>
          <cell r="AQ3750">
            <v>0</v>
          </cell>
          <cell r="AV3750">
            <v>3520000</v>
          </cell>
        </row>
        <row r="3751">
          <cell r="E3751" t="str">
            <v>Z25003200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Z25003359</v>
          </cell>
          <cell r="AP3752">
            <v>0</v>
          </cell>
          <cell r="AQ3752">
            <v>0</v>
          </cell>
          <cell r="AV3752">
            <v>204000000</v>
          </cell>
        </row>
        <row r="3753">
          <cell r="E3753" t="str">
            <v>Z25003386</v>
          </cell>
          <cell r="AP3753">
            <v>0</v>
          </cell>
          <cell r="AQ3753">
            <v>0</v>
          </cell>
          <cell r="AV3753">
            <v>23662000</v>
          </cell>
        </row>
        <row r="3754">
          <cell r="E3754" t="str">
            <v>Z25003387</v>
          </cell>
          <cell r="AP3754">
            <v>0</v>
          </cell>
          <cell r="AQ3754">
            <v>0</v>
          </cell>
          <cell r="AV3754">
            <v>5400000</v>
          </cell>
        </row>
        <row r="3755">
          <cell r="E3755" t="str">
            <v>Z25003396</v>
          </cell>
          <cell r="AP3755">
            <v>0</v>
          </cell>
          <cell r="AQ3755">
            <v>0</v>
          </cell>
          <cell r="AV3755">
            <v>25600000</v>
          </cell>
        </row>
        <row r="3756">
          <cell r="E3756" t="str">
            <v>Z26000002</v>
          </cell>
          <cell r="AP3756">
            <v>0</v>
          </cell>
          <cell r="AQ3756">
            <v>0</v>
          </cell>
          <cell r="AV3756">
            <v>36000000</v>
          </cell>
        </row>
        <row r="3757">
          <cell r="E3757" t="str">
            <v>Z26000015</v>
          </cell>
          <cell r="AP3757">
            <v>0</v>
          </cell>
          <cell r="AQ3757">
            <v>0</v>
          </cell>
          <cell r="AV3757">
            <v>0</v>
          </cell>
        </row>
        <row r="3758">
          <cell r="E3758" t="str">
            <v>Z26000028</v>
          </cell>
          <cell r="AP3758">
            <v>0</v>
          </cell>
          <cell r="AQ3758">
            <v>0</v>
          </cell>
          <cell r="AV3758">
            <v>2700000</v>
          </cell>
        </row>
        <row r="3759">
          <cell r="E3759" t="str">
            <v>Z26000032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Z26000059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Z26000064</v>
          </cell>
          <cell r="AP3761">
            <v>0</v>
          </cell>
          <cell r="AQ3761">
            <v>0</v>
          </cell>
          <cell r="AV3761">
            <v>0</v>
          </cell>
        </row>
        <row r="3762">
          <cell r="E3762" t="str">
            <v>Z26000067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Z26000075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Z26000076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Z26000090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Z26000099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Z26000107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Z26000113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Z26000114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Z26000134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Z26000141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Z26000156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Z26000171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Z26000179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Z26000183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Z26000184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Z26000185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Z26000187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Z26000190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Z26000196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Z26000223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Z26000224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Z26000248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Z26000251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Z26000253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Z26000254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Z26000289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Z26000294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Z26000301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Z260006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Z26000327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Z26000328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Z26000336</v>
          </cell>
          <cell r="AP3793">
            <v>0</v>
          </cell>
          <cell r="AQ3793">
            <v>0</v>
          </cell>
          <cell r="AV3793">
            <v>10375000</v>
          </cell>
        </row>
        <row r="3794">
          <cell r="E3794" t="str">
            <v>Z26000344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Z26000354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Z26000367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Z26000375</v>
          </cell>
          <cell r="AP3797">
            <v>0</v>
          </cell>
          <cell r="AQ3797">
            <v>0</v>
          </cell>
          <cell r="AV3797">
            <v>14000000</v>
          </cell>
        </row>
        <row r="3798">
          <cell r="E3798" t="str">
            <v>Z26000376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Z26000379</v>
          </cell>
          <cell r="AP3799">
            <v>0</v>
          </cell>
          <cell r="AQ3799">
            <v>0</v>
          </cell>
          <cell r="AV3799">
            <v>54500000</v>
          </cell>
        </row>
        <row r="3800">
          <cell r="E3800" t="str">
            <v>Z26000394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Z26000397</v>
          </cell>
          <cell r="AP3801">
            <v>0</v>
          </cell>
          <cell r="AQ3801">
            <v>0</v>
          </cell>
          <cell r="AV3801">
            <v>60952500</v>
          </cell>
        </row>
        <row r="3802">
          <cell r="E3802" t="str">
            <v>Z26000398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Z26000399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Z26000400</v>
          </cell>
          <cell r="AP3804">
            <v>0</v>
          </cell>
          <cell r="AQ3804">
            <v>0</v>
          </cell>
          <cell r="AV3804">
            <v>29047500</v>
          </cell>
        </row>
        <row r="3805">
          <cell r="E3805" t="str">
            <v>Z26000400</v>
          </cell>
          <cell r="AP3805">
            <v>0</v>
          </cell>
          <cell r="AQ3805">
            <v>0</v>
          </cell>
          <cell r="AV3805">
            <v>7352500</v>
          </cell>
        </row>
        <row r="3806">
          <cell r="E3806" t="str">
            <v>Z260007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B26000613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B26001035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D26001531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B26001523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B26000797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B26001396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B26001970</v>
          </cell>
          <cell r="AP3813">
            <v>0</v>
          </cell>
          <cell r="AQ3813">
            <v>0</v>
          </cell>
          <cell r="AV3813">
            <v>1465000</v>
          </cell>
        </row>
        <row r="3814">
          <cell r="E3814" t="str">
            <v>D26002444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D26000187</v>
          </cell>
          <cell r="AP3815">
            <v>0</v>
          </cell>
          <cell r="AQ3815">
            <v>0</v>
          </cell>
          <cell r="AV3815">
            <v>38000000</v>
          </cell>
        </row>
        <row r="3816">
          <cell r="E3816" t="str">
            <v>D26001166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D26001903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D26000368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B26001617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D26002275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D26002319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D25017927</v>
          </cell>
          <cell r="AP3822">
            <v>0</v>
          </cell>
          <cell r="AQ3822">
            <v>0</v>
          </cell>
          <cell r="AV3822">
            <v>3120000</v>
          </cell>
        </row>
        <row r="3823">
          <cell r="E3823" t="str">
            <v>B26001933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B26001934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D25018875</v>
          </cell>
          <cell r="AP3825">
            <v>0</v>
          </cell>
          <cell r="AQ3825">
            <v>0</v>
          </cell>
          <cell r="AV3825">
            <v>7300000</v>
          </cell>
        </row>
        <row r="3826">
          <cell r="E3826" t="str">
            <v>B26000196</v>
          </cell>
          <cell r="AP3826">
            <v>0</v>
          </cell>
          <cell r="AQ3826">
            <v>0</v>
          </cell>
          <cell r="AV3826">
            <v>2675000</v>
          </cell>
        </row>
        <row r="3827">
          <cell r="E3827" t="str">
            <v>B26000236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B26001165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D25019027</v>
          </cell>
          <cell r="AP3829">
            <v>0</v>
          </cell>
          <cell r="AQ3829">
            <v>0</v>
          </cell>
          <cell r="AV3829">
            <v>14110000</v>
          </cell>
        </row>
        <row r="3830">
          <cell r="E3830" t="str">
            <v>D25019224</v>
          </cell>
          <cell r="AP3830">
            <v>0</v>
          </cell>
          <cell r="AQ3830">
            <v>0</v>
          </cell>
          <cell r="AV3830">
            <v>2625000</v>
          </cell>
        </row>
        <row r="3831">
          <cell r="E3831" t="str">
            <v>B25016888</v>
          </cell>
          <cell r="AP3831">
            <v>0</v>
          </cell>
          <cell r="AQ3831">
            <v>0</v>
          </cell>
          <cell r="AV3831">
            <v>3920000</v>
          </cell>
        </row>
        <row r="3832">
          <cell r="E3832" t="str">
            <v>B25016889</v>
          </cell>
          <cell r="AP3832">
            <v>0</v>
          </cell>
          <cell r="AQ3832">
            <v>0</v>
          </cell>
          <cell r="AV3832">
            <v>4957500</v>
          </cell>
        </row>
        <row r="3833">
          <cell r="E3833" t="str">
            <v>B25016891</v>
          </cell>
          <cell r="AP3833">
            <v>0</v>
          </cell>
          <cell r="AQ3833">
            <v>0</v>
          </cell>
          <cell r="AV3833">
            <v>10532000</v>
          </cell>
        </row>
        <row r="3834">
          <cell r="E3834" t="str">
            <v>B25016893</v>
          </cell>
          <cell r="AP3834">
            <v>0</v>
          </cell>
          <cell r="AQ3834">
            <v>0</v>
          </cell>
          <cell r="AV3834">
            <v>1355000</v>
          </cell>
        </row>
        <row r="3835">
          <cell r="E3835" t="str">
            <v>B25016900</v>
          </cell>
          <cell r="AP3835">
            <v>0</v>
          </cell>
          <cell r="AQ3835">
            <v>0</v>
          </cell>
          <cell r="AV3835">
            <v>408000</v>
          </cell>
        </row>
        <row r="3836">
          <cell r="E3836" t="str">
            <v>B26000098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B26000099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B26000100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B26000282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B26000283</v>
          </cell>
          <cell r="AP3840">
            <v>0</v>
          </cell>
          <cell r="AQ3840">
            <v>0</v>
          </cell>
          <cell r="AV3840">
            <v>0</v>
          </cell>
        </row>
        <row r="3841">
          <cell r="E3841" t="str">
            <v>B26000749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B26000750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B26000751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B26000752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B26000753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B26000988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D26001423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D26001424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B26001393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D26001847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D26001871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D26001906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D26001915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B26002073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B26002074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B26002075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B26002076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B26002077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T25001704</v>
          </cell>
          <cell r="AP3859">
            <v>0</v>
          </cell>
          <cell r="AQ3859">
            <v>0</v>
          </cell>
          <cell r="AV3859">
            <v>1000000</v>
          </cell>
        </row>
        <row r="3860">
          <cell r="E3860" t="str">
            <v>T25001810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T25001813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T26000127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T26000128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Z25003043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Z25003090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Z25003155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Z25003160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Z25003231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Z26000132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Z26000165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Z26000295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B25017064</v>
          </cell>
          <cell r="AP3872">
            <v>0</v>
          </cell>
          <cell r="AQ3872">
            <v>0</v>
          </cell>
          <cell r="AV3872">
            <v>127500</v>
          </cell>
        </row>
        <row r="3873">
          <cell r="E3873" t="str">
            <v>B25017065</v>
          </cell>
          <cell r="AP3873">
            <v>0</v>
          </cell>
          <cell r="AQ3873">
            <v>0</v>
          </cell>
          <cell r="AV3873">
            <v>705000</v>
          </cell>
        </row>
        <row r="3874">
          <cell r="E3874" t="str">
            <v>D25019700</v>
          </cell>
          <cell r="AP3874">
            <v>0</v>
          </cell>
          <cell r="AQ3874">
            <v>0</v>
          </cell>
          <cell r="AV3874">
            <v>3400000</v>
          </cell>
        </row>
        <row r="3875">
          <cell r="E3875" t="str">
            <v>D26000005</v>
          </cell>
          <cell r="AP3875">
            <v>0</v>
          </cell>
          <cell r="AQ3875">
            <v>0</v>
          </cell>
          <cell r="AV3875">
            <v>5100000</v>
          </cell>
        </row>
        <row r="3876">
          <cell r="E3876" t="str">
            <v>D26001014</v>
          </cell>
          <cell r="AP3876">
            <v>0</v>
          </cell>
          <cell r="AQ3876">
            <v>0</v>
          </cell>
          <cell r="AV3876">
            <v>7817500</v>
          </cell>
        </row>
        <row r="3877">
          <cell r="E3877" t="str">
            <v>B26001940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D25017673</v>
          </cell>
          <cell r="AP3878">
            <v>0</v>
          </cell>
          <cell r="AQ3878">
            <v>0</v>
          </cell>
          <cell r="AV3878">
            <v>3750000</v>
          </cell>
        </row>
        <row r="3879">
          <cell r="E3879" t="str">
            <v>B26001151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B26001152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B26000491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B26001583</v>
          </cell>
          <cell r="AP3882">
            <v>0</v>
          </cell>
          <cell r="AQ3882">
            <v>0</v>
          </cell>
          <cell r="AV3882">
            <v>9700000</v>
          </cell>
        </row>
        <row r="3883">
          <cell r="E3883" t="str">
            <v>B26001701</v>
          </cell>
          <cell r="AP3883">
            <v>0</v>
          </cell>
          <cell r="AQ3883">
            <v>0</v>
          </cell>
          <cell r="AV3883">
            <v>3680000</v>
          </cell>
        </row>
        <row r="3884">
          <cell r="E3884" t="str">
            <v>T26000039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B26000251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B26002025</v>
          </cell>
          <cell r="AP3886">
            <v>0</v>
          </cell>
          <cell r="AQ3886">
            <v>0</v>
          </cell>
          <cell r="AV3886">
            <v>855000</v>
          </cell>
        </row>
        <row r="3887">
          <cell r="E3887" t="str">
            <v>D25017355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D25017877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T25001788</v>
          </cell>
          <cell r="AP3889">
            <v>0</v>
          </cell>
          <cell r="AQ3889">
            <v>0</v>
          </cell>
          <cell r="AV3889">
            <v>10000</v>
          </cell>
        </row>
        <row r="3890">
          <cell r="E3890" t="str">
            <v>B26000020</v>
          </cell>
          <cell r="AP3890">
            <v>0</v>
          </cell>
          <cell r="AQ3890">
            <v>0</v>
          </cell>
          <cell r="AV3890">
            <v>9540000</v>
          </cell>
        </row>
        <row r="3891">
          <cell r="E3891" t="str">
            <v>D26000163</v>
          </cell>
          <cell r="AP3891">
            <v>0</v>
          </cell>
          <cell r="AQ3891">
            <v>0</v>
          </cell>
          <cell r="AV3891">
            <v>12600000</v>
          </cell>
        </row>
        <row r="3892">
          <cell r="E3892" t="str">
            <v>B26000199</v>
          </cell>
          <cell r="AP3892">
            <v>0</v>
          </cell>
          <cell r="AQ3892">
            <v>0</v>
          </cell>
          <cell r="AV3892">
            <v>5600000</v>
          </cell>
        </row>
        <row r="3893">
          <cell r="E3893" t="str">
            <v>B26000279</v>
          </cell>
          <cell r="AP3893">
            <v>0</v>
          </cell>
          <cell r="AQ3893">
            <v>0</v>
          </cell>
          <cell r="AV3893">
            <v>3570000</v>
          </cell>
        </row>
        <row r="3894">
          <cell r="E3894" t="str">
            <v>D26000286</v>
          </cell>
          <cell r="AP3894">
            <v>0</v>
          </cell>
          <cell r="AQ3894">
            <v>0</v>
          </cell>
          <cell r="AV3894">
            <v>9900000</v>
          </cell>
        </row>
        <row r="3895">
          <cell r="E3895" t="str">
            <v>D26000287</v>
          </cell>
          <cell r="AP3895">
            <v>0</v>
          </cell>
          <cell r="AQ3895">
            <v>0</v>
          </cell>
          <cell r="AV3895">
            <v>1980000</v>
          </cell>
        </row>
        <row r="3896">
          <cell r="E3896" t="str">
            <v>D26000295</v>
          </cell>
          <cell r="AP3896">
            <v>0</v>
          </cell>
          <cell r="AQ3896">
            <v>0</v>
          </cell>
          <cell r="AV3896">
            <v>5550000</v>
          </cell>
        </row>
        <row r="3897">
          <cell r="E3897" t="str">
            <v>B26000368</v>
          </cell>
          <cell r="AP3897">
            <v>0</v>
          </cell>
          <cell r="AQ3897">
            <v>0</v>
          </cell>
          <cell r="AV3897">
            <v>3450000</v>
          </cell>
        </row>
        <row r="3898">
          <cell r="E3898" t="str">
            <v>B26000477</v>
          </cell>
          <cell r="AP3898">
            <v>0</v>
          </cell>
          <cell r="AQ3898">
            <v>0</v>
          </cell>
          <cell r="AV3898">
            <v>3450000</v>
          </cell>
        </row>
        <row r="3899">
          <cell r="E3899" t="str">
            <v>B26000506</v>
          </cell>
          <cell r="AP3899">
            <v>0</v>
          </cell>
          <cell r="AQ3899">
            <v>0</v>
          </cell>
          <cell r="AV3899">
            <v>4800000</v>
          </cell>
        </row>
        <row r="3900">
          <cell r="E3900" t="str">
            <v>D26000803</v>
          </cell>
          <cell r="AP3900">
            <v>0</v>
          </cell>
          <cell r="AQ3900">
            <v>0</v>
          </cell>
          <cell r="AV3900">
            <v>9230000</v>
          </cell>
        </row>
        <row r="3901">
          <cell r="E3901" t="str">
            <v>D26000856</v>
          </cell>
          <cell r="AP3901">
            <v>0</v>
          </cell>
          <cell r="AQ3901">
            <v>0</v>
          </cell>
          <cell r="AV3901">
            <v>3630000</v>
          </cell>
        </row>
        <row r="3902">
          <cell r="E3902" t="str">
            <v>D26000856</v>
          </cell>
          <cell r="AP3902">
            <v>0</v>
          </cell>
          <cell r="AQ3902">
            <v>0</v>
          </cell>
          <cell r="AV3902">
            <v>10000</v>
          </cell>
        </row>
        <row r="3903">
          <cell r="E3903" t="str">
            <v>B26000936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D26001023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D26001089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D26001213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D26001282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B26001392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D26001449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B26001503</v>
          </cell>
          <cell r="AP3910">
            <v>0</v>
          </cell>
          <cell r="AQ3910">
            <v>0</v>
          </cell>
          <cell r="AV3910">
            <v>0</v>
          </cell>
        </row>
        <row r="3911">
          <cell r="E3911" t="str">
            <v>D26001783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D26001784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D26001992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B26002034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B26002035</v>
          </cell>
          <cell r="AP3915">
            <v>0</v>
          </cell>
          <cell r="AQ3915">
            <v>0</v>
          </cell>
          <cell r="AV3915">
            <v>0</v>
          </cell>
        </row>
        <row r="3916">
          <cell r="E3916" t="str">
            <v>B26002122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D26002338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D26002339</v>
          </cell>
          <cell r="AP3918">
            <v>0</v>
          </cell>
          <cell r="AQ3918">
            <v>0</v>
          </cell>
          <cell r="AV3918">
            <v>4240000</v>
          </cell>
        </row>
        <row r="3919">
          <cell r="E3919" t="str">
            <v>D26002352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D26001707</v>
          </cell>
          <cell r="AP3920">
            <v>0</v>
          </cell>
          <cell r="AQ3920">
            <v>0</v>
          </cell>
          <cell r="AV3920">
            <v>1480000</v>
          </cell>
        </row>
        <row r="3921">
          <cell r="E3921" t="str">
            <v>B26000256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B26000257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D26000318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D26000480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B26000619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D26000685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D26000693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B26002018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B26002161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B26002162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B26002169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Z26000252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C26000126</v>
          </cell>
          <cell r="AP3933">
            <v>0</v>
          </cell>
          <cell r="AQ3933">
            <v>0</v>
          </cell>
          <cell r="AV3933">
            <v>860000</v>
          </cell>
        </row>
        <row r="3934">
          <cell r="E3934" t="str">
            <v>D25015709</v>
          </cell>
          <cell r="AP3934">
            <v>0</v>
          </cell>
          <cell r="AQ3934">
            <v>0</v>
          </cell>
          <cell r="AV3934">
            <v>10000000</v>
          </cell>
        </row>
        <row r="3935">
          <cell r="E3935" t="str">
            <v>B25014743</v>
          </cell>
          <cell r="AP3935">
            <v>0</v>
          </cell>
          <cell r="AQ3935">
            <v>0</v>
          </cell>
          <cell r="AV3935">
            <v>13060000</v>
          </cell>
        </row>
        <row r="3936">
          <cell r="E3936" t="str">
            <v>D25017479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D25018020</v>
          </cell>
          <cell r="AP3937">
            <v>0</v>
          </cell>
          <cell r="AQ3937">
            <v>0</v>
          </cell>
          <cell r="AV3937">
            <v>7400000</v>
          </cell>
        </row>
        <row r="3938">
          <cell r="E3938" t="str">
            <v>D25018021</v>
          </cell>
          <cell r="AP3938">
            <v>0</v>
          </cell>
          <cell r="AQ3938">
            <v>0</v>
          </cell>
          <cell r="AV3938">
            <v>17700000</v>
          </cell>
        </row>
        <row r="3939">
          <cell r="E3939" t="str">
            <v>D25018022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B25015872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B25015919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B25015920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B25015979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B25016020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B25016321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B25016322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B25016356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B25016719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T25001870</v>
          </cell>
          <cell r="AP3949">
            <v>0</v>
          </cell>
          <cell r="AQ3949">
            <v>0</v>
          </cell>
          <cell r="AV3949">
            <v>0</v>
          </cell>
        </row>
        <row r="3950">
          <cell r="E3950" t="str">
            <v>B25016949</v>
          </cell>
          <cell r="AP3950">
            <v>0</v>
          </cell>
          <cell r="AQ3950">
            <v>0</v>
          </cell>
          <cell r="AV3950">
            <v>0</v>
          </cell>
        </row>
        <row r="3951">
          <cell r="E3951" t="str">
            <v>D25019456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B25017120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D25019687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D26000526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D26000793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D26000794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B26000762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B26000763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B26000789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B26001310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B26001316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D26001513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B26001625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B26001648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D26001764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D26001893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D26002056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B26002063</v>
          </cell>
          <cell r="AP3968">
            <v>0</v>
          </cell>
          <cell r="AQ3968">
            <v>0</v>
          </cell>
          <cell r="AV3968">
            <v>8400000</v>
          </cell>
        </row>
        <row r="3969">
          <cell r="E3969" t="str">
            <v>D26002258</v>
          </cell>
          <cell r="AP3969">
            <v>0</v>
          </cell>
          <cell r="AQ3969">
            <v>0</v>
          </cell>
          <cell r="AV3969">
            <v>0</v>
          </cell>
        </row>
        <row r="3970">
          <cell r="E3970" t="str">
            <v>B26002199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B26002241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D26002155</v>
          </cell>
          <cell r="AP3972">
            <v>0</v>
          </cell>
          <cell r="AQ3972">
            <v>0</v>
          </cell>
          <cell r="AV3972">
            <v>18250000</v>
          </cell>
        </row>
        <row r="3973">
          <cell r="E3973" t="str">
            <v>T26000085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D26001736</v>
          </cell>
          <cell r="AP3974">
            <v>0</v>
          </cell>
          <cell r="AQ3974">
            <v>0</v>
          </cell>
          <cell r="AV3974">
            <v>13600000</v>
          </cell>
        </row>
        <row r="3975">
          <cell r="E3975" t="str">
            <v>B26002044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T25001809</v>
          </cell>
          <cell r="AP3976">
            <v>0</v>
          </cell>
          <cell r="AQ3976">
            <v>0</v>
          </cell>
          <cell r="AV3976">
            <v>5100000</v>
          </cell>
        </row>
        <row r="3977">
          <cell r="E3977" t="str">
            <v>D25018352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B26000071</v>
          </cell>
          <cell r="AP3978">
            <v>0</v>
          </cell>
          <cell r="AQ3978">
            <v>0</v>
          </cell>
          <cell r="AV3978">
            <v>8700000</v>
          </cell>
        </row>
        <row r="3979">
          <cell r="E3979" t="str">
            <v>D26000107</v>
          </cell>
          <cell r="AP3979">
            <v>0</v>
          </cell>
          <cell r="AQ3979">
            <v>0</v>
          </cell>
          <cell r="AV3979">
            <v>5700000</v>
          </cell>
        </row>
        <row r="3980">
          <cell r="E3980" t="str">
            <v>B26000208</v>
          </cell>
          <cell r="AP3980">
            <v>0</v>
          </cell>
          <cell r="AQ3980">
            <v>0</v>
          </cell>
          <cell r="AV3980">
            <v>30230000</v>
          </cell>
        </row>
        <row r="3981">
          <cell r="E3981" t="str">
            <v>D26000269</v>
          </cell>
          <cell r="AP3981">
            <v>0</v>
          </cell>
          <cell r="AQ3981">
            <v>0</v>
          </cell>
          <cell r="AV3981">
            <v>137500000</v>
          </cell>
        </row>
        <row r="3982">
          <cell r="E3982" t="str">
            <v>D26000433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D26000434</v>
          </cell>
          <cell r="AP3983">
            <v>0</v>
          </cell>
          <cell r="AQ3983">
            <v>0</v>
          </cell>
          <cell r="AV3983">
            <v>26700000</v>
          </cell>
        </row>
        <row r="3984">
          <cell r="E3984" t="str">
            <v>D26000478</v>
          </cell>
          <cell r="AP3984">
            <v>0</v>
          </cell>
          <cell r="AQ3984">
            <v>0</v>
          </cell>
          <cell r="AV3984">
            <v>960000</v>
          </cell>
        </row>
        <row r="3985">
          <cell r="E3985" t="str">
            <v>D26000479</v>
          </cell>
          <cell r="AP3985">
            <v>0</v>
          </cell>
          <cell r="AQ3985">
            <v>0</v>
          </cell>
          <cell r="AV3985">
            <v>240000</v>
          </cell>
        </row>
        <row r="3986">
          <cell r="E3986" t="str">
            <v>D26000530</v>
          </cell>
          <cell r="AP3986">
            <v>0</v>
          </cell>
          <cell r="AQ3986">
            <v>0</v>
          </cell>
          <cell r="AV3986">
            <v>15160000</v>
          </cell>
        </row>
        <row r="3987">
          <cell r="E3987" t="str">
            <v>D26000576</v>
          </cell>
          <cell r="AP3987">
            <v>0</v>
          </cell>
          <cell r="AQ3987">
            <v>0</v>
          </cell>
          <cell r="AV3987">
            <v>13600000</v>
          </cell>
        </row>
        <row r="3988">
          <cell r="E3988" t="str">
            <v>B26000654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D26000717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D26000720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D26000740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D26000967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D26000968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B26001048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D26001069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B26001108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D26001173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B26001171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D26001725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D26001726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D26001728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B26001713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D26001891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B26001884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D26002178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D26000001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B26000904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D25018828</v>
          </cell>
          <cell r="AP4008">
            <v>0</v>
          </cell>
          <cell r="AQ4008">
            <v>0</v>
          </cell>
          <cell r="AV4008">
            <v>12620000</v>
          </cell>
        </row>
        <row r="4009">
          <cell r="E4009" t="str">
            <v>D25018922</v>
          </cell>
          <cell r="AP4009">
            <v>0</v>
          </cell>
          <cell r="AQ4009">
            <v>0</v>
          </cell>
          <cell r="AV4009">
            <v>18300000</v>
          </cell>
        </row>
        <row r="4010">
          <cell r="E4010" t="str">
            <v>B25017069</v>
          </cell>
          <cell r="AP4010">
            <v>0</v>
          </cell>
          <cell r="AQ4010">
            <v>0</v>
          </cell>
          <cell r="AV4010">
            <v>4080000</v>
          </cell>
        </row>
        <row r="4011">
          <cell r="E4011" t="str">
            <v>D26000058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B26000793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D26000841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B26002220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D25016708</v>
          </cell>
          <cell r="AP4015">
            <v>0</v>
          </cell>
          <cell r="AQ4015">
            <v>0</v>
          </cell>
          <cell r="AV4015">
            <v>19000000</v>
          </cell>
        </row>
        <row r="4016">
          <cell r="E4016" t="str">
            <v>D25016757</v>
          </cell>
          <cell r="AP4016">
            <v>0</v>
          </cell>
          <cell r="AQ4016">
            <v>0</v>
          </cell>
          <cell r="AV4016">
            <v>21820000</v>
          </cell>
        </row>
        <row r="4017">
          <cell r="E4017" t="str">
            <v>D25016775</v>
          </cell>
          <cell r="AP4017">
            <v>0</v>
          </cell>
          <cell r="AQ4017">
            <v>0</v>
          </cell>
          <cell r="AV4017">
            <v>33750000</v>
          </cell>
        </row>
        <row r="4018">
          <cell r="E4018" t="str">
            <v>D25016810</v>
          </cell>
          <cell r="AP4018">
            <v>0</v>
          </cell>
          <cell r="AQ4018">
            <v>0</v>
          </cell>
          <cell r="AV4018">
            <v>63432000</v>
          </cell>
        </row>
        <row r="4019">
          <cell r="E4019" t="str">
            <v>D25017225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D25017226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B25015513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B25015514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B25015515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D25018069</v>
          </cell>
          <cell r="AP4024">
            <v>0</v>
          </cell>
          <cell r="AQ4024">
            <v>0</v>
          </cell>
          <cell r="AV4024">
            <v>11964000</v>
          </cell>
        </row>
        <row r="4025">
          <cell r="E4025" t="str">
            <v>B25015835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B25016212</v>
          </cell>
          <cell r="AP4026">
            <v>0</v>
          </cell>
          <cell r="AQ4026">
            <v>0</v>
          </cell>
          <cell r="AV4026">
            <v>21614000</v>
          </cell>
        </row>
        <row r="4027">
          <cell r="E4027" t="str">
            <v>B25016213</v>
          </cell>
          <cell r="AP4027">
            <v>0</v>
          </cell>
          <cell r="AQ4027">
            <v>0</v>
          </cell>
          <cell r="AV4027">
            <v>49260000</v>
          </cell>
        </row>
        <row r="4028">
          <cell r="E4028" t="str">
            <v>B25016214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D25018682</v>
          </cell>
          <cell r="AP4029">
            <v>0</v>
          </cell>
          <cell r="AQ4029">
            <v>0</v>
          </cell>
          <cell r="AV4029">
            <v>29160000</v>
          </cell>
        </row>
        <row r="4030">
          <cell r="E4030" t="str">
            <v>D25018981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D25018982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B25016652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D25019404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D25019412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B25016948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B26002130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B26002131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B26002144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D26002290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B26002175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D26002298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D26002306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B26000518</v>
          </cell>
          <cell r="AP4043">
            <v>0</v>
          </cell>
          <cell r="AQ4043">
            <v>0</v>
          </cell>
          <cell r="AV4043">
            <v>16800000</v>
          </cell>
        </row>
        <row r="4044">
          <cell r="E4044" t="str">
            <v>B26001491</v>
          </cell>
          <cell r="AP4044">
            <v>0</v>
          </cell>
          <cell r="AQ4044">
            <v>0</v>
          </cell>
          <cell r="AV4044">
            <v>55500000</v>
          </cell>
        </row>
        <row r="4045">
          <cell r="E4045" t="str">
            <v>B26001513</v>
          </cell>
          <cell r="AP4045">
            <v>0</v>
          </cell>
          <cell r="AQ4045">
            <v>0</v>
          </cell>
          <cell r="AV4045">
            <v>55860000</v>
          </cell>
        </row>
        <row r="4046">
          <cell r="E4046" t="str">
            <v>D26001987</v>
          </cell>
          <cell r="AP4046">
            <v>0</v>
          </cell>
          <cell r="AQ4046">
            <v>0</v>
          </cell>
          <cell r="AV4046">
            <v>66000000</v>
          </cell>
        </row>
        <row r="4047">
          <cell r="E4047" t="str">
            <v>D26000290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D26000359</v>
          </cell>
          <cell r="AP4048">
            <v>0</v>
          </cell>
          <cell r="AQ4048">
            <v>0</v>
          </cell>
          <cell r="AV4048">
            <v>5571000</v>
          </cell>
        </row>
        <row r="4049">
          <cell r="E4049" t="str">
            <v>T26000051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D26001215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B26002036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B26002037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Z25002766</v>
          </cell>
          <cell r="AP4053">
            <v>0</v>
          </cell>
          <cell r="AQ4053">
            <v>0</v>
          </cell>
          <cell r="AV4053">
            <v>38916887</v>
          </cell>
        </row>
        <row r="4054">
          <cell r="E4054" t="str">
            <v>Z25002766</v>
          </cell>
          <cell r="AP4054">
            <v>16083113</v>
          </cell>
          <cell r="AQ4054">
            <v>0</v>
          </cell>
          <cell r="AV4054">
            <v>0</v>
          </cell>
        </row>
        <row r="4055">
          <cell r="E4055" t="str">
            <v>Z25002859</v>
          </cell>
          <cell r="AP4055">
            <v>0</v>
          </cell>
          <cell r="AQ4055">
            <v>0</v>
          </cell>
          <cell r="AV4055">
            <v>8175000</v>
          </cell>
        </row>
        <row r="4056">
          <cell r="E4056" t="str">
            <v>T25001721k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T25001773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Z25003134</v>
          </cell>
          <cell r="AP4058">
            <v>0</v>
          </cell>
          <cell r="AQ4058">
            <v>0</v>
          </cell>
          <cell r="AV4058">
            <v>6300000</v>
          </cell>
        </row>
        <row r="4059">
          <cell r="E4059" t="str">
            <v>Z25003135</v>
          </cell>
          <cell r="AP4059">
            <v>0</v>
          </cell>
          <cell r="AQ4059">
            <v>0</v>
          </cell>
          <cell r="AV4059">
            <v>4680000</v>
          </cell>
        </row>
        <row r="4060">
          <cell r="E4060" t="str">
            <v>Z25003187</v>
          </cell>
          <cell r="AP4060">
            <v>0</v>
          </cell>
          <cell r="AQ4060">
            <v>0</v>
          </cell>
          <cell r="AV4060">
            <v>5520000</v>
          </cell>
        </row>
        <row r="4061">
          <cell r="E4061" t="str">
            <v>Z25003220</v>
          </cell>
          <cell r="AP4061">
            <v>0</v>
          </cell>
          <cell r="AQ4061">
            <v>0</v>
          </cell>
          <cell r="AV4061">
            <v>16102500</v>
          </cell>
        </row>
        <row r="4062">
          <cell r="E4062" t="str">
            <v>Z25003223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Z25003225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Z25003233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Z25003234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Z25003308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Z25003317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Z25003335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Z25003373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Z25003389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Z25003390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Z25003391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Z26000120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Z26000255</v>
          </cell>
          <cell r="AP4074">
            <v>0</v>
          </cell>
          <cell r="AQ4074">
            <v>0</v>
          </cell>
          <cell r="AV4074">
            <v>131000000</v>
          </cell>
        </row>
        <row r="4075">
          <cell r="E4075" t="str">
            <v>Z26000271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Z26000310</v>
          </cell>
          <cell r="AP4076">
            <v>0</v>
          </cell>
          <cell r="AQ4076">
            <v>0</v>
          </cell>
          <cell r="AV4076">
            <v>0</v>
          </cell>
        </row>
        <row r="4077">
          <cell r="E4077" t="str">
            <v>Z26000319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Z26000326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Z26000330</v>
          </cell>
          <cell r="AP4079">
            <v>0</v>
          </cell>
          <cell r="AQ4079">
            <v>0</v>
          </cell>
          <cell r="AV4079">
            <v>3222000</v>
          </cell>
        </row>
        <row r="4080">
          <cell r="E4080" t="str">
            <v>Z26000368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Z26000371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Z26000387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Z26000388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D25019524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D26000308</v>
          </cell>
          <cell r="AP4085">
            <v>0</v>
          </cell>
          <cell r="AQ4085">
            <v>0</v>
          </cell>
          <cell r="AV4085">
            <v>23340000</v>
          </cell>
        </row>
        <row r="4086">
          <cell r="E4086" t="str">
            <v>D26000335</v>
          </cell>
          <cell r="AP4086">
            <v>0</v>
          </cell>
          <cell r="AQ4086">
            <v>0</v>
          </cell>
          <cell r="AV4086">
            <v>5700000</v>
          </cell>
        </row>
        <row r="4087">
          <cell r="E4087" t="str">
            <v>D26000356</v>
          </cell>
          <cell r="AP4087">
            <v>0</v>
          </cell>
          <cell r="AQ4087">
            <v>0</v>
          </cell>
          <cell r="AV4087">
            <v>9100000</v>
          </cell>
        </row>
        <row r="4088">
          <cell r="E4088" t="str">
            <v>B26000542</v>
          </cell>
          <cell r="AP4088">
            <v>0</v>
          </cell>
          <cell r="AQ4088">
            <v>0</v>
          </cell>
          <cell r="AV4088">
            <v>18000000</v>
          </cell>
        </row>
        <row r="4089">
          <cell r="E4089" t="str">
            <v>D26000567</v>
          </cell>
          <cell r="AP4089">
            <v>0</v>
          </cell>
          <cell r="AQ4089">
            <v>0</v>
          </cell>
          <cell r="AV4089">
            <v>54600000</v>
          </cell>
        </row>
        <row r="4090">
          <cell r="E4090" t="str">
            <v>D26000580</v>
          </cell>
          <cell r="AP4090">
            <v>0</v>
          </cell>
          <cell r="AQ4090">
            <v>0</v>
          </cell>
          <cell r="AV4090">
            <v>9100000</v>
          </cell>
        </row>
        <row r="4091">
          <cell r="E4091" t="str">
            <v>B26000785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D26000902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D26000903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D26001077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D26001170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B26001441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B26001442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D26001593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D26001729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B26001739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D26002046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D26002068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D26002434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D26002439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D26000294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D25007848</v>
          </cell>
          <cell r="AP4106">
            <v>13754000</v>
          </cell>
          <cell r="AQ4106">
            <v>0</v>
          </cell>
          <cell r="AV4106">
            <v>0</v>
          </cell>
        </row>
        <row r="4107">
          <cell r="E4107" t="str">
            <v>D25018088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D25018089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D25018111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D25018518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D26002343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D26002344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D26002345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D26001840</v>
          </cell>
          <cell r="AP4114">
            <v>0</v>
          </cell>
          <cell r="AQ4114">
            <v>0</v>
          </cell>
          <cell r="AV4114">
            <v>4200000</v>
          </cell>
        </row>
        <row r="4115">
          <cell r="E4115" t="str">
            <v>D25018397</v>
          </cell>
          <cell r="AP4115">
            <v>0</v>
          </cell>
          <cell r="AQ4115">
            <v>0</v>
          </cell>
          <cell r="AV4115">
            <v>1900000</v>
          </cell>
        </row>
        <row r="4116">
          <cell r="E4116" t="str">
            <v>B25016387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B25016784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B26000121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T26000009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B26001639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D26002196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T26000151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C26000122</v>
          </cell>
          <cell r="AP4123">
            <v>0</v>
          </cell>
          <cell r="AQ4123">
            <v>0</v>
          </cell>
          <cell r="AV4123">
            <v>40000</v>
          </cell>
        </row>
        <row r="4124">
          <cell r="E4124" t="str">
            <v>C26000094</v>
          </cell>
          <cell r="AP4124">
            <v>0</v>
          </cell>
          <cell r="AQ4124">
            <v>0</v>
          </cell>
          <cell r="AV4124">
            <v>490000</v>
          </cell>
        </row>
        <row r="4125">
          <cell r="E4125" t="str">
            <v>C26000110</v>
          </cell>
          <cell r="AP4125">
            <v>0</v>
          </cell>
          <cell r="AQ4125">
            <v>0</v>
          </cell>
          <cell r="AV4125">
            <v>10000</v>
          </cell>
        </row>
        <row r="4126">
          <cell r="E4126" t="str">
            <v>C26000107</v>
          </cell>
          <cell r="AP4126">
            <v>0</v>
          </cell>
          <cell r="AQ4126">
            <v>0</v>
          </cell>
          <cell r="AV4126">
            <v>375000</v>
          </cell>
        </row>
        <row r="4127">
          <cell r="E4127" t="str">
            <v>C26000125</v>
          </cell>
          <cell r="AP4127">
            <v>0</v>
          </cell>
          <cell r="AQ4127">
            <v>0</v>
          </cell>
          <cell r="AV4127">
            <v>1060000</v>
          </cell>
        </row>
        <row r="4128">
          <cell r="E4128" t="str">
            <v>C26000104</v>
          </cell>
          <cell r="AP4128">
            <v>0</v>
          </cell>
          <cell r="AQ4128">
            <v>0</v>
          </cell>
          <cell r="AV4128">
            <v>183500</v>
          </cell>
        </row>
        <row r="4129">
          <cell r="E4129" t="str">
            <v>C26000112</v>
          </cell>
          <cell r="AP4129">
            <v>0</v>
          </cell>
          <cell r="AQ4129">
            <v>0</v>
          </cell>
          <cell r="AV4129">
            <v>36000</v>
          </cell>
        </row>
        <row r="4130">
          <cell r="E4130" t="str">
            <v>C26000101</v>
          </cell>
          <cell r="AP4130">
            <v>0</v>
          </cell>
          <cell r="AQ4130">
            <v>0</v>
          </cell>
          <cell r="AV4130">
            <v>120000</v>
          </cell>
        </row>
        <row r="4131">
          <cell r="E4131" t="str">
            <v>C26000121</v>
          </cell>
          <cell r="AP4131">
            <v>0</v>
          </cell>
          <cell r="AQ4131">
            <v>0</v>
          </cell>
          <cell r="AV4131">
            <v>48500</v>
          </cell>
        </row>
        <row r="4132">
          <cell r="E4132" t="str">
            <v>C26000097</v>
          </cell>
          <cell r="AP4132">
            <v>0</v>
          </cell>
          <cell r="AQ4132">
            <v>0</v>
          </cell>
          <cell r="AV4132">
            <v>107000</v>
          </cell>
        </row>
        <row r="4133">
          <cell r="E4133" t="str">
            <v>D26001905</v>
          </cell>
          <cell r="AP4133">
            <v>0</v>
          </cell>
          <cell r="AQ4133">
            <v>0</v>
          </cell>
          <cell r="AV4133">
            <v>65000</v>
          </cell>
        </row>
        <row r="4134">
          <cell r="E4134" t="str">
            <v>C26000099</v>
          </cell>
          <cell r="AP4134">
            <v>0</v>
          </cell>
          <cell r="AQ4134">
            <v>0</v>
          </cell>
          <cell r="AV4134">
            <v>300000</v>
          </cell>
        </row>
        <row r="4135">
          <cell r="E4135" t="str">
            <v>Z25001658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D25016592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D25016592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D25016593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B25014498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D25016986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B25014854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B25014854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B25014854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B25015007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B25015128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B25015128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D25017390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D25017390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D25017390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D25017390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D25017390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D25017390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D25017390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D25017390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D25017391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D25017398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D25017735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D25017735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D25017735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D25017752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D25017752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B25015422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B25015422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B25015422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B25015422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B25015422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B25015422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B25015561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D25018029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D25018029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D25018029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D25018065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D25018103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D25018268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D25018268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D25018268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D25018268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D25018268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B25015876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B25016042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B25016058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B25016058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B25016073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B25016323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B25016323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B25016323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B25016323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B25016368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B25016611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D25019062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D25019062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D25019062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D25019153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D25019210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D25019264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D25019264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D25019264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D25019268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D25019268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D25019269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D25019356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D25019356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D25019394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D25019394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D25019517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D25019517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D25019595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D25019595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D25019595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D25019596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D25019596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D25019596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D25019596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B25017086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B25017135</v>
          </cell>
          <cell r="AP4215">
            <v>0</v>
          </cell>
          <cell r="AQ4215">
            <v>15445000</v>
          </cell>
          <cell r="AV4215">
            <v>0</v>
          </cell>
        </row>
        <row r="4216">
          <cell r="E4216" t="str">
            <v>D26000080</v>
          </cell>
          <cell r="AP4216">
            <v>0</v>
          </cell>
          <cell r="AQ4216">
            <v>25125000</v>
          </cell>
          <cell r="AV4216">
            <v>0</v>
          </cell>
        </row>
        <row r="4217">
          <cell r="E4217" t="str">
            <v>D26000080</v>
          </cell>
          <cell r="AP4217">
            <v>0</v>
          </cell>
          <cell r="AQ4217">
            <v>100000000</v>
          </cell>
          <cell r="AV4217">
            <v>0</v>
          </cell>
        </row>
        <row r="4218">
          <cell r="E4218" t="str">
            <v>D26000080</v>
          </cell>
          <cell r="AP4218">
            <v>0</v>
          </cell>
          <cell r="AQ4218">
            <v>100000000</v>
          </cell>
          <cell r="AV4218">
            <v>0</v>
          </cell>
        </row>
        <row r="4219">
          <cell r="E4219" t="str">
            <v>D26000080</v>
          </cell>
          <cell r="AP4219">
            <v>0</v>
          </cell>
          <cell r="AQ4219">
            <v>150000000</v>
          </cell>
          <cell r="AV4219">
            <v>0</v>
          </cell>
        </row>
        <row r="4220">
          <cell r="E4220" t="str">
            <v>D26000080</v>
          </cell>
          <cell r="AP4220">
            <v>0</v>
          </cell>
          <cell r="AQ4220">
            <v>250000000</v>
          </cell>
          <cell r="AV4220">
            <v>0</v>
          </cell>
        </row>
        <row r="4221">
          <cell r="E4221" t="str">
            <v>D26000080</v>
          </cell>
          <cell r="AP4221">
            <v>0</v>
          </cell>
          <cell r="AQ4221">
            <v>74950000</v>
          </cell>
          <cell r="AV4221">
            <v>0</v>
          </cell>
        </row>
        <row r="4222">
          <cell r="E4222" t="str">
            <v>D26000081</v>
          </cell>
          <cell r="AP4222">
            <v>0</v>
          </cell>
          <cell r="AQ4222">
            <v>125050000</v>
          </cell>
          <cell r="AV4222">
            <v>0</v>
          </cell>
        </row>
        <row r="4223">
          <cell r="E4223" t="str">
            <v>D26000081</v>
          </cell>
          <cell r="AP4223">
            <v>0</v>
          </cell>
          <cell r="AQ4223">
            <v>93625000</v>
          </cell>
          <cell r="AV4223">
            <v>0</v>
          </cell>
        </row>
        <row r="4224">
          <cell r="E4224" t="str">
            <v>D26000083</v>
          </cell>
          <cell r="AP4224">
            <v>0</v>
          </cell>
          <cell r="AQ4224">
            <v>56375000</v>
          </cell>
          <cell r="AV4224">
            <v>0</v>
          </cell>
        </row>
        <row r="4225">
          <cell r="E4225" t="str">
            <v>D26000083</v>
          </cell>
          <cell r="AP4225">
            <v>0</v>
          </cell>
          <cell r="AQ4225">
            <v>55305000</v>
          </cell>
          <cell r="AV4225">
            <v>0</v>
          </cell>
        </row>
        <row r="4226">
          <cell r="E4226" t="str">
            <v>D26000536</v>
          </cell>
          <cell r="AP4226">
            <v>0</v>
          </cell>
          <cell r="AQ4226">
            <v>92400000</v>
          </cell>
          <cell r="AV4226">
            <v>0</v>
          </cell>
        </row>
        <row r="4227">
          <cell r="E4227" t="str">
            <v>D26000583</v>
          </cell>
          <cell r="AP4227">
            <v>0</v>
          </cell>
          <cell r="AQ4227">
            <v>94695000</v>
          </cell>
          <cell r="AV4227">
            <v>0</v>
          </cell>
        </row>
        <row r="4228">
          <cell r="E4228" t="str">
            <v>D26001285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D26001475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D26001494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D26001508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D26001675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D26001676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D26001730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D26001770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D26001802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D26002025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D26002430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D26002443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D25007908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D25015340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D25010159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B26001143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B26001906</v>
          </cell>
          <cell r="AP4244">
            <v>0</v>
          </cell>
          <cell r="AQ4244">
            <v>0</v>
          </cell>
          <cell r="AV4244">
            <v>1032000</v>
          </cell>
        </row>
        <row r="4245">
          <cell r="E4245" t="str">
            <v>B26002170</v>
          </cell>
          <cell r="AP4245">
            <v>0</v>
          </cell>
          <cell r="AQ4245">
            <v>0</v>
          </cell>
          <cell r="AV4245">
            <v>553500</v>
          </cell>
        </row>
        <row r="4246">
          <cell r="E4246" t="str">
            <v>L26000005</v>
          </cell>
          <cell r="AP4246">
            <v>0</v>
          </cell>
          <cell r="AQ4246">
            <v>0</v>
          </cell>
          <cell r="AV4246">
            <v>1547000</v>
          </cell>
        </row>
        <row r="4247">
          <cell r="E4247" t="str">
            <v>D26001791</v>
          </cell>
          <cell r="AP4247">
            <v>0</v>
          </cell>
          <cell r="AQ4247">
            <v>0</v>
          </cell>
          <cell r="AV4247">
            <v>17500000</v>
          </cell>
        </row>
        <row r="4248">
          <cell r="E4248" t="str">
            <v>D26001792</v>
          </cell>
          <cell r="AP4248">
            <v>0</v>
          </cell>
          <cell r="AQ4248">
            <v>0</v>
          </cell>
          <cell r="AV4248">
            <v>73300000</v>
          </cell>
        </row>
        <row r="4249">
          <cell r="E4249" t="str">
            <v>T26000123</v>
          </cell>
          <cell r="AP4249">
            <v>0</v>
          </cell>
          <cell r="AQ4249">
            <v>0</v>
          </cell>
          <cell r="AV4249">
            <v>21250000</v>
          </cell>
        </row>
        <row r="4250">
          <cell r="E4250" t="str">
            <v>T26000135</v>
          </cell>
          <cell r="AP4250">
            <v>0</v>
          </cell>
          <cell r="AQ4250">
            <v>0</v>
          </cell>
          <cell r="AV4250">
            <v>930000</v>
          </cell>
        </row>
        <row r="4251">
          <cell r="E4251" t="str">
            <v>T26000136k</v>
          </cell>
          <cell r="AP4251">
            <v>0</v>
          </cell>
          <cell r="AQ4251">
            <v>0</v>
          </cell>
          <cell r="AV4251">
            <v>2880000</v>
          </cell>
        </row>
        <row r="4252">
          <cell r="E4252" t="str">
            <v>B26002198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 t="str">
            <v>B26002226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B26001586</v>
          </cell>
          <cell r="AP4254">
            <v>0</v>
          </cell>
          <cell r="AQ4254">
            <v>0</v>
          </cell>
          <cell r="AV4254">
            <v>1000000</v>
          </cell>
        </row>
        <row r="4255">
          <cell r="E4255" t="str">
            <v>B26001586</v>
          </cell>
          <cell r="AP4255">
            <v>0</v>
          </cell>
          <cell r="AQ4255">
            <v>0</v>
          </cell>
          <cell r="AV4255">
            <v>1000000</v>
          </cell>
        </row>
        <row r="4256">
          <cell r="E4256" t="str">
            <v>B26001586</v>
          </cell>
          <cell r="AP4256">
            <v>0</v>
          </cell>
          <cell r="AQ4256">
            <v>0</v>
          </cell>
          <cell r="AV4256">
            <v>1920000</v>
          </cell>
        </row>
        <row r="4257">
          <cell r="E4257" t="str">
            <v>D24016641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B26001691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A26000136</v>
          </cell>
          <cell r="AP4259">
            <v>0</v>
          </cell>
          <cell r="AQ4259">
            <v>0</v>
          </cell>
          <cell r="AV4259">
            <v>48057.5</v>
          </cell>
        </row>
        <row r="4260">
          <cell r="E4260" t="str">
            <v>A26000136</v>
          </cell>
          <cell r="AP4260">
            <v>0</v>
          </cell>
          <cell r="AQ4260">
            <v>0</v>
          </cell>
          <cell r="AV4260">
            <v>12442.5</v>
          </cell>
        </row>
        <row r="4261">
          <cell r="E4261" t="str">
            <v>A26000158</v>
          </cell>
          <cell r="AP4261">
            <v>0</v>
          </cell>
          <cell r="AQ4261">
            <v>0</v>
          </cell>
          <cell r="AV4261">
            <v>21761.525000000001</v>
          </cell>
        </row>
        <row r="4262">
          <cell r="E4262" t="str">
            <v>A26000158</v>
          </cell>
          <cell r="AP4262">
            <v>0</v>
          </cell>
          <cell r="AQ4262">
            <v>0</v>
          </cell>
          <cell r="AV4262">
            <v>6473.4749999999985</v>
          </cell>
        </row>
        <row r="4263">
          <cell r="E4263" t="str">
            <v>A26000161</v>
          </cell>
          <cell r="AP4263">
            <v>0</v>
          </cell>
          <cell r="AQ4263">
            <v>0</v>
          </cell>
          <cell r="AV4263">
            <v>38021.589999999997</v>
          </cell>
        </row>
        <row r="4264">
          <cell r="E4264" t="str">
            <v>A26000161</v>
          </cell>
          <cell r="AP4264">
            <v>0</v>
          </cell>
          <cell r="AQ4264">
            <v>0</v>
          </cell>
          <cell r="AV4264">
            <v>10164.410000000003</v>
          </cell>
        </row>
        <row r="4265">
          <cell r="E4265" t="str">
            <v>A26000162</v>
          </cell>
          <cell r="AP4265">
            <v>0</v>
          </cell>
          <cell r="AQ4265">
            <v>0</v>
          </cell>
          <cell r="AV4265">
            <v>223771.5</v>
          </cell>
        </row>
        <row r="4266">
          <cell r="E4266" t="str">
            <v>A26000162</v>
          </cell>
          <cell r="AP4266">
            <v>0</v>
          </cell>
          <cell r="AQ4266">
            <v>0</v>
          </cell>
          <cell r="AV4266">
            <v>52328.5</v>
          </cell>
        </row>
        <row r="4267">
          <cell r="E4267" t="str">
            <v>A26000164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A26000167</v>
          </cell>
          <cell r="AP4268">
            <v>0</v>
          </cell>
          <cell r="AQ4268">
            <v>0</v>
          </cell>
          <cell r="AV4268">
            <v>23856.075000000001</v>
          </cell>
        </row>
        <row r="4269">
          <cell r="E4269" t="str">
            <v>A26000167</v>
          </cell>
          <cell r="AP4269">
            <v>0</v>
          </cell>
          <cell r="AQ4269">
            <v>0</v>
          </cell>
          <cell r="AV4269">
            <v>6948.9249999999993</v>
          </cell>
        </row>
        <row r="4270">
          <cell r="E4270" t="str">
            <v>A26000171</v>
          </cell>
          <cell r="AP4270">
            <v>0</v>
          </cell>
          <cell r="AQ4270">
            <v>0</v>
          </cell>
          <cell r="AV4270">
            <v>247950.92</v>
          </cell>
        </row>
        <row r="4271">
          <cell r="E4271" t="str">
            <v>A26000171</v>
          </cell>
          <cell r="AP4271">
            <v>0</v>
          </cell>
          <cell r="AQ4271">
            <v>0</v>
          </cell>
          <cell r="AV4271">
            <v>57817.079999999987</v>
          </cell>
        </row>
        <row r="4272">
          <cell r="E4272" t="str">
            <v>A26000172</v>
          </cell>
          <cell r="AP4272">
            <v>0</v>
          </cell>
          <cell r="AQ4272">
            <v>0</v>
          </cell>
          <cell r="AV4272">
            <v>300194.05</v>
          </cell>
        </row>
        <row r="4273">
          <cell r="E4273" t="str">
            <v>A26000172</v>
          </cell>
          <cell r="AP4273">
            <v>0</v>
          </cell>
          <cell r="AQ4273">
            <v>0</v>
          </cell>
          <cell r="AV4273">
            <v>69675.950000000012</v>
          </cell>
        </row>
        <row r="4274">
          <cell r="E4274" t="str">
            <v>A26000173</v>
          </cell>
          <cell r="AP4274">
            <v>0</v>
          </cell>
          <cell r="AQ4274">
            <v>0</v>
          </cell>
          <cell r="AV4274">
            <v>143216.9</v>
          </cell>
        </row>
        <row r="4275">
          <cell r="E4275" t="str">
            <v>A26000173</v>
          </cell>
          <cell r="AP4275">
            <v>0</v>
          </cell>
          <cell r="AQ4275">
            <v>0</v>
          </cell>
          <cell r="AV4275">
            <v>34043.100000000006</v>
          </cell>
        </row>
        <row r="4276">
          <cell r="E4276" t="str">
            <v>A26000174</v>
          </cell>
          <cell r="AP4276">
            <v>0</v>
          </cell>
          <cell r="AQ4276">
            <v>0</v>
          </cell>
          <cell r="AV4276">
            <v>391188.8</v>
          </cell>
        </row>
        <row r="4277">
          <cell r="E4277" t="str">
            <v>A26000174</v>
          </cell>
          <cell r="AP4277">
            <v>0</v>
          </cell>
          <cell r="AQ4277">
            <v>0</v>
          </cell>
          <cell r="AV4277">
            <v>90331.200000000012</v>
          </cell>
        </row>
        <row r="4278">
          <cell r="E4278" t="str">
            <v>A26000176</v>
          </cell>
          <cell r="AP4278">
            <v>0</v>
          </cell>
          <cell r="AQ4278">
            <v>0</v>
          </cell>
          <cell r="AV4278">
            <v>37503.25</v>
          </cell>
        </row>
        <row r="4279">
          <cell r="E4279" t="str">
            <v>A26000176</v>
          </cell>
          <cell r="AP4279">
            <v>0</v>
          </cell>
          <cell r="AQ4279">
            <v>0</v>
          </cell>
          <cell r="AV4279">
            <v>10046.75</v>
          </cell>
        </row>
        <row r="4280">
          <cell r="E4280" t="str">
            <v>A26000177</v>
          </cell>
          <cell r="AP4280">
            <v>0</v>
          </cell>
          <cell r="AQ4280">
            <v>0</v>
          </cell>
          <cell r="AV4280">
            <v>141065.29999999999</v>
          </cell>
        </row>
        <row r="4281">
          <cell r="E4281" t="str">
            <v>A26000177</v>
          </cell>
          <cell r="AP4281">
            <v>0</v>
          </cell>
          <cell r="AQ4281">
            <v>0</v>
          </cell>
          <cell r="AV4281">
            <v>33554.700000000012</v>
          </cell>
        </row>
        <row r="4282">
          <cell r="E4282" t="str">
            <v>A26000178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 t="str">
            <v>A26000179</v>
          </cell>
          <cell r="AP4283">
            <v>0</v>
          </cell>
          <cell r="AQ4283">
            <v>0</v>
          </cell>
          <cell r="AV4283">
            <v>63624</v>
          </cell>
        </row>
        <row r="4284">
          <cell r="E4284" t="str">
            <v>A26000179</v>
          </cell>
          <cell r="AP4284">
            <v>0</v>
          </cell>
          <cell r="AQ4284">
            <v>0</v>
          </cell>
          <cell r="AV4284">
            <v>15976</v>
          </cell>
        </row>
        <row r="4285">
          <cell r="E4285" t="str">
            <v>A26000180</v>
          </cell>
          <cell r="AP4285">
            <v>0</v>
          </cell>
          <cell r="AQ4285">
            <v>0</v>
          </cell>
          <cell r="AV4285">
            <v>26327.154999999999</v>
          </cell>
        </row>
        <row r="4286">
          <cell r="E4286" t="str">
            <v>A26000180</v>
          </cell>
          <cell r="AP4286">
            <v>0</v>
          </cell>
          <cell r="AQ4286">
            <v>0</v>
          </cell>
          <cell r="AV4286">
            <v>7509.8450000000012</v>
          </cell>
        </row>
        <row r="4287">
          <cell r="E4287" t="str">
            <v>A26000181</v>
          </cell>
          <cell r="AP4287">
            <v>0</v>
          </cell>
          <cell r="AQ4287">
            <v>0</v>
          </cell>
          <cell r="AV4287">
            <v>29615.68</v>
          </cell>
        </row>
        <row r="4288">
          <cell r="E4288" t="str">
            <v>A26000181</v>
          </cell>
          <cell r="AP4288">
            <v>0</v>
          </cell>
          <cell r="AQ4288">
            <v>0</v>
          </cell>
          <cell r="AV4288">
            <v>8256.32</v>
          </cell>
        </row>
        <row r="4289">
          <cell r="E4289" t="str">
            <v>A26000182</v>
          </cell>
          <cell r="AP4289">
            <v>0</v>
          </cell>
          <cell r="AQ4289">
            <v>0</v>
          </cell>
          <cell r="AV4289">
            <v>65223.03</v>
          </cell>
        </row>
        <row r="4290">
          <cell r="E4290" t="str">
            <v>A26000182</v>
          </cell>
          <cell r="AP4290">
            <v>0</v>
          </cell>
          <cell r="AQ4290">
            <v>0</v>
          </cell>
          <cell r="AV4290">
            <v>16338.970000000001</v>
          </cell>
        </row>
        <row r="4291">
          <cell r="E4291" t="str">
            <v>A26000185</v>
          </cell>
          <cell r="AP4291">
            <v>0</v>
          </cell>
          <cell r="AQ4291">
            <v>0</v>
          </cell>
          <cell r="AV4291">
            <v>48057.5</v>
          </cell>
        </row>
        <row r="4292">
          <cell r="E4292" t="str">
            <v>A26000185</v>
          </cell>
          <cell r="AP4292">
            <v>0</v>
          </cell>
          <cell r="AQ4292">
            <v>0</v>
          </cell>
          <cell r="AV4292">
            <v>12442.5</v>
          </cell>
        </row>
        <row r="4293">
          <cell r="E4293" t="str">
            <v>A26000186</v>
          </cell>
          <cell r="AP4293">
            <v>0</v>
          </cell>
          <cell r="AQ4293">
            <v>0</v>
          </cell>
          <cell r="AV4293">
            <v>29092.45</v>
          </cell>
        </row>
        <row r="4294">
          <cell r="E4294" t="str">
            <v>A26000186</v>
          </cell>
          <cell r="AP4294">
            <v>0</v>
          </cell>
          <cell r="AQ4294">
            <v>0</v>
          </cell>
          <cell r="AV4294">
            <v>8137.5499999999993</v>
          </cell>
        </row>
        <row r="4295">
          <cell r="E4295" t="str">
            <v>A26000187</v>
          </cell>
          <cell r="AP4295">
            <v>0</v>
          </cell>
          <cell r="AQ4295">
            <v>0</v>
          </cell>
          <cell r="AV4295">
            <v>136635.77499999999</v>
          </cell>
        </row>
        <row r="4296">
          <cell r="E4296" t="str">
            <v>A26000187</v>
          </cell>
          <cell r="AP4296">
            <v>0</v>
          </cell>
          <cell r="AQ4296">
            <v>0</v>
          </cell>
          <cell r="AV4296">
            <v>32549.225000000006</v>
          </cell>
        </row>
        <row r="4297">
          <cell r="E4297" t="str">
            <v>A26000189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A26000190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A26000191</v>
          </cell>
          <cell r="AP4299">
            <v>0</v>
          </cell>
          <cell r="AQ4299">
            <v>0</v>
          </cell>
          <cell r="AV4299">
            <v>43230.255000000005</v>
          </cell>
        </row>
        <row r="4300">
          <cell r="E4300" t="str">
            <v>A26000191</v>
          </cell>
          <cell r="AP4300">
            <v>0</v>
          </cell>
          <cell r="AQ4300">
            <v>0</v>
          </cell>
          <cell r="AV4300">
            <v>11346.744999999995</v>
          </cell>
        </row>
        <row r="4301">
          <cell r="E4301" t="str">
            <v>A26000192</v>
          </cell>
          <cell r="AP4301">
            <v>0</v>
          </cell>
          <cell r="AQ4301">
            <v>0</v>
          </cell>
          <cell r="AV4301">
            <v>140046.54999999999</v>
          </cell>
        </row>
        <row r="4302">
          <cell r="E4302" t="str">
            <v>A26000192</v>
          </cell>
          <cell r="AP4302">
            <v>0</v>
          </cell>
          <cell r="AQ4302">
            <v>0</v>
          </cell>
          <cell r="AV4302">
            <v>33323.450000000012</v>
          </cell>
        </row>
        <row r="4303">
          <cell r="E4303" t="str">
            <v>A26000193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A26000199</v>
          </cell>
          <cell r="AP4304">
            <v>0</v>
          </cell>
          <cell r="AQ4304">
            <v>0</v>
          </cell>
          <cell r="AV4304">
            <v>702612.52500000002</v>
          </cell>
        </row>
        <row r="4305">
          <cell r="E4305" t="str">
            <v>A26000199</v>
          </cell>
          <cell r="AP4305">
            <v>0</v>
          </cell>
          <cell r="AQ4305">
            <v>0</v>
          </cell>
          <cell r="AV4305">
            <v>161022.47499999998</v>
          </cell>
        </row>
        <row r="4306">
          <cell r="E4306" t="str">
            <v>A26000200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A26000201</v>
          </cell>
          <cell r="AP4307">
            <v>0</v>
          </cell>
          <cell r="AQ4307">
            <v>0</v>
          </cell>
          <cell r="AV4307">
            <v>34328.824999999997</v>
          </cell>
        </row>
        <row r="4308">
          <cell r="E4308" t="str">
            <v>A26000201</v>
          </cell>
          <cell r="AP4308">
            <v>0</v>
          </cell>
          <cell r="AQ4308">
            <v>0</v>
          </cell>
          <cell r="AV4308">
            <v>9326.1750000000029</v>
          </cell>
        </row>
        <row r="4309">
          <cell r="E4309" t="str">
            <v>A26000202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A26000203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A26000204</v>
          </cell>
          <cell r="AP4311">
            <v>0</v>
          </cell>
          <cell r="AQ4311">
            <v>0</v>
          </cell>
          <cell r="AV4311">
            <v>63624</v>
          </cell>
        </row>
        <row r="4312">
          <cell r="E4312" t="str">
            <v>A26000204</v>
          </cell>
          <cell r="AP4312">
            <v>0</v>
          </cell>
          <cell r="AQ4312">
            <v>0</v>
          </cell>
          <cell r="AV4312">
            <v>15976</v>
          </cell>
        </row>
        <row r="4313">
          <cell r="E4313" t="str">
            <v>A26000205</v>
          </cell>
          <cell r="AP4313">
            <v>0</v>
          </cell>
          <cell r="AQ4313">
            <v>0</v>
          </cell>
          <cell r="AV4313">
            <v>72553.955000000002</v>
          </cell>
        </row>
        <row r="4314">
          <cell r="E4314" t="str">
            <v>A26000205</v>
          </cell>
          <cell r="AP4314">
            <v>0</v>
          </cell>
          <cell r="AQ4314">
            <v>0</v>
          </cell>
          <cell r="AV4314">
            <v>18003.044999999998</v>
          </cell>
        </row>
        <row r="4315">
          <cell r="E4315" t="str">
            <v>A26000206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A26000207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A26000209</v>
          </cell>
          <cell r="AP4317">
            <v>0</v>
          </cell>
          <cell r="AQ4317">
            <v>0</v>
          </cell>
          <cell r="AV4317">
            <v>111798.65</v>
          </cell>
        </row>
        <row r="4318">
          <cell r="E4318" t="str">
            <v>A26000209</v>
          </cell>
          <cell r="AP4318">
            <v>0</v>
          </cell>
          <cell r="AQ4318">
            <v>0</v>
          </cell>
          <cell r="AV4318">
            <v>26911.350000000006</v>
          </cell>
        </row>
        <row r="4319">
          <cell r="E4319" t="str">
            <v>A26000210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A26000213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A26000214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A26000215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A26000216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A26000217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A26000218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A26000219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A26000220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A26000221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A26000222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A26000223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A26000227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A26000228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A26000229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A26000230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A26000231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A26000236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A26000237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A26000238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A26000239</v>
          </cell>
          <cell r="AP4339">
            <v>0</v>
          </cell>
          <cell r="AQ4339">
            <v>0</v>
          </cell>
          <cell r="AV4339">
            <v>0</v>
          </cell>
        </row>
        <row r="4340">
          <cell r="E4340" t="str">
            <v>A26000240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A26000241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A26000242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A26000243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A26000244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A26000246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A26000247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A26000248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A26000249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A26000252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A26000253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A26000254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A26000255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A25002320</v>
          </cell>
          <cell r="AP4353">
            <v>54000</v>
          </cell>
          <cell r="AQ4353">
            <v>0</v>
          </cell>
          <cell r="AV4353">
            <v>0</v>
          </cell>
        </row>
        <row r="4354">
          <cell r="E4354" t="str">
            <v>A26000014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A26000060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A26000118</v>
          </cell>
          <cell r="AP4356">
            <v>0</v>
          </cell>
          <cell r="AQ4356">
            <v>0</v>
          </cell>
          <cell r="AV4356">
            <v>42000.625</v>
          </cell>
        </row>
        <row r="4357">
          <cell r="E4357" t="str">
            <v>A26000118</v>
          </cell>
          <cell r="AP4357">
            <v>0</v>
          </cell>
          <cell r="AQ4357">
            <v>0</v>
          </cell>
          <cell r="AV4357">
            <v>11374.375</v>
          </cell>
        </row>
        <row r="4358">
          <cell r="E4358" t="str">
            <v>A26000143</v>
          </cell>
          <cell r="AP4358">
            <v>0</v>
          </cell>
          <cell r="AQ4358">
            <v>0</v>
          </cell>
          <cell r="AV4358">
            <v>132160</v>
          </cell>
        </row>
        <row r="4359">
          <cell r="E4359" t="str">
            <v>A26000143</v>
          </cell>
          <cell r="AP4359">
            <v>0</v>
          </cell>
          <cell r="AQ4359">
            <v>0</v>
          </cell>
          <cell r="AV4359">
            <v>31840</v>
          </cell>
        </row>
        <row r="4360">
          <cell r="E4360" t="str">
            <v>A26000175</v>
          </cell>
          <cell r="AP4360">
            <v>0</v>
          </cell>
          <cell r="AQ4360">
            <v>0</v>
          </cell>
          <cell r="AV4360">
            <v>19078.75</v>
          </cell>
        </row>
        <row r="4361">
          <cell r="E4361" t="str">
            <v>A26000175</v>
          </cell>
          <cell r="AP4361">
            <v>0</v>
          </cell>
          <cell r="AQ4361">
            <v>0</v>
          </cell>
          <cell r="AV4361">
            <v>6171.25</v>
          </cell>
        </row>
        <row r="4362">
          <cell r="E4362" t="str">
            <v>A26000183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A26000184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A26000188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A26000194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A26000195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A26000196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A26000197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A26000198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A26000208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A26000211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A26000212</v>
          </cell>
          <cell r="AP4372">
            <v>0</v>
          </cell>
          <cell r="AQ4372">
            <v>0</v>
          </cell>
          <cell r="AV4372">
            <v>0</v>
          </cell>
        </row>
        <row r="4373">
          <cell r="E4373" t="str">
            <v>A26000224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A26000225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A26000226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A26000232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A26000233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A26000234</v>
          </cell>
          <cell r="AP4378">
            <v>0</v>
          </cell>
          <cell r="AQ4378">
            <v>0</v>
          </cell>
          <cell r="AV4378">
            <v>0</v>
          </cell>
        </row>
        <row r="4379">
          <cell r="E4379" t="str">
            <v>A26000235</v>
          </cell>
          <cell r="AP4379">
            <v>0</v>
          </cell>
          <cell r="AQ4379">
            <v>0</v>
          </cell>
          <cell r="AV4379">
            <v>0</v>
          </cell>
        </row>
        <row r="4380">
          <cell r="E4380" t="str">
            <v>A26000245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A26000250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A26000251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D26000155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B26000336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B26000155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D26002229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B25015869</v>
          </cell>
          <cell r="AP4387">
            <v>0</v>
          </cell>
          <cell r="AQ4387">
            <v>0</v>
          </cell>
          <cell r="AV4387">
            <v>0</v>
          </cell>
        </row>
        <row r="4388">
          <cell r="E4388" t="str">
            <v>B25016602</v>
          </cell>
          <cell r="AP4388">
            <v>0</v>
          </cell>
          <cell r="AQ4388">
            <v>0</v>
          </cell>
          <cell r="AV4388">
            <v>0</v>
          </cell>
        </row>
        <row r="4389">
          <cell r="E4389" t="str">
            <v>D26000826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T26000090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B26001266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T25001846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B26000627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B26001731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D26001894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D25019021</v>
          </cell>
          <cell r="AP4396">
            <v>0</v>
          </cell>
          <cell r="AQ4396">
            <v>0</v>
          </cell>
          <cell r="AV4396">
            <v>9000000</v>
          </cell>
        </row>
        <row r="4397">
          <cell r="E4397" t="str">
            <v>D25019021</v>
          </cell>
          <cell r="AP4397">
            <v>0</v>
          </cell>
          <cell r="AQ4397">
            <v>0</v>
          </cell>
          <cell r="AV4397">
            <v>10000000</v>
          </cell>
        </row>
        <row r="4398">
          <cell r="E4398" t="str">
            <v>D25016703</v>
          </cell>
          <cell r="AP4398">
            <v>0</v>
          </cell>
          <cell r="AQ4398">
            <v>0</v>
          </cell>
          <cell r="AV4398">
            <v>285218900</v>
          </cell>
        </row>
        <row r="4399">
          <cell r="E4399" t="str">
            <v>B25016707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B25016708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B26000051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D26000324</v>
          </cell>
          <cell r="AP4402">
            <v>0</v>
          </cell>
          <cell r="AQ4402">
            <v>0</v>
          </cell>
          <cell r="AV4402">
            <v>15920000</v>
          </cell>
        </row>
        <row r="4403">
          <cell r="E4403" t="str">
            <v>D26000607</v>
          </cell>
          <cell r="AP4403">
            <v>0</v>
          </cell>
          <cell r="AQ4403">
            <v>0</v>
          </cell>
          <cell r="AV4403">
            <v>13310000</v>
          </cell>
        </row>
        <row r="4404">
          <cell r="E4404" t="str">
            <v>D26001548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D26002084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D26002093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B25015031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D25017570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D25017851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B25015708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D25018202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D25018246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D25018677</v>
          </cell>
          <cell r="AP4413">
            <v>0</v>
          </cell>
          <cell r="AQ4413">
            <v>111650000</v>
          </cell>
          <cell r="AV4413">
            <v>0</v>
          </cell>
        </row>
        <row r="4414">
          <cell r="E4414" t="str">
            <v>D25018814</v>
          </cell>
          <cell r="AP4414">
            <v>0</v>
          </cell>
          <cell r="AQ4414">
            <v>184800000</v>
          </cell>
          <cell r="AV4414">
            <v>0</v>
          </cell>
        </row>
        <row r="4415">
          <cell r="E4415" t="str">
            <v>D25018815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D25018817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D25019193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D25019219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D26000116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B26000296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D26001342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D26001717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D26001786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D26001823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D26001842</v>
          </cell>
          <cell r="AP4425">
            <v>0</v>
          </cell>
          <cell r="AQ4425">
            <v>0</v>
          </cell>
          <cell r="AV4425">
            <v>6750000</v>
          </cell>
        </row>
        <row r="4426">
          <cell r="E4426" t="str">
            <v>D26001909</v>
          </cell>
          <cell r="AP4426">
            <v>0</v>
          </cell>
          <cell r="AQ4426">
            <v>36450000</v>
          </cell>
          <cell r="AV4426">
            <v>0</v>
          </cell>
        </row>
        <row r="4427">
          <cell r="E4427" t="str">
            <v>D26001974</v>
          </cell>
          <cell r="AP4427">
            <v>0</v>
          </cell>
          <cell r="AQ4427">
            <v>0</v>
          </cell>
          <cell r="AV4427">
            <v>46200000</v>
          </cell>
        </row>
        <row r="4428">
          <cell r="E4428" t="str">
            <v>B26001928</v>
          </cell>
          <cell r="AP4428">
            <v>0</v>
          </cell>
          <cell r="AQ4428">
            <v>0</v>
          </cell>
          <cell r="AV4428">
            <v>13500000</v>
          </cell>
        </row>
        <row r="4429">
          <cell r="E4429" t="str">
            <v>D26002040</v>
          </cell>
          <cell r="AP4429">
            <v>0</v>
          </cell>
          <cell r="AQ4429">
            <v>0</v>
          </cell>
          <cell r="AV4429">
            <v>263000000</v>
          </cell>
        </row>
        <row r="4430">
          <cell r="E4430" t="str">
            <v>D26002044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D25013126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D25018753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D25018896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D25018897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D25018897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D25019002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B25016680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D25019416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D25019602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D25019602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D25019603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B26000026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B26000026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D26000082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B26001378</v>
          </cell>
          <cell r="AP4445">
            <v>0</v>
          </cell>
          <cell r="AQ4445">
            <v>0</v>
          </cell>
          <cell r="AV4445">
            <v>133000000</v>
          </cell>
        </row>
        <row r="4446">
          <cell r="E4446" t="str">
            <v>D26001502</v>
          </cell>
          <cell r="AP4446">
            <v>0</v>
          </cell>
          <cell r="AQ4446">
            <v>61125000</v>
          </cell>
          <cell r="AV4446">
            <v>0</v>
          </cell>
        </row>
        <row r="4447">
          <cell r="E4447" t="str">
            <v>B26001421</v>
          </cell>
          <cell r="AP4447">
            <v>0</v>
          </cell>
          <cell r="AQ4447">
            <v>8400000</v>
          </cell>
          <cell r="AV4447">
            <v>0</v>
          </cell>
        </row>
        <row r="4448">
          <cell r="E4448" t="str">
            <v>B26001422</v>
          </cell>
          <cell r="AP4448">
            <v>0</v>
          </cell>
          <cell r="AQ4448">
            <v>30475000</v>
          </cell>
          <cell r="AV4448">
            <v>0</v>
          </cell>
        </row>
        <row r="4449">
          <cell r="E4449" t="str">
            <v>B26001422</v>
          </cell>
          <cell r="AP4449">
            <v>0</v>
          </cell>
          <cell r="AQ4449">
            <v>13025000</v>
          </cell>
          <cell r="AV4449">
            <v>0</v>
          </cell>
        </row>
        <row r="4450">
          <cell r="E4450" t="str">
            <v>B26001426</v>
          </cell>
          <cell r="AP4450">
            <v>0</v>
          </cell>
          <cell r="AQ4450">
            <v>186975000</v>
          </cell>
          <cell r="AV4450">
            <v>0</v>
          </cell>
        </row>
        <row r="4451">
          <cell r="E4451" t="str">
            <v>B26001426</v>
          </cell>
          <cell r="AP4451">
            <v>0</v>
          </cell>
          <cell r="AQ4451">
            <v>64025000</v>
          </cell>
          <cell r="AV4451">
            <v>0</v>
          </cell>
        </row>
        <row r="4452">
          <cell r="E4452" t="str">
            <v>D26001606</v>
          </cell>
          <cell r="AP4452">
            <v>0</v>
          </cell>
          <cell r="AQ4452">
            <v>0</v>
          </cell>
          <cell r="AV4452">
            <v>156000000</v>
          </cell>
        </row>
        <row r="4453">
          <cell r="E4453" t="str">
            <v>D26001722</v>
          </cell>
          <cell r="AP4453">
            <v>0</v>
          </cell>
          <cell r="AQ4453">
            <v>0</v>
          </cell>
          <cell r="AV4453">
            <v>357000000</v>
          </cell>
        </row>
        <row r="4454">
          <cell r="E4454" t="str">
            <v>D26001761</v>
          </cell>
          <cell r="AP4454">
            <v>0</v>
          </cell>
          <cell r="AQ4454">
            <v>47625000</v>
          </cell>
          <cell r="AV4454">
            <v>0</v>
          </cell>
        </row>
        <row r="4455">
          <cell r="E4455" t="str">
            <v>D26001814</v>
          </cell>
          <cell r="AP4455">
            <v>0</v>
          </cell>
          <cell r="AQ4455">
            <v>81500000</v>
          </cell>
          <cell r="AV4455">
            <v>0</v>
          </cell>
        </row>
        <row r="4456">
          <cell r="E4456" t="str">
            <v>D26001898</v>
          </cell>
          <cell r="AP4456">
            <v>0</v>
          </cell>
          <cell r="AQ4456">
            <v>0</v>
          </cell>
          <cell r="AV4456">
            <v>187000000</v>
          </cell>
        </row>
        <row r="4457">
          <cell r="E4457" t="str">
            <v>D26001950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D26001991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B26001957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D26002108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D26002138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B26002136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D26002304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D26002390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D26002391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D26002392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D26002442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B26000217</v>
          </cell>
          <cell r="AP4468">
            <v>0</v>
          </cell>
          <cell r="AQ4468">
            <v>0</v>
          </cell>
          <cell r="AV4468">
            <v>3985000</v>
          </cell>
        </row>
        <row r="4469">
          <cell r="E4469" t="str">
            <v>B26000603</v>
          </cell>
          <cell r="AP4469">
            <v>0</v>
          </cell>
          <cell r="AQ4469">
            <v>0</v>
          </cell>
          <cell r="AV4469">
            <v>2607500</v>
          </cell>
        </row>
        <row r="4470">
          <cell r="E4470" t="str">
            <v>D26000728</v>
          </cell>
          <cell r="AP4470">
            <v>0</v>
          </cell>
          <cell r="AQ4470">
            <v>0</v>
          </cell>
          <cell r="AV4470">
            <v>730000</v>
          </cell>
        </row>
        <row r="4471">
          <cell r="E4471" t="str">
            <v>D26001022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T26000070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B26001697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T26000120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T26000121k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D26002377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T25001688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B25016829</v>
          </cell>
          <cell r="AP4478">
            <v>0</v>
          </cell>
          <cell r="AQ4478">
            <v>0</v>
          </cell>
          <cell r="AV4478">
            <v>8690000</v>
          </cell>
        </row>
        <row r="4479">
          <cell r="E4479" t="str">
            <v>B25016830</v>
          </cell>
          <cell r="AP4479">
            <v>0</v>
          </cell>
          <cell r="AQ4479">
            <v>0</v>
          </cell>
          <cell r="AV4479">
            <v>2760000</v>
          </cell>
        </row>
        <row r="4480">
          <cell r="E4480" t="str">
            <v>D25019556</v>
          </cell>
          <cell r="AP4480">
            <v>0</v>
          </cell>
          <cell r="AQ4480">
            <v>0</v>
          </cell>
          <cell r="AV4480">
            <v>3400000</v>
          </cell>
        </row>
        <row r="4481">
          <cell r="E4481" t="str">
            <v>D25019558</v>
          </cell>
          <cell r="AP4481">
            <v>0</v>
          </cell>
          <cell r="AQ4481">
            <v>0</v>
          </cell>
          <cell r="AV4481">
            <v>8545000</v>
          </cell>
        </row>
        <row r="4482">
          <cell r="E4482" t="str">
            <v>D25019566</v>
          </cell>
          <cell r="AP4482">
            <v>0</v>
          </cell>
          <cell r="AQ4482">
            <v>0</v>
          </cell>
          <cell r="AV4482">
            <v>855000</v>
          </cell>
        </row>
        <row r="4483">
          <cell r="E4483" t="str">
            <v>D25019571</v>
          </cell>
          <cell r="AP4483">
            <v>0</v>
          </cell>
          <cell r="AQ4483">
            <v>0</v>
          </cell>
          <cell r="AV4483">
            <v>3300000</v>
          </cell>
        </row>
        <row r="4484">
          <cell r="E4484" t="str">
            <v>D25019672</v>
          </cell>
          <cell r="AP4484">
            <v>0</v>
          </cell>
          <cell r="AQ4484">
            <v>0</v>
          </cell>
          <cell r="AV4484">
            <v>3500000</v>
          </cell>
        </row>
        <row r="4485">
          <cell r="E4485" t="str">
            <v>D25019688</v>
          </cell>
          <cell r="AP4485">
            <v>0</v>
          </cell>
          <cell r="AQ4485">
            <v>0</v>
          </cell>
          <cell r="AV4485">
            <v>5535000</v>
          </cell>
        </row>
        <row r="4486">
          <cell r="E4486" t="str">
            <v>B26000656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B26000673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B26000674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B26000675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B26000692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B26001193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B26001719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B26001720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B26001721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B26001823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B25016204</v>
          </cell>
          <cell r="AP4496">
            <v>0</v>
          </cell>
          <cell r="AQ4496">
            <v>0</v>
          </cell>
          <cell r="AV4496">
            <v>10600000</v>
          </cell>
        </row>
        <row r="4497">
          <cell r="E4497" t="str">
            <v>B25016569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B25016864</v>
          </cell>
          <cell r="AP4498">
            <v>0</v>
          </cell>
          <cell r="AQ4498">
            <v>0</v>
          </cell>
          <cell r="AV4498">
            <v>7315000</v>
          </cell>
        </row>
        <row r="4499">
          <cell r="E4499" t="str">
            <v>B25016879</v>
          </cell>
          <cell r="AP4499">
            <v>0</v>
          </cell>
          <cell r="AQ4499">
            <v>0</v>
          </cell>
          <cell r="AV4499">
            <v>11685000</v>
          </cell>
        </row>
        <row r="4500">
          <cell r="E4500" t="str">
            <v>B25016879</v>
          </cell>
          <cell r="AP4500">
            <v>0</v>
          </cell>
          <cell r="AQ4500">
            <v>0</v>
          </cell>
          <cell r="AV4500">
            <v>38315000</v>
          </cell>
        </row>
        <row r="4501">
          <cell r="E4501" t="str">
            <v>D26000118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D26000455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D26000456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B26002080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B26002081</v>
          </cell>
          <cell r="AP4505">
            <v>0</v>
          </cell>
          <cell r="AQ4505">
            <v>0</v>
          </cell>
          <cell r="AV4505">
            <v>9900000</v>
          </cell>
        </row>
        <row r="4506">
          <cell r="E4506" t="str">
            <v>B26002082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B26002083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D26000605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D26000834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D26001066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D26001545</v>
          </cell>
          <cell r="AP4511">
            <v>0</v>
          </cell>
          <cell r="AQ4511">
            <v>0</v>
          </cell>
          <cell r="AV4511">
            <v>4200000</v>
          </cell>
        </row>
        <row r="4512">
          <cell r="E4512" t="str">
            <v>B26001756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D26001848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B26002221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T25001572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D26000847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D26001198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B26001883</v>
          </cell>
          <cell r="AP4518">
            <v>0</v>
          </cell>
          <cell r="AQ4518">
            <v>0</v>
          </cell>
          <cell r="AV4518">
            <v>5700000</v>
          </cell>
        </row>
        <row r="4519">
          <cell r="E4519" t="str">
            <v>D26002228</v>
          </cell>
          <cell r="AP4519">
            <v>0</v>
          </cell>
          <cell r="AQ4519">
            <v>0</v>
          </cell>
          <cell r="AV4519">
            <v>2100000</v>
          </cell>
        </row>
        <row r="4520">
          <cell r="E4520" t="str">
            <v>B25016111</v>
          </cell>
          <cell r="AP4520">
            <v>0</v>
          </cell>
          <cell r="AQ4520">
            <v>0</v>
          </cell>
          <cell r="AV4520">
            <v>3100000</v>
          </cell>
        </row>
        <row r="4521">
          <cell r="E4521" t="str">
            <v>B25016220</v>
          </cell>
          <cell r="AP4521">
            <v>0</v>
          </cell>
          <cell r="AQ4521">
            <v>0</v>
          </cell>
          <cell r="AV4521">
            <v>2150000</v>
          </cell>
        </row>
        <row r="4522">
          <cell r="E4522" t="str">
            <v>B25016230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D25018668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T25001414</v>
          </cell>
          <cell r="AP4524">
            <v>1316250</v>
          </cell>
          <cell r="AQ4524">
            <v>0</v>
          </cell>
          <cell r="AV4524">
            <v>0</v>
          </cell>
        </row>
        <row r="4525">
          <cell r="E4525" t="str">
            <v>T25001414</v>
          </cell>
          <cell r="AP4525">
            <v>0</v>
          </cell>
          <cell r="AQ4525">
            <v>0</v>
          </cell>
          <cell r="AV4525">
            <v>383750</v>
          </cell>
        </row>
        <row r="4526">
          <cell r="E4526" t="str">
            <v>D25014916</v>
          </cell>
          <cell r="AP4526">
            <v>5695000</v>
          </cell>
          <cell r="AQ4526">
            <v>0</v>
          </cell>
          <cell r="AV4526">
            <v>0</v>
          </cell>
        </row>
        <row r="4527">
          <cell r="E4527" t="str">
            <v>D25014916</v>
          </cell>
          <cell r="AP4527">
            <v>0</v>
          </cell>
          <cell r="AQ4527">
            <v>0</v>
          </cell>
          <cell r="AV4527">
            <v>1105000</v>
          </cell>
        </row>
        <row r="4528">
          <cell r="E4528" t="str">
            <v>B26001420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B26001979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B25016555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D26000024</v>
          </cell>
          <cell r="AP4531">
            <v>0</v>
          </cell>
          <cell r="AQ4531">
            <v>0</v>
          </cell>
          <cell r="AV4531">
            <v>4000000</v>
          </cell>
        </row>
        <row r="4532">
          <cell r="E4532" t="str">
            <v>B26000460</v>
          </cell>
          <cell r="AP4532">
            <v>0</v>
          </cell>
          <cell r="AQ4532">
            <v>0</v>
          </cell>
          <cell r="AV4532">
            <v>20800000</v>
          </cell>
        </row>
        <row r="4533">
          <cell r="E4533" t="str">
            <v>B26000469</v>
          </cell>
          <cell r="AP4533">
            <v>0</v>
          </cell>
          <cell r="AQ4533">
            <v>0</v>
          </cell>
          <cell r="AV4533">
            <v>2250000</v>
          </cell>
        </row>
        <row r="4534">
          <cell r="E4534" t="str">
            <v>B26000484</v>
          </cell>
          <cell r="AP4534">
            <v>0</v>
          </cell>
          <cell r="AQ4534">
            <v>0</v>
          </cell>
          <cell r="AV4534">
            <v>14750000</v>
          </cell>
        </row>
        <row r="4535">
          <cell r="E4535" t="str">
            <v>D26000736</v>
          </cell>
          <cell r="AP4535">
            <v>3120000</v>
          </cell>
          <cell r="AQ4535">
            <v>0</v>
          </cell>
          <cell r="AV4535">
            <v>0</v>
          </cell>
        </row>
        <row r="4536">
          <cell r="E4536" t="str">
            <v>D26000807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D26000979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D26001218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B26001254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D26001412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B26001544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B26001771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D26002214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B25015299</v>
          </cell>
          <cell r="AP4544">
            <v>0</v>
          </cell>
          <cell r="AQ4544">
            <v>0</v>
          </cell>
          <cell r="AV4544">
            <v>3339000</v>
          </cell>
        </row>
        <row r="4545">
          <cell r="E4545" t="str">
            <v>L25000055</v>
          </cell>
          <cell r="AP4545">
            <v>0</v>
          </cell>
          <cell r="AQ4545">
            <v>0</v>
          </cell>
          <cell r="AV4545">
            <v>1206000</v>
          </cell>
        </row>
        <row r="4546">
          <cell r="E4546" t="str">
            <v>B25016854</v>
          </cell>
          <cell r="AP4546">
            <v>0</v>
          </cell>
          <cell r="AQ4546">
            <v>0</v>
          </cell>
          <cell r="AV4546">
            <v>1700000</v>
          </cell>
        </row>
        <row r="4547">
          <cell r="E4547" t="str">
            <v>D25019472</v>
          </cell>
          <cell r="AP4547">
            <v>0</v>
          </cell>
          <cell r="AQ4547">
            <v>0</v>
          </cell>
          <cell r="AV4547">
            <v>1240000</v>
          </cell>
        </row>
        <row r="4548">
          <cell r="E4548" t="str">
            <v>D26000075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D26000140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B26000899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B26000935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B26002154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B26000128</v>
          </cell>
          <cell r="AP4553">
            <v>0</v>
          </cell>
          <cell r="AQ4553">
            <v>0</v>
          </cell>
          <cell r="AV4553">
            <v>572500</v>
          </cell>
        </row>
        <row r="4554">
          <cell r="E4554" t="str">
            <v>D26000267</v>
          </cell>
          <cell r="AP4554">
            <v>0</v>
          </cell>
          <cell r="AQ4554">
            <v>0</v>
          </cell>
          <cell r="AV4554">
            <v>3427500</v>
          </cell>
        </row>
        <row r="4555">
          <cell r="E4555" t="str">
            <v>D26000267</v>
          </cell>
          <cell r="AP4555">
            <v>0</v>
          </cell>
          <cell r="AQ4555">
            <v>0</v>
          </cell>
          <cell r="AV4555">
            <v>3172500</v>
          </cell>
        </row>
        <row r="4556">
          <cell r="E4556" t="str">
            <v>B26001353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D26001460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D26001461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B26000669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B26001598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D25016298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D25016299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D25016434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B25014206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D25016491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D25016604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D25016638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D25016644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D25016648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D25016717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B25014496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B25014496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B25014521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B25014584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B25014584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B25014662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B25014786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B25014786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B25014787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B25014840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B25014879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B25014883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B25014884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D25017290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D25017291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B25015055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B25015056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B25015062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D25017388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D25017569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D25017569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D25017576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D25017578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B25015257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B25015259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B25015354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D25017763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D25017810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D25017866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D25017867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D25017990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B25015598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D25018031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D25018033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D25018260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D25018263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B25015923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B25016082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B25016108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B25016108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B25016109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B25016109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B25016109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B25016135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D25018533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D25018535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D25018566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D25018589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D25018600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D25018624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D25018624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D25018652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B25016253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B25016254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B25016329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B25016366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B25016462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B25016463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B25016463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B25016463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B25016463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B25016467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D25018945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B25016583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D25019041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D25019047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D25019074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D25019354</v>
          </cell>
          <cell r="AP4638">
            <v>0</v>
          </cell>
          <cell r="AQ4638">
            <v>0</v>
          </cell>
          <cell r="AV4638">
            <v>0</v>
          </cell>
        </row>
        <row r="4639">
          <cell r="E4639" t="str">
            <v>B25016951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B25016968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B25016976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B25017051</v>
          </cell>
          <cell r="AP4642">
            <v>0</v>
          </cell>
          <cell r="AQ4642">
            <v>91800000</v>
          </cell>
          <cell r="AV4642">
            <v>0</v>
          </cell>
        </row>
        <row r="4643">
          <cell r="E4643" t="str">
            <v>D25019669</v>
          </cell>
          <cell r="AP4643">
            <v>0</v>
          </cell>
          <cell r="AQ4643">
            <v>15500000</v>
          </cell>
          <cell r="AV4643">
            <v>0</v>
          </cell>
        </row>
        <row r="4644">
          <cell r="E4644" t="str">
            <v>B25017144</v>
          </cell>
          <cell r="AP4644">
            <v>0</v>
          </cell>
          <cell r="AQ4644">
            <v>0</v>
          </cell>
          <cell r="AV4644">
            <v>0</v>
          </cell>
        </row>
        <row r="4645">
          <cell r="E4645" t="str">
            <v>B26000011</v>
          </cell>
          <cell r="AP4645">
            <v>0</v>
          </cell>
          <cell r="AQ4645">
            <v>20345000</v>
          </cell>
          <cell r="AV4645">
            <v>0</v>
          </cell>
        </row>
        <row r="4646">
          <cell r="E4646" t="str">
            <v>D26000003</v>
          </cell>
          <cell r="AP4646">
            <v>0</v>
          </cell>
          <cell r="AQ4646">
            <v>0</v>
          </cell>
          <cell r="AV4646">
            <v>0</v>
          </cell>
        </row>
        <row r="4647">
          <cell r="E4647" t="str">
            <v>D26000004</v>
          </cell>
          <cell r="AP4647">
            <v>0</v>
          </cell>
          <cell r="AQ4647">
            <v>29250000</v>
          </cell>
          <cell r="AV4647">
            <v>0</v>
          </cell>
        </row>
        <row r="4648">
          <cell r="E4648" t="str">
            <v>D26000038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D26000043</v>
          </cell>
          <cell r="AP4649">
            <v>0</v>
          </cell>
          <cell r="AQ4649">
            <v>3150000</v>
          </cell>
          <cell r="AV4649">
            <v>0</v>
          </cell>
        </row>
        <row r="4650">
          <cell r="E4650" t="str">
            <v>B26000223</v>
          </cell>
          <cell r="AP4650">
            <v>0</v>
          </cell>
          <cell r="AQ4650">
            <v>39315000</v>
          </cell>
          <cell r="AV4650">
            <v>0</v>
          </cell>
        </row>
        <row r="4651">
          <cell r="E4651" t="str">
            <v>D26000251</v>
          </cell>
          <cell r="AP4651">
            <v>0</v>
          </cell>
          <cell r="AQ4651">
            <v>48100000</v>
          </cell>
          <cell r="AV4651">
            <v>0</v>
          </cell>
        </row>
        <row r="4652">
          <cell r="E4652" t="str">
            <v>D26000296</v>
          </cell>
          <cell r="AP4652">
            <v>0</v>
          </cell>
          <cell r="AQ4652">
            <v>98000000</v>
          </cell>
          <cell r="AV4652">
            <v>0</v>
          </cell>
        </row>
        <row r="4653">
          <cell r="E4653" t="str">
            <v>D26000305</v>
          </cell>
          <cell r="AP4653">
            <v>0</v>
          </cell>
          <cell r="AQ4653">
            <v>72000000</v>
          </cell>
          <cell r="AV4653">
            <v>0</v>
          </cell>
        </row>
        <row r="4654">
          <cell r="E4654" t="str">
            <v>D26000307</v>
          </cell>
          <cell r="AP4654">
            <v>0</v>
          </cell>
          <cell r="AQ4654">
            <v>164322000</v>
          </cell>
          <cell r="AV4654">
            <v>0</v>
          </cell>
        </row>
        <row r="4655">
          <cell r="E4655" t="str">
            <v>D26000320</v>
          </cell>
          <cell r="AP4655">
            <v>0</v>
          </cell>
          <cell r="AQ4655">
            <v>28300000</v>
          </cell>
          <cell r="AV4655">
            <v>0</v>
          </cell>
        </row>
        <row r="4656">
          <cell r="E4656" t="str">
            <v>D26000328</v>
          </cell>
          <cell r="AP4656">
            <v>0</v>
          </cell>
          <cell r="AQ4656">
            <v>29540000</v>
          </cell>
          <cell r="AV4656">
            <v>0</v>
          </cell>
        </row>
        <row r="4657">
          <cell r="E4657" t="str">
            <v>D26000458</v>
          </cell>
          <cell r="AP4657">
            <v>0</v>
          </cell>
          <cell r="AQ4657">
            <v>42000000</v>
          </cell>
          <cell r="AV4657">
            <v>0</v>
          </cell>
        </row>
        <row r="4658">
          <cell r="E4658" t="str">
            <v>D26000465</v>
          </cell>
          <cell r="AP4658">
            <v>0</v>
          </cell>
          <cell r="AQ4658">
            <v>28800000</v>
          </cell>
          <cell r="AV4658">
            <v>0</v>
          </cell>
        </row>
        <row r="4659">
          <cell r="E4659" t="str">
            <v>D26000468</v>
          </cell>
          <cell r="AP4659">
            <v>0</v>
          </cell>
          <cell r="AQ4659">
            <v>49500000</v>
          </cell>
          <cell r="AV4659">
            <v>0</v>
          </cell>
        </row>
        <row r="4660">
          <cell r="E4660" t="str">
            <v>B26000576</v>
          </cell>
          <cell r="AP4660">
            <v>0</v>
          </cell>
          <cell r="AQ4660">
            <v>16000000</v>
          </cell>
          <cell r="AV4660">
            <v>0</v>
          </cell>
        </row>
        <row r="4661">
          <cell r="E4661" t="str">
            <v>B26000577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D26000677</v>
          </cell>
          <cell r="AP4662">
            <v>0</v>
          </cell>
          <cell r="AQ4662">
            <v>33250000</v>
          </cell>
          <cell r="AV4662">
            <v>0</v>
          </cell>
        </row>
        <row r="4663">
          <cell r="E4663" t="str">
            <v>D26000726</v>
          </cell>
          <cell r="AP4663">
            <v>0</v>
          </cell>
          <cell r="AQ4663">
            <v>57000000</v>
          </cell>
          <cell r="AV4663">
            <v>0</v>
          </cell>
        </row>
        <row r="4664">
          <cell r="E4664" t="str">
            <v>D26000727</v>
          </cell>
          <cell r="AP4664">
            <v>0</v>
          </cell>
          <cell r="AQ4664">
            <v>7750000</v>
          </cell>
          <cell r="AV4664">
            <v>0</v>
          </cell>
        </row>
        <row r="4665">
          <cell r="E4665" t="str">
            <v>D26000777</v>
          </cell>
          <cell r="AP4665">
            <v>0</v>
          </cell>
          <cell r="AQ4665">
            <v>10600000</v>
          </cell>
          <cell r="AV4665">
            <v>0</v>
          </cell>
        </row>
        <row r="4666">
          <cell r="E4666" t="str">
            <v>B26000792</v>
          </cell>
          <cell r="AP4666">
            <v>0</v>
          </cell>
          <cell r="AQ4666">
            <v>128000000</v>
          </cell>
          <cell r="AV4666">
            <v>0</v>
          </cell>
        </row>
        <row r="4667">
          <cell r="E4667" t="str">
            <v>D26000871</v>
          </cell>
          <cell r="AP4667">
            <v>0</v>
          </cell>
          <cell r="AQ4667">
            <v>17925000</v>
          </cell>
          <cell r="AV4667">
            <v>0</v>
          </cell>
        </row>
        <row r="4668">
          <cell r="E4668" t="str">
            <v>D26000986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B26001097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D26001331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B26001276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B26001349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B26001401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D26001429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D26001430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D26001447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D26001485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D26001493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D26001512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B26001493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D26001600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D26001604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D26001623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D26001635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B26001573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D26001672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B26001616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D26001798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D26001809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B26001711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B26001716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D26001860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D26002016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D26002021</v>
          </cell>
          <cell r="AP4694">
            <v>0</v>
          </cell>
          <cell r="AQ4694">
            <v>65500000</v>
          </cell>
          <cell r="AV4694">
            <v>0</v>
          </cell>
        </row>
        <row r="4695">
          <cell r="E4695" t="str">
            <v>B26001953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D26002116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D26002118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B26002006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D26002186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D26002187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D26002188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D26002212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D26002362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B26002192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D26002435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D26002436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B26001758</v>
          </cell>
          <cell r="AP4707">
            <v>0</v>
          </cell>
          <cell r="AQ4707">
            <v>0</v>
          </cell>
          <cell r="AV4707">
            <v>1700000</v>
          </cell>
        </row>
        <row r="4708">
          <cell r="E4708" t="str">
            <v>T26000132</v>
          </cell>
          <cell r="AP4708">
            <v>0</v>
          </cell>
          <cell r="AQ4708">
            <v>0</v>
          </cell>
          <cell r="AV4708">
            <v>16200000</v>
          </cell>
        </row>
        <row r="4709">
          <cell r="E4709" t="str">
            <v>B25016062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D26000533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B26000504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D26000915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D26001269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B25016000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D25019017</v>
          </cell>
          <cell r="AP4715">
            <v>0</v>
          </cell>
          <cell r="AQ4715">
            <v>0</v>
          </cell>
          <cell r="AV4715">
            <v>0</v>
          </cell>
        </row>
        <row r="4716">
          <cell r="E4716" t="str">
            <v>B26001286</v>
          </cell>
          <cell r="AP4716">
            <v>0</v>
          </cell>
          <cell r="AQ4716">
            <v>0</v>
          </cell>
          <cell r="AV4716">
            <v>0</v>
          </cell>
        </row>
        <row r="4717">
          <cell r="E4717" t="str">
            <v>B26001659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B26001681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T25001791</v>
          </cell>
          <cell r="AP4719">
            <v>0</v>
          </cell>
          <cell r="AQ4719">
            <v>0</v>
          </cell>
          <cell r="AV4719">
            <v>2145000</v>
          </cell>
        </row>
        <row r="4720">
          <cell r="E4720" t="str">
            <v>T25001792</v>
          </cell>
          <cell r="AP4720">
            <v>0</v>
          </cell>
          <cell r="AQ4720">
            <v>0</v>
          </cell>
          <cell r="AV4720">
            <v>0</v>
          </cell>
        </row>
        <row r="4721">
          <cell r="E4721" t="str">
            <v>D25019371</v>
          </cell>
          <cell r="AP4721">
            <v>0</v>
          </cell>
          <cell r="AQ4721">
            <v>0</v>
          </cell>
          <cell r="AV4721">
            <v>16800000</v>
          </cell>
        </row>
        <row r="4722">
          <cell r="E4722" t="str">
            <v>D25019371</v>
          </cell>
          <cell r="AP4722">
            <v>0</v>
          </cell>
          <cell r="AQ4722">
            <v>0</v>
          </cell>
          <cell r="AV4722">
            <v>38530000</v>
          </cell>
        </row>
        <row r="4723">
          <cell r="E4723" t="str">
            <v>B26000361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B26000362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B26000836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B26000839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B26000854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B26000877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B26001354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B26001995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D26002110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D25018432</v>
          </cell>
          <cell r="AP4732">
            <v>0</v>
          </cell>
          <cell r="AQ4732">
            <v>0</v>
          </cell>
          <cell r="AV4732">
            <v>9500000</v>
          </cell>
        </row>
        <row r="4733">
          <cell r="E4733" t="str">
            <v>D25018496</v>
          </cell>
          <cell r="AP4733">
            <v>0</v>
          </cell>
          <cell r="AQ4733">
            <v>0</v>
          </cell>
          <cell r="AV4733">
            <v>236400000</v>
          </cell>
        </row>
        <row r="4734">
          <cell r="E4734" t="str">
            <v>B25016226</v>
          </cell>
          <cell r="AP4734">
            <v>0</v>
          </cell>
          <cell r="AQ4734">
            <v>0</v>
          </cell>
          <cell r="AV4734">
            <v>39560000</v>
          </cell>
        </row>
        <row r="4735">
          <cell r="E4735" t="str">
            <v>D25019206</v>
          </cell>
          <cell r="AP4735">
            <v>0</v>
          </cell>
          <cell r="AQ4735">
            <v>0</v>
          </cell>
          <cell r="AV4735">
            <v>8100000</v>
          </cell>
        </row>
        <row r="4736">
          <cell r="E4736" t="str">
            <v>D26000264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T26000018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D26000694</v>
          </cell>
          <cell r="AP4738">
            <v>0</v>
          </cell>
          <cell r="AQ4738">
            <v>0</v>
          </cell>
          <cell r="AV4738">
            <v>46880000</v>
          </cell>
        </row>
        <row r="4739">
          <cell r="E4739" t="str">
            <v>D26000809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D26001112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D26001375</v>
          </cell>
          <cell r="AP4741">
            <v>0</v>
          </cell>
          <cell r="AQ4741">
            <v>0</v>
          </cell>
          <cell r="AV4741">
            <v>0</v>
          </cell>
        </row>
        <row r="4742">
          <cell r="E4742" t="str">
            <v>D26001541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B26001476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D26001642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D26001720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D26001760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D26001973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D26002221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B25016849</v>
          </cell>
          <cell r="AP4749">
            <v>0</v>
          </cell>
          <cell r="AQ4749">
            <v>0</v>
          </cell>
          <cell r="AV4749">
            <v>27860000</v>
          </cell>
        </row>
        <row r="4750">
          <cell r="E4750" t="str">
            <v>B25016967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B25016969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B26000544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D26000948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D26001106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B26001700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D25019098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B26000599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D26000627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D25018704</v>
          </cell>
          <cell r="AP4759">
            <v>0</v>
          </cell>
          <cell r="AQ4759">
            <v>0</v>
          </cell>
          <cell r="AV4759">
            <v>6000000</v>
          </cell>
        </row>
        <row r="4760">
          <cell r="E4760" t="str">
            <v>D25018704</v>
          </cell>
          <cell r="AP4760">
            <v>0</v>
          </cell>
          <cell r="AQ4760">
            <v>0</v>
          </cell>
          <cell r="AV4760">
            <v>10000000</v>
          </cell>
        </row>
        <row r="4761">
          <cell r="E4761" t="str">
            <v>D25018704</v>
          </cell>
          <cell r="AP4761">
            <v>0</v>
          </cell>
          <cell r="AQ4761">
            <v>0</v>
          </cell>
          <cell r="AV4761">
            <v>6210000</v>
          </cell>
        </row>
        <row r="4762">
          <cell r="E4762" t="str">
            <v>D25018755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D25018858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D25019061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D25019278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D25019454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D25019594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D25019702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D26000214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D26000467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D26000635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D26000799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D26000943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D26000944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D26000964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D26001117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B26001287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B26001508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B26001757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B26002091</v>
          </cell>
          <cell r="AP4780">
            <v>0</v>
          </cell>
          <cell r="AQ4780">
            <v>0</v>
          </cell>
          <cell r="AV4780">
            <v>9520000</v>
          </cell>
        </row>
        <row r="4781">
          <cell r="E4781" t="str">
            <v>D26002152</v>
          </cell>
          <cell r="AP4781">
            <v>0</v>
          </cell>
          <cell r="AQ4781">
            <v>0</v>
          </cell>
          <cell r="AV4781">
            <v>10710000</v>
          </cell>
        </row>
        <row r="4782">
          <cell r="E4782" t="str">
            <v>D26002153</v>
          </cell>
          <cell r="AP4782">
            <v>0</v>
          </cell>
          <cell r="AQ4782">
            <v>0</v>
          </cell>
          <cell r="AV4782">
            <v>33040000</v>
          </cell>
        </row>
        <row r="4783">
          <cell r="E4783" t="str">
            <v>D26002153</v>
          </cell>
          <cell r="AP4783">
            <v>0</v>
          </cell>
          <cell r="AQ4783">
            <v>0</v>
          </cell>
          <cell r="AV4783">
            <v>33600000</v>
          </cell>
        </row>
        <row r="4784">
          <cell r="E4784" t="str">
            <v>D26002153</v>
          </cell>
          <cell r="AP4784">
            <v>0</v>
          </cell>
          <cell r="AQ4784">
            <v>0</v>
          </cell>
          <cell r="AV4784">
            <v>33600000</v>
          </cell>
        </row>
        <row r="4785">
          <cell r="E4785" t="str">
            <v>B26002181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B26002229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B25015633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B26002237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T25001860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D25019154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D25016913</v>
          </cell>
          <cell r="AP4791">
            <v>0</v>
          </cell>
          <cell r="AQ4791">
            <v>0</v>
          </cell>
          <cell r="AV4791">
            <v>7660000</v>
          </cell>
        </row>
        <row r="4792">
          <cell r="E4792" t="str">
            <v>D25019342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B25016964</v>
          </cell>
          <cell r="AP4793">
            <v>0</v>
          </cell>
          <cell r="AQ4793">
            <v>0</v>
          </cell>
          <cell r="AV4793">
            <v>2195000</v>
          </cell>
        </row>
        <row r="4794">
          <cell r="E4794" t="str">
            <v>D26000178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D26000333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D26000883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B26001109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B26001281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B26001456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D26001907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B25016656</v>
          </cell>
          <cell r="AP4801">
            <v>0</v>
          </cell>
          <cell r="AQ4801">
            <v>0</v>
          </cell>
          <cell r="AV4801">
            <v>153800000</v>
          </cell>
        </row>
        <row r="4802">
          <cell r="E4802" t="str">
            <v>B26001695</v>
          </cell>
          <cell r="AP4802">
            <v>0</v>
          </cell>
          <cell r="AQ4802">
            <v>0</v>
          </cell>
          <cell r="AV4802">
            <v>8200000</v>
          </cell>
        </row>
        <row r="4803">
          <cell r="E4803" t="str">
            <v>B26002126</v>
          </cell>
          <cell r="AP4803">
            <v>0</v>
          </cell>
          <cell r="AQ4803">
            <v>0</v>
          </cell>
          <cell r="AV4803">
            <v>16370000</v>
          </cell>
        </row>
        <row r="4804">
          <cell r="E4804" t="str">
            <v>D26000164</v>
          </cell>
          <cell r="AP4804">
            <v>0</v>
          </cell>
          <cell r="AQ4804">
            <v>0</v>
          </cell>
          <cell r="AV4804">
            <v>1640000</v>
          </cell>
        </row>
        <row r="4805">
          <cell r="E4805" t="str">
            <v>B26000788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D26001696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B26001688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B25016398</v>
          </cell>
          <cell r="AP4808">
            <v>0</v>
          </cell>
          <cell r="AQ4808">
            <v>0</v>
          </cell>
          <cell r="AV4808">
            <v>8078750</v>
          </cell>
        </row>
        <row r="4809">
          <cell r="E4809" t="str">
            <v>D26000838</v>
          </cell>
          <cell r="AP4809">
            <v>0</v>
          </cell>
          <cell r="AQ4809">
            <v>0</v>
          </cell>
          <cell r="AV4809">
            <v>421250</v>
          </cell>
        </row>
        <row r="4810">
          <cell r="E4810" t="str">
            <v>D26000845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D26001389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B26001366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B26001400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B26001764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D26001886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B26001947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B26002002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D26002317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D26002403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D25019562</v>
          </cell>
          <cell r="AP4820">
            <v>0</v>
          </cell>
          <cell r="AQ4820">
            <v>0</v>
          </cell>
          <cell r="AV4820">
            <v>5000000</v>
          </cell>
        </row>
        <row r="4821">
          <cell r="E4821" t="str">
            <v>D25019562</v>
          </cell>
          <cell r="AP4821">
            <v>0</v>
          </cell>
          <cell r="AQ4821">
            <v>0</v>
          </cell>
          <cell r="AV4821">
            <v>14354500</v>
          </cell>
        </row>
        <row r="4822">
          <cell r="E4822" t="str">
            <v>D26001926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B26002183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D25016614</v>
          </cell>
          <cell r="AP4824">
            <v>0</v>
          </cell>
          <cell r="AQ4824">
            <v>0</v>
          </cell>
          <cell r="AV4824">
            <v>960000</v>
          </cell>
        </row>
        <row r="4825">
          <cell r="E4825" t="str">
            <v>B25016902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B26000061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B26001376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T25001374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B26001362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D25017742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B26001076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D26001567</v>
          </cell>
          <cell r="AP4832">
            <v>0</v>
          </cell>
          <cell r="AQ4832">
            <v>0</v>
          </cell>
          <cell r="AV4832">
            <v>15000000</v>
          </cell>
        </row>
        <row r="4833">
          <cell r="E4833" t="str">
            <v>B26001592</v>
          </cell>
          <cell r="AP4833">
            <v>0</v>
          </cell>
          <cell r="AQ4833">
            <v>0</v>
          </cell>
          <cell r="AV4833">
            <v>4840000</v>
          </cell>
        </row>
        <row r="4834">
          <cell r="E4834" t="str">
            <v>B26001593</v>
          </cell>
          <cell r="AP4834">
            <v>0</v>
          </cell>
          <cell r="AQ4834">
            <v>0</v>
          </cell>
          <cell r="AV4834">
            <v>906500</v>
          </cell>
        </row>
        <row r="4835">
          <cell r="E4835" t="str">
            <v>B26000310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D26001175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D26001615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D26002248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B25017060</v>
          </cell>
          <cell r="AP4839">
            <v>0</v>
          </cell>
          <cell r="AQ4839">
            <v>0</v>
          </cell>
          <cell r="AV4839">
            <v>17520000</v>
          </cell>
        </row>
        <row r="4840">
          <cell r="E4840" t="str">
            <v>D26001639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B26001956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D26001476</v>
          </cell>
          <cell r="AP4842">
            <v>0</v>
          </cell>
          <cell r="AQ4842">
            <v>0</v>
          </cell>
          <cell r="AV4842">
            <v>382450000</v>
          </cell>
        </row>
        <row r="4843">
          <cell r="E4843" t="str">
            <v>D26001558</v>
          </cell>
          <cell r="AP4843">
            <v>0</v>
          </cell>
          <cell r="AQ4843">
            <v>0</v>
          </cell>
          <cell r="AV4843">
            <v>117550000</v>
          </cell>
        </row>
        <row r="4844">
          <cell r="E4844" t="str">
            <v>D26001558</v>
          </cell>
          <cell r="AP4844">
            <v>0</v>
          </cell>
          <cell r="AQ4844">
            <v>0</v>
          </cell>
          <cell r="AV4844">
            <v>150000000</v>
          </cell>
        </row>
        <row r="4845">
          <cell r="E4845" t="str">
            <v>D26001558</v>
          </cell>
          <cell r="AP4845">
            <v>0</v>
          </cell>
          <cell r="AQ4845">
            <v>0</v>
          </cell>
          <cell r="AV4845">
            <v>158000000</v>
          </cell>
        </row>
        <row r="4846">
          <cell r="E4846" t="str">
            <v>D26001558</v>
          </cell>
          <cell r="AP4846">
            <v>0</v>
          </cell>
          <cell r="AQ4846">
            <v>0</v>
          </cell>
          <cell r="AV4846">
            <v>211950000</v>
          </cell>
        </row>
        <row r="4847">
          <cell r="E4847" t="str">
            <v>D26001970</v>
          </cell>
          <cell r="AP4847">
            <v>0</v>
          </cell>
          <cell r="AQ4847">
            <v>0</v>
          </cell>
          <cell r="AV4847">
            <v>88050000</v>
          </cell>
        </row>
        <row r="4848">
          <cell r="E4848" t="str">
            <v>D26001970</v>
          </cell>
          <cell r="AP4848">
            <v>0</v>
          </cell>
          <cell r="AQ4848">
            <v>0</v>
          </cell>
          <cell r="AV4848">
            <v>166950000</v>
          </cell>
        </row>
        <row r="4849">
          <cell r="E4849" t="str">
            <v>D26002001</v>
          </cell>
          <cell r="AP4849">
            <v>0</v>
          </cell>
          <cell r="AQ4849">
            <v>0</v>
          </cell>
          <cell r="AV4849">
            <v>259050000</v>
          </cell>
        </row>
        <row r="4850">
          <cell r="E4850" t="str">
            <v>D26002001</v>
          </cell>
          <cell r="AP4850">
            <v>0</v>
          </cell>
          <cell r="AQ4850">
            <v>0</v>
          </cell>
          <cell r="AV4850">
            <v>123450000</v>
          </cell>
        </row>
        <row r="4851">
          <cell r="E4851" t="str">
            <v>B26001959</v>
          </cell>
          <cell r="AP4851">
            <v>0</v>
          </cell>
          <cell r="AQ4851">
            <v>0</v>
          </cell>
          <cell r="AV4851">
            <v>50000000</v>
          </cell>
        </row>
        <row r="4852">
          <cell r="E4852" t="str">
            <v>B26001959</v>
          </cell>
          <cell r="AP4852">
            <v>0</v>
          </cell>
          <cell r="AQ4852">
            <v>0</v>
          </cell>
          <cell r="AV4852">
            <v>311750000</v>
          </cell>
        </row>
        <row r="4853">
          <cell r="E4853" t="str">
            <v>B26002127</v>
          </cell>
          <cell r="AP4853">
            <v>0</v>
          </cell>
          <cell r="AQ4853">
            <v>0</v>
          </cell>
          <cell r="AV4853">
            <v>2540000</v>
          </cell>
        </row>
        <row r="4854">
          <cell r="E4854" t="str">
            <v>Z25003229</v>
          </cell>
          <cell r="AP4854">
            <v>0</v>
          </cell>
          <cell r="AQ4854">
            <v>0</v>
          </cell>
          <cell r="AV4854">
            <v>6400000</v>
          </cell>
        </row>
        <row r="4855">
          <cell r="E4855" t="str">
            <v>Z25003285</v>
          </cell>
          <cell r="AP4855">
            <v>0</v>
          </cell>
          <cell r="AQ4855">
            <v>0</v>
          </cell>
          <cell r="AV4855">
            <v>2076000</v>
          </cell>
        </row>
        <row r="4856">
          <cell r="E4856" t="str">
            <v>Z25003370</v>
          </cell>
          <cell r="AP4856">
            <v>0</v>
          </cell>
          <cell r="AQ4856">
            <v>0</v>
          </cell>
          <cell r="AV4856">
            <v>6420000</v>
          </cell>
        </row>
        <row r="4857">
          <cell r="E4857" t="str">
            <v>Z26000191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Z26000193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Z26000275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Z26000300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Z26000303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Z26000381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Z26000382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Z26000419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Z26000420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Z26000423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D25016711</v>
          </cell>
          <cell r="AP4867">
            <v>0</v>
          </cell>
          <cell r="AQ4867">
            <v>0</v>
          </cell>
          <cell r="AV4867">
            <v>11670000</v>
          </cell>
        </row>
        <row r="4868">
          <cell r="E4868" t="str">
            <v>T25001656</v>
          </cell>
          <cell r="AP4868">
            <v>0</v>
          </cell>
          <cell r="AQ4868">
            <v>0</v>
          </cell>
          <cell r="AV4868">
            <v>2460000</v>
          </cell>
        </row>
        <row r="4869">
          <cell r="E4869" t="str">
            <v>D26001941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D26001942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D26000260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D26001820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B25016661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B25016985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B26001785</v>
          </cell>
          <cell r="AP4875">
            <v>0</v>
          </cell>
          <cell r="AQ4875">
            <v>0</v>
          </cell>
          <cell r="AV4875">
            <v>15000000</v>
          </cell>
        </row>
        <row r="4876">
          <cell r="E4876" t="str">
            <v>B25016543</v>
          </cell>
          <cell r="AP4876">
            <v>0</v>
          </cell>
          <cell r="AQ4876">
            <v>0</v>
          </cell>
          <cell r="AV4876">
            <v>7625000</v>
          </cell>
        </row>
        <row r="4877">
          <cell r="E4877" t="str">
            <v>D25019191</v>
          </cell>
          <cell r="AP4877">
            <v>0</v>
          </cell>
          <cell r="AQ4877">
            <v>0</v>
          </cell>
          <cell r="AV4877">
            <v>64680000</v>
          </cell>
        </row>
        <row r="4878">
          <cell r="E4878" t="str">
            <v>B25016735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D26000512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D26001892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D26002177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D26002354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B26001672</v>
          </cell>
          <cell r="AP4883">
            <v>0</v>
          </cell>
          <cell r="AQ4883">
            <v>0</v>
          </cell>
          <cell r="AV4883">
            <v>3000000</v>
          </cell>
        </row>
        <row r="4884">
          <cell r="E4884" t="str">
            <v>D26000141</v>
          </cell>
          <cell r="AP4884">
            <v>0</v>
          </cell>
          <cell r="AQ4884">
            <v>0</v>
          </cell>
          <cell r="AV4884">
            <v>5312500</v>
          </cell>
        </row>
        <row r="4885">
          <cell r="E4885" t="str">
            <v>D26000195</v>
          </cell>
          <cell r="AP4885">
            <v>0</v>
          </cell>
          <cell r="AQ4885">
            <v>0</v>
          </cell>
          <cell r="AV4885">
            <v>5312500</v>
          </cell>
        </row>
        <row r="4886">
          <cell r="E4886">
            <v>250199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B25016627</v>
          </cell>
          <cell r="AP4887">
            <v>0</v>
          </cell>
          <cell r="AQ4887">
            <v>0</v>
          </cell>
          <cell r="AV4887">
            <v>136770000</v>
          </cell>
        </row>
        <row r="4888">
          <cell r="E4888" t="str">
            <v>B25016628</v>
          </cell>
          <cell r="AP4888">
            <v>0</v>
          </cell>
          <cell r="AQ4888">
            <v>0</v>
          </cell>
          <cell r="AV4888">
            <v>240550000</v>
          </cell>
        </row>
        <row r="4889">
          <cell r="E4889" t="str">
            <v>D26000424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D26000425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D26000426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B26000562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D26000644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D26000658</v>
          </cell>
          <cell r="AP4894">
            <v>0</v>
          </cell>
          <cell r="AQ4894">
            <v>0</v>
          </cell>
          <cell r="AV4894">
            <v>79000000</v>
          </cell>
        </row>
        <row r="4895">
          <cell r="E4895" t="str">
            <v>D26000659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D26000668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D26000829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D26001193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D26001204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D26001295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D26001479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D26002013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D26002216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D26002217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D26002218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D26002219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D26002226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D26002242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D26002282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D26002431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T25001836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T25001236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D26001993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T25000648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R25000130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B25016710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B25016919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>
            <v>260002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D26000076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D26000108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B26000201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D26000836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B26000929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D26001388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B26001991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B25017113</v>
          </cell>
          <cell r="AP4926">
            <v>0</v>
          </cell>
          <cell r="AQ4926">
            <v>0</v>
          </cell>
          <cell r="AV4926">
            <v>1100000</v>
          </cell>
        </row>
        <row r="4927">
          <cell r="E4927" t="str">
            <v>D26000059</v>
          </cell>
          <cell r="AP4927">
            <v>0</v>
          </cell>
          <cell r="AQ4927">
            <v>0</v>
          </cell>
          <cell r="AV4927">
            <v>1600000</v>
          </cell>
        </row>
        <row r="4928">
          <cell r="E4928" t="str">
            <v>D26001185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D26001186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D26001693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B26001742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B26002196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T25001640</v>
          </cell>
          <cell r="AP4933">
            <v>0</v>
          </cell>
          <cell r="AQ4933">
            <v>0</v>
          </cell>
          <cell r="AV4933">
            <v>2500000</v>
          </cell>
        </row>
        <row r="4934">
          <cell r="E4934" t="str">
            <v>T25001640</v>
          </cell>
          <cell r="AP4934">
            <v>0</v>
          </cell>
          <cell r="AQ4934">
            <v>0</v>
          </cell>
          <cell r="AV4934">
            <v>680000</v>
          </cell>
        </row>
        <row r="4935">
          <cell r="E4935" t="str">
            <v>D25019122</v>
          </cell>
          <cell r="AP4935">
            <v>0</v>
          </cell>
          <cell r="AQ4935">
            <v>0</v>
          </cell>
          <cell r="AV4935">
            <v>1320000</v>
          </cell>
        </row>
        <row r="4936">
          <cell r="E4936" t="str">
            <v>D26000103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B26000774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T26000047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T26000109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D26000714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D26000715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T26000036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B26000960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B26001297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C26000123</v>
          </cell>
          <cell r="AP4945">
            <v>0</v>
          </cell>
          <cell r="AQ4945">
            <v>0</v>
          </cell>
          <cell r="AV4945">
            <v>275000</v>
          </cell>
        </row>
        <row r="4946">
          <cell r="E4946" t="str">
            <v>T25001726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T25001727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T25001891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T25001499k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D25016324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B25014290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T25001642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B25014665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D25017559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D25017560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T25001743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B25015759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B25015760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B25016494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B25016495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B26000065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B26000407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B26000801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B26000802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T26000052k</v>
          </cell>
          <cell r="AP4965">
            <v>0</v>
          </cell>
          <cell r="AQ4965">
            <v>0</v>
          </cell>
          <cell r="AV4965">
            <v>0</v>
          </cell>
        </row>
        <row r="4966">
          <cell r="E4966" t="str">
            <v>T26000053</v>
          </cell>
          <cell r="AP4966">
            <v>0</v>
          </cell>
          <cell r="AQ4966">
            <v>0</v>
          </cell>
          <cell r="AV4966">
            <v>0</v>
          </cell>
        </row>
        <row r="4967">
          <cell r="E4967" t="str">
            <v>B26000919</v>
          </cell>
          <cell r="AP4967">
            <v>0</v>
          </cell>
          <cell r="AQ4967">
            <v>0</v>
          </cell>
          <cell r="AV4967">
            <v>0</v>
          </cell>
        </row>
        <row r="4968">
          <cell r="E4968" t="str">
            <v>B26001531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B26001532</v>
          </cell>
          <cell r="AP4969">
            <v>0</v>
          </cell>
          <cell r="AQ4969">
            <v>0</v>
          </cell>
          <cell r="AV4969">
            <v>0</v>
          </cell>
        </row>
        <row r="4970">
          <cell r="E4970" t="str">
            <v>B26001539</v>
          </cell>
          <cell r="AP4970">
            <v>0</v>
          </cell>
          <cell r="AQ4970">
            <v>0</v>
          </cell>
          <cell r="AV4970">
            <v>1350000</v>
          </cell>
        </row>
        <row r="4971">
          <cell r="E4971" t="str">
            <v>B26001543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B25016130</v>
          </cell>
          <cell r="AP4972">
            <v>0</v>
          </cell>
          <cell r="AQ4972">
            <v>0</v>
          </cell>
          <cell r="AV4972">
            <v>2597800</v>
          </cell>
        </row>
        <row r="4973">
          <cell r="E4973" t="str">
            <v>D25019283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D26001180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B26001811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B26001868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B26001920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D25015072</v>
          </cell>
          <cell r="AP4978">
            <v>0</v>
          </cell>
          <cell r="AQ4978">
            <v>0</v>
          </cell>
          <cell r="AV4978">
            <v>3680000</v>
          </cell>
        </row>
        <row r="4979">
          <cell r="E4979" t="str">
            <v>T25001501</v>
          </cell>
          <cell r="AP4979">
            <v>0</v>
          </cell>
          <cell r="AQ4979">
            <v>0</v>
          </cell>
          <cell r="AV4979">
            <v>1320000</v>
          </cell>
        </row>
        <row r="4980">
          <cell r="E4980" t="str">
            <v>B25015134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D25017600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B25015240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D25018399</v>
          </cell>
          <cell r="AP4983">
            <v>0</v>
          </cell>
          <cell r="AQ4983">
            <v>0</v>
          </cell>
          <cell r="AV4983">
            <v>19200000</v>
          </cell>
        </row>
        <row r="4984">
          <cell r="E4984" t="str">
            <v>B25016041</v>
          </cell>
          <cell r="AP4984">
            <v>0</v>
          </cell>
          <cell r="AQ4984">
            <v>0</v>
          </cell>
          <cell r="AV4984">
            <v>6200000</v>
          </cell>
        </row>
        <row r="4985">
          <cell r="E4985" t="str">
            <v>D25018626</v>
          </cell>
          <cell r="AP4985">
            <v>0</v>
          </cell>
          <cell r="AQ4985">
            <v>0</v>
          </cell>
          <cell r="AV4985">
            <v>8100000</v>
          </cell>
        </row>
        <row r="4986">
          <cell r="E4986" t="str">
            <v>D25018819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D25018822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B25016573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D25019089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D25019270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D25019287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D25019324</v>
          </cell>
          <cell r="AP4992">
            <v>0</v>
          </cell>
          <cell r="AQ4992">
            <v>0</v>
          </cell>
          <cell r="AV4992">
            <v>0</v>
          </cell>
        </row>
        <row r="4993">
          <cell r="E4993" t="str">
            <v>B25017028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B25017059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D25019673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D25019680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D26000202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D26000682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B26000700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D26000778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B26000791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B26001170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B26001181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B26001220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D26001819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D26001838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D26001897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B26001899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D26002405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D26002406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B26000546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D26000254</v>
          </cell>
          <cell r="AP5012">
            <v>0</v>
          </cell>
          <cell r="AQ5012">
            <v>0</v>
          </cell>
          <cell r="AV5012">
            <v>1725000</v>
          </cell>
        </row>
        <row r="5013">
          <cell r="E5013" t="str">
            <v>D26000255</v>
          </cell>
          <cell r="AP5013">
            <v>0</v>
          </cell>
          <cell r="AQ5013">
            <v>0</v>
          </cell>
          <cell r="AV5013">
            <v>900000</v>
          </cell>
        </row>
        <row r="5014">
          <cell r="E5014" t="str">
            <v>D26000398</v>
          </cell>
          <cell r="AP5014">
            <v>0</v>
          </cell>
          <cell r="AQ5014">
            <v>0</v>
          </cell>
          <cell r="AV5014">
            <v>1302000</v>
          </cell>
        </row>
        <row r="5015">
          <cell r="E5015" t="str">
            <v>D26000983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B26001256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D26002170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D26002171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D26000511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D26000510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B26000601</v>
          </cell>
          <cell r="AP5021">
            <v>0</v>
          </cell>
          <cell r="AQ5021">
            <v>0</v>
          </cell>
          <cell r="AV5021">
            <v>6212000</v>
          </cell>
        </row>
        <row r="5022">
          <cell r="E5022" t="str">
            <v>B26000601</v>
          </cell>
          <cell r="AP5022">
            <v>0</v>
          </cell>
          <cell r="AQ5022">
            <v>0</v>
          </cell>
          <cell r="AV5022">
            <v>500</v>
          </cell>
        </row>
        <row r="5023">
          <cell r="E5023" t="str">
            <v>D26000753</v>
          </cell>
          <cell r="AP5023">
            <v>0</v>
          </cell>
          <cell r="AQ5023">
            <v>0</v>
          </cell>
          <cell r="AV5023">
            <v>2360000</v>
          </cell>
        </row>
        <row r="5024">
          <cell r="E5024" t="str">
            <v>B26001215</v>
          </cell>
          <cell r="AP5024">
            <v>0</v>
          </cell>
          <cell r="AQ5024">
            <v>0</v>
          </cell>
          <cell r="AV5024">
            <v>750000</v>
          </cell>
        </row>
        <row r="5025">
          <cell r="E5025" t="str">
            <v>B26001432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B26001602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B26002174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T25001747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T25001819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D25019551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D25016451</v>
          </cell>
          <cell r="AP5031">
            <v>0</v>
          </cell>
          <cell r="AQ5031">
            <v>0</v>
          </cell>
          <cell r="AV5031">
            <v>10000000</v>
          </cell>
        </row>
        <row r="5032">
          <cell r="E5032" t="str">
            <v>D25016452</v>
          </cell>
          <cell r="AP5032">
            <v>0</v>
          </cell>
          <cell r="AQ5032">
            <v>0</v>
          </cell>
          <cell r="AV5032">
            <v>30000000</v>
          </cell>
        </row>
        <row r="5033">
          <cell r="E5033" t="str">
            <v>D25016452</v>
          </cell>
          <cell r="AP5033">
            <v>0</v>
          </cell>
          <cell r="AQ5033">
            <v>0</v>
          </cell>
          <cell r="AV5033">
            <v>16690000</v>
          </cell>
        </row>
        <row r="5034">
          <cell r="E5034" t="str">
            <v>B25014976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B25015475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B25015792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B25015921</v>
          </cell>
          <cell r="AP5037">
            <v>0</v>
          </cell>
          <cell r="AQ5037">
            <v>0</v>
          </cell>
          <cell r="AV5037">
            <v>918000</v>
          </cell>
        </row>
        <row r="5038">
          <cell r="E5038" t="str">
            <v>D25018359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D25018773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D25018786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D25018825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B25016551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B25016634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D25019495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D25019498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D25019501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B26000318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B26000392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B26000453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D26000518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D26000923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B26001212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B26001213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D26001294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D26001396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B26001431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B26001451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D26001721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B26001878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B26001879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D26001980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D26002007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D26002008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D26002009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B26001921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D25015935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D25015936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D25016102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D25016279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D25016279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D25016337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D25016338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D25016835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D25016835</v>
          </cell>
          <cell r="AP5074">
            <v>0</v>
          </cell>
          <cell r="AQ5074">
            <v>0</v>
          </cell>
          <cell r="AV5074">
            <v>0</v>
          </cell>
        </row>
        <row r="5075">
          <cell r="E5075" t="str">
            <v>D25016876</v>
          </cell>
          <cell r="AP5075">
            <v>0</v>
          </cell>
          <cell r="AQ5075">
            <v>0</v>
          </cell>
          <cell r="AV5075">
            <v>0</v>
          </cell>
        </row>
        <row r="5076">
          <cell r="E5076" t="str">
            <v>D25016876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D25016896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D25016896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D25016967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D25016967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D25016970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D25017010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D25017050</v>
          </cell>
          <cell r="AP5083">
            <v>0</v>
          </cell>
          <cell r="AQ5083">
            <v>0</v>
          </cell>
          <cell r="AV5083">
            <v>0</v>
          </cell>
        </row>
        <row r="5084">
          <cell r="E5084" t="str">
            <v>D25017050</v>
          </cell>
          <cell r="AP5084">
            <v>0</v>
          </cell>
          <cell r="AQ5084">
            <v>0</v>
          </cell>
          <cell r="AV5084">
            <v>0</v>
          </cell>
        </row>
        <row r="5085">
          <cell r="E5085" t="str">
            <v>D25017174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D25017174</v>
          </cell>
          <cell r="AP5086">
            <v>0</v>
          </cell>
          <cell r="AQ5086">
            <v>0</v>
          </cell>
          <cell r="AV5086">
            <v>0</v>
          </cell>
        </row>
        <row r="5087">
          <cell r="E5087" t="str">
            <v>D25017175</v>
          </cell>
          <cell r="AP5087">
            <v>0</v>
          </cell>
          <cell r="AQ5087">
            <v>0</v>
          </cell>
          <cell r="AV5087">
            <v>0</v>
          </cell>
        </row>
        <row r="5088">
          <cell r="E5088" t="str">
            <v>D25017175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D25017274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D25017274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D25017375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D25017375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D25017431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D25017432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D25017461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D25017566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D25017566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D25017567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D25017567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D25017731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D25017731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B25015348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B25015349</v>
          </cell>
          <cell r="AP5103">
            <v>0</v>
          </cell>
          <cell r="AQ5103">
            <v>0</v>
          </cell>
          <cell r="AV5103">
            <v>0</v>
          </cell>
        </row>
        <row r="5104">
          <cell r="E5104" t="str">
            <v>B25015350</v>
          </cell>
          <cell r="AP5104">
            <v>0</v>
          </cell>
          <cell r="AQ5104">
            <v>0</v>
          </cell>
          <cell r="AV5104">
            <v>0</v>
          </cell>
        </row>
        <row r="5105">
          <cell r="E5105" t="str">
            <v>D25018068</v>
          </cell>
          <cell r="AP5105">
            <v>0</v>
          </cell>
          <cell r="AQ5105">
            <v>0</v>
          </cell>
          <cell r="AV5105">
            <v>0</v>
          </cell>
        </row>
        <row r="5106">
          <cell r="E5106" t="str">
            <v>D25018081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D25018081</v>
          </cell>
          <cell r="AP5107">
            <v>0</v>
          </cell>
          <cell r="AQ5107">
            <v>0</v>
          </cell>
          <cell r="AV5107">
            <v>0</v>
          </cell>
        </row>
        <row r="5108">
          <cell r="E5108" t="str">
            <v>D25018082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D25018082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D25018134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D25018134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 t="str">
            <v>D25018377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D25018377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D25018418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D25018428</v>
          </cell>
          <cell r="AP5115">
            <v>0</v>
          </cell>
          <cell r="AQ5115">
            <v>0</v>
          </cell>
          <cell r="AV5115">
            <v>0</v>
          </cell>
        </row>
        <row r="5116">
          <cell r="E5116" t="str">
            <v>B25016088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B25016088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B25016088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D25018512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D25018512</v>
          </cell>
          <cell r="AP5120">
            <v>0</v>
          </cell>
          <cell r="AQ5120">
            <v>0</v>
          </cell>
          <cell r="AV5120">
            <v>0</v>
          </cell>
        </row>
        <row r="5121">
          <cell r="E5121" t="str">
            <v>D25018512</v>
          </cell>
          <cell r="AP5121">
            <v>0</v>
          </cell>
          <cell r="AQ5121">
            <v>0</v>
          </cell>
          <cell r="AV5121">
            <v>0</v>
          </cell>
        </row>
        <row r="5122">
          <cell r="E5122" t="str">
            <v>D25018513</v>
          </cell>
          <cell r="AP5122">
            <v>0</v>
          </cell>
          <cell r="AQ5122">
            <v>0</v>
          </cell>
          <cell r="AV5122">
            <v>0</v>
          </cell>
        </row>
        <row r="5123">
          <cell r="E5123" t="str">
            <v>D25018574</v>
          </cell>
          <cell r="AP5123">
            <v>0</v>
          </cell>
          <cell r="AQ5123">
            <v>0</v>
          </cell>
          <cell r="AV5123">
            <v>0</v>
          </cell>
        </row>
        <row r="5124">
          <cell r="E5124" t="str">
            <v>B25016181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B25016181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B25016194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B25016194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D25018679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D25018679</v>
          </cell>
          <cell r="AP5129">
            <v>0</v>
          </cell>
          <cell r="AQ5129">
            <v>0</v>
          </cell>
          <cell r="AV5129">
            <v>0</v>
          </cell>
        </row>
        <row r="5130">
          <cell r="E5130" t="str">
            <v>D25018679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D25018700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D25018700</v>
          </cell>
          <cell r="AP5132">
            <v>0</v>
          </cell>
          <cell r="AQ5132">
            <v>0</v>
          </cell>
          <cell r="AV5132">
            <v>0</v>
          </cell>
        </row>
        <row r="5133">
          <cell r="E5133" t="str">
            <v>B25016422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B25016422</v>
          </cell>
          <cell r="AP5134">
            <v>0</v>
          </cell>
          <cell r="AQ5134">
            <v>0</v>
          </cell>
          <cell r="AV5134">
            <v>0</v>
          </cell>
        </row>
        <row r="5135">
          <cell r="E5135" t="str">
            <v>B25016422</v>
          </cell>
          <cell r="AP5135">
            <v>0</v>
          </cell>
          <cell r="AQ5135">
            <v>0</v>
          </cell>
          <cell r="AV5135">
            <v>0</v>
          </cell>
        </row>
        <row r="5136">
          <cell r="E5136" t="str">
            <v>T25001856</v>
          </cell>
          <cell r="AP5136">
            <v>0</v>
          </cell>
          <cell r="AQ5136">
            <v>0</v>
          </cell>
          <cell r="AV5136">
            <v>0</v>
          </cell>
        </row>
        <row r="5137">
          <cell r="E5137" t="str">
            <v>B25016444</v>
          </cell>
          <cell r="AP5137">
            <v>0</v>
          </cell>
          <cell r="AQ5137">
            <v>0</v>
          </cell>
          <cell r="AV5137">
            <v>0</v>
          </cell>
        </row>
        <row r="5138">
          <cell r="E5138" t="str">
            <v>D25019031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D25019031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D25019031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D25019031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D25019032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D25019113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D25019125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D25019125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D25019125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D25019136</v>
          </cell>
          <cell r="AP5147">
            <v>0</v>
          </cell>
          <cell r="AQ5147">
            <v>0</v>
          </cell>
          <cell r="AV5147">
            <v>0</v>
          </cell>
        </row>
        <row r="5148">
          <cell r="E5148" t="str">
            <v>D25019232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D25019232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D25019232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D25019232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D25019232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D25019464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D25019542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D25019542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D25019542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D25019543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D25019589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D25019589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D25019590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D25019590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D25019591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D25019591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D25019591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D25019600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D25019608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D25019608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D26000006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D26000068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T26000024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D26000463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D26000494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D26000523</v>
          </cell>
          <cell r="AP5173">
            <v>0</v>
          </cell>
          <cell r="AQ5173">
            <v>0</v>
          </cell>
          <cell r="AV5173">
            <v>0</v>
          </cell>
        </row>
        <row r="5174">
          <cell r="E5174" t="str">
            <v>D26000523</v>
          </cell>
          <cell r="AP5174">
            <v>0</v>
          </cell>
          <cell r="AQ5174">
            <v>0</v>
          </cell>
          <cell r="AV5174">
            <v>0</v>
          </cell>
        </row>
        <row r="5175">
          <cell r="E5175" t="str">
            <v>D26000523</v>
          </cell>
          <cell r="AP5175">
            <v>0</v>
          </cell>
          <cell r="AQ5175">
            <v>0</v>
          </cell>
          <cell r="AV5175">
            <v>0</v>
          </cell>
        </row>
        <row r="5176">
          <cell r="E5176" t="str">
            <v>D26000523</v>
          </cell>
          <cell r="AP5176">
            <v>0</v>
          </cell>
          <cell r="AQ5176">
            <v>0</v>
          </cell>
          <cell r="AV5176">
            <v>0</v>
          </cell>
        </row>
        <row r="5177">
          <cell r="E5177" t="str">
            <v>D26000616</v>
          </cell>
          <cell r="AP5177">
            <v>0</v>
          </cell>
          <cell r="AQ5177">
            <v>449225000</v>
          </cell>
          <cell r="AV5177">
            <v>0</v>
          </cell>
        </row>
        <row r="5178">
          <cell r="E5178" t="str">
            <v>D26000617</v>
          </cell>
          <cell r="AP5178">
            <v>0</v>
          </cell>
          <cell r="AQ5178">
            <v>449225000</v>
          </cell>
          <cell r="AV5178">
            <v>0</v>
          </cell>
        </row>
        <row r="5179">
          <cell r="E5179" t="str">
            <v>D26000618</v>
          </cell>
          <cell r="AP5179">
            <v>0</v>
          </cell>
          <cell r="AQ5179">
            <v>422800000</v>
          </cell>
          <cell r="AV5179">
            <v>0</v>
          </cell>
        </row>
        <row r="5180">
          <cell r="E5180" t="str">
            <v>D26000746</v>
          </cell>
          <cell r="AP5180">
            <v>0</v>
          </cell>
          <cell r="AQ5180">
            <v>0</v>
          </cell>
          <cell r="AV5180">
            <v>0</v>
          </cell>
        </row>
        <row r="5181">
          <cell r="E5181" t="str">
            <v>B26000786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B26000787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D26000842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D26000995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D26000996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D26001094</v>
          </cell>
          <cell r="AP5186">
            <v>0</v>
          </cell>
          <cell r="AQ5186">
            <v>0</v>
          </cell>
          <cell r="AV5186">
            <v>0</v>
          </cell>
        </row>
        <row r="5187">
          <cell r="E5187" t="str">
            <v>D26001095</v>
          </cell>
          <cell r="AP5187">
            <v>0</v>
          </cell>
          <cell r="AQ5187">
            <v>0</v>
          </cell>
          <cell r="AV5187">
            <v>0</v>
          </cell>
        </row>
        <row r="5188">
          <cell r="E5188" t="str">
            <v>D26001096</v>
          </cell>
          <cell r="AP5188">
            <v>0</v>
          </cell>
          <cell r="AQ5188">
            <v>0</v>
          </cell>
          <cell r="AV5188">
            <v>0</v>
          </cell>
        </row>
        <row r="5189">
          <cell r="E5189" t="str">
            <v>B26001106</v>
          </cell>
          <cell r="AP5189">
            <v>0</v>
          </cell>
          <cell r="AQ5189">
            <v>0</v>
          </cell>
          <cell r="AV5189">
            <v>0</v>
          </cell>
        </row>
        <row r="5190">
          <cell r="E5190" t="str">
            <v>B26001107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D26001336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D26001372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D26001495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D26001496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D26001517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D26001542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D26001618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D26001619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D26001688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D26001689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D26001718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D26001743</v>
          </cell>
          <cell r="AP5202">
            <v>0</v>
          </cell>
          <cell r="AQ5202">
            <v>0</v>
          </cell>
          <cell r="AV5202">
            <v>0</v>
          </cell>
        </row>
        <row r="5203">
          <cell r="E5203" t="str">
            <v>D26001744</v>
          </cell>
          <cell r="AP5203">
            <v>0</v>
          </cell>
          <cell r="AQ5203">
            <v>0</v>
          </cell>
          <cell r="AV5203">
            <v>0</v>
          </cell>
        </row>
        <row r="5204">
          <cell r="E5204" t="str">
            <v>B26001717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D26001888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D26001899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B26001866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D26001983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D26002034</v>
          </cell>
          <cell r="AP5209">
            <v>0</v>
          </cell>
          <cell r="AQ5209">
            <v>0</v>
          </cell>
          <cell r="AV5209">
            <v>0</v>
          </cell>
        </row>
        <row r="5210">
          <cell r="E5210" t="str">
            <v>D26002035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D26002122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D26002123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D26002148</v>
          </cell>
          <cell r="AP5213">
            <v>0</v>
          </cell>
          <cell r="AQ5213">
            <v>0</v>
          </cell>
          <cell r="AV5213">
            <v>0</v>
          </cell>
        </row>
        <row r="5214">
          <cell r="E5214" t="str">
            <v>D26002149</v>
          </cell>
          <cell r="AP5214">
            <v>0</v>
          </cell>
          <cell r="AQ5214">
            <v>0</v>
          </cell>
          <cell r="AV5214">
            <v>0</v>
          </cell>
        </row>
        <row r="5215">
          <cell r="E5215" t="str">
            <v>D26002150</v>
          </cell>
          <cell r="AP5215">
            <v>0</v>
          </cell>
          <cell r="AQ5215">
            <v>0</v>
          </cell>
          <cell r="AV5215">
            <v>0</v>
          </cell>
        </row>
        <row r="5216">
          <cell r="E5216" t="str">
            <v>D26002166</v>
          </cell>
          <cell r="AP5216">
            <v>0</v>
          </cell>
          <cell r="AQ5216">
            <v>0</v>
          </cell>
          <cell r="AV5216">
            <v>0</v>
          </cell>
        </row>
        <row r="5217">
          <cell r="E5217" t="str">
            <v>D26002207</v>
          </cell>
          <cell r="AP5217">
            <v>0</v>
          </cell>
          <cell r="AQ5217">
            <v>0</v>
          </cell>
          <cell r="AV5217">
            <v>0</v>
          </cell>
        </row>
        <row r="5218">
          <cell r="E5218" t="str">
            <v>T26000150</v>
          </cell>
          <cell r="AP5218">
            <v>0</v>
          </cell>
          <cell r="AQ5218">
            <v>0</v>
          </cell>
          <cell r="AV5218">
            <v>0</v>
          </cell>
        </row>
        <row r="5219">
          <cell r="E5219" t="str">
            <v>D26002240</v>
          </cell>
          <cell r="AP5219">
            <v>0</v>
          </cell>
          <cell r="AQ5219">
            <v>0</v>
          </cell>
          <cell r="AV5219">
            <v>0</v>
          </cell>
        </row>
        <row r="5220">
          <cell r="E5220" t="str">
            <v>D26002284</v>
          </cell>
          <cell r="AP5220">
            <v>0</v>
          </cell>
          <cell r="AQ5220">
            <v>0</v>
          </cell>
          <cell r="AV5220">
            <v>0</v>
          </cell>
        </row>
        <row r="5221">
          <cell r="E5221" t="str">
            <v>D26002340</v>
          </cell>
          <cell r="AP5221">
            <v>0</v>
          </cell>
          <cell r="AQ5221">
            <v>0</v>
          </cell>
          <cell r="AV5221">
            <v>0</v>
          </cell>
        </row>
        <row r="5222">
          <cell r="E5222" t="str">
            <v>D26002341</v>
          </cell>
          <cell r="AP5222">
            <v>0</v>
          </cell>
          <cell r="AQ5222">
            <v>0</v>
          </cell>
          <cell r="AV5222">
            <v>0</v>
          </cell>
        </row>
        <row r="5223">
          <cell r="E5223" t="str">
            <v>D26002346</v>
          </cell>
          <cell r="AP5223">
            <v>0</v>
          </cell>
          <cell r="AQ5223">
            <v>0</v>
          </cell>
          <cell r="AV5223">
            <v>0</v>
          </cell>
        </row>
        <row r="5224">
          <cell r="E5224" t="str">
            <v>B26002213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B26002214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D26002428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D26002194</v>
          </cell>
          <cell r="AP5227">
            <v>0</v>
          </cell>
          <cell r="AQ5227">
            <v>0</v>
          </cell>
          <cell r="AV5227">
            <v>2992500</v>
          </cell>
        </row>
        <row r="5228">
          <cell r="E5228" t="str">
            <v>D26002195</v>
          </cell>
          <cell r="AP5228">
            <v>0</v>
          </cell>
          <cell r="AQ5228">
            <v>0</v>
          </cell>
          <cell r="AV5228">
            <v>920000</v>
          </cell>
        </row>
        <row r="5229">
          <cell r="E5229" t="str">
            <v>D26002409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B25016794</v>
          </cell>
          <cell r="AP5230">
            <v>0</v>
          </cell>
          <cell r="AQ5230">
            <v>0</v>
          </cell>
          <cell r="AV5230">
            <v>2900000</v>
          </cell>
        </row>
        <row r="5231">
          <cell r="E5231" t="str">
            <v>B25016794</v>
          </cell>
          <cell r="AP5231">
            <v>0</v>
          </cell>
          <cell r="AQ5231">
            <v>0</v>
          </cell>
          <cell r="AV5231">
            <v>2500000</v>
          </cell>
        </row>
        <row r="5232">
          <cell r="E5232" t="str">
            <v>B25016794</v>
          </cell>
          <cell r="AP5232">
            <v>0</v>
          </cell>
          <cell r="AQ5232">
            <v>0</v>
          </cell>
          <cell r="AV5232">
            <v>2000000</v>
          </cell>
        </row>
        <row r="5233">
          <cell r="E5233" t="str">
            <v>D26000007</v>
          </cell>
          <cell r="AP5233">
            <v>0</v>
          </cell>
          <cell r="AQ5233">
            <v>0</v>
          </cell>
          <cell r="AV5233">
            <v>2800000</v>
          </cell>
        </row>
        <row r="5234">
          <cell r="E5234" t="str">
            <v>D26001145</v>
          </cell>
          <cell r="AP5234">
            <v>0</v>
          </cell>
          <cell r="AQ5234">
            <v>0</v>
          </cell>
          <cell r="AV5234">
            <v>0</v>
          </cell>
        </row>
        <row r="5235">
          <cell r="E5235" t="str">
            <v>T26000071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B26002171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B26001314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B26001315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T25001879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D26000261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B26001237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T26000042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D26001211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D26001976</v>
          </cell>
          <cell r="AP5244">
            <v>0</v>
          </cell>
          <cell r="AQ5244">
            <v>0</v>
          </cell>
          <cell r="AV5244">
            <v>1730000</v>
          </cell>
        </row>
        <row r="5245">
          <cell r="E5245" t="str">
            <v>D26001553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B26001652</v>
          </cell>
          <cell r="AP5246">
            <v>0</v>
          </cell>
          <cell r="AQ5246">
            <v>0</v>
          </cell>
          <cell r="AV5246">
            <v>1300000</v>
          </cell>
        </row>
        <row r="5247">
          <cell r="E5247" t="str">
            <v>B26000286</v>
          </cell>
          <cell r="AP5247">
            <v>0</v>
          </cell>
          <cell r="AQ5247">
            <v>0</v>
          </cell>
          <cell r="AV5247">
            <v>11350000</v>
          </cell>
        </row>
        <row r="5248">
          <cell r="E5248" t="str">
            <v>B26000287</v>
          </cell>
          <cell r="AP5248">
            <v>0</v>
          </cell>
          <cell r="AQ5248">
            <v>0</v>
          </cell>
          <cell r="AV5248">
            <v>1800000</v>
          </cell>
        </row>
        <row r="5249">
          <cell r="E5249" t="str">
            <v>D26001189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B26001457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D26002395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D26002396</v>
          </cell>
          <cell r="AP5252">
            <v>0</v>
          </cell>
          <cell r="AQ5252">
            <v>0</v>
          </cell>
          <cell r="AV5252">
            <v>0</v>
          </cell>
        </row>
        <row r="5253">
          <cell r="E5253" t="str">
            <v>B26000473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D26001005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B26001395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B26001556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B26001678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D26001834</v>
          </cell>
          <cell r="AP5258">
            <v>0</v>
          </cell>
          <cell r="AQ5258">
            <v>0</v>
          </cell>
          <cell r="AV5258">
            <v>0</v>
          </cell>
        </row>
        <row r="5259">
          <cell r="E5259" t="str">
            <v>B26001826</v>
          </cell>
          <cell r="AP5259">
            <v>0</v>
          </cell>
          <cell r="AQ5259">
            <v>0</v>
          </cell>
          <cell r="AV5259">
            <v>0</v>
          </cell>
        </row>
        <row r="5260">
          <cell r="E5260" t="str">
            <v>D26002065</v>
          </cell>
          <cell r="AP5260">
            <v>0</v>
          </cell>
          <cell r="AQ5260">
            <v>0</v>
          </cell>
          <cell r="AV5260">
            <v>0</v>
          </cell>
        </row>
        <row r="5261">
          <cell r="E5261" t="str">
            <v>B26002059</v>
          </cell>
          <cell r="AP5261">
            <v>0</v>
          </cell>
          <cell r="AQ5261">
            <v>0</v>
          </cell>
          <cell r="AV5261">
            <v>0</v>
          </cell>
        </row>
        <row r="5262">
          <cell r="E5262" t="str">
            <v>D26002329</v>
          </cell>
          <cell r="AP5262">
            <v>0</v>
          </cell>
          <cell r="AQ5262">
            <v>0</v>
          </cell>
          <cell r="AV5262">
            <v>0</v>
          </cell>
        </row>
        <row r="5263">
          <cell r="E5263" t="str">
            <v>B26002197</v>
          </cell>
          <cell r="AP5263">
            <v>0</v>
          </cell>
          <cell r="AQ5263">
            <v>0</v>
          </cell>
          <cell r="AV5263">
            <v>0</v>
          </cell>
        </row>
        <row r="5264">
          <cell r="E5264" t="str">
            <v>D26000582</v>
          </cell>
          <cell r="AP5264">
            <v>0</v>
          </cell>
          <cell r="AQ5264">
            <v>0</v>
          </cell>
          <cell r="AV5264">
            <v>0</v>
          </cell>
        </row>
        <row r="5265">
          <cell r="E5265" t="str">
            <v>B26000779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D23006230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N25000011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B26001332</v>
          </cell>
          <cell r="AP5268">
            <v>4680000</v>
          </cell>
          <cell r="AQ5268">
            <v>0</v>
          </cell>
          <cell r="AV5268">
            <v>0</v>
          </cell>
        </row>
        <row r="5269">
          <cell r="E5269" t="str">
            <v>B26001727</v>
          </cell>
          <cell r="AP5269">
            <v>0</v>
          </cell>
          <cell r="AQ5269">
            <v>0</v>
          </cell>
          <cell r="AV5269">
            <v>14100000</v>
          </cell>
        </row>
        <row r="5270">
          <cell r="E5270" t="str">
            <v>D26002322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D26001425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D26001918</v>
          </cell>
          <cell r="AP5272">
            <v>0</v>
          </cell>
          <cell r="AQ5272">
            <v>0</v>
          </cell>
          <cell r="AV5272">
            <v>0</v>
          </cell>
        </row>
        <row r="5273">
          <cell r="E5273" t="str">
            <v>D26001948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D25016305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D25016859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D25016929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D25017131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D25017131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D25017316</v>
          </cell>
          <cell r="AP5279">
            <v>0</v>
          </cell>
          <cell r="AQ5279">
            <v>0</v>
          </cell>
          <cell r="AV5279">
            <v>0</v>
          </cell>
        </row>
        <row r="5280">
          <cell r="E5280" t="str">
            <v>D25017317</v>
          </cell>
          <cell r="AP5280">
            <v>0</v>
          </cell>
          <cell r="AQ5280">
            <v>0</v>
          </cell>
          <cell r="AV5280">
            <v>0</v>
          </cell>
        </row>
        <row r="5281">
          <cell r="E5281" t="str">
            <v>B25015252</v>
          </cell>
          <cell r="AP5281">
            <v>0</v>
          </cell>
          <cell r="AQ5281">
            <v>0</v>
          </cell>
          <cell r="AV5281">
            <v>0</v>
          </cell>
        </row>
        <row r="5282">
          <cell r="E5282" t="str">
            <v>D25017823</v>
          </cell>
          <cell r="AP5282">
            <v>0</v>
          </cell>
          <cell r="AQ5282">
            <v>0</v>
          </cell>
          <cell r="AV5282">
            <v>0</v>
          </cell>
        </row>
        <row r="5283">
          <cell r="E5283" t="str">
            <v>D25018074</v>
          </cell>
          <cell r="AP5283">
            <v>0</v>
          </cell>
          <cell r="AQ5283">
            <v>0</v>
          </cell>
          <cell r="AV5283">
            <v>0</v>
          </cell>
        </row>
        <row r="5284">
          <cell r="E5284" t="str">
            <v>D25018188</v>
          </cell>
          <cell r="AP5284">
            <v>0</v>
          </cell>
          <cell r="AQ5284">
            <v>0</v>
          </cell>
          <cell r="AV5284">
            <v>0</v>
          </cell>
        </row>
        <row r="5285">
          <cell r="E5285" t="str">
            <v>D25018562</v>
          </cell>
          <cell r="AP5285">
            <v>0</v>
          </cell>
          <cell r="AQ5285">
            <v>0</v>
          </cell>
          <cell r="AV5285">
            <v>0</v>
          </cell>
        </row>
        <row r="5286">
          <cell r="E5286" t="str">
            <v>D25018905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D25019034</v>
          </cell>
          <cell r="AP5287">
            <v>0</v>
          </cell>
          <cell r="AQ5287">
            <v>0</v>
          </cell>
          <cell r="AV5287">
            <v>0</v>
          </cell>
        </row>
        <row r="5288">
          <cell r="E5288" t="str">
            <v>D25019035</v>
          </cell>
          <cell r="AP5288">
            <v>0</v>
          </cell>
          <cell r="AQ5288">
            <v>0</v>
          </cell>
          <cell r="AV5288">
            <v>0</v>
          </cell>
        </row>
        <row r="5289">
          <cell r="E5289" t="str">
            <v>D25019085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B25016745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D25019216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D25019236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D25019237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D25019267</v>
          </cell>
          <cell r="AP5294">
            <v>0</v>
          </cell>
          <cell r="AQ5294">
            <v>0</v>
          </cell>
          <cell r="AV5294">
            <v>0</v>
          </cell>
        </row>
        <row r="5295">
          <cell r="E5295" t="str">
            <v>D25019347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D25019451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D25019451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D25019452</v>
          </cell>
          <cell r="AP5298">
            <v>0</v>
          </cell>
          <cell r="AQ5298">
            <v>0</v>
          </cell>
          <cell r="AV5298">
            <v>0</v>
          </cell>
        </row>
        <row r="5299">
          <cell r="E5299" t="str">
            <v>D25019483</v>
          </cell>
          <cell r="AP5299">
            <v>0</v>
          </cell>
          <cell r="AQ5299">
            <v>0</v>
          </cell>
          <cell r="AV5299">
            <v>0</v>
          </cell>
        </row>
        <row r="5300">
          <cell r="E5300" t="str">
            <v>D25019486</v>
          </cell>
          <cell r="AP5300">
            <v>0</v>
          </cell>
          <cell r="AQ5300">
            <v>0</v>
          </cell>
          <cell r="AV5300">
            <v>0</v>
          </cell>
        </row>
        <row r="5301">
          <cell r="E5301" t="str">
            <v>D25019487</v>
          </cell>
          <cell r="AP5301">
            <v>0</v>
          </cell>
          <cell r="AQ5301">
            <v>0</v>
          </cell>
          <cell r="AV5301">
            <v>0</v>
          </cell>
        </row>
        <row r="5302">
          <cell r="E5302" t="str">
            <v>B26000130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D26000445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D26000474</v>
          </cell>
          <cell r="AP5304">
            <v>0</v>
          </cell>
          <cell r="AQ5304">
            <v>81000000</v>
          </cell>
          <cell r="AV5304">
            <v>0</v>
          </cell>
        </row>
        <row r="5305">
          <cell r="E5305" t="str">
            <v>D26000498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D26000499</v>
          </cell>
          <cell r="AP5306">
            <v>0</v>
          </cell>
          <cell r="AQ5306">
            <v>0</v>
          </cell>
          <cell r="AV5306">
            <v>0</v>
          </cell>
        </row>
        <row r="5307">
          <cell r="E5307" t="str">
            <v>D26000519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B26000598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D26000741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D26001098</v>
          </cell>
          <cell r="AP5310">
            <v>0</v>
          </cell>
          <cell r="AQ5310">
            <v>93140000</v>
          </cell>
          <cell r="AV5310">
            <v>0</v>
          </cell>
        </row>
        <row r="5311">
          <cell r="E5311" t="str">
            <v>D26001099</v>
          </cell>
          <cell r="AP5311">
            <v>0</v>
          </cell>
          <cell r="AQ5311">
            <v>119625000</v>
          </cell>
          <cell r="AV5311">
            <v>0</v>
          </cell>
        </row>
        <row r="5312">
          <cell r="E5312" t="str">
            <v>D26001116</v>
          </cell>
          <cell r="AP5312">
            <v>0</v>
          </cell>
          <cell r="AQ5312">
            <v>7500000</v>
          </cell>
          <cell r="AV5312">
            <v>0</v>
          </cell>
        </row>
        <row r="5313">
          <cell r="E5313" t="str">
            <v>B26001236</v>
          </cell>
          <cell r="AP5313">
            <v>0</v>
          </cell>
          <cell r="AQ5313">
            <v>140000000</v>
          </cell>
          <cell r="AV5313">
            <v>0</v>
          </cell>
        </row>
        <row r="5314">
          <cell r="E5314" t="str">
            <v>D26001366</v>
          </cell>
          <cell r="AP5314">
            <v>0</v>
          </cell>
          <cell r="AQ5314">
            <v>29040000</v>
          </cell>
          <cell r="AV5314">
            <v>0</v>
          </cell>
        </row>
        <row r="5315">
          <cell r="E5315" t="str">
            <v>T26000097</v>
          </cell>
          <cell r="AP5315">
            <v>0</v>
          </cell>
          <cell r="AQ5315">
            <v>11750000</v>
          </cell>
          <cell r="AV5315">
            <v>0</v>
          </cell>
        </row>
        <row r="5316">
          <cell r="E5316" t="str">
            <v>D26001501</v>
          </cell>
          <cell r="AP5316">
            <v>0</v>
          </cell>
          <cell r="AQ5316">
            <v>90125000</v>
          </cell>
          <cell r="AV5316">
            <v>0</v>
          </cell>
        </row>
        <row r="5317">
          <cell r="E5317" t="str">
            <v>D26001501</v>
          </cell>
          <cell r="AP5317">
            <v>0</v>
          </cell>
          <cell r="AQ5317">
            <v>11750000</v>
          </cell>
          <cell r="AV5317">
            <v>0</v>
          </cell>
        </row>
        <row r="5318">
          <cell r="E5318" t="str">
            <v>B26001449</v>
          </cell>
          <cell r="AP5318">
            <v>0</v>
          </cell>
          <cell r="AQ5318">
            <v>45600000</v>
          </cell>
          <cell r="AV5318">
            <v>0</v>
          </cell>
        </row>
        <row r="5319">
          <cell r="E5319" t="str">
            <v>D26001526</v>
          </cell>
          <cell r="AP5319">
            <v>0</v>
          </cell>
          <cell r="AQ5319">
            <v>121800000</v>
          </cell>
          <cell r="AV5319">
            <v>0</v>
          </cell>
        </row>
        <row r="5320">
          <cell r="E5320" t="str">
            <v>D26001591</v>
          </cell>
          <cell r="AP5320">
            <v>0</v>
          </cell>
          <cell r="AQ5320">
            <v>81600000</v>
          </cell>
          <cell r="AV5320">
            <v>0</v>
          </cell>
        </row>
        <row r="5321">
          <cell r="E5321" t="str">
            <v>D26001815</v>
          </cell>
          <cell r="AP5321">
            <v>13171175</v>
          </cell>
          <cell r="AQ5321">
            <v>0</v>
          </cell>
          <cell r="AV5321">
            <v>0</v>
          </cell>
        </row>
        <row r="5322">
          <cell r="E5322" t="str">
            <v>D26001863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B26001824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D26002175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D26002203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D26002206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B26002231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B26001816</v>
          </cell>
          <cell r="AP5328">
            <v>0</v>
          </cell>
          <cell r="AQ5328">
            <v>0</v>
          </cell>
          <cell r="AV5328">
            <v>2502500</v>
          </cell>
        </row>
        <row r="5329">
          <cell r="E5329" t="str">
            <v>B26001817</v>
          </cell>
          <cell r="AP5329">
            <v>0</v>
          </cell>
          <cell r="AQ5329">
            <v>0</v>
          </cell>
          <cell r="AV5329">
            <v>3620000</v>
          </cell>
        </row>
        <row r="5330">
          <cell r="E5330" t="str">
            <v>B26001818</v>
          </cell>
          <cell r="AP5330">
            <v>0</v>
          </cell>
          <cell r="AQ5330">
            <v>0</v>
          </cell>
          <cell r="AV5330">
            <v>540000</v>
          </cell>
        </row>
        <row r="5331">
          <cell r="E5331" t="str">
            <v>D26001833</v>
          </cell>
          <cell r="AP5331">
            <v>0</v>
          </cell>
          <cell r="AQ5331">
            <v>0</v>
          </cell>
          <cell r="AV5331">
            <v>31834000</v>
          </cell>
        </row>
        <row r="5332">
          <cell r="E5332" t="str">
            <v>D25017323</v>
          </cell>
          <cell r="AP5332">
            <v>0</v>
          </cell>
          <cell r="AQ5332">
            <v>0</v>
          </cell>
          <cell r="AV5332">
            <v>4000000</v>
          </cell>
        </row>
        <row r="5333">
          <cell r="E5333" t="str">
            <v>D25017324</v>
          </cell>
          <cell r="AP5333">
            <v>0</v>
          </cell>
          <cell r="AQ5333">
            <v>0</v>
          </cell>
          <cell r="AV5333">
            <v>0</v>
          </cell>
        </row>
        <row r="5334">
          <cell r="E5334" t="str">
            <v>B25015963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D25018569</v>
          </cell>
          <cell r="AP5335">
            <v>0</v>
          </cell>
          <cell r="AQ5335">
            <v>0</v>
          </cell>
          <cell r="AV5335">
            <v>0</v>
          </cell>
        </row>
        <row r="5336">
          <cell r="E5336" t="str">
            <v>B25017002</v>
          </cell>
          <cell r="AP5336">
            <v>0</v>
          </cell>
          <cell r="AQ5336">
            <v>0</v>
          </cell>
          <cell r="AV5336">
            <v>0</v>
          </cell>
        </row>
        <row r="5337">
          <cell r="E5337" t="str">
            <v>B25017003</v>
          </cell>
          <cell r="AP5337">
            <v>0</v>
          </cell>
          <cell r="AQ5337">
            <v>0</v>
          </cell>
          <cell r="AV5337">
            <v>0</v>
          </cell>
        </row>
        <row r="5338">
          <cell r="E5338" t="str">
            <v>B25017004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B25017041</v>
          </cell>
          <cell r="AP5339">
            <v>0</v>
          </cell>
          <cell r="AQ5339">
            <v>0</v>
          </cell>
          <cell r="AV5339">
            <v>0</v>
          </cell>
        </row>
        <row r="5340">
          <cell r="E5340" t="str">
            <v>B25017046</v>
          </cell>
          <cell r="AP5340">
            <v>0</v>
          </cell>
          <cell r="AQ5340">
            <v>0</v>
          </cell>
          <cell r="AV5340">
            <v>0</v>
          </cell>
        </row>
        <row r="5341">
          <cell r="E5341" t="str">
            <v>D26001049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D26001050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B26001138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Z25002988</v>
          </cell>
          <cell r="AP5344">
            <v>0</v>
          </cell>
          <cell r="AQ5344">
            <v>0</v>
          </cell>
          <cell r="AV5344">
            <v>200000000</v>
          </cell>
        </row>
        <row r="5345">
          <cell r="E5345" t="str">
            <v>Z25002988</v>
          </cell>
          <cell r="AP5345">
            <v>0</v>
          </cell>
          <cell r="AQ5345">
            <v>0</v>
          </cell>
          <cell r="AV5345">
            <v>156250000</v>
          </cell>
        </row>
        <row r="5346">
          <cell r="E5346" t="str">
            <v>Z25002989</v>
          </cell>
          <cell r="AP5346">
            <v>0</v>
          </cell>
          <cell r="AQ5346">
            <v>0</v>
          </cell>
          <cell r="AV5346">
            <v>43750000</v>
          </cell>
        </row>
        <row r="5347">
          <cell r="E5347" t="str">
            <v>Z25002989</v>
          </cell>
          <cell r="AP5347">
            <v>0</v>
          </cell>
          <cell r="AQ5347">
            <v>0</v>
          </cell>
          <cell r="AV5347">
            <v>65540000</v>
          </cell>
        </row>
        <row r="5348">
          <cell r="E5348" t="str">
            <v>T25001736</v>
          </cell>
          <cell r="AP5348">
            <v>0</v>
          </cell>
          <cell r="AQ5348">
            <v>0</v>
          </cell>
          <cell r="AV5348">
            <v>25600000</v>
          </cell>
        </row>
        <row r="5349">
          <cell r="E5349" t="str">
            <v>Z25003036</v>
          </cell>
          <cell r="AP5349">
            <v>0</v>
          </cell>
          <cell r="AQ5349">
            <v>0</v>
          </cell>
          <cell r="AV5349">
            <v>2800000</v>
          </cell>
        </row>
        <row r="5350">
          <cell r="E5350" t="str">
            <v>T25001770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Z25003067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Z25003068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Z25003076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Z25003078</v>
          </cell>
          <cell r="AP5354">
            <v>0</v>
          </cell>
          <cell r="AQ5354">
            <v>0</v>
          </cell>
          <cell r="AV5354">
            <v>0</v>
          </cell>
        </row>
        <row r="5355">
          <cell r="E5355" t="str">
            <v>Z25003080</v>
          </cell>
          <cell r="AP5355">
            <v>0</v>
          </cell>
          <cell r="AQ5355">
            <v>0</v>
          </cell>
          <cell r="AV5355">
            <v>0</v>
          </cell>
        </row>
        <row r="5356">
          <cell r="E5356" t="str">
            <v>Z25003085</v>
          </cell>
          <cell r="AP5356">
            <v>0</v>
          </cell>
          <cell r="AQ5356">
            <v>0</v>
          </cell>
          <cell r="AV5356">
            <v>0</v>
          </cell>
        </row>
        <row r="5357">
          <cell r="E5357" t="str">
            <v>Z25003119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Z25003173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Z25003188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Z25003189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Z25003270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Z25003281</v>
          </cell>
          <cell r="AP5362">
            <v>0</v>
          </cell>
          <cell r="AQ5362">
            <v>0</v>
          </cell>
          <cell r="AV5362">
            <v>0</v>
          </cell>
        </row>
        <row r="5363">
          <cell r="E5363" t="str">
            <v>Z25003330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Z25003350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Z25003351</v>
          </cell>
          <cell r="AP5365">
            <v>0</v>
          </cell>
          <cell r="AQ5365">
            <v>0</v>
          </cell>
          <cell r="AV5365">
            <v>0</v>
          </cell>
        </row>
        <row r="5366">
          <cell r="E5366" t="str">
            <v>Z26000022</v>
          </cell>
          <cell r="AP5366">
            <v>0</v>
          </cell>
          <cell r="AQ5366">
            <v>0</v>
          </cell>
          <cell r="AV5366">
            <v>0</v>
          </cell>
        </row>
        <row r="5367">
          <cell r="E5367" t="str">
            <v>Z26000166</v>
          </cell>
          <cell r="AP5367">
            <v>0</v>
          </cell>
          <cell r="AQ5367">
            <v>0</v>
          </cell>
          <cell r="AV5367">
            <v>0</v>
          </cell>
        </row>
        <row r="5368">
          <cell r="E5368" t="str">
            <v>Z26000168</v>
          </cell>
          <cell r="AP5368">
            <v>0</v>
          </cell>
          <cell r="AQ5368">
            <v>0</v>
          </cell>
          <cell r="AV5368">
            <v>262934000</v>
          </cell>
        </row>
        <row r="5369">
          <cell r="E5369" t="str">
            <v>Z26000195</v>
          </cell>
          <cell r="AP5369">
            <v>0</v>
          </cell>
          <cell r="AQ5369">
            <v>0</v>
          </cell>
          <cell r="AV5369">
            <v>111526000</v>
          </cell>
        </row>
        <row r="5370">
          <cell r="E5370" t="str">
            <v>Z26000195</v>
          </cell>
          <cell r="AP5370">
            <v>0</v>
          </cell>
          <cell r="AQ5370">
            <v>0</v>
          </cell>
          <cell r="AV5370">
            <v>422474000</v>
          </cell>
        </row>
        <row r="5371">
          <cell r="E5371" t="str">
            <v>Z26000212</v>
          </cell>
          <cell r="AP5371">
            <v>0</v>
          </cell>
          <cell r="AQ5371">
            <v>0</v>
          </cell>
          <cell r="AV5371">
            <v>0</v>
          </cell>
        </row>
        <row r="5372">
          <cell r="E5372" t="str">
            <v>Z26000213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Z26000221</v>
          </cell>
          <cell r="AP5373">
            <v>0</v>
          </cell>
          <cell r="AQ5373">
            <v>0</v>
          </cell>
          <cell r="AV5373">
            <v>237526000</v>
          </cell>
        </row>
        <row r="5374">
          <cell r="E5374" t="str">
            <v>Z26000221</v>
          </cell>
          <cell r="AP5374">
            <v>0</v>
          </cell>
          <cell r="AQ5374">
            <v>0</v>
          </cell>
          <cell r="AV5374">
            <v>350000000</v>
          </cell>
        </row>
        <row r="5375">
          <cell r="E5375" t="str">
            <v>Z26000221</v>
          </cell>
          <cell r="AP5375">
            <v>0</v>
          </cell>
          <cell r="AQ5375">
            <v>0</v>
          </cell>
          <cell r="AV5375">
            <v>168474000</v>
          </cell>
        </row>
        <row r="5376">
          <cell r="E5376" t="str">
            <v>Z26000222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Z26000242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Z26000245</v>
          </cell>
          <cell r="AP5378">
            <v>0</v>
          </cell>
          <cell r="AQ5378">
            <v>0</v>
          </cell>
          <cell r="AV5378">
            <v>100526000</v>
          </cell>
        </row>
        <row r="5379">
          <cell r="E5379" t="str">
            <v>Z26000245</v>
          </cell>
          <cell r="AP5379">
            <v>0</v>
          </cell>
          <cell r="AQ5379">
            <v>0</v>
          </cell>
          <cell r="AV5379">
            <v>138000000</v>
          </cell>
        </row>
        <row r="5380">
          <cell r="E5380" t="str">
            <v>Z26000245</v>
          </cell>
          <cell r="AP5380">
            <v>0</v>
          </cell>
          <cell r="AQ5380">
            <v>0</v>
          </cell>
          <cell r="AV5380">
            <v>211474000</v>
          </cell>
        </row>
        <row r="5381">
          <cell r="E5381" t="str">
            <v>Z26000273</v>
          </cell>
          <cell r="AP5381">
            <v>0</v>
          </cell>
          <cell r="AQ5381">
            <v>0</v>
          </cell>
          <cell r="AV5381">
            <v>230126000</v>
          </cell>
        </row>
        <row r="5382">
          <cell r="E5382" t="str">
            <v>Z26000306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Z26000317</v>
          </cell>
          <cell r="AP5383">
            <v>0</v>
          </cell>
          <cell r="AQ5383">
            <v>0</v>
          </cell>
          <cell r="AV5383">
            <v>0</v>
          </cell>
        </row>
        <row r="5384">
          <cell r="E5384" t="str">
            <v>Z26000318</v>
          </cell>
          <cell r="AP5384">
            <v>0</v>
          </cell>
          <cell r="AQ5384">
            <v>0</v>
          </cell>
          <cell r="AV5384">
            <v>0</v>
          </cell>
        </row>
        <row r="5385">
          <cell r="E5385" t="str">
            <v>Z26000321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Z26000348</v>
          </cell>
          <cell r="AP5386">
            <v>0</v>
          </cell>
          <cell r="AQ5386">
            <v>0</v>
          </cell>
          <cell r="AV5386">
            <v>131000000</v>
          </cell>
        </row>
        <row r="5387">
          <cell r="E5387" t="str">
            <v>Z26000369</v>
          </cell>
          <cell r="AP5387">
            <v>0</v>
          </cell>
          <cell r="AQ5387">
            <v>0</v>
          </cell>
          <cell r="AV5387">
            <v>262000000</v>
          </cell>
        </row>
        <row r="5388">
          <cell r="E5388" t="str">
            <v>Z26000407</v>
          </cell>
          <cell r="AP5388">
            <v>0</v>
          </cell>
          <cell r="AQ5388">
            <v>0</v>
          </cell>
          <cell r="AV5388">
            <v>0</v>
          </cell>
        </row>
        <row r="5389">
          <cell r="E5389" t="str">
            <v>Z26000408</v>
          </cell>
          <cell r="AP5389">
            <v>0</v>
          </cell>
          <cell r="AQ5389">
            <v>0</v>
          </cell>
          <cell r="AV5389">
            <v>0</v>
          </cell>
        </row>
        <row r="5390">
          <cell r="E5390" t="str">
            <v>Z26000409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Z26000410</v>
          </cell>
          <cell r="AP5391">
            <v>0</v>
          </cell>
          <cell r="AQ5391">
            <v>0</v>
          </cell>
          <cell r="AV5391">
            <v>0</v>
          </cell>
        </row>
        <row r="5392">
          <cell r="E5392" t="str">
            <v>Z26000426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B26000712</v>
          </cell>
          <cell r="AP5393">
            <v>0</v>
          </cell>
          <cell r="AQ5393">
            <v>0</v>
          </cell>
          <cell r="AV5393">
            <v>5700500</v>
          </cell>
        </row>
        <row r="5394">
          <cell r="E5394" t="str">
            <v>B26000742</v>
          </cell>
          <cell r="AP5394">
            <v>0</v>
          </cell>
          <cell r="AQ5394">
            <v>0</v>
          </cell>
          <cell r="AV5394">
            <v>6500000</v>
          </cell>
        </row>
        <row r="5395">
          <cell r="E5395" t="str">
            <v>D26001315</v>
          </cell>
          <cell r="AP5395">
            <v>0</v>
          </cell>
          <cell r="AQ5395">
            <v>0</v>
          </cell>
          <cell r="AV5395">
            <v>1260000</v>
          </cell>
        </row>
        <row r="5396">
          <cell r="E5396" t="str">
            <v>D26001316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B26001819</v>
          </cell>
          <cell r="AP5397">
            <v>0</v>
          </cell>
          <cell r="AQ5397">
            <v>0</v>
          </cell>
          <cell r="AV5397">
            <v>0</v>
          </cell>
        </row>
        <row r="5398">
          <cell r="E5398" t="str">
            <v>B26002172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T25001740</v>
          </cell>
          <cell r="AP5399">
            <v>0</v>
          </cell>
          <cell r="AQ5399">
            <v>0</v>
          </cell>
          <cell r="AV5399">
            <v>0</v>
          </cell>
        </row>
        <row r="5400">
          <cell r="E5400" t="str">
            <v>D25019087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T25001790</v>
          </cell>
          <cell r="AP5401">
            <v>0</v>
          </cell>
          <cell r="AQ5401">
            <v>0</v>
          </cell>
          <cell r="AV5401">
            <v>1440000</v>
          </cell>
        </row>
        <row r="5402">
          <cell r="E5402" t="str">
            <v>T25001884</v>
          </cell>
          <cell r="AP5402">
            <v>0</v>
          </cell>
          <cell r="AQ5402">
            <v>0</v>
          </cell>
          <cell r="AV5402">
            <v>900000</v>
          </cell>
        </row>
        <row r="5403">
          <cell r="E5403" t="str">
            <v>B25017000</v>
          </cell>
          <cell r="AP5403">
            <v>0</v>
          </cell>
          <cell r="AQ5403">
            <v>0</v>
          </cell>
          <cell r="AV5403">
            <v>1560000</v>
          </cell>
        </row>
        <row r="5404">
          <cell r="E5404" t="str">
            <v>D26000418</v>
          </cell>
          <cell r="AP5404">
            <v>0</v>
          </cell>
          <cell r="AQ5404">
            <v>0</v>
          </cell>
          <cell r="AV5404">
            <v>0</v>
          </cell>
        </row>
        <row r="5405">
          <cell r="E5405" t="str">
            <v>D26000444</v>
          </cell>
          <cell r="AP5405">
            <v>0</v>
          </cell>
          <cell r="AQ5405">
            <v>0</v>
          </cell>
          <cell r="AV5405">
            <v>35625000</v>
          </cell>
        </row>
        <row r="5406">
          <cell r="E5406" t="str">
            <v>D26000446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B26001667</v>
          </cell>
          <cell r="AP5407">
            <v>0</v>
          </cell>
          <cell r="AQ5407">
            <v>0</v>
          </cell>
          <cell r="AV5407">
            <v>2460000</v>
          </cell>
        </row>
        <row r="5408">
          <cell r="E5408" t="str">
            <v>D26002247</v>
          </cell>
          <cell r="AP5408">
            <v>0</v>
          </cell>
          <cell r="AQ5408">
            <v>0</v>
          </cell>
          <cell r="AV5408">
            <v>1275000</v>
          </cell>
        </row>
        <row r="5409">
          <cell r="E5409" t="str">
            <v>B26001185</v>
          </cell>
          <cell r="AP5409">
            <v>0</v>
          </cell>
          <cell r="AQ5409">
            <v>0</v>
          </cell>
          <cell r="AV5409">
            <v>25000000</v>
          </cell>
        </row>
        <row r="5410">
          <cell r="E5410" t="str">
            <v>D26001515</v>
          </cell>
          <cell r="AP5410">
            <v>0</v>
          </cell>
          <cell r="AQ5410">
            <v>0</v>
          </cell>
          <cell r="AV5410">
            <v>0</v>
          </cell>
        </row>
        <row r="5411">
          <cell r="E5411" t="str">
            <v>B26001685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B26001773</v>
          </cell>
          <cell r="AP5412">
            <v>0</v>
          </cell>
          <cell r="AQ5412">
            <v>0</v>
          </cell>
          <cell r="AV5412">
            <v>8512500</v>
          </cell>
        </row>
        <row r="5413">
          <cell r="E5413" t="str">
            <v>B26001793</v>
          </cell>
          <cell r="AP5413">
            <v>0</v>
          </cell>
          <cell r="AQ5413">
            <v>0</v>
          </cell>
          <cell r="AV5413">
            <v>285000</v>
          </cell>
        </row>
        <row r="5414">
          <cell r="E5414" t="str">
            <v>B25016264</v>
          </cell>
          <cell r="AP5414">
            <v>0</v>
          </cell>
          <cell r="AQ5414">
            <v>0</v>
          </cell>
          <cell r="AV5414">
            <v>12984000</v>
          </cell>
        </row>
        <row r="5415">
          <cell r="E5415" t="str">
            <v>B25016264</v>
          </cell>
          <cell r="AP5415">
            <v>0</v>
          </cell>
          <cell r="AQ5415">
            <v>0</v>
          </cell>
          <cell r="AV5415">
            <v>15000000</v>
          </cell>
        </row>
        <row r="5416">
          <cell r="E5416" t="str">
            <v>B25016264</v>
          </cell>
          <cell r="AP5416">
            <v>0</v>
          </cell>
          <cell r="AQ5416">
            <v>0</v>
          </cell>
          <cell r="AV5416">
            <v>20000000</v>
          </cell>
        </row>
        <row r="5417">
          <cell r="E5417" t="str">
            <v>D25019138</v>
          </cell>
          <cell r="AP5417">
            <v>0</v>
          </cell>
          <cell r="AQ5417">
            <v>0</v>
          </cell>
          <cell r="AV5417">
            <v>2016000</v>
          </cell>
        </row>
        <row r="5418">
          <cell r="E5418" t="str">
            <v>B25016971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B26000358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D26000464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B26001357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B26001358</v>
          </cell>
          <cell r="AP5422">
            <v>0</v>
          </cell>
          <cell r="AQ5422">
            <v>0</v>
          </cell>
          <cell r="AV5422">
            <v>0</v>
          </cell>
        </row>
        <row r="5423">
          <cell r="E5423" t="str">
            <v>B26001360</v>
          </cell>
          <cell r="AP5423">
            <v>0</v>
          </cell>
          <cell r="AQ5423">
            <v>0</v>
          </cell>
          <cell r="AV5423">
            <v>0</v>
          </cell>
        </row>
        <row r="5424">
          <cell r="E5424" t="str">
            <v>B26001403</v>
          </cell>
          <cell r="AP5424">
            <v>0</v>
          </cell>
          <cell r="AQ5424">
            <v>0</v>
          </cell>
          <cell r="AV5424">
            <v>0</v>
          </cell>
        </row>
        <row r="5425">
          <cell r="E5425" t="str">
            <v>D26000348</v>
          </cell>
          <cell r="AP5425">
            <v>0</v>
          </cell>
          <cell r="AQ5425">
            <v>0</v>
          </cell>
          <cell r="AV5425">
            <v>1580000</v>
          </cell>
        </row>
        <row r="5426">
          <cell r="E5426" t="str">
            <v>B26001074</v>
          </cell>
          <cell r="AP5426">
            <v>0</v>
          </cell>
          <cell r="AQ5426">
            <v>0</v>
          </cell>
          <cell r="AV5426">
            <v>395000</v>
          </cell>
        </row>
        <row r="5427">
          <cell r="E5427" t="str">
            <v>B26001833</v>
          </cell>
          <cell r="AP5427">
            <v>0</v>
          </cell>
          <cell r="AQ5427">
            <v>0</v>
          </cell>
          <cell r="AV5427">
            <v>0</v>
          </cell>
        </row>
        <row r="5428">
          <cell r="E5428" t="str">
            <v>B26001835</v>
          </cell>
          <cell r="AP5428">
            <v>0</v>
          </cell>
          <cell r="AQ5428">
            <v>0</v>
          </cell>
          <cell r="AV5428">
            <v>0</v>
          </cell>
        </row>
        <row r="5429">
          <cell r="E5429" t="str">
            <v>B26001965</v>
          </cell>
          <cell r="AP5429">
            <v>0</v>
          </cell>
          <cell r="AQ5429">
            <v>0</v>
          </cell>
          <cell r="AV5429">
            <v>0</v>
          </cell>
        </row>
        <row r="5430">
          <cell r="E5430" t="str">
            <v>B26001990</v>
          </cell>
          <cell r="AP5430">
            <v>0</v>
          </cell>
          <cell r="AQ5430">
            <v>0</v>
          </cell>
          <cell r="AV5430">
            <v>0</v>
          </cell>
        </row>
        <row r="5431">
          <cell r="E5431" t="str">
            <v>D26002168</v>
          </cell>
          <cell r="AP5431">
            <v>0</v>
          </cell>
          <cell r="AQ5431">
            <v>0</v>
          </cell>
          <cell r="AV5431">
            <v>0</v>
          </cell>
        </row>
        <row r="5432">
          <cell r="E5432" t="str">
            <v>D26002293</v>
          </cell>
          <cell r="AP5432">
            <v>0</v>
          </cell>
          <cell r="AQ5432">
            <v>0</v>
          </cell>
          <cell r="AV5432">
            <v>0</v>
          </cell>
        </row>
        <row r="5433">
          <cell r="E5433" t="str">
            <v>B25015653</v>
          </cell>
          <cell r="AP5433">
            <v>0</v>
          </cell>
          <cell r="AQ5433">
            <v>0</v>
          </cell>
          <cell r="AV5433">
            <v>5760000</v>
          </cell>
        </row>
        <row r="5434">
          <cell r="E5434" t="str">
            <v>D26001506</v>
          </cell>
          <cell r="AP5434">
            <v>0</v>
          </cell>
          <cell r="AQ5434">
            <v>0</v>
          </cell>
          <cell r="AV5434">
            <v>0</v>
          </cell>
        </row>
        <row r="5435">
          <cell r="E5435" t="str">
            <v>D26002326</v>
          </cell>
          <cell r="AP5435">
            <v>0</v>
          </cell>
          <cell r="AQ5435">
            <v>0</v>
          </cell>
          <cell r="AV5435">
            <v>3650000</v>
          </cell>
        </row>
        <row r="5436">
          <cell r="E5436" t="str">
            <v>D25019337</v>
          </cell>
          <cell r="AP5436">
            <v>0</v>
          </cell>
          <cell r="AQ5436">
            <v>0</v>
          </cell>
          <cell r="AV5436">
            <v>9700000</v>
          </cell>
        </row>
        <row r="5437">
          <cell r="E5437" t="str">
            <v>D25019338</v>
          </cell>
          <cell r="AP5437">
            <v>0</v>
          </cell>
          <cell r="AQ5437">
            <v>0</v>
          </cell>
          <cell r="AV5437">
            <v>2415000</v>
          </cell>
        </row>
        <row r="5438">
          <cell r="E5438" t="str">
            <v>B25016943</v>
          </cell>
          <cell r="AP5438">
            <v>0</v>
          </cell>
          <cell r="AQ5438">
            <v>0</v>
          </cell>
          <cell r="AV5438">
            <v>0</v>
          </cell>
        </row>
        <row r="5439">
          <cell r="E5439" t="str">
            <v>B25017062</v>
          </cell>
          <cell r="AP5439">
            <v>0</v>
          </cell>
          <cell r="AQ5439">
            <v>0</v>
          </cell>
          <cell r="AV5439">
            <v>0</v>
          </cell>
        </row>
        <row r="5440">
          <cell r="E5440" t="str">
            <v>B25017083</v>
          </cell>
          <cell r="AP5440">
            <v>0</v>
          </cell>
          <cell r="AQ5440">
            <v>0</v>
          </cell>
          <cell r="AV5440">
            <v>0</v>
          </cell>
        </row>
        <row r="5441">
          <cell r="E5441" t="str">
            <v>D26001261</v>
          </cell>
          <cell r="AP5441">
            <v>0</v>
          </cell>
          <cell r="AQ5441">
            <v>0</v>
          </cell>
          <cell r="AV5441">
            <v>0</v>
          </cell>
        </row>
        <row r="5442">
          <cell r="E5442" t="str">
            <v>D26001329</v>
          </cell>
          <cell r="AP5442">
            <v>0</v>
          </cell>
          <cell r="AQ5442">
            <v>0</v>
          </cell>
          <cell r="AV5442">
            <v>0</v>
          </cell>
        </row>
        <row r="5443">
          <cell r="E5443" t="str">
            <v>B26001269</v>
          </cell>
          <cell r="AP5443">
            <v>0</v>
          </cell>
          <cell r="AQ5443">
            <v>0</v>
          </cell>
          <cell r="AV5443">
            <v>0</v>
          </cell>
        </row>
        <row r="5444">
          <cell r="E5444" t="str">
            <v>B26001809</v>
          </cell>
          <cell r="AP5444">
            <v>0</v>
          </cell>
          <cell r="AQ5444">
            <v>0</v>
          </cell>
          <cell r="AV5444">
            <v>1525000</v>
          </cell>
        </row>
        <row r="5445">
          <cell r="E5445" t="str">
            <v>B26001810</v>
          </cell>
          <cell r="AP5445">
            <v>0</v>
          </cell>
          <cell r="AQ5445">
            <v>0</v>
          </cell>
          <cell r="AV5445">
            <v>3275000</v>
          </cell>
        </row>
        <row r="5446">
          <cell r="E5446" t="str">
            <v>D26001954</v>
          </cell>
          <cell r="AP5446">
            <v>0</v>
          </cell>
          <cell r="AQ5446">
            <v>0</v>
          </cell>
          <cell r="AV5446">
            <v>1835000</v>
          </cell>
        </row>
        <row r="5447">
          <cell r="E5447" t="str">
            <v>D26001637</v>
          </cell>
          <cell r="AP5447">
            <v>0</v>
          </cell>
          <cell r="AQ5447">
            <v>0</v>
          </cell>
          <cell r="AV5447">
            <v>21628800</v>
          </cell>
        </row>
        <row r="5448">
          <cell r="E5448" t="str">
            <v>D26001638</v>
          </cell>
          <cell r="AP5448">
            <v>0</v>
          </cell>
          <cell r="AQ5448">
            <v>0</v>
          </cell>
          <cell r="AV5448">
            <v>8026000</v>
          </cell>
        </row>
        <row r="5449">
          <cell r="E5449" t="str">
            <v>D26001661</v>
          </cell>
          <cell r="AP5449">
            <v>0</v>
          </cell>
          <cell r="AQ5449">
            <v>0</v>
          </cell>
          <cell r="AV5449">
            <v>4424000</v>
          </cell>
        </row>
        <row r="5450">
          <cell r="E5450" t="str">
            <v>D26001662</v>
          </cell>
          <cell r="AP5450">
            <v>0</v>
          </cell>
          <cell r="AQ5450">
            <v>0</v>
          </cell>
          <cell r="AV5450">
            <v>1960000</v>
          </cell>
        </row>
        <row r="5451">
          <cell r="E5451" t="str">
            <v>D26001827</v>
          </cell>
          <cell r="AP5451">
            <v>0</v>
          </cell>
          <cell r="AQ5451">
            <v>0</v>
          </cell>
          <cell r="AV5451">
            <v>32025000</v>
          </cell>
        </row>
        <row r="5452">
          <cell r="E5452" t="str">
            <v>D26001828</v>
          </cell>
          <cell r="AP5452">
            <v>0</v>
          </cell>
          <cell r="AQ5452">
            <v>0</v>
          </cell>
          <cell r="AV5452">
            <v>537500</v>
          </cell>
        </row>
        <row r="5453">
          <cell r="E5453" t="str">
            <v>D26001829</v>
          </cell>
          <cell r="AP5453">
            <v>0</v>
          </cell>
          <cell r="AQ5453">
            <v>0</v>
          </cell>
          <cell r="AV5453">
            <v>1600000</v>
          </cell>
        </row>
        <row r="5454">
          <cell r="E5454" t="str">
            <v>D26001830</v>
          </cell>
          <cell r="AP5454">
            <v>0</v>
          </cell>
          <cell r="AQ5454">
            <v>0</v>
          </cell>
          <cell r="AV5454">
            <v>0</v>
          </cell>
        </row>
        <row r="5455">
          <cell r="E5455" t="str">
            <v>D26001830</v>
          </cell>
          <cell r="AP5455">
            <v>0</v>
          </cell>
          <cell r="AQ5455">
            <v>0</v>
          </cell>
          <cell r="AV5455">
            <v>2688000</v>
          </cell>
        </row>
        <row r="5456">
          <cell r="E5456" t="str">
            <v>D26002011</v>
          </cell>
          <cell r="AP5456">
            <v>0</v>
          </cell>
          <cell r="AQ5456">
            <v>0</v>
          </cell>
          <cell r="AV5456">
            <v>5920000</v>
          </cell>
        </row>
        <row r="5457">
          <cell r="E5457" t="str">
            <v>B26001895</v>
          </cell>
          <cell r="AP5457">
            <v>0</v>
          </cell>
          <cell r="AQ5457">
            <v>0</v>
          </cell>
          <cell r="AV5457">
            <v>6680000</v>
          </cell>
        </row>
        <row r="5458">
          <cell r="E5458" t="str">
            <v>D26002279</v>
          </cell>
          <cell r="AP5458">
            <v>0</v>
          </cell>
          <cell r="AQ5458">
            <v>0</v>
          </cell>
          <cell r="AV5458">
            <v>0</v>
          </cell>
        </row>
        <row r="5459">
          <cell r="E5459" t="str">
            <v>D26002280</v>
          </cell>
          <cell r="AP5459">
            <v>0</v>
          </cell>
          <cell r="AQ5459">
            <v>0</v>
          </cell>
          <cell r="AV5459">
            <v>0</v>
          </cell>
        </row>
        <row r="5460">
          <cell r="E5460" t="str">
            <v>D26002289</v>
          </cell>
          <cell r="AP5460">
            <v>0</v>
          </cell>
          <cell r="AQ5460">
            <v>0</v>
          </cell>
          <cell r="AV5460">
            <v>0</v>
          </cell>
        </row>
        <row r="5461">
          <cell r="E5461" t="str">
            <v>D26000097</v>
          </cell>
          <cell r="AP5461">
            <v>0</v>
          </cell>
          <cell r="AQ5461">
            <v>0</v>
          </cell>
          <cell r="AV5461">
            <v>0</v>
          </cell>
        </row>
        <row r="5462">
          <cell r="E5462" t="str">
            <v>B26000169</v>
          </cell>
          <cell r="AP5462">
            <v>0</v>
          </cell>
          <cell r="AQ5462">
            <v>0</v>
          </cell>
          <cell r="AV5462">
            <v>0</v>
          </cell>
        </row>
        <row r="5463">
          <cell r="E5463" t="str">
            <v>B26000708</v>
          </cell>
          <cell r="AP5463">
            <v>0</v>
          </cell>
          <cell r="AQ5463">
            <v>0</v>
          </cell>
          <cell r="AV5463">
            <v>0</v>
          </cell>
        </row>
        <row r="5464">
          <cell r="E5464" t="str">
            <v>B26000709</v>
          </cell>
          <cell r="AP5464">
            <v>0</v>
          </cell>
          <cell r="AQ5464">
            <v>0</v>
          </cell>
          <cell r="AV5464">
            <v>0</v>
          </cell>
        </row>
        <row r="5465">
          <cell r="E5465" t="str">
            <v>B26000710</v>
          </cell>
          <cell r="AP5465">
            <v>0</v>
          </cell>
          <cell r="AQ5465">
            <v>0</v>
          </cell>
          <cell r="AV5465">
            <v>0</v>
          </cell>
        </row>
        <row r="5466">
          <cell r="E5466" t="str">
            <v>B26000711</v>
          </cell>
          <cell r="AP5466">
            <v>0</v>
          </cell>
          <cell r="AQ5466">
            <v>0</v>
          </cell>
          <cell r="AV5466">
            <v>0</v>
          </cell>
        </row>
        <row r="5467">
          <cell r="E5467" t="str">
            <v>D26000965</v>
          </cell>
          <cell r="AP5467">
            <v>0</v>
          </cell>
          <cell r="AQ5467">
            <v>0</v>
          </cell>
          <cell r="AV5467">
            <v>0</v>
          </cell>
        </row>
        <row r="5468">
          <cell r="E5468" t="str">
            <v>B26001160</v>
          </cell>
          <cell r="AP5468">
            <v>0</v>
          </cell>
          <cell r="AQ5468">
            <v>0</v>
          </cell>
          <cell r="AV5468">
            <v>0</v>
          </cell>
        </row>
        <row r="5469">
          <cell r="E5469" t="str">
            <v>D26001236</v>
          </cell>
          <cell r="AP5469">
            <v>0</v>
          </cell>
          <cell r="AQ5469">
            <v>0</v>
          </cell>
          <cell r="AV5469">
            <v>0</v>
          </cell>
        </row>
        <row r="5470">
          <cell r="E5470" t="str">
            <v>D26001569</v>
          </cell>
          <cell r="AP5470">
            <v>0</v>
          </cell>
          <cell r="AQ5470">
            <v>0</v>
          </cell>
          <cell r="AV5470">
            <v>0</v>
          </cell>
        </row>
        <row r="5471">
          <cell r="E5471" t="str">
            <v>B26001606</v>
          </cell>
          <cell r="AP5471">
            <v>0</v>
          </cell>
          <cell r="AQ5471">
            <v>0</v>
          </cell>
          <cell r="AV5471">
            <v>7720000</v>
          </cell>
        </row>
        <row r="5472">
          <cell r="E5472" t="str">
            <v>D26001724</v>
          </cell>
          <cell r="AP5472">
            <v>0</v>
          </cell>
          <cell r="AQ5472">
            <v>0</v>
          </cell>
          <cell r="AV5472">
            <v>0</v>
          </cell>
        </row>
        <row r="5473">
          <cell r="E5473" t="str">
            <v>B26001845</v>
          </cell>
          <cell r="AP5473">
            <v>0</v>
          </cell>
          <cell r="AQ5473">
            <v>0</v>
          </cell>
          <cell r="AV5473">
            <v>0</v>
          </cell>
        </row>
        <row r="5474">
          <cell r="E5474" t="str">
            <v>D26002070</v>
          </cell>
          <cell r="AP5474">
            <v>0</v>
          </cell>
          <cell r="AQ5474">
            <v>0</v>
          </cell>
          <cell r="AV5474">
            <v>0</v>
          </cell>
        </row>
        <row r="5475">
          <cell r="E5475" t="str">
            <v>D26002071</v>
          </cell>
          <cell r="AP5475">
            <v>0</v>
          </cell>
          <cell r="AQ5475">
            <v>0</v>
          </cell>
          <cell r="AV5475">
            <v>0</v>
          </cell>
        </row>
        <row r="5476">
          <cell r="E5476" t="str">
            <v>B26002096</v>
          </cell>
          <cell r="AP5476">
            <v>0</v>
          </cell>
          <cell r="AQ5476">
            <v>0</v>
          </cell>
          <cell r="AV5476">
            <v>0</v>
          </cell>
        </row>
        <row r="5477">
          <cell r="E5477">
            <v>250204</v>
          </cell>
          <cell r="AP5477">
            <v>0</v>
          </cell>
          <cell r="AQ5477">
            <v>0</v>
          </cell>
          <cell r="AV5477">
            <v>0</v>
          </cell>
        </row>
        <row r="5478">
          <cell r="E5478" t="str">
            <v>D26000039</v>
          </cell>
          <cell r="AP5478">
            <v>0</v>
          </cell>
          <cell r="AQ5478">
            <v>0</v>
          </cell>
          <cell r="AV5478">
            <v>0</v>
          </cell>
        </row>
        <row r="5479">
          <cell r="E5479" t="str">
            <v>D26000561</v>
          </cell>
          <cell r="AP5479">
            <v>0</v>
          </cell>
          <cell r="AQ5479">
            <v>0</v>
          </cell>
          <cell r="AV5479">
            <v>0</v>
          </cell>
        </row>
        <row r="5480">
          <cell r="E5480" t="str">
            <v>D26001910</v>
          </cell>
          <cell r="AP5480">
            <v>0</v>
          </cell>
          <cell r="AQ5480">
            <v>0</v>
          </cell>
          <cell r="AV5480">
            <v>0</v>
          </cell>
        </row>
        <row r="5481">
          <cell r="E5481" t="str">
            <v>B26001618</v>
          </cell>
          <cell r="AP5481">
            <v>0</v>
          </cell>
          <cell r="AQ5481">
            <v>0</v>
          </cell>
          <cell r="AV5481">
            <v>4380000</v>
          </cell>
        </row>
        <row r="5482">
          <cell r="E5482" t="str">
            <v>D26002402</v>
          </cell>
          <cell r="AP5482">
            <v>0</v>
          </cell>
          <cell r="AQ5482">
            <v>0</v>
          </cell>
          <cell r="AV5482">
            <v>0</v>
          </cell>
        </row>
        <row r="5483">
          <cell r="E5483" t="str">
            <v>D26002267</v>
          </cell>
          <cell r="AP5483">
            <v>0</v>
          </cell>
          <cell r="AQ5483">
            <v>0</v>
          </cell>
          <cell r="AV5483">
            <v>220000000</v>
          </cell>
        </row>
        <row r="5484">
          <cell r="E5484" t="str">
            <v>D26000280</v>
          </cell>
          <cell r="AP5484">
            <v>0</v>
          </cell>
          <cell r="AQ5484">
            <v>0</v>
          </cell>
          <cell r="AV5484">
            <v>50000000</v>
          </cell>
        </row>
        <row r="5485">
          <cell r="E5485" t="str">
            <v>D25016938</v>
          </cell>
          <cell r="AP5485">
            <v>0</v>
          </cell>
          <cell r="AQ5485">
            <v>0</v>
          </cell>
          <cell r="AV5485">
            <v>0</v>
          </cell>
        </row>
        <row r="5486">
          <cell r="E5486" t="str">
            <v>D25017234</v>
          </cell>
          <cell r="AP5486">
            <v>0</v>
          </cell>
          <cell r="AQ5486">
            <v>0</v>
          </cell>
          <cell r="AV5486">
            <v>0</v>
          </cell>
        </row>
        <row r="5487">
          <cell r="E5487" t="str">
            <v>D25019460</v>
          </cell>
          <cell r="AP5487">
            <v>0</v>
          </cell>
          <cell r="AQ5487">
            <v>0</v>
          </cell>
          <cell r="AV5487">
            <v>16100000</v>
          </cell>
        </row>
        <row r="5488">
          <cell r="E5488" t="str">
            <v>D26000110</v>
          </cell>
          <cell r="AP5488">
            <v>0</v>
          </cell>
          <cell r="AQ5488">
            <v>0</v>
          </cell>
          <cell r="AV5488">
            <v>23400000</v>
          </cell>
        </row>
        <row r="5489">
          <cell r="E5489" t="str">
            <v>D26000405</v>
          </cell>
          <cell r="AP5489">
            <v>0</v>
          </cell>
          <cell r="AQ5489">
            <v>0</v>
          </cell>
          <cell r="AV5489">
            <v>0</v>
          </cell>
        </row>
        <row r="5490">
          <cell r="E5490" t="str">
            <v>D26002334</v>
          </cell>
          <cell r="AP5490">
            <v>0</v>
          </cell>
          <cell r="AQ5490">
            <v>0</v>
          </cell>
          <cell r="AV5490">
            <v>0</v>
          </cell>
        </row>
        <row r="5491">
          <cell r="E5491" t="str">
            <v>B26001893</v>
          </cell>
          <cell r="AP5491">
            <v>0</v>
          </cell>
          <cell r="AQ5491">
            <v>0</v>
          </cell>
          <cell r="AV5491">
            <v>1762500</v>
          </cell>
        </row>
        <row r="5492">
          <cell r="E5492" t="str">
            <v>D25018958</v>
          </cell>
          <cell r="AP5492">
            <v>0</v>
          </cell>
          <cell r="AQ5492">
            <v>0</v>
          </cell>
          <cell r="AV5492">
            <v>0</v>
          </cell>
        </row>
        <row r="5493">
          <cell r="E5493" t="str">
            <v>B26000514</v>
          </cell>
          <cell r="AP5493">
            <v>0</v>
          </cell>
          <cell r="AQ5493">
            <v>0</v>
          </cell>
          <cell r="AV5493">
            <v>2366000</v>
          </cell>
        </row>
        <row r="5494">
          <cell r="E5494" t="str">
            <v>B26000981</v>
          </cell>
          <cell r="AP5494">
            <v>0</v>
          </cell>
          <cell r="AQ5494">
            <v>0</v>
          </cell>
          <cell r="AV5494">
            <v>0</v>
          </cell>
        </row>
        <row r="5495">
          <cell r="E5495" t="str">
            <v>B26001490</v>
          </cell>
          <cell r="AP5495">
            <v>0</v>
          </cell>
          <cell r="AQ5495">
            <v>0</v>
          </cell>
          <cell r="AV5495">
            <v>0</v>
          </cell>
        </row>
        <row r="5496">
          <cell r="E5496" t="str">
            <v>D26001622</v>
          </cell>
          <cell r="AP5496">
            <v>0</v>
          </cell>
          <cell r="AQ5496">
            <v>0</v>
          </cell>
          <cell r="AV5496">
            <v>0</v>
          </cell>
        </row>
        <row r="5497">
          <cell r="E5497" t="str">
            <v>D26001651</v>
          </cell>
          <cell r="AP5497">
            <v>0</v>
          </cell>
          <cell r="AQ5497">
            <v>0</v>
          </cell>
          <cell r="AV5497">
            <v>0</v>
          </cell>
        </row>
        <row r="5498">
          <cell r="E5498" t="str">
            <v>B26001873</v>
          </cell>
          <cell r="AP5498">
            <v>0</v>
          </cell>
          <cell r="AQ5498">
            <v>0</v>
          </cell>
          <cell r="AV5498">
            <v>0</v>
          </cell>
        </row>
        <row r="5499">
          <cell r="E5499" t="str">
            <v>Z25003238</v>
          </cell>
          <cell r="AP5499">
            <v>0</v>
          </cell>
          <cell r="AQ5499">
            <v>0</v>
          </cell>
          <cell r="AV5499">
            <v>30000000</v>
          </cell>
        </row>
        <row r="5500">
          <cell r="E5500" t="str">
            <v>Z25003238</v>
          </cell>
          <cell r="AP5500">
            <v>0</v>
          </cell>
          <cell r="AQ5500">
            <v>0</v>
          </cell>
          <cell r="AV5500">
            <v>28100000</v>
          </cell>
        </row>
        <row r="5501">
          <cell r="E5501" t="str">
            <v>Z25003293</v>
          </cell>
          <cell r="AP5501">
            <v>0</v>
          </cell>
          <cell r="AQ5501">
            <v>0</v>
          </cell>
          <cell r="AV5501">
            <v>8437500</v>
          </cell>
        </row>
        <row r="5502">
          <cell r="E5502" t="str">
            <v>Z25003299</v>
          </cell>
          <cell r="AP5502">
            <v>0</v>
          </cell>
          <cell r="AQ5502">
            <v>0</v>
          </cell>
          <cell r="AV5502">
            <v>3462500</v>
          </cell>
        </row>
        <row r="5503">
          <cell r="E5503" t="str">
            <v>Z25003361</v>
          </cell>
          <cell r="AP5503">
            <v>0</v>
          </cell>
          <cell r="AQ5503">
            <v>0</v>
          </cell>
          <cell r="AV5503">
            <v>0</v>
          </cell>
        </row>
        <row r="5504">
          <cell r="E5504" t="str">
            <v>Z25003362</v>
          </cell>
          <cell r="AP5504">
            <v>0</v>
          </cell>
          <cell r="AQ5504">
            <v>0</v>
          </cell>
          <cell r="AV5504">
            <v>0</v>
          </cell>
        </row>
        <row r="5505">
          <cell r="E5505" t="str">
            <v>Z25003367</v>
          </cell>
          <cell r="AP5505">
            <v>0</v>
          </cell>
          <cell r="AQ5505">
            <v>0</v>
          </cell>
          <cell r="AV5505">
            <v>0</v>
          </cell>
        </row>
        <row r="5506">
          <cell r="E5506" t="str">
            <v>Z26000048</v>
          </cell>
          <cell r="AP5506">
            <v>0</v>
          </cell>
          <cell r="AQ5506">
            <v>0</v>
          </cell>
          <cell r="AV5506">
            <v>0</v>
          </cell>
        </row>
        <row r="5507">
          <cell r="E5507" t="str">
            <v>B26000300</v>
          </cell>
          <cell r="AP5507">
            <v>0</v>
          </cell>
          <cell r="AQ5507">
            <v>0</v>
          </cell>
          <cell r="AV5507">
            <v>2830000</v>
          </cell>
        </row>
        <row r="5508">
          <cell r="E5508" t="str">
            <v>D26000454</v>
          </cell>
          <cell r="AP5508">
            <v>0</v>
          </cell>
          <cell r="AQ5508">
            <v>0</v>
          </cell>
          <cell r="AV5508">
            <v>1300000</v>
          </cell>
        </row>
        <row r="5509">
          <cell r="E5509" t="str">
            <v>D26000686</v>
          </cell>
          <cell r="AP5509">
            <v>0</v>
          </cell>
          <cell r="AQ5509">
            <v>0</v>
          </cell>
          <cell r="AV5509">
            <v>0</v>
          </cell>
        </row>
        <row r="5510">
          <cell r="E5510" t="str">
            <v>D26000688</v>
          </cell>
          <cell r="AP5510">
            <v>0</v>
          </cell>
          <cell r="AQ5510">
            <v>0</v>
          </cell>
          <cell r="AV5510">
            <v>0</v>
          </cell>
        </row>
        <row r="5511">
          <cell r="E5511" t="str">
            <v>B25017125</v>
          </cell>
          <cell r="AP5511">
            <v>0</v>
          </cell>
          <cell r="AQ5511">
            <v>0</v>
          </cell>
          <cell r="AV5511">
            <v>1350000</v>
          </cell>
        </row>
        <row r="5512">
          <cell r="E5512" t="str">
            <v>B26000086</v>
          </cell>
          <cell r="AP5512">
            <v>0</v>
          </cell>
          <cell r="AQ5512">
            <v>0</v>
          </cell>
          <cell r="AV5512">
            <v>1680000</v>
          </cell>
        </row>
        <row r="5513">
          <cell r="E5513" t="str">
            <v>D26000063</v>
          </cell>
          <cell r="AP5513">
            <v>0</v>
          </cell>
          <cell r="AQ5513">
            <v>0</v>
          </cell>
          <cell r="AV5513">
            <v>2016000</v>
          </cell>
        </row>
        <row r="5514">
          <cell r="E5514" t="str">
            <v>D26000077</v>
          </cell>
          <cell r="AP5514">
            <v>0</v>
          </cell>
          <cell r="AQ5514">
            <v>0</v>
          </cell>
          <cell r="AV5514">
            <v>3360000</v>
          </cell>
        </row>
        <row r="5515">
          <cell r="E5515" t="str">
            <v>D26000274</v>
          </cell>
          <cell r="AP5515">
            <v>0</v>
          </cell>
          <cell r="AQ5515">
            <v>0</v>
          </cell>
          <cell r="AV5515">
            <v>3170000</v>
          </cell>
        </row>
        <row r="5516">
          <cell r="E5516" t="str">
            <v>B26000399</v>
          </cell>
          <cell r="AP5516">
            <v>0</v>
          </cell>
          <cell r="AQ5516">
            <v>0</v>
          </cell>
          <cell r="AV5516">
            <v>0</v>
          </cell>
        </row>
        <row r="5517">
          <cell r="E5517" t="str">
            <v>D26000415</v>
          </cell>
          <cell r="AP5517">
            <v>0</v>
          </cell>
          <cell r="AQ5517">
            <v>0</v>
          </cell>
          <cell r="AV5517">
            <v>0</v>
          </cell>
        </row>
        <row r="5518">
          <cell r="E5518" t="str">
            <v>B26000470</v>
          </cell>
          <cell r="AP5518">
            <v>0</v>
          </cell>
          <cell r="AQ5518">
            <v>0</v>
          </cell>
          <cell r="AV5518">
            <v>0</v>
          </cell>
        </row>
        <row r="5519">
          <cell r="E5519" t="str">
            <v>D26000645</v>
          </cell>
          <cell r="AP5519">
            <v>0</v>
          </cell>
          <cell r="AQ5519">
            <v>0</v>
          </cell>
          <cell r="AV5519">
            <v>0</v>
          </cell>
        </row>
        <row r="5520">
          <cell r="E5520" t="str">
            <v>D26000927</v>
          </cell>
          <cell r="AP5520">
            <v>0</v>
          </cell>
          <cell r="AQ5520">
            <v>0</v>
          </cell>
          <cell r="AV5520">
            <v>0</v>
          </cell>
        </row>
        <row r="5521">
          <cell r="E5521" t="str">
            <v>D26000940</v>
          </cell>
          <cell r="AP5521">
            <v>0</v>
          </cell>
          <cell r="AQ5521">
            <v>0</v>
          </cell>
          <cell r="AV5521">
            <v>0</v>
          </cell>
        </row>
        <row r="5522">
          <cell r="E5522" t="str">
            <v>D26000976</v>
          </cell>
          <cell r="AP5522">
            <v>0</v>
          </cell>
          <cell r="AQ5522">
            <v>0</v>
          </cell>
          <cell r="AV5522">
            <v>0</v>
          </cell>
        </row>
        <row r="5523">
          <cell r="E5523" t="str">
            <v>B26000992</v>
          </cell>
          <cell r="AP5523">
            <v>0</v>
          </cell>
          <cell r="AQ5523">
            <v>0</v>
          </cell>
          <cell r="AV5523">
            <v>0</v>
          </cell>
        </row>
        <row r="5524">
          <cell r="E5524" t="str">
            <v>D26001052</v>
          </cell>
          <cell r="AP5524">
            <v>0</v>
          </cell>
          <cell r="AQ5524">
            <v>0</v>
          </cell>
          <cell r="AV5524">
            <v>0</v>
          </cell>
        </row>
        <row r="5525">
          <cell r="E5525" t="str">
            <v>B26001050</v>
          </cell>
          <cell r="AP5525">
            <v>0</v>
          </cell>
          <cell r="AQ5525">
            <v>0</v>
          </cell>
          <cell r="AV5525">
            <v>0</v>
          </cell>
        </row>
        <row r="5526">
          <cell r="E5526" t="str">
            <v>N26000011</v>
          </cell>
          <cell r="AP5526">
            <v>0</v>
          </cell>
          <cell r="AQ5526">
            <v>0</v>
          </cell>
          <cell r="AV5526">
            <v>0</v>
          </cell>
        </row>
        <row r="5527">
          <cell r="E5527" t="str">
            <v>D26001235</v>
          </cell>
          <cell r="AP5527">
            <v>0</v>
          </cell>
          <cell r="AQ5527">
            <v>0</v>
          </cell>
          <cell r="AV5527">
            <v>0</v>
          </cell>
        </row>
        <row r="5528">
          <cell r="E5528" t="str">
            <v>D26001612</v>
          </cell>
          <cell r="AP5528">
            <v>0</v>
          </cell>
          <cell r="AQ5528">
            <v>0</v>
          </cell>
          <cell r="AV5528">
            <v>0</v>
          </cell>
        </row>
        <row r="5529">
          <cell r="E5529" t="str">
            <v>D26001663</v>
          </cell>
          <cell r="AP5529">
            <v>0</v>
          </cell>
          <cell r="AQ5529">
            <v>0</v>
          </cell>
          <cell r="AV5529">
            <v>0</v>
          </cell>
        </row>
        <row r="5530">
          <cell r="E5530" t="str">
            <v>D26001664</v>
          </cell>
          <cell r="AP5530">
            <v>0</v>
          </cell>
          <cell r="AQ5530">
            <v>0</v>
          </cell>
          <cell r="AV5530">
            <v>0</v>
          </cell>
        </row>
        <row r="5531">
          <cell r="E5531" t="str">
            <v>D26001789</v>
          </cell>
          <cell r="AP5531">
            <v>0</v>
          </cell>
          <cell r="AQ5531">
            <v>0</v>
          </cell>
          <cell r="AV5531">
            <v>0</v>
          </cell>
        </row>
        <row r="5532">
          <cell r="E5532" t="str">
            <v>D26001790</v>
          </cell>
          <cell r="AP5532">
            <v>0</v>
          </cell>
          <cell r="AQ5532">
            <v>0</v>
          </cell>
          <cell r="AV5532">
            <v>0</v>
          </cell>
        </row>
        <row r="5533">
          <cell r="E5533" t="str">
            <v>B26002028</v>
          </cell>
          <cell r="AP5533">
            <v>0</v>
          </cell>
          <cell r="AQ5533">
            <v>0</v>
          </cell>
          <cell r="AV5533">
            <v>0</v>
          </cell>
        </row>
        <row r="5534">
          <cell r="E5534" t="str">
            <v>D26002197</v>
          </cell>
          <cell r="AP5534">
            <v>0</v>
          </cell>
          <cell r="AQ5534">
            <v>0</v>
          </cell>
          <cell r="AV5534">
            <v>0</v>
          </cell>
        </row>
        <row r="5535">
          <cell r="E5535" t="str">
            <v>T26000117</v>
          </cell>
          <cell r="AP5535">
            <v>0</v>
          </cell>
          <cell r="AQ5535">
            <v>0</v>
          </cell>
          <cell r="AV5535">
            <v>5200000</v>
          </cell>
        </row>
        <row r="5536">
          <cell r="E5536" t="str">
            <v>T26000118</v>
          </cell>
          <cell r="AP5536">
            <v>0</v>
          </cell>
          <cell r="AQ5536">
            <v>0</v>
          </cell>
          <cell r="AV5536">
            <v>0</v>
          </cell>
        </row>
        <row r="5537">
          <cell r="E5537" t="str">
            <v>C26000116</v>
          </cell>
          <cell r="AP5537">
            <v>0</v>
          </cell>
          <cell r="AQ5537">
            <v>0</v>
          </cell>
          <cell r="AV5537">
            <v>0</v>
          </cell>
        </row>
        <row r="5538">
          <cell r="E5538" t="str">
            <v>D26000021</v>
          </cell>
          <cell r="AP5538">
            <v>0</v>
          </cell>
          <cell r="AQ5538">
            <v>0</v>
          </cell>
          <cell r="AV5538">
            <v>35190000</v>
          </cell>
        </row>
        <row r="5539">
          <cell r="E5539" t="str">
            <v>D26000378</v>
          </cell>
          <cell r="AP5539">
            <v>0</v>
          </cell>
          <cell r="AQ5539">
            <v>0</v>
          </cell>
          <cell r="AV5539">
            <v>129255000</v>
          </cell>
        </row>
        <row r="5540">
          <cell r="E5540" t="str">
            <v>D26000397</v>
          </cell>
          <cell r="AP5540">
            <v>0</v>
          </cell>
          <cell r="AQ5540">
            <v>0</v>
          </cell>
          <cell r="AV5540">
            <v>19200000</v>
          </cell>
        </row>
        <row r="5541">
          <cell r="E5541" t="str">
            <v>D26000406</v>
          </cell>
          <cell r="AP5541">
            <v>0</v>
          </cell>
          <cell r="AQ5541">
            <v>0</v>
          </cell>
          <cell r="AV5541">
            <v>2190000</v>
          </cell>
        </row>
        <row r="5542">
          <cell r="E5542" t="str">
            <v>B26000416</v>
          </cell>
          <cell r="AP5542">
            <v>0</v>
          </cell>
          <cell r="AQ5542">
            <v>0</v>
          </cell>
          <cell r="AV5542">
            <v>11850000</v>
          </cell>
        </row>
        <row r="5543">
          <cell r="E5543" t="str">
            <v>D26000599</v>
          </cell>
          <cell r="AP5543">
            <v>0</v>
          </cell>
          <cell r="AQ5543">
            <v>0</v>
          </cell>
          <cell r="AV5543">
            <v>118600000</v>
          </cell>
        </row>
        <row r="5544">
          <cell r="E5544" t="str">
            <v>D26000600</v>
          </cell>
          <cell r="AP5544">
            <v>0</v>
          </cell>
          <cell r="AQ5544">
            <v>0</v>
          </cell>
          <cell r="AV5544">
            <v>21100000</v>
          </cell>
        </row>
        <row r="5545">
          <cell r="E5545" t="str">
            <v>D26000656</v>
          </cell>
          <cell r="AP5545">
            <v>0</v>
          </cell>
          <cell r="AQ5545">
            <v>0</v>
          </cell>
          <cell r="AV5545">
            <v>3760000</v>
          </cell>
        </row>
        <row r="5546">
          <cell r="E5546" t="str">
            <v>D26000731</v>
          </cell>
          <cell r="AP5546">
            <v>0</v>
          </cell>
          <cell r="AQ5546">
            <v>0</v>
          </cell>
          <cell r="AV5546">
            <v>0</v>
          </cell>
        </row>
        <row r="5547">
          <cell r="E5547" t="str">
            <v>D26000781</v>
          </cell>
          <cell r="AP5547">
            <v>0</v>
          </cell>
          <cell r="AQ5547">
            <v>0</v>
          </cell>
          <cell r="AV5547">
            <v>0</v>
          </cell>
        </row>
        <row r="5548">
          <cell r="E5548" t="str">
            <v>D26000782</v>
          </cell>
          <cell r="AP5548">
            <v>0</v>
          </cell>
          <cell r="AQ5548">
            <v>0</v>
          </cell>
          <cell r="AV5548">
            <v>0</v>
          </cell>
        </row>
        <row r="5549">
          <cell r="E5549" t="str">
            <v>D26000817</v>
          </cell>
          <cell r="AP5549">
            <v>0</v>
          </cell>
          <cell r="AQ5549">
            <v>0</v>
          </cell>
          <cell r="AV5549">
            <v>0</v>
          </cell>
        </row>
        <row r="5550">
          <cell r="E5550" t="str">
            <v>B26000975</v>
          </cell>
          <cell r="AP5550">
            <v>0</v>
          </cell>
          <cell r="AQ5550">
            <v>0</v>
          </cell>
          <cell r="AV5550">
            <v>0</v>
          </cell>
        </row>
        <row r="5551">
          <cell r="E5551" t="str">
            <v>D26001060</v>
          </cell>
          <cell r="AP5551">
            <v>0</v>
          </cell>
          <cell r="AQ5551">
            <v>0</v>
          </cell>
          <cell r="AV5551">
            <v>0</v>
          </cell>
        </row>
        <row r="5552">
          <cell r="E5552" t="str">
            <v>B26001069</v>
          </cell>
          <cell r="AP5552">
            <v>0</v>
          </cell>
          <cell r="AQ5552">
            <v>0</v>
          </cell>
          <cell r="AV5552">
            <v>0</v>
          </cell>
        </row>
        <row r="5553">
          <cell r="E5553" t="str">
            <v>D26001263</v>
          </cell>
          <cell r="AP5553">
            <v>0</v>
          </cell>
          <cell r="AQ5553">
            <v>0</v>
          </cell>
          <cell r="AV5553">
            <v>0</v>
          </cell>
        </row>
        <row r="5554">
          <cell r="E5554" t="str">
            <v>D26001654</v>
          </cell>
          <cell r="AP5554">
            <v>0</v>
          </cell>
          <cell r="AQ5554">
            <v>0</v>
          </cell>
          <cell r="AV5554">
            <v>0</v>
          </cell>
        </row>
        <row r="5555">
          <cell r="E5555" t="str">
            <v>B26001674</v>
          </cell>
          <cell r="AP5555">
            <v>0</v>
          </cell>
          <cell r="AQ5555">
            <v>0</v>
          </cell>
          <cell r="AV5555">
            <v>0</v>
          </cell>
        </row>
        <row r="5556">
          <cell r="E5556" t="str">
            <v>D26001998</v>
          </cell>
          <cell r="AP5556">
            <v>0</v>
          </cell>
          <cell r="AQ5556">
            <v>0</v>
          </cell>
          <cell r="AV5556">
            <v>0</v>
          </cell>
        </row>
        <row r="5557">
          <cell r="E5557" t="str">
            <v>B26001982</v>
          </cell>
          <cell r="AP5557">
            <v>0</v>
          </cell>
          <cell r="AQ5557">
            <v>0</v>
          </cell>
          <cell r="AV5557">
            <v>0</v>
          </cell>
        </row>
        <row r="5558">
          <cell r="E5558" t="str">
            <v>Z26000053</v>
          </cell>
          <cell r="AP5558">
            <v>0</v>
          </cell>
          <cell r="AQ5558">
            <v>0</v>
          </cell>
          <cell r="AV5558">
            <v>0</v>
          </cell>
        </row>
        <row r="5559">
          <cell r="E5559" t="str">
            <v>Z26000056</v>
          </cell>
          <cell r="AP5559">
            <v>0</v>
          </cell>
          <cell r="AQ5559">
            <v>0</v>
          </cell>
          <cell r="AV5559">
            <v>0</v>
          </cell>
        </row>
        <row r="5560">
          <cell r="E5560" t="str">
            <v>Z26000124</v>
          </cell>
          <cell r="AP5560">
            <v>0</v>
          </cell>
          <cell r="AQ5560">
            <v>0</v>
          </cell>
          <cell r="AV5560">
            <v>0</v>
          </cell>
        </row>
        <row r="5561">
          <cell r="E5561" t="str">
            <v>T26000043</v>
          </cell>
          <cell r="AP5561">
            <v>0</v>
          </cell>
          <cell r="AQ5561">
            <v>0</v>
          </cell>
          <cell r="AV5561">
            <v>0</v>
          </cell>
        </row>
        <row r="5562">
          <cell r="E5562" t="str">
            <v>Z26000135</v>
          </cell>
          <cell r="AP5562">
            <v>0</v>
          </cell>
          <cell r="AQ5562">
            <v>0</v>
          </cell>
          <cell r="AV5562">
            <v>0</v>
          </cell>
        </row>
        <row r="5563">
          <cell r="E5563" t="str">
            <v>Z26000161</v>
          </cell>
          <cell r="AP5563">
            <v>0</v>
          </cell>
          <cell r="AQ5563">
            <v>0</v>
          </cell>
          <cell r="AV5563">
            <v>0</v>
          </cell>
        </row>
        <row r="5564">
          <cell r="E5564" t="str">
            <v>Z26000200</v>
          </cell>
          <cell r="AP5564">
            <v>0</v>
          </cell>
          <cell r="AQ5564">
            <v>0</v>
          </cell>
          <cell r="AV5564">
            <v>0</v>
          </cell>
        </row>
        <row r="5565">
          <cell r="E5565" t="str">
            <v>Z26000205</v>
          </cell>
          <cell r="AP5565">
            <v>0</v>
          </cell>
          <cell r="AQ5565">
            <v>0</v>
          </cell>
          <cell r="AV5565">
            <v>0</v>
          </cell>
        </row>
        <row r="5566">
          <cell r="E5566" t="str">
            <v>Z26000282</v>
          </cell>
          <cell r="AP5566">
            <v>0</v>
          </cell>
          <cell r="AQ5566">
            <v>0</v>
          </cell>
          <cell r="AV5566">
            <v>0</v>
          </cell>
        </row>
        <row r="5567">
          <cell r="E5567" t="str">
            <v>Z26000390</v>
          </cell>
          <cell r="AP5567">
            <v>0</v>
          </cell>
          <cell r="AQ5567">
            <v>0</v>
          </cell>
          <cell r="AV5567">
            <v>0</v>
          </cell>
        </row>
        <row r="5568">
          <cell r="E5568" t="str">
            <v>T25001673</v>
          </cell>
          <cell r="AP5568">
            <v>0</v>
          </cell>
          <cell r="AQ5568">
            <v>0</v>
          </cell>
          <cell r="AV5568">
            <v>4000000</v>
          </cell>
        </row>
        <row r="5569">
          <cell r="E5569" t="str">
            <v>T26000103</v>
          </cell>
          <cell r="AP5569">
            <v>0</v>
          </cell>
          <cell r="AQ5569">
            <v>0</v>
          </cell>
          <cell r="AV5569">
            <v>0</v>
          </cell>
        </row>
        <row r="5570">
          <cell r="E5570" t="str">
            <v>B26001499</v>
          </cell>
          <cell r="AP5570">
            <v>0</v>
          </cell>
          <cell r="AQ5570">
            <v>0</v>
          </cell>
          <cell r="AV5570">
            <v>0</v>
          </cell>
        </row>
        <row r="5571">
          <cell r="E5571" t="str">
            <v>T26000142</v>
          </cell>
          <cell r="AP5571">
            <v>0</v>
          </cell>
          <cell r="AQ5571">
            <v>0</v>
          </cell>
          <cell r="AV5571">
            <v>0</v>
          </cell>
        </row>
        <row r="5572">
          <cell r="E5572" t="str">
            <v>B25016958</v>
          </cell>
          <cell r="AP5572">
            <v>0</v>
          </cell>
          <cell r="AQ5572">
            <v>0</v>
          </cell>
          <cell r="AV5572">
            <v>490000</v>
          </cell>
        </row>
        <row r="5573">
          <cell r="E5573" t="str">
            <v>D25019518</v>
          </cell>
          <cell r="AP5573">
            <v>0</v>
          </cell>
          <cell r="AQ5573">
            <v>0</v>
          </cell>
          <cell r="AV5573">
            <v>5272000</v>
          </cell>
        </row>
        <row r="5574">
          <cell r="E5574" t="str">
            <v>D25013643</v>
          </cell>
          <cell r="AP5574">
            <v>0</v>
          </cell>
          <cell r="AQ5574">
            <v>0</v>
          </cell>
          <cell r="AV5574">
            <v>0</v>
          </cell>
        </row>
        <row r="5575">
          <cell r="E5575" t="str">
            <v>T26000057K</v>
          </cell>
          <cell r="AP5575">
            <v>0</v>
          </cell>
          <cell r="AQ5575">
            <v>0</v>
          </cell>
          <cell r="AV5575">
            <v>0</v>
          </cell>
        </row>
        <row r="5576">
          <cell r="E5576" t="str">
            <v>D25018530</v>
          </cell>
          <cell r="AP5576">
            <v>0</v>
          </cell>
          <cell r="AQ5576">
            <v>0</v>
          </cell>
          <cell r="AV5576">
            <v>136975000</v>
          </cell>
        </row>
        <row r="5577">
          <cell r="E5577" t="str">
            <v>B25016279</v>
          </cell>
          <cell r="AP5577">
            <v>0</v>
          </cell>
          <cell r="AQ5577">
            <v>0</v>
          </cell>
          <cell r="AV5577">
            <v>3200000</v>
          </cell>
        </row>
        <row r="5578">
          <cell r="E5578" t="str">
            <v>B25016808</v>
          </cell>
          <cell r="AP5578">
            <v>0</v>
          </cell>
          <cell r="AQ5578">
            <v>0</v>
          </cell>
          <cell r="AV5578">
            <v>0</v>
          </cell>
        </row>
        <row r="5579">
          <cell r="E5579" t="str">
            <v>B25016809</v>
          </cell>
          <cell r="AP5579">
            <v>0</v>
          </cell>
          <cell r="AQ5579">
            <v>0</v>
          </cell>
          <cell r="AV5579">
            <v>0</v>
          </cell>
        </row>
        <row r="5580">
          <cell r="E5580" t="str">
            <v>B25016868</v>
          </cell>
          <cell r="AP5580">
            <v>0</v>
          </cell>
          <cell r="AQ5580">
            <v>0</v>
          </cell>
          <cell r="AV5580">
            <v>0</v>
          </cell>
        </row>
        <row r="5581">
          <cell r="E5581" t="str">
            <v>B25016886</v>
          </cell>
          <cell r="AP5581">
            <v>0</v>
          </cell>
          <cell r="AQ5581">
            <v>0</v>
          </cell>
          <cell r="AV5581">
            <v>0</v>
          </cell>
        </row>
        <row r="5582">
          <cell r="E5582" t="str">
            <v>D26000185</v>
          </cell>
          <cell r="AP5582">
            <v>0</v>
          </cell>
          <cell r="AQ5582">
            <v>0</v>
          </cell>
          <cell r="AV5582">
            <v>0</v>
          </cell>
        </row>
        <row r="5583">
          <cell r="E5583" t="str">
            <v>D26000550</v>
          </cell>
          <cell r="AP5583">
            <v>0</v>
          </cell>
          <cell r="AQ5583">
            <v>0</v>
          </cell>
          <cell r="AV5583">
            <v>0</v>
          </cell>
        </row>
        <row r="5584">
          <cell r="E5584" t="str">
            <v>D26001076</v>
          </cell>
          <cell r="AP5584">
            <v>0</v>
          </cell>
          <cell r="AQ5584">
            <v>0</v>
          </cell>
          <cell r="AV5584">
            <v>0</v>
          </cell>
        </row>
        <row r="5585">
          <cell r="E5585" t="str">
            <v>D26001626</v>
          </cell>
          <cell r="AP5585">
            <v>0</v>
          </cell>
          <cell r="AQ5585">
            <v>0</v>
          </cell>
          <cell r="AV5585">
            <v>0</v>
          </cell>
        </row>
        <row r="5586">
          <cell r="E5586" t="str">
            <v>D26001627</v>
          </cell>
          <cell r="AP5586">
            <v>0</v>
          </cell>
          <cell r="AQ5586">
            <v>0</v>
          </cell>
          <cell r="AV5586">
            <v>0</v>
          </cell>
        </row>
        <row r="5587">
          <cell r="E5587" t="str">
            <v>D26001931</v>
          </cell>
          <cell r="AP5587">
            <v>0</v>
          </cell>
          <cell r="AQ5587">
            <v>0</v>
          </cell>
          <cell r="AV5587">
            <v>0</v>
          </cell>
        </row>
        <row r="5588">
          <cell r="E5588" t="str">
            <v>B25017103</v>
          </cell>
          <cell r="AP5588">
            <v>0</v>
          </cell>
          <cell r="AQ5588">
            <v>0</v>
          </cell>
          <cell r="AV5588">
            <v>9900000</v>
          </cell>
        </row>
        <row r="5589">
          <cell r="E5589" t="str">
            <v>B26000302</v>
          </cell>
          <cell r="AP5589">
            <v>0</v>
          </cell>
          <cell r="AQ5589">
            <v>0</v>
          </cell>
          <cell r="AV5589">
            <v>1850000</v>
          </cell>
        </row>
        <row r="5590">
          <cell r="E5590">
            <v>260004</v>
          </cell>
          <cell r="AP5590">
            <v>0</v>
          </cell>
          <cell r="AQ5590">
            <v>0</v>
          </cell>
          <cell r="AV5590">
            <v>0</v>
          </cell>
        </row>
        <row r="5591">
          <cell r="E5591" t="str">
            <v>B26000343</v>
          </cell>
          <cell r="AP5591">
            <v>0</v>
          </cell>
          <cell r="AQ5591">
            <v>0</v>
          </cell>
          <cell r="AV5591">
            <v>4200000</v>
          </cell>
        </row>
        <row r="5592">
          <cell r="E5592" t="str">
            <v>B26000349</v>
          </cell>
          <cell r="AP5592">
            <v>0</v>
          </cell>
          <cell r="AQ5592">
            <v>0</v>
          </cell>
          <cell r="AV5592">
            <v>0</v>
          </cell>
        </row>
        <row r="5593">
          <cell r="E5593" t="str">
            <v>B26000609</v>
          </cell>
          <cell r="AP5593">
            <v>0</v>
          </cell>
          <cell r="AQ5593">
            <v>0</v>
          </cell>
          <cell r="AV5593">
            <v>0</v>
          </cell>
        </row>
        <row r="5594">
          <cell r="E5594" t="str">
            <v>D26000820</v>
          </cell>
          <cell r="AP5594">
            <v>0</v>
          </cell>
          <cell r="AQ5594">
            <v>0</v>
          </cell>
          <cell r="AV5594">
            <v>0</v>
          </cell>
        </row>
        <row r="5595">
          <cell r="E5595" t="str">
            <v>B26000770</v>
          </cell>
          <cell r="AP5595">
            <v>0</v>
          </cell>
          <cell r="AQ5595">
            <v>0</v>
          </cell>
          <cell r="AV5595">
            <v>0</v>
          </cell>
        </row>
        <row r="5596">
          <cell r="E5596" t="str">
            <v>B26000771</v>
          </cell>
          <cell r="AP5596">
            <v>0</v>
          </cell>
          <cell r="AQ5596">
            <v>0</v>
          </cell>
          <cell r="AV5596">
            <v>0</v>
          </cell>
        </row>
        <row r="5597">
          <cell r="E5597" t="str">
            <v>B26000939</v>
          </cell>
          <cell r="AP5597">
            <v>0</v>
          </cell>
          <cell r="AQ5597">
            <v>0</v>
          </cell>
          <cell r="AV5597">
            <v>0</v>
          </cell>
        </row>
        <row r="5598">
          <cell r="E5598" t="str">
            <v>B26000942</v>
          </cell>
          <cell r="AP5598">
            <v>0</v>
          </cell>
          <cell r="AQ5598">
            <v>0</v>
          </cell>
          <cell r="AV5598">
            <v>0</v>
          </cell>
        </row>
        <row r="5599">
          <cell r="E5599" t="str">
            <v>B26001166</v>
          </cell>
          <cell r="AP5599">
            <v>0</v>
          </cell>
          <cell r="AQ5599">
            <v>0</v>
          </cell>
          <cell r="AV5599">
            <v>0</v>
          </cell>
        </row>
        <row r="5600">
          <cell r="E5600" t="str">
            <v>D26001234</v>
          </cell>
          <cell r="AP5600">
            <v>0</v>
          </cell>
          <cell r="AQ5600">
            <v>0</v>
          </cell>
          <cell r="AV5600">
            <v>0</v>
          </cell>
        </row>
        <row r="5601">
          <cell r="E5601" t="str">
            <v>D26001345</v>
          </cell>
          <cell r="AP5601">
            <v>0</v>
          </cell>
          <cell r="AQ5601">
            <v>0</v>
          </cell>
          <cell r="AV5601">
            <v>0</v>
          </cell>
        </row>
        <row r="5602">
          <cell r="E5602" t="str">
            <v>B26001512</v>
          </cell>
          <cell r="AP5602">
            <v>0</v>
          </cell>
          <cell r="AQ5602">
            <v>0</v>
          </cell>
          <cell r="AV5602">
            <v>0</v>
          </cell>
        </row>
        <row r="5603">
          <cell r="E5603" t="str">
            <v>B26001558</v>
          </cell>
          <cell r="AP5603">
            <v>0</v>
          </cell>
          <cell r="AQ5603">
            <v>0</v>
          </cell>
          <cell r="AV5603">
            <v>0</v>
          </cell>
        </row>
        <row r="5604">
          <cell r="E5604" t="str">
            <v>D26001701</v>
          </cell>
          <cell r="AP5604">
            <v>0</v>
          </cell>
          <cell r="AQ5604">
            <v>0</v>
          </cell>
          <cell r="AV5604">
            <v>0</v>
          </cell>
        </row>
        <row r="5605">
          <cell r="E5605" t="str">
            <v>B26001708</v>
          </cell>
          <cell r="AP5605">
            <v>0</v>
          </cell>
          <cell r="AQ5605">
            <v>0</v>
          </cell>
          <cell r="AV5605">
            <v>0</v>
          </cell>
        </row>
        <row r="5606">
          <cell r="E5606" t="str">
            <v>D26001767</v>
          </cell>
          <cell r="AP5606">
            <v>0</v>
          </cell>
          <cell r="AQ5606">
            <v>0</v>
          </cell>
          <cell r="AV5606">
            <v>0</v>
          </cell>
        </row>
        <row r="5607">
          <cell r="E5607" t="str">
            <v>D26002278</v>
          </cell>
          <cell r="AP5607">
            <v>0</v>
          </cell>
          <cell r="AQ5607">
            <v>0</v>
          </cell>
          <cell r="AV5607">
            <v>0</v>
          </cell>
        </row>
        <row r="5608">
          <cell r="E5608" t="str">
            <v>D26002407</v>
          </cell>
          <cell r="AP5608">
            <v>0</v>
          </cell>
          <cell r="AQ5608">
            <v>0</v>
          </cell>
          <cell r="AV5608">
            <v>0</v>
          </cell>
        </row>
        <row r="5609">
          <cell r="E5609" t="str">
            <v>D26002408</v>
          </cell>
          <cell r="AP5609">
            <v>0</v>
          </cell>
          <cell r="AQ5609">
            <v>0</v>
          </cell>
          <cell r="AV5609">
            <v>0</v>
          </cell>
        </row>
        <row r="5610">
          <cell r="E5610" t="str">
            <v>D26000581</v>
          </cell>
          <cell r="AP5610">
            <v>0</v>
          </cell>
          <cell r="AQ5610">
            <v>0</v>
          </cell>
          <cell r="AV5610">
            <v>1500000</v>
          </cell>
        </row>
        <row r="5611">
          <cell r="E5611" t="str">
            <v>D26001070</v>
          </cell>
          <cell r="AP5611">
            <v>0</v>
          </cell>
          <cell r="AQ5611">
            <v>0</v>
          </cell>
          <cell r="AV5611">
            <v>4200000</v>
          </cell>
        </row>
        <row r="5612">
          <cell r="E5612" t="str">
            <v>D26001700</v>
          </cell>
          <cell r="AP5612">
            <v>0</v>
          </cell>
          <cell r="AQ5612">
            <v>0</v>
          </cell>
          <cell r="AV5612">
            <v>0</v>
          </cell>
        </row>
        <row r="5613">
          <cell r="E5613" t="str">
            <v>B26001922</v>
          </cell>
          <cell r="AP5613">
            <v>0</v>
          </cell>
          <cell r="AQ5613">
            <v>0</v>
          </cell>
          <cell r="AV5613">
            <v>0</v>
          </cell>
        </row>
        <row r="5614">
          <cell r="E5614" t="str">
            <v>D26002386</v>
          </cell>
          <cell r="AP5614">
            <v>0</v>
          </cell>
          <cell r="AQ5614">
            <v>0</v>
          </cell>
          <cell r="AV5614">
            <v>0</v>
          </cell>
        </row>
        <row r="5615">
          <cell r="E5615" t="str">
            <v>D26000482</v>
          </cell>
          <cell r="AP5615">
            <v>0</v>
          </cell>
          <cell r="AQ5615">
            <v>0</v>
          </cell>
          <cell r="AV5615">
            <v>1350000</v>
          </cell>
        </row>
        <row r="5616">
          <cell r="E5616" t="str">
            <v>D26000495</v>
          </cell>
          <cell r="AP5616">
            <v>0</v>
          </cell>
          <cell r="AQ5616">
            <v>0</v>
          </cell>
          <cell r="AV5616">
            <v>2100000</v>
          </cell>
        </row>
        <row r="5617">
          <cell r="E5617" t="str">
            <v>B26000552</v>
          </cell>
          <cell r="AP5617">
            <v>0</v>
          </cell>
          <cell r="AQ5617">
            <v>0</v>
          </cell>
          <cell r="AV5617">
            <v>1710000</v>
          </cell>
        </row>
        <row r="5618">
          <cell r="E5618" t="str">
            <v>B26000592</v>
          </cell>
          <cell r="AP5618">
            <v>0</v>
          </cell>
          <cell r="AQ5618">
            <v>0</v>
          </cell>
          <cell r="AV5618">
            <v>2640000</v>
          </cell>
        </row>
        <row r="5619">
          <cell r="E5619" t="str">
            <v>B26000672</v>
          </cell>
          <cell r="AP5619">
            <v>0</v>
          </cell>
          <cell r="AQ5619">
            <v>0</v>
          </cell>
          <cell r="AV5619">
            <v>537500</v>
          </cell>
        </row>
        <row r="5620">
          <cell r="E5620" t="str">
            <v>D26000703</v>
          </cell>
          <cell r="AP5620">
            <v>0</v>
          </cell>
          <cell r="AQ5620">
            <v>0</v>
          </cell>
          <cell r="AV5620">
            <v>14140000</v>
          </cell>
        </row>
        <row r="5621">
          <cell r="E5621" t="str">
            <v>B26000873</v>
          </cell>
          <cell r="AP5621">
            <v>0</v>
          </cell>
          <cell r="AQ5621">
            <v>0</v>
          </cell>
          <cell r="AV5621">
            <v>1800000</v>
          </cell>
        </row>
        <row r="5622">
          <cell r="E5622" t="str">
            <v>D26001176</v>
          </cell>
          <cell r="AP5622">
            <v>0</v>
          </cell>
          <cell r="AQ5622">
            <v>0</v>
          </cell>
          <cell r="AV5622">
            <v>2000000</v>
          </cell>
        </row>
        <row r="5623">
          <cell r="E5623" t="str">
            <v>B26001293</v>
          </cell>
          <cell r="AP5623">
            <v>0</v>
          </cell>
          <cell r="AQ5623">
            <v>0</v>
          </cell>
          <cell r="AV5623">
            <v>11899000</v>
          </cell>
        </row>
        <row r="5624">
          <cell r="E5624" t="str">
            <v>B26001321</v>
          </cell>
          <cell r="AP5624">
            <v>0</v>
          </cell>
          <cell r="AQ5624">
            <v>0</v>
          </cell>
          <cell r="AV5624">
            <v>1416000</v>
          </cell>
        </row>
        <row r="5625">
          <cell r="E5625" t="str">
            <v>D26001398</v>
          </cell>
          <cell r="AP5625">
            <v>0</v>
          </cell>
          <cell r="AQ5625">
            <v>0</v>
          </cell>
          <cell r="AV5625">
            <v>2700000</v>
          </cell>
        </row>
        <row r="5626">
          <cell r="E5626" t="str">
            <v>D26001785</v>
          </cell>
          <cell r="AP5626">
            <v>0</v>
          </cell>
          <cell r="AQ5626">
            <v>0</v>
          </cell>
          <cell r="AV5626">
            <v>0</v>
          </cell>
        </row>
        <row r="5627">
          <cell r="E5627" t="str">
            <v>D26001914</v>
          </cell>
          <cell r="AP5627">
            <v>0</v>
          </cell>
          <cell r="AQ5627">
            <v>0</v>
          </cell>
          <cell r="AV5627">
            <v>33000000</v>
          </cell>
        </row>
        <row r="5628">
          <cell r="E5628" t="str">
            <v>D26002015</v>
          </cell>
          <cell r="AP5628">
            <v>0</v>
          </cell>
          <cell r="AQ5628">
            <v>0</v>
          </cell>
          <cell r="AV5628">
            <v>5340000</v>
          </cell>
        </row>
        <row r="5629">
          <cell r="E5629" t="str">
            <v>D26002054</v>
          </cell>
          <cell r="AP5629">
            <v>0</v>
          </cell>
          <cell r="AQ5629">
            <v>0</v>
          </cell>
          <cell r="AV5629">
            <v>79000000</v>
          </cell>
        </row>
        <row r="5630">
          <cell r="E5630" t="str">
            <v>D26002184</v>
          </cell>
          <cell r="AP5630">
            <v>0</v>
          </cell>
          <cell r="AQ5630">
            <v>0</v>
          </cell>
          <cell r="AV5630">
            <v>0</v>
          </cell>
        </row>
        <row r="5631">
          <cell r="E5631" t="str">
            <v>B26002211</v>
          </cell>
          <cell r="AP5631">
            <v>0</v>
          </cell>
          <cell r="AQ5631">
            <v>0</v>
          </cell>
          <cell r="AV5631">
            <v>0</v>
          </cell>
        </row>
        <row r="5632">
          <cell r="E5632" t="str">
            <v>B26002230</v>
          </cell>
          <cell r="AP5632">
            <v>0</v>
          </cell>
          <cell r="AQ5632">
            <v>0</v>
          </cell>
          <cell r="AV5632">
            <v>0</v>
          </cell>
        </row>
        <row r="5633">
          <cell r="E5633" t="str">
            <v>D25015100</v>
          </cell>
          <cell r="AP5633">
            <v>0</v>
          </cell>
          <cell r="AQ5633">
            <v>0</v>
          </cell>
          <cell r="AV5633">
            <v>57000000</v>
          </cell>
        </row>
        <row r="5634">
          <cell r="E5634" t="str">
            <v>D25016428</v>
          </cell>
          <cell r="AP5634">
            <v>0</v>
          </cell>
          <cell r="AQ5634">
            <v>0</v>
          </cell>
          <cell r="AV5634">
            <v>0</v>
          </cell>
        </row>
        <row r="5635">
          <cell r="E5635" t="str">
            <v>D25016444</v>
          </cell>
          <cell r="AP5635">
            <v>0</v>
          </cell>
          <cell r="AQ5635">
            <v>0</v>
          </cell>
          <cell r="AV5635">
            <v>0</v>
          </cell>
        </row>
        <row r="5636">
          <cell r="E5636" t="str">
            <v>B25014380</v>
          </cell>
          <cell r="AP5636">
            <v>0</v>
          </cell>
          <cell r="AQ5636">
            <v>0</v>
          </cell>
          <cell r="AV5636">
            <v>0</v>
          </cell>
        </row>
        <row r="5637">
          <cell r="E5637" t="str">
            <v>B25014914</v>
          </cell>
          <cell r="AP5637">
            <v>0</v>
          </cell>
          <cell r="AQ5637">
            <v>0</v>
          </cell>
          <cell r="AV5637">
            <v>0</v>
          </cell>
        </row>
        <row r="5638">
          <cell r="E5638" t="str">
            <v>B25014915</v>
          </cell>
          <cell r="AP5638">
            <v>0</v>
          </cell>
          <cell r="AQ5638">
            <v>0</v>
          </cell>
          <cell r="AV5638">
            <v>0</v>
          </cell>
        </row>
        <row r="5639">
          <cell r="E5639" t="str">
            <v>B25014916</v>
          </cell>
          <cell r="AP5639">
            <v>0</v>
          </cell>
          <cell r="AQ5639">
            <v>0</v>
          </cell>
          <cell r="AV5639">
            <v>0</v>
          </cell>
        </row>
        <row r="5640">
          <cell r="E5640" t="str">
            <v>B25014917</v>
          </cell>
          <cell r="AP5640">
            <v>0</v>
          </cell>
          <cell r="AQ5640">
            <v>0</v>
          </cell>
          <cell r="AV5640">
            <v>0</v>
          </cell>
        </row>
        <row r="5641">
          <cell r="E5641" t="str">
            <v>B25014921</v>
          </cell>
          <cell r="AP5641">
            <v>0</v>
          </cell>
          <cell r="AQ5641">
            <v>0</v>
          </cell>
          <cell r="AV5641">
            <v>0</v>
          </cell>
        </row>
        <row r="5642">
          <cell r="E5642" t="str">
            <v>D25017196</v>
          </cell>
          <cell r="AP5642">
            <v>0</v>
          </cell>
          <cell r="AQ5642">
            <v>0</v>
          </cell>
          <cell r="AV5642">
            <v>0</v>
          </cell>
        </row>
        <row r="5643">
          <cell r="E5643" t="str">
            <v>B25016405</v>
          </cell>
          <cell r="AP5643">
            <v>0</v>
          </cell>
          <cell r="AQ5643">
            <v>0</v>
          </cell>
          <cell r="AV5643">
            <v>0</v>
          </cell>
        </row>
        <row r="5644">
          <cell r="E5644" t="str">
            <v>B25016539</v>
          </cell>
          <cell r="AP5644">
            <v>0</v>
          </cell>
          <cell r="AQ5644">
            <v>0</v>
          </cell>
          <cell r="AV5644">
            <v>0</v>
          </cell>
        </row>
        <row r="5645">
          <cell r="E5645" t="str">
            <v>B25016540</v>
          </cell>
          <cell r="AP5645">
            <v>0</v>
          </cell>
          <cell r="AQ5645">
            <v>0</v>
          </cell>
          <cell r="AV5645">
            <v>0</v>
          </cell>
        </row>
        <row r="5646">
          <cell r="E5646" t="str">
            <v>D25019392</v>
          </cell>
          <cell r="AP5646">
            <v>0</v>
          </cell>
          <cell r="AQ5646">
            <v>0</v>
          </cell>
          <cell r="AV5646">
            <v>0</v>
          </cell>
        </row>
        <row r="5647">
          <cell r="E5647" t="str">
            <v>D25019402</v>
          </cell>
          <cell r="AP5647">
            <v>0</v>
          </cell>
          <cell r="AQ5647">
            <v>0</v>
          </cell>
          <cell r="AV5647">
            <v>0</v>
          </cell>
        </row>
        <row r="5648">
          <cell r="E5648" t="str">
            <v>B26000529</v>
          </cell>
          <cell r="AP5648">
            <v>0</v>
          </cell>
          <cell r="AQ5648">
            <v>0</v>
          </cell>
          <cell r="AV5648">
            <v>0</v>
          </cell>
        </row>
        <row r="5649">
          <cell r="E5649" t="str">
            <v>B26000530</v>
          </cell>
          <cell r="AP5649">
            <v>0</v>
          </cell>
          <cell r="AQ5649">
            <v>0</v>
          </cell>
          <cell r="AV5649">
            <v>0</v>
          </cell>
        </row>
        <row r="5650">
          <cell r="E5650" t="str">
            <v>B26000643</v>
          </cell>
          <cell r="AP5650">
            <v>0</v>
          </cell>
          <cell r="AQ5650">
            <v>0</v>
          </cell>
          <cell r="AV5650">
            <v>0</v>
          </cell>
        </row>
        <row r="5651">
          <cell r="E5651" t="str">
            <v>D26000729</v>
          </cell>
          <cell r="AP5651">
            <v>0</v>
          </cell>
          <cell r="AQ5651">
            <v>0</v>
          </cell>
          <cell r="AV5651">
            <v>0</v>
          </cell>
        </row>
        <row r="5652">
          <cell r="E5652" t="str">
            <v>D26001356</v>
          </cell>
          <cell r="AP5652">
            <v>0</v>
          </cell>
          <cell r="AQ5652">
            <v>0</v>
          </cell>
          <cell r="AV5652">
            <v>0</v>
          </cell>
        </row>
        <row r="5653">
          <cell r="E5653" t="str">
            <v>D25017901</v>
          </cell>
          <cell r="AP5653">
            <v>0</v>
          </cell>
          <cell r="AQ5653">
            <v>0</v>
          </cell>
          <cell r="AV5653">
            <v>0</v>
          </cell>
        </row>
        <row r="5654">
          <cell r="E5654" t="str">
            <v>D25017901</v>
          </cell>
          <cell r="AP5654">
            <v>0</v>
          </cell>
          <cell r="AQ5654">
            <v>0</v>
          </cell>
          <cell r="AV5654">
            <v>0</v>
          </cell>
        </row>
        <row r="5655">
          <cell r="E5655" t="str">
            <v>D25017902</v>
          </cell>
          <cell r="AP5655">
            <v>0</v>
          </cell>
          <cell r="AQ5655">
            <v>0</v>
          </cell>
          <cell r="AV5655">
            <v>0</v>
          </cell>
        </row>
        <row r="5656">
          <cell r="E5656" t="str">
            <v>B25015794</v>
          </cell>
          <cell r="AP5656">
            <v>0</v>
          </cell>
          <cell r="AQ5656">
            <v>0</v>
          </cell>
          <cell r="AV5656">
            <v>0</v>
          </cell>
        </row>
        <row r="5657">
          <cell r="E5657" t="str">
            <v>B25015795</v>
          </cell>
          <cell r="AP5657">
            <v>0</v>
          </cell>
          <cell r="AQ5657">
            <v>0</v>
          </cell>
          <cell r="AV5657">
            <v>0</v>
          </cell>
        </row>
        <row r="5658">
          <cell r="E5658" t="str">
            <v>D25018558</v>
          </cell>
          <cell r="AP5658">
            <v>0</v>
          </cell>
          <cell r="AQ5658">
            <v>0</v>
          </cell>
          <cell r="AV5658">
            <v>0</v>
          </cell>
        </row>
        <row r="5659">
          <cell r="E5659" t="str">
            <v>D25018559</v>
          </cell>
          <cell r="AP5659">
            <v>0</v>
          </cell>
          <cell r="AQ5659">
            <v>0</v>
          </cell>
          <cell r="AV5659">
            <v>0</v>
          </cell>
        </row>
        <row r="5660">
          <cell r="E5660" t="str">
            <v>D25018559</v>
          </cell>
          <cell r="AP5660">
            <v>0</v>
          </cell>
          <cell r="AQ5660">
            <v>0</v>
          </cell>
          <cell r="AV5660">
            <v>0</v>
          </cell>
        </row>
        <row r="5661">
          <cell r="E5661" t="str">
            <v>D25018583</v>
          </cell>
          <cell r="AP5661">
            <v>0</v>
          </cell>
          <cell r="AQ5661">
            <v>0</v>
          </cell>
          <cell r="AV5661">
            <v>0</v>
          </cell>
        </row>
        <row r="5662">
          <cell r="E5662" t="str">
            <v>D25019033</v>
          </cell>
          <cell r="AP5662">
            <v>0</v>
          </cell>
          <cell r="AQ5662">
            <v>0</v>
          </cell>
          <cell r="AV5662">
            <v>0</v>
          </cell>
        </row>
        <row r="5663">
          <cell r="E5663" t="str">
            <v>D25019033</v>
          </cell>
          <cell r="AP5663">
            <v>0</v>
          </cell>
          <cell r="AQ5663">
            <v>0</v>
          </cell>
          <cell r="AV5663">
            <v>0</v>
          </cell>
        </row>
        <row r="5664">
          <cell r="E5664" t="str">
            <v>D25019048</v>
          </cell>
          <cell r="AP5664">
            <v>0</v>
          </cell>
          <cell r="AQ5664">
            <v>0</v>
          </cell>
          <cell r="AV5664">
            <v>0</v>
          </cell>
        </row>
        <row r="5665">
          <cell r="E5665" t="str">
            <v>D25019050</v>
          </cell>
          <cell r="AP5665">
            <v>0</v>
          </cell>
          <cell r="AQ5665">
            <v>0</v>
          </cell>
          <cell r="AV5665">
            <v>0</v>
          </cell>
        </row>
        <row r="5666">
          <cell r="E5666" t="str">
            <v>D25019084</v>
          </cell>
          <cell r="AP5666">
            <v>0</v>
          </cell>
          <cell r="AQ5666">
            <v>0</v>
          </cell>
          <cell r="AV5666">
            <v>0</v>
          </cell>
        </row>
        <row r="5667">
          <cell r="E5667" t="str">
            <v>D25019084</v>
          </cell>
          <cell r="AP5667">
            <v>0</v>
          </cell>
          <cell r="AQ5667">
            <v>0</v>
          </cell>
          <cell r="AV5667">
            <v>0</v>
          </cell>
        </row>
        <row r="5668">
          <cell r="E5668" t="str">
            <v>B25016734</v>
          </cell>
          <cell r="AP5668">
            <v>0</v>
          </cell>
          <cell r="AQ5668">
            <v>0</v>
          </cell>
          <cell r="AV5668">
            <v>0</v>
          </cell>
        </row>
        <row r="5669">
          <cell r="E5669" t="str">
            <v>D25019255</v>
          </cell>
          <cell r="AP5669">
            <v>0</v>
          </cell>
          <cell r="AQ5669">
            <v>0</v>
          </cell>
          <cell r="AV5669">
            <v>0</v>
          </cell>
        </row>
        <row r="5670">
          <cell r="E5670" t="str">
            <v>B25016980</v>
          </cell>
          <cell r="AP5670">
            <v>0</v>
          </cell>
          <cell r="AQ5670">
            <v>0</v>
          </cell>
          <cell r="AV5670">
            <v>0</v>
          </cell>
        </row>
        <row r="5671">
          <cell r="E5671" t="str">
            <v>B25016990</v>
          </cell>
          <cell r="AP5671">
            <v>0</v>
          </cell>
          <cell r="AQ5671">
            <v>0</v>
          </cell>
          <cell r="AV5671">
            <v>0</v>
          </cell>
        </row>
        <row r="5672">
          <cell r="E5672" t="str">
            <v>B25016991</v>
          </cell>
          <cell r="AP5672">
            <v>0</v>
          </cell>
          <cell r="AQ5672">
            <v>0</v>
          </cell>
          <cell r="AV5672">
            <v>0</v>
          </cell>
        </row>
        <row r="5673">
          <cell r="E5673" t="str">
            <v>B25016991</v>
          </cell>
          <cell r="AP5673">
            <v>0</v>
          </cell>
          <cell r="AQ5673">
            <v>0</v>
          </cell>
          <cell r="AV5673">
            <v>0</v>
          </cell>
        </row>
        <row r="5674">
          <cell r="E5674" t="str">
            <v>B25017032</v>
          </cell>
          <cell r="AP5674">
            <v>0</v>
          </cell>
          <cell r="AQ5674">
            <v>0</v>
          </cell>
          <cell r="AV5674">
            <v>0</v>
          </cell>
        </row>
        <row r="5675">
          <cell r="E5675" t="str">
            <v>D25019592</v>
          </cell>
          <cell r="AP5675">
            <v>0</v>
          </cell>
          <cell r="AQ5675">
            <v>0</v>
          </cell>
          <cell r="AV5675">
            <v>0</v>
          </cell>
        </row>
        <row r="5676">
          <cell r="E5676" t="str">
            <v>D25019597</v>
          </cell>
          <cell r="AP5676">
            <v>0</v>
          </cell>
          <cell r="AQ5676">
            <v>0</v>
          </cell>
          <cell r="AV5676">
            <v>0</v>
          </cell>
        </row>
        <row r="5677">
          <cell r="E5677" t="str">
            <v>B26000133</v>
          </cell>
          <cell r="AP5677">
            <v>0</v>
          </cell>
          <cell r="AQ5677">
            <v>0</v>
          </cell>
          <cell r="AV5677">
            <v>0</v>
          </cell>
        </row>
        <row r="5678">
          <cell r="E5678" t="str">
            <v>B26000462</v>
          </cell>
          <cell r="AP5678">
            <v>0</v>
          </cell>
          <cell r="AQ5678">
            <v>0</v>
          </cell>
          <cell r="AV5678">
            <v>0</v>
          </cell>
        </row>
        <row r="5679">
          <cell r="E5679" t="str">
            <v>D26000538</v>
          </cell>
          <cell r="AP5679">
            <v>0</v>
          </cell>
          <cell r="AQ5679">
            <v>0</v>
          </cell>
          <cell r="AV5679">
            <v>0</v>
          </cell>
        </row>
        <row r="5680">
          <cell r="E5680" t="str">
            <v>D26000723</v>
          </cell>
          <cell r="AP5680">
            <v>0</v>
          </cell>
          <cell r="AQ5680">
            <v>73888000</v>
          </cell>
          <cell r="AV5680">
            <v>0</v>
          </cell>
        </row>
        <row r="5681">
          <cell r="E5681" t="str">
            <v>D26000739</v>
          </cell>
          <cell r="AP5681">
            <v>0</v>
          </cell>
          <cell r="AQ5681">
            <v>6112000</v>
          </cell>
          <cell r="AV5681">
            <v>0</v>
          </cell>
        </row>
        <row r="5682">
          <cell r="E5682" t="str">
            <v>D26000739</v>
          </cell>
          <cell r="AP5682">
            <v>0</v>
          </cell>
          <cell r="AQ5682">
            <v>29588000</v>
          </cell>
          <cell r="AV5682">
            <v>0</v>
          </cell>
        </row>
        <row r="5683">
          <cell r="E5683" t="str">
            <v>B26000959</v>
          </cell>
          <cell r="AP5683">
            <v>0</v>
          </cell>
          <cell r="AQ5683">
            <v>50460000</v>
          </cell>
          <cell r="AV5683">
            <v>0</v>
          </cell>
        </row>
        <row r="5684">
          <cell r="E5684" t="str">
            <v>B26001021</v>
          </cell>
          <cell r="AP5684">
            <v>0</v>
          </cell>
          <cell r="AQ5684">
            <v>4952000</v>
          </cell>
          <cell r="AV5684">
            <v>0</v>
          </cell>
        </row>
        <row r="5685">
          <cell r="E5685" t="str">
            <v>B26001021</v>
          </cell>
          <cell r="AP5685">
            <v>0</v>
          </cell>
          <cell r="AQ5685">
            <v>25160000</v>
          </cell>
          <cell r="AV5685">
            <v>0</v>
          </cell>
        </row>
        <row r="5686">
          <cell r="E5686" t="str">
            <v>D26001118</v>
          </cell>
          <cell r="AP5686">
            <v>0</v>
          </cell>
          <cell r="AQ5686">
            <v>5800000</v>
          </cell>
          <cell r="AV5686">
            <v>0</v>
          </cell>
        </row>
        <row r="5687">
          <cell r="E5687" t="str">
            <v>D26001135</v>
          </cell>
          <cell r="AP5687">
            <v>0</v>
          </cell>
          <cell r="AQ5687">
            <v>25057000</v>
          </cell>
          <cell r="AV5687">
            <v>0</v>
          </cell>
        </row>
        <row r="5688">
          <cell r="E5688" t="str">
            <v>D26001136</v>
          </cell>
          <cell r="AP5688">
            <v>0</v>
          </cell>
          <cell r="AQ5688">
            <v>18983000</v>
          </cell>
          <cell r="AV5688">
            <v>0</v>
          </cell>
        </row>
        <row r="5689">
          <cell r="E5689" t="str">
            <v>D26001136</v>
          </cell>
          <cell r="AP5689">
            <v>0</v>
          </cell>
          <cell r="AQ5689">
            <v>27617000</v>
          </cell>
          <cell r="AV5689">
            <v>0</v>
          </cell>
        </row>
        <row r="5690">
          <cell r="E5690" t="str">
            <v>D26001241</v>
          </cell>
          <cell r="AP5690">
            <v>0</v>
          </cell>
          <cell r="AQ5690">
            <v>12825000</v>
          </cell>
          <cell r="AV5690">
            <v>0</v>
          </cell>
        </row>
        <row r="5691">
          <cell r="E5691" t="str">
            <v>B26001419</v>
          </cell>
          <cell r="AP5691">
            <v>0</v>
          </cell>
          <cell r="AQ5691">
            <v>45440000</v>
          </cell>
          <cell r="AV5691">
            <v>0</v>
          </cell>
        </row>
        <row r="5692">
          <cell r="E5692" t="str">
            <v>D26001572</v>
          </cell>
          <cell r="AP5692">
            <v>0</v>
          </cell>
          <cell r="AQ5692">
            <v>1440000</v>
          </cell>
          <cell r="AV5692">
            <v>0</v>
          </cell>
        </row>
        <row r="5693">
          <cell r="E5693" t="str">
            <v>D26001922</v>
          </cell>
          <cell r="AP5693">
            <v>0</v>
          </cell>
          <cell r="AQ5693">
            <v>0</v>
          </cell>
          <cell r="AV5693">
            <v>0</v>
          </cell>
        </row>
        <row r="5694">
          <cell r="E5694" t="str">
            <v>D26001923</v>
          </cell>
          <cell r="AP5694">
            <v>0</v>
          </cell>
          <cell r="AQ5694">
            <v>0</v>
          </cell>
          <cell r="AV5694">
            <v>6720000</v>
          </cell>
        </row>
        <row r="5695">
          <cell r="E5695" t="str">
            <v>D26001955</v>
          </cell>
          <cell r="AP5695">
            <v>0</v>
          </cell>
          <cell r="AQ5695">
            <v>0</v>
          </cell>
          <cell r="AV5695">
            <v>0</v>
          </cell>
        </row>
        <row r="5696">
          <cell r="E5696" t="str">
            <v>D26001956</v>
          </cell>
          <cell r="AP5696">
            <v>0</v>
          </cell>
          <cell r="AQ5696">
            <v>0</v>
          </cell>
          <cell r="AV5696">
            <v>0</v>
          </cell>
        </row>
        <row r="5697">
          <cell r="E5697" t="str">
            <v>D26002114</v>
          </cell>
          <cell r="AP5697">
            <v>0</v>
          </cell>
          <cell r="AQ5697">
            <v>0</v>
          </cell>
          <cell r="AV5697">
            <v>0</v>
          </cell>
        </row>
        <row r="5698">
          <cell r="E5698" t="str">
            <v>D26002176</v>
          </cell>
          <cell r="AP5698">
            <v>0</v>
          </cell>
          <cell r="AQ5698">
            <v>0</v>
          </cell>
          <cell r="AV5698">
            <v>4830000</v>
          </cell>
        </row>
        <row r="5699">
          <cell r="E5699" t="str">
            <v>B26002095</v>
          </cell>
          <cell r="AP5699">
            <v>0</v>
          </cell>
          <cell r="AQ5699">
            <v>0</v>
          </cell>
          <cell r="AV5699">
            <v>3220000</v>
          </cell>
        </row>
        <row r="5700">
          <cell r="E5700" t="str">
            <v>B26002191</v>
          </cell>
          <cell r="AP5700">
            <v>0</v>
          </cell>
          <cell r="AQ5700">
            <v>0</v>
          </cell>
          <cell r="AV5700">
            <v>0</v>
          </cell>
        </row>
        <row r="5701">
          <cell r="E5701" t="str">
            <v>B25016162</v>
          </cell>
          <cell r="AP5701">
            <v>0</v>
          </cell>
          <cell r="AQ5701">
            <v>0</v>
          </cell>
          <cell r="AV5701">
            <v>1680000</v>
          </cell>
        </row>
        <row r="5702">
          <cell r="E5702" t="str">
            <v>D25019352</v>
          </cell>
          <cell r="AP5702">
            <v>0</v>
          </cell>
          <cell r="AQ5702">
            <v>0</v>
          </cell>
          <cell r="AV5702">
            <v>820000</v>
          </cell>
        </row>
        <row r="5703">
          <cell r="E5703" t="str">
            <v>B26000741</v>
          </cell>
          <cell r="AP5703">
            <v>0</v>
          </cell>
          <cell r="AQ5703">
            <v>0</v>
          </cell>
          <cell r="AV5703">
            <v>0</v>
          </cell>
        </row>
        <row r="5704">
          <cell r="E5704" t="str">
            <v>D26000835</v>
          </cell>
          <cell r="AP5704">
            <v>0</v>
          </cell>
          <cell r="AQ5704">
            <v>0</v>
          </cell>
          <cell r="AV5704">
            <v>0</v>
          </cell>
        </row>
        <row r="5705">
          <cell r="E5705" t="str">
            <v>D26001063</v>
          </cell>
          <cell r="AP5705">
            <v>0</v>
          </cell>
          <cell r="AQ5705">
            <v>0</v>
          </cell>
          <cell r="AV5705">
            <v>0</v>
          </cell>
        </row>
        <row r="5706">
          <cell r="E5706" t="str">
            <v>D26001561</v>
          </cell>
          <cell r="AP5706">
            <v>0</v>
          </cell>
          <cell r="AQ5706">
            <v>0</v>
          </cell>
          <cell r="AV5706">
            <v>0</v>
          </cell>
        </row>
        <row r="5707">
          <cell r="E5707" t="str">
            <v>B26001477</v>
          </cell>
          <cell r="AP5707">
            <v>0</v>
          </cell>
          <cell r="AQ5707">
            <v>0</v>
          </cell>
          <cell r="AV5707">
            <v>0</v>
          </cell>
        </row>
        <row r="5708">
          <cell r="E5708" t="str">
            <v>Z26000034</v>
          </cell>
          <cell r="AP5708">
            <v>0</v>
          </cell>
          <cell r="AQ5708">
            <v>0</v>
          </cell>
          <cell r="AV5708">
            <v>5000000</v>
          </cell>
        </row>
        <row r="5709">
          <cell r="E5709" t="str">
            <v>Z26000035</v>
          </cell>
          <cell r="AP5709">
            <v>0</v>
          </cell>
          <cell r="AQ5709">
            <v>0</v>
          </cell>
          <cell r="AV5709">
            <v>0</v>
          </cell>
        </row>
        <row r="5710">
          <cell r="E5710" t="str">
            <v>Z26000233</v>
          </cell>
          <cell r="AP5710">
            <v>0</v>
          </cell>
          <cell r="AQ5710">
            <v>0</v>
          </cell>
          <cell r="AV5710">
            <v>0</v>
          </cell>
        </row>
        <row r="5711">
          <cell r="E5711" t="str">
            <v>T25001440</v>
          </cell>
          <cell r="AP5711">
            <v>0</v>
          </cell>
          <cell r="AQ5711">
            <v>0</v>
          </cell>
          <cell r="AV5711">
            <v>1000000</v>
          </cell>
        </row>
        <row r="5712">
          <cell r="E5712" t="str">
            <v>D25015258</v>
          </cell>
          <cell r="AP5712">
            <v>0</v>
          </cell>
          <cell r="AQ5712">
            <v>0</v>
          </cell>
          <cell r="AV5712">
            <v>0</v>
          </cell>
        </row>
        <row r="5713">
          <cell r="E5713" t="str">
            <v>D26001097</v>
          </cell>
          <cell r="AP5713">
            <v>0</v>
          </cell>
          <cell r="AQ5713">
            <v>0</v>
          </cell>
          <cell r="AV5713">
            <v>0</v>
          </cell>
        </row>
        <row r="5714">
          <cell r="E5714" t="str">
            <v>B26001740</v>
          </cell>
          <cell r="AP5714">
            <v>0</v>
          </cell>
          <cell r="AQ5714">
            <v>0</v>
          </cell>
          <cell r="AV5714">
            <v>25000000</v>
          </cell>
        </row>
        <row r="5715">
          <cell r="E5715" t="str">
            <v>D25018019</v>
          </cell>
          <cell r="AP5715">
            <v>0</v>
          </cell>
          <cell r="AQ5715">
            <v>0</v>
          </cell>
          <cell r="AV5715">
            <v>1605000</v>
          </cell>
        </row>
        <row r="5716">
          <cell r="E5716" t="str">
            <v>D26000073</v>
          </cell>
          <cell r="AP5716">
            <v>0</v>
          </cell>
          <cell r="AQ5716">
            <v>0</v>
          </cell>
          <cell r="AV5716">
            <v>0</v>
          </cell>
        </row>
        <row r="5717">
          <cell r="E5717" t="str">
            <v>T26000014</v>
          </cell>
          <cell r="AP5717">
            <v>0</v>
          </cell>
          <cell r="AQ5717">
            <v>0</v>
          </cell>
          <cell r="AV5717">
            <v>0</v>
          </cell>
        </row>
        <row r="5718">
          <cell r="E5718" t="str">
            <v>D26000577</v>
          </cell>
          <cell r="AP5718">
            <v>0</v>
          </cell>
          <cell r="AQ5718">
            <v>0</v>
          </cell>
          <cell r="AV5718">
            <v>0</v>
          </cell>
        </row>
        <row r="5719">
          <cell r="E5719" t="str">
            <v>D26000578</v>
          </cell>
          <cell r="AP5719">
            <v>0</v>
          </cell>
          <cell r="AQ5719">
            <v>0</v>
          </cell>
          <cell r="AV5719">
            <v>0</v>
          </cell>
        </row>
        <row r="5720">
          <cell r="E5720" t="str">
            <v>D26002204</v>
          </cell>
          <cell r="AP5720">
            <v>0</v>
          </cell>
          <cell r="AQ5720">
            <v>0</v>
          </cell>
          <cell r="AV5720">
            <v>0</v>
          </cell>
        </row>
        <row r="5721">
          <cell r="E5721" t="str">
            <v>D25016645</v>
          </cell>
          <cell r="AP5721">
            <v>0</v>
          </cell>
          <cell r="AQ5721">
            <v>0</v>
          </cell>
          <cell r="AV5721">
            <v>0</v>
          </cell>
        </row>
        <row r="5722">
          <cell r="E5722" t="str">
            <v>B26000353</v>
          </cell>
          <cell r="AP5722">
            <v>0</v>
          </cell>
          <cell r="AQ5722">
            <v>0</v>
          </cell>
          <cell r="AV5722">
            <v>0</v>
          </cell>
        </row>
        <row r="5723">
          <cell r="E5723" t="str">
            <v>D26000430</v>
          </cell>
          <cell r="AP5723">
            <v>0</v>
          </cell>
          <cell r="AQ5723">
            <v>0</v>
          </cell>
          <cell r="AV5723">
            <v>0</v>
          </cell>
        </row>
        <row r="5724">
          <cell r="E5724" t="str">
            <v>B26001962</v>
          </cell>
          <cell r="AP5724">
            <v>0</v>
          </cell>
          <cell r="AQ5724">
            <v>0</v>
          </cell>
          <cell r="AV5724">
            <v>0</v>
          </cell>
        </row>
        <row r="5725">
          <cell r="E5725" t="str">
            <v>T25001626K</v>
          </cell>
          <cell r="AP5725">
            <v>0</v>
          </cell>
          <cell r="AQ5725">
            <v>0</v>
          </cell>
          <cell r="AV5725">
            <v>0</v>
          </cell>
        </row>
        <row r="5726">
          <cell r="E5726" t="str">
            <v>T25001835k</v>
          </cell>
          <cell r="AP5726">
            <v>0</v>
          </cell>
          <cell r="AQ5726">
            <v>0</v>
          </cell>
          <cell r="AV5726">
            <v>0</v>
          </cell>
        </row>
        <row r="5727">
          <cell r="E5727" t="str">
            <v>T25001866</v>
          </cell>
          <cell r="AP5727">
            <v>0</v>
          </cell>
          <cell r="AQ5727">
            <v>0</v>
          </cell>
          <cell r="AV5727">
            <v>0</v>
          </cell>
        </row>
        <row r="5728">
          <cell r="E5728" t="str">
            <v>D26000548</v>
          </cell>
          <cell r="AP5728">
            <v>0</v>
          </cell>
          <cell r="AQ5728">
            <v>0</v>
          </cell>
          <cell r="AV5728">
            <v>10830000</v>
          </cell>
        </row>
        <row r="5729">
          <cell r="E5729" t="str">
            <v>D26001402</v>
          </cell>
          <cell r="AP5729">
            <v>0</v>
          </cell>
          <cell r="AQ5729">
            <v>0</v>
          </cell>
          <cell r="AV5729">
            <v>5700000</v>
          </cell>
        </row>
        <row r="5730">
          <cell r="E5730" t="str">
            <v>D26000176</v>
          </cell>
          <cell r="AP5730">
            <v>0</v>
          </cell>
          <cell r="AQ5730">
            <v>0</v>
          </cell>
          <cell r="AV5730">
            <v>0</v>
          </cell>
        </row>
        <row r="5731">
          <cell r="E5731" t="str">
            <v>T25001548</v>
          </cell>
          <cell r="AP5731">
            <v>0</v>
          </cell>
          <cell r="AQ5731">
            <v>0</v>
          </cell>
          <cell r="AV5731">
            <v>4800000</v>
          </cell>
        </row>
        <row r="5732">
          <cell r="E5732" t="str">
            <v>D26001668</v>
          </cell>
          <cell r="AP5732">
            <v>0</v>
          </cell>
          <cell r="AQ5732">
            <v>0</v>
          </cell>
          <cell r="AV5732">
            <v>16000</v>
          </cell>
        </row>
        <row r="5733">
          <cell r="E5733" t="str">
            <v>B26001683</v>
          </cell>
          <cell r="AP5733">
            <v>0</v>
          </cell>
          <cell r="AQ5733">
            <v>0</v>
          </cell>
          <cell r="AV5733">
            <v>840000</v>
          </cell>
        </row>
        <row r="5734">
          <cell r="E5734" t="str">
            <v>B26001684</v>
          </cell>
          <cell r="AP5734">
            <v>0</v>
          </cell>
          <cell r="AQ5734">
            <v>0</v>
          </cell>
          <cell r="AV5734">
            <v>31150000</v>
          </cell>
        </row>
        <row r="5735">
          <cell r="E5735" t="str">
            <v>B26001942</v>
          </cell>
          <cell r="AP5735">
            <v>0</v>
          </cell>
          <cell r="AQ5735">
            <v>0</v>
          </cell>
          <cell r="AV5735">
            <v>13302000</v>
          </cell>
        </row>
        <row r="5736">
          <cell r="E5736" t="str">
            <v>B26001958</v>
          </cell>
          <cell r="AP5736">
            <v>0</v>
          </cell>
          <cell r="AQ5736">
            <v>0</v>
          </cell>
          <cell r="AV5736">
            <v>2440000</v>
          </cell>
        </row>
        <row r="5737">
          <cell r="E5737" t="str">
            <v>B26002057</v>
          </cell>
          <cell r="AP5737">
            <v>0</v>
          </cell>
          <cell r="AQ5737">
            <v>0</v>
          </cell>
          <cell r="AV5737">
            <v>9900000</v>
          </cell>
        </row>
        <row r="5738">
          <cell r="E5738" t="str">
            <v>B26002058</v>
          </cell>
          <cell r="AP5738">
            <v>0</v>
          </cell>
          <cell r="AQ5738">
            <v>0</v>
          </cell>
          <cell r="AV5738">
            <v>2250000</v>
          </cell>
        </row>
        <row r="5739">
          <cell r="E5739" t="str">
            <v>B26001416</v>
          </cell>
          <cell r="AP5739">
            <v>0</v>
          </cell>
          <cell r="AQ5739">
            <v>0</v>
          </cell>
          <cell r="AV5739">
            <v>0</v>
          </cell>
        </row>
        <row r="5740">
          <cell r="E5740" t="str">
            <v>B26001417</v>
          </cell>
          <cell r="AP5740">
            <v>0</v>
          </cell>
          <cell r="AQ5740">
            <v>0</v>
          </cell>
          <cell r="AV5740">
            <v>0</v>
          </cell>
        </row>
        <row r="5741">
          <cell r="E5741" t="str">
            <v>B26002184</v>
          </cell>
          <cell r="AP5741">
            <v>0</v>
          </cell>
          <cell r="AQ5741">
            <v>0</v>
          </cell>
          <cell r="AV5741">
            <v>0</v>
          </cell>
        </row>
        <row r="5742">
          <cell r="E5742" t="str">
            <v>B25016307</v>
          </cell>
          <cell r="AP5742">
            <v>0</v>
          </cell>
          <cell r="AQ5742">
            <v>0</v>
          </cell>
          <cell r="AV5742">
            <v>0</v>
          </cell>
        </row>
        <row r="5743">
          <cell r="E5743" t="str">
            <v>B26001192</v>
          </cell>
          <cell r="AP5743">
            <v>0</v>
          </cell>
          <cell r="AQ5743">
            <v>0</v>
          </cell>
          <cell r="AV5743">
            <v>0</v>
          </cell>
        </row>
        <row r="5744">
          <cell r="E5744" t="str">
            <v>D26000909</v>
          </cell>
          <cell r="AP5744">
            <v>0</v>
          </cell>
          <cell r="AQ5744">
            <v>0</v>
          </cell>
          <cell r="AV5744">
            <v>0</v>
          </cell>
        </row>
        <row r="5745">
          <cell r="E5745" t="str">
            <v>D26001243</v>
          </cell>
          <cell r="AP5745">
            <v>0</v>
          </cell>
          <cell r="AQ5745">
            <v>0</v>
          </cell>
          <cell r="AV5745">
            <v>0</v>
          </cell>
        </row>
        <row r="5746">
          <cell r="E5746" t="str">
            <v>D26001714</v>
          </cell>
          <cell r="AP5746">
            <v>0</v>
          </cell>
          <cell r="AQ5746">
            <v>0</v>
          </cell>
          <cell r="AV5746">
            <v>0</v>
          </cell>
        </row>
        <row r="5747">
          <cell r="E5747" t="str">
            <v>B26001657</v>
          </cell>
          <cell r="AP5747">
            <v>0</v>
          </cell>
          <cell r="AQ5747">
            <v>0</v>
          </cell>
          <cell r="AV5747">
            <v>0</v>
          </cell>
        </row>
        <row r="5748">
          <cell r="E5748" t="str">
            <v>D26001835</v>
          </cell>
          <cell r="AP5748">
            <v>0</v>
          </cell>
          <cell r="AQ5748">
            <v>0</v>
          </cell>
          <cell r="AV5748">
            <v>0</v>
          </cell>
        </row>
        <row r="5749">
          <cell r="E5749" t="str">
            <v>B26001907</v>
          </cell>
          <cell r="AP5749">
            <v>0</v>
          </cell>
          <cell r="AQ5749">
            <v>0</v>
          </cell>
          <cell r="AV5749">
            <v>0</v>
          </cell>
        </row>
        <row r="5750">
          <cell r="E5750" t="str">
            <v>D26002106</v>
          </cell>
          <cell r="AP5750">
            <v>0</v>
          </cell>
          <cell r="AQ5750">
            <v>0</v>
          </cell>
          <cell r="AV5750">
            <v>0</v>
          </cell>
        </row>
        <row r="5751">
          <cell r="E5751" t="str">
            <v>B26002056</v>
          </cell>
          <cell r="AP5751">
            <v>0</v>
          </cell>
          <cell r="AQ5751">
            <v>0</v>
          </cell>
          <cell r="AV5751">
            <v>0</v>
          </cell>
        </row>
        <row r="5752">
          <cell r="E5752" t="str">
            <v>D25016353</v>
          </cell>
          <cell r="AP5752">
            <v>0</v>
          </cell>
          <cell r="AQ5752">
            <v>0</v>
          </cell>
          <cell r="AV5752">
            <v>0</v>
          </cell>
        </row>
        <row r="5753">
          <cell r="E5753" t="str">
            <v>D26002077</v>
          </cell>
          <cell r="AP5753">
            <v>0</v>
          </cell>
          <cell r="AQ5753">
            <v>0</v>
          </cell>
          <cell r="AV5753">
            <v>6580000</v>
          </cell>
        </row>
        <row r="5754">
          <cell r="E5754" t="str">
            <v>B26001966</v>
          </cell>
          <cell r="AP5754">
            <v>0</v>
          </cell>
          <cell r="AQ5754">
            <v>0</v>
          </cell>
          <cell r="AV5754">
            <v>6840000</v>
          </cell>
        </row>
        <row r="5755">
          <cell r="E5755" t="str">
            <v>B26001849</v>
          </cell>
          <cell r="AP5755">
            <v>0</v>
          </cell>
          <cell r="AQ5755">
            <v>0</v>
          </cell>
          <cell r="AV5755">
            <v>66500000</v>
          </cell>
        </row>
        <row r="5756">
          <cell r="E5756" t="str">
            <v>B26000376</v>
          </cell>
          <cell r="AP5756">
            <v>0</v>
          </cell>
          <cell r="AQ5756">
            <v>0</v>
          </cell>
          <cell r="AV5756">
            <v>4400000</v>
          </cell>
        </row>
        <row r="5757">
          <cell r="E5757" t="str">
            <v>B26000378</v>
          </cell>
          <cell r="AP5757">
            <v>0</v>
          </cell>
          <cell r="AQ5757">
            <v>0</v>
          </cell>
          <cell r="AV5757">
            <v>0</v>
          </cell>
        </row>
        <row r="5758">
          <cell r="E5758" t="str">
            <v>D26001960</v>
          </cell>
          <cell r="AP5758">
            <v>0</v>
          </cell>
          <cell r="AQ5758">
            <v>0</v>
          </cell>
          <cell r="AV5758">
            <v>0</v>
          </cell>
        </row>
        <row r="5759">
          <cell r="E5759" t="str">
            <v>T26000133</v>
          </cell>
          <cell r="AP5759">
            <v>0</v>
          </cell>
          <cell r="AQ5759">
            <v>0</v>
          </cell>
          <cell r="AV5759">
            <v>0</v>
          </cell>
        </row>
        <row r="5760">
          <cell r="E5760" t="str">
            <v>D26002078</v>
          </cell>
          <cell r="AP5760">
            <v>0</v>
          </cell>
          <cell r="AQ5760">
            <v>0</v>
          </cell>
          <cell r="AV5760">
            <v>0</v>
          </cell>
        </row>
        <row r="5761">
          <cell r="E5761" t="str">
            <v>B26001626</v>
          </cell>
          <cell r="AP5761">
            <v>0</v>
          </cell>
          <cell r="AQ5761">
            <v>0</v>
          </cell>
          <cell r="AV5761">
            <v>22927500</v>
          </cell>
        </row>
        <row r="5762">
          <cell r="E5762" t="str">
            <v>D26002376</v>
          </cell>
          <cell r="AP5762">
            <v>0</v>
          </cell>
          <cell r="AQ5762">
            <v>0</v>
          </cell>
          <cell r="AV5762">
            <v>0</v>
          </cell>
        </row>
        <row r="5763">
          <cell r="E5763" t="str">
            <v>B25017061</v>
          </cell>
          <cell r="AP5763">
            <v>0</v>
          </cell>
          <cell r="AQ5763">
            <v>0</v>
          </cell>
          <cell r="AV5763">
            <v>0</v>
          </cell>
        </row>
        <row r="5764">
          <cell r="E5764" t="str">
            <v>D25019695</v>
          </cell>
          <cell r="AP5764">
            <v>0</v>
          </cell>
          <cell r="AQ5764">
            <v>0</v>
          </cell>
          <cell r="AV5764">
            <v>0</v>
          </cell>
        </row>
        <row r="5765">
          <cell r="E5765" t="str">
            <v>B26000088</v>
          </cell>
          <cell r="AP5765">
            <v>0</v>
          </cell>
          <cell r="AQ5765">
            <v>0</v>
          </cell>
          <cell r="AV5765">
            <v>0</v>
          </cell>
        </row>
        <row r="5766">
          <cell r="E5766" t="str">
            <v>B26000142</v>
          </cell>
          <cell r="AP5766">
            <v>0</v>
          </cell>
          <cell r="AQ5766">
            <v>0</v>
          </cell>
          <cell r="AV5766">
            <v>0</v>
          </cell>
        </row>
        <row r="5767">
          <cell r="E5767" t="str">
            <v>B26000148</v>
          </cell>
          <cell r="AP5767">
            <v>0</v>
          </cell>
          <cell r="AQ5767">
            <v>0</v>
          </cell>
          <cell r="AV5767">
            <v>0</v>
          </cell>
        </row>
        <row r="5768">
          <cell r="E5768" t="str">
            <v>D26000796</v>
          </cell>
          <cell r="AP5768">
            <v>0</v>
          </cell>
          <cell r="AQ5768">
            <v>0</v>
          </cell>
          <cell r="AV5768">
            <v>0</v>
          </cell>
        </row>
        <row r="5769">
          <cell r="E5769" t="str">
            <v>B26001064</v>
          </cell>
          <cell r="AP5769">
            <v>0</v>
          </cell>
          <cell r="AQ5769">
            <v>0</v>
          </cell>
          <cell r="AV5769">
            <v>0</v>
          </cell>
        </row>
        <row r="5770">
          <cell r="E5770" t="str">
            <v>N26000014</v>
          </cell>
          <cell r="AP5770">
            <v>0</v>
          </cell>
          <cell r="AQ5770">
            <v>0</v>
          </cell>
          <cell r="AV5770">
            <v>34200000</v>
          </cell>
        </row>
        <row r="5771">
          <cell r="E5771" t="str">
            <v>B26001528</v>
          </cell>
          <cell r="AP5771">
            <v>0</v>
          </cell>
          <cell r="AQ5771">
            <v>0</v>
          </cell>
          <cell r="AV5771">
            <v>0</v>
          </cell>
        </row>
        <row r="5772">
          <cell r="E5772" t="str">
            <v>B26001529</v>
          </cell>
          <cell r="AP5772">
            <v>0</v>
          </cell>
          <cell r="AQ5772">
            <v>0</v>
          </cell>
          <cell r="AV5772">
            <v>0</v>
          </cell>
        </row>
        <row r="5773">
          <cell r="E5773" t="str">
            <v>D26001681</v>
          </cell>
          <cell r="AP5773">
            <v>0</v>
          </cell>
          <cell r="AQ5773">
            <v>0</v>
          </cell>
          <cell r="AV5773">
            <v>0</v>
          </cell>
        </row>
        <row r="5774">
          <cell r="E5774" t="str">
            <v>D26001813</v>
          </cell>
          <cell r="AP5774">
            <v>0</v>
          </cell>
          <cell r="AQ5774">
            <v>0</v>
          </cell>
          <cell r="AV5774">
            <v>0</v>
          </cell>
        </row>
        <row r="5775">
          <cell r="E5775" t="str">
            <v>D26002136</v>
          </cell>
          <cell r="AP5775">
            <v>0</v>
          </cell>
          <cell r="AQ5775">
            <v>0</v>
          </cell>
          <cell r="AV5775">
            <v>12600000</v>
          </cell>
        </row>
        <row r="5776">
          <cell r="E5776" t="str">
            <v>D26002259</v>
          </cell>
          <cell r="AP5776">
            <v>0</v>
          </cell>
          <cell r="AQ5776">
            <v>0</v>
          </cell>
          <cell r="AV5776">
            <v>0</v>
          </cell>
        </row>
        <row r="5777">
          <cell r="E5777" t="str">
            <v>B25014251</v>
          </cell>
          <cell r="AP5777">
            <v>0</v>
          </cell>
          <cell r="AQ5777">
            <v>0</v>
          </cell>
          <cell r="AV5777">
            <v>9000000</v>
          </cell>
        </row>
        <row r="5778">
          <cell r="E5778" t="str">
            <v>D25018333</v>
          </cell>
          <cell r="AP5778">
            <v>0</v>
          </cell>
          <cell r="AQ5778">
            <v>0</v>
          </cell>
          <cell r="AV5778">
            <v>12280000</v>
          </cell>
        </row>
        <row r="5779">
          <cell r="E5779" t="str">
            <v>D25018347</v>
          </cell>
          <cell r="AP5779">
            <v>0</v>
          </cell>
          <cell r="AQ5779">
            <v>0</v>
          </cell>
          <cell r="AV5779">
            <v>9600000</v>
          </cell>
        </row>
        <row r="5780">
          <cell r="E5780" t="str">
            <v>B25016257</v>
          </cell>
          <cell r="AP5780">
            <v>0</v>
          </cell>
          <cell r="AQ5780">
            <v>0</v>
          </cell>
          <cell r="AV5780">
            <v>0</v>
          </cell>
        </row>
        <row r="5781">
          <cell r="E5781" t="str">
            <v>D25018742</v>
          </cell>
          <cell r="AP5781">
            <v>0</v>
          </cell>
          <cell r="AQ5781">
            <v>0</v>
          </cell>
          <cell r="AV5781">
            <v>0</v>
          </cell>
        </row>
        <row r="5782">
          <cell r="E5782" t="str">
            <v>D25018743</v>
          </cell>
          <cell r="AP5782">
            <v>0</v>
          </cell>
          <cell r="AQ5782">
            <v>0</v>
          </cell>
          <cell r="AV5782">
            <v>0</v>
          </cell>
        </row>
        <row r="5783">
          <cell r="E5783" t="str">
            <v>D26000026</v>
          </cell>
          <cell r="AP5783">
            <v>0</v>
          </cell>
          <cell r="AQ5783">
            <v>0</v>
          </cell>
          <cell r="AV5783">
            <v>0</v>
          </cell>
        </row>
        <row r="5784">
          <cell r="E5784" t="str">
            <v>D26000027</v>
          </cell>
          <cell r="AP5784">
            <v>0</v>
          </cell>
          <cell r="AQ5784">
            <v>0</v>
          </cell>
          <cell r="AV5784">
            <v>0</v>
          </cell>
        </row>
        <row r="5785">
          <cell r="E5785" t="str">
            <v>D26000216</v>
          </cell>
          <cell r="AP5785">
            <v>0</v>
          </cell>
          <cell r="AQ5785">
            <v>0</v>
          </cell>
          <cell r="AV5785">
            <v>0</v>
          </cell>
        </row>
        <row r="5786">
          <cell r="E5786" t="str">
            <v>D26000217</v>
          </cell>
          <cell r="AP5786">
            <v>0</v>
          </cell>
          <cell r="AQ5786">
            <v>0</v>
          </cell>
          <cell r="AV5786">
            <v>0</v>
          </cell>
        </row>
        <row r="5787">
          <cell r="E5787" t="str">
            <v>D26000218</v>
          </cell>
          <cell r="AP5787">
            <v>0</v>
          </cell>
          <cell r="AQ5787">
            <v>0</v>
          </cell>
          <cell r="AV5787">
            <v>0</v>
          </cell>
        </row>
        <row r="5788">
          <cell r="E5788" t="str">
            <v>B26000559</v>
          </cell>
          <cell r="AP5788">
            <v>0</v>
          </cell>
          <cell r="AQ5788">
            <v>0</v>
          </cell>
          <cell r="AV5788">
            <v>0</v>
          </cell>
        </row>
        <row r="5789">
          <cell r="E5789" t="str">
            <v>B26000560</v>
          </cell>
          <cell r="AP5789">
            <v>0</v>
          </cell>
          <cell r="AQ5789">
            <v>0</v>
          </cell>
          <cell r="AV5789">
            <v>0</v>
          </cell>
        </row>
        <row r="5790">
          <cell r="E5790" t="str">
            <v>B26000569</v>
          </cell>
          <cell r="AP5790">
            <v>0</v>
          </cell>
          <cell r="AQ5790">
            <v>0</v>
          </cell>
          <cell r="AV5790">
            <v>0</v>
          </cell>
        </row>
        <row r="5791">
          <cell r="E5791" t="str">
            <v>B26000570</v>
          </cell>
          <cell r="AP5791">
            <v>0</v>
          </cell>
          <cell r="AQ5791">
            <v>0</v>
          </cell>
          <cell r="AV5791">
            <v>0</v>
          </cell>
        </row>
        <row r="5792">
          <cell r="E5792" t="str">
            <v>D26001528</v>
          </cell>
          <cell r="AP5792">
            <v>0</v>
          </cell>
          <cell r="AQ5792">
            <v>0</v>
          </cell>
          <cell r="AV5792">
            <v>0</v>
          </cell>
        </row>
        <row r="5793">
          <cell r="E5793" t="str">
            <v>B26002039</v>
          </cell>
          <cell r="AP5793">
            <v>0</v>
          </cell>
          <cell r="AQ5793">
            <v>0</v>
          </cell>
          <cell r="AV5793">
            <v>0</v>
          </cell>
        </row>
        <row r="5794">
          <cell r="E5794" t="str">
            <v>D26001240</v>
          </cell>
          <cell r="AP5794">
            <v>0</v>
          </cell>
          <cell r="AQ5794">
            <v>0</v>
          </cell>
          <cell r="AV5794">
            <v>8545000</v>
          </cell>
        </row>
        <row r="5795">
          <cell r="E5795" t="str">
            <v>D26001246</v>
          </cell>
          <cell r="AP5795">
            <v>0</v>
          </cell>
          <cell r="AQ5795">
            <v>0</v>
          </cell>
          <cell r="AV5795">
            <v>0</v>
          </cell>
        </row>
        <row r="5796">
          <cell r="E5796" t="str">
            <v>B26002200</v>
          </cell>
          <cell r="AP5796">
            <v>0</v>
          </cell>
          <cell r="AQ5796">
            <v>0</v>
          </cell>
          <cell r="AV5796">
            <v>0</v>
          </cell>
        </row>
        <row r="5797">
          <cell r="E5797" t="str">
            <v>D25016746</v>
          </cell>
          <cell r="AP5797">
            <v>0</v>
          </cell>
          <cell r="AQ5797">
            <v>82122000</v>
          </cell>
          <cell r="AV5797">
            <v>0</v>
          </cell>
        </row>
        <row r="5798">
          <cell r="E5798" t="str">
            <v>B25015472</v>
          </cell>
          <cell r="AP5798">
            <v>0</v>
          </cell>
          <cell r="AQ5798">
            <v>35100000</v>
          </cell>
          <cell r="AV5798">
            <v>0</v>
          </cell>
        </row>
        <row r="5799">
          <cell r="E5799" t="str">
            <v>D25018132</v>
          </cell>
          <cell r="AP5799">
            <v>0</v>
          </cell>
          <cell r="AQ5799">
            <v>140325000</v>
          </cell>
          <cell r="AV5799">
            <v>0</v>
          </cell>
        </row>
        <row r="5800">
          <cell r="E5800" t="str">
            <v>D25018308</v>
          </cell>
          <cell r="AP5800">
            <v>0</v>
          </cell>
          <cell r="AQ5800">
            <v>54000000</v>
          </cell>
          <cell r="AV5800">
            <v>0</v>
          </cell>
        </row>
        <row r="5801">
          <cell r="E5801" t="str">
            <v>B25016700</v>
          </cell>
          <cell r="AP5801">
            <v>0</v>
          </cell>
          <cell r="AQ5801">
            <v>163000000</v>
          </cell>
          <cell r="AV5801">
            <v>0</v>
          </cell>
        </row>
        <row r="5802">
          <cell r="E5802" t="str">
            <v>B26000038</v>
          </cell>
          <cell r="AP5802">
            <v>0</v>
          </cell>
          <cell r="AQ5802">
            <v>0</v>
          </cell>
          <cell r="AV5802">
            <v>0</v>
          </cell>
        </row>
        <row r="5803">
          <cell r="E5803" t="str">
            <v>B26000298</v>
          </cell>
          <cell r="AP5803">
            <v>0</v>
          </cell>
          <cell r="AQ5803">
            <v>0</v>
          </cell>
          <cell r="AV5803">
            <v>0</v>
          </cell>
        </row>
        <row r="5804">
          <cell r="E5804" t="str">
            <v>B26000593</v>
          </cell>
          <cell r="AP5804">
            <v>0</v>
          </cell>
          <cell r="AQ5804">
            <v>0</v>
          </cell>
          <cell r="AV5804">
            <v>0</v>
          </cell>
        </row>
        <row r="5805">
          <cell r="E5805" t="str">
            <v>D26000625</v>
          </cell>
          <cell r="AP5805">
            <v>0</v>
          </cell>
          <cell r="AQ5805">
            <v>0</v>
          </cell>
          <cell r="AV5805">
            <v>0</v>
          </cell>
        </row>
        <row r="5806">
          <cell r="E5806" t="str">
            <v>B26001110</v>
          </cell>
          <cell r="AP5806">
            <v>0</v>
          </cell>
          <cell r="AQ5806">
            <v>0</v>
          </cell>
          <cell r="AV5806">
            <v>0</v>
          </cell>
        </row>
        <row r="5807">
          <cell r="E5807" t="str">
            <v>B26001139</v>
          </cell>
          <cell r="AP5807">
            <v>0</v>
          </cell>
          <cell r="AQ5807">
            <v>0</v>
          </cell>
          <cell r="AV5807">
            <v>46200000</v>
          </cell>
        </row>
        <row r="5808">
          <cell r="E5808" t="str">
            <v>B26001693</v>
          </cell>
          <cell r="AP5808">
            <v>0</v>
          </cell>
          <cell r="AQ5808">
            <v>0</v>
          </cell>
          <cell r="AV5808">
            <v>218000000</v>
          </cell>
        </row>
        <row r="5809">
          <cell r="E5809" t="str">
            <v>B26001694</v>
          </cell>
          <cell r="AP5809">
            <v>0</v>
          </cell>
          <cell r="AQ5809">
            <v>0</v>
          </cell>
          <cell r="AV5809">
            <v>0</v>
          </cell>
        </row>
        <row r="5810">
          <cell r="E5810" t="str">
            <v>D26001787</v>
          </cell>
          <cell r="AP5810">
            <v>0</v>
          </cell>
          <cell r="AQ5810">
            <v>0</v>
          </cell>
          <cell r="AV5810">
            <v>0</v>
          </cell>
        </row>
        <row r="5811">
          <cell r="E5811" t="str">
            <v>D26002030</v>
          </cell>
          <cell r="AP5811">
            <v>0</v>
          </cell>
          <cell r="AQ5811">
            <v>0</v>
          </cell>
          <cell r="AV5811">
            <v>0</v>
          </cell>
        </row>
        <row r="5812">
          <cell r="E5812" t="str">
            <v>D26002041</v>
          </cell>
          <cell r="AP5812">
            <v>0</v>
          </cell>
          <cell r="AQ5812">
            <v>0</v>
          </cell>
          <cell r="AV5812">
            <v>264000000</v>
          </cell>
        </row>
        <row r="5813">
          <cell r="E5813" t="str">
            <v>D26002361</v>
          </cell>
          <cell r="AP5813">
            <v>0</v>
          </cell>
          <cell r="AQ5813">
            <v>0</v>
          </cell>
          <cell r="AV5813">
            <v>0</v>
          </cell>
        </row>
        <row r="5814">
          <cell r="E5814" t="str">
            <v>D26001616</v>
          </cell>
          <cell r="AP5814">
            <v>0</v>
          </cell>
          <cell r="AQ5814">
            <v>0</v>
          </cell>
          <cell r="AV5814">
            <v>840000</v>
          </cell>
        </row>
        <row r="5815">
          <cell r="E5815" t="str">
            <v>B25013470</v>
          </cell>
          <cell r="AP5815">
            <v>0</v>
          </cell>
          <cell r="AQ5815">
            <v>0</v>
          </cell>
          <cell r="AV5815">
            <v>0</v>
          </cell>
        </row>
        <row r="5816">
          <cell r="E5816" t="str">
            <v>B25013470</v>
          </cell>
          <cell r="AP5816">
            <v>0</v>
          </cell>
          <cell r="AQ5816">
            <v>0</v>
          </cell>
          <cell r="AV5816">
            <v>0</v>
          </cell>
        </row>
        <row r="5817">
          <cell r="E5817" t="str">
            <v>B25013470</v>
          </cell>
          <cell r="AP5817">
            <v>0</v>
          </cell>
          <cell r="AQ5817">
            <v>0</v>
          </cell>
          <cell r="AV5817">
            <v>0</v>
          </cell>
        </row>
        <row r="5818">
          <cell r="E5818" t="str">
            <v>B25013565</v>
          </cell>
          <cell r="AP5818">
            <v>0</v>
          </cell>
          <cell r="AQ5818">
            <v>0</v>
          </cell>
          <cell r="AV5818">
            <v>0</v>
          </cell>
        </row>
        <row r="5819">
          <cell r="E5819" t="str">
            <v>D25016726</v>
          </cell>
          <cell r="AP5819">
            <v>0</v>
          </cell>
          <cell r="AQ5819">
            <v>0</v>
          </cell>
          <cell r="AV5819">
            <v>0</v>
          </cell>
        </row>
        <row r="5820">
          <cell r="E5820" t="str">
            <v>D26001851</v>
          </cell>
          <cell r="AP5820">
            <v>0</v>
          </cell>
          <cell r="AQ5820">
            <v>0</v>
          </cell>
          <cell r="AV5820">
            <v>0</v>
          </cell>
        </row>
        <row r="5821">
          <cell r="E5821" t="str">
            <v>D26001852</v>
          </cell>
          <cell r="AP5821">
            <v>0</v>
          </cell>
          <cell r="AQ5821">
            <v>0</v>
          </cell>
          <cell r="AV5821">
            <v>0</v>
          </cell>
        </row>
        <row r="5822">
          <cell r="E5822" t="str">
            <v>D26001885</v>
          </cell>
          <cell r="AP5822">
            <v>0</v>
          </cell>
          <cell r="AQ5822">
            <v>0</v>
          </cell>
          <cell r="AV5822">
            <v>0</v>
          </cell>
        </row>
        <row r="5823">
          <cell r="E5823" t="str">
            <v>B26001338</v>
          </cell>
          <cell r="AP5823">
            <v>0</v>
          </cell>
          <cell r="AQ5823">
            <v>0</v>
          </cell>
          <cell r="AV5823">
            <v>0</v>
          </cell>
        </row>
        <row r="5824">
          <cell r="E5824" t="str">
            <v>D26001400</v>
          </cell>
          <cell r="AP5824">
            <v>0</v>
          </cell>
          <cell r="AQ5824">
            <v>0</v>
          </cell>
          <cell r="AV5824">
            <v>0</v>
          </cell>
        </row>
        <row r="5825">
          <cell r="E5825" t="str">
            <v>D26001407</v>
          </cell>
          <cell r="AP5825">
            <v>0</v>
          </cell>
          <cell r="AQ5825">
            <v>0</v>
          </cell>
          <cell r="AV5825">
            <v>0</v>
          </cell>
        </row>
        <row r="5826">
          <cell r="E5826" t="str">
            <v>B26001661</v>
          </cell>
          <cell r="AP5826">
            <v>0</v>
          </cell>
          <cell r="AQ5826">
            <v>0</v>
          </cell>
          <cell r="AV5826">
            <v>0</v>
          </cell>
        </row>
        <row r="5827">
          <cell r="E5827" t="str">
            <v>B26000014</v>
          </cell>
          <cell r="AP5827">
            <v>0</v>
          </cell>
          <cell r="AQ5827">
            <v>0</v>
          </cell>
          <cell r="AV5827">
            <v>0</v>
          </cell>
        </row>
        <row r="5828">
          <cell r="E5828" t="str">
            <v>D26000120</v>
          </cell>
          <cell r="AP5828">
            <v>0</v>
          </cell>
          <cell r="AQ5828">
            <v>0</v>
          </cell>
          <cell r="AV5828">
            <v>0</v>
          </cell>
        </row>
        <row r="5829">
          <cell r="E5829" t="str">
            <v>B26000227</v>
          </cell>
          <cell r="AP5829">
            <v>0</v>
          </cell>
          <cell r="AQ5829">
            <v>0</v>
          </cell>
          <cell r="AV5829">
            <v>0</v>
          </cell>
        </row>
        <row r="5830">
          <cell r="E5830" t="str">
            <v>D26000343</v>
          </cell>
          <cell r="AP5830">
            <v>0</v>
          </cell>
          <cell r="AQ5830">
            <v>0</v>
          </cell>
          <cell r="AV5830">
            <v>0</v>
          </cell>
        </row>
        <row r="5831">
          <cell r="E5831" t="str">
            <v>D26000597</v>
          </cell>
          <cell r="AP5831">
            <v>0</v>
          </cell>
          <cell r="AQ5831">
            <v>0</v>
          </cell>
          <cell r="AV5831">
            <v>0</v>
          </cell>
        </row>
        <row r="5832">
          <cell r="E5832" t="str">
            <v>D26000646</v>
          </cell>
          <cell r="AP5832">
            <v>0</v>
          </cell>
          <cell r="AQ5832">
            <v>0</v>
          </cell>
          <cell r="AV5832">
            <v>0</v>
          </cell>
        </row>
        <row r="5833">
          <cell r="E5833" t="str">
            <v>D26000663</v>
          </cell>
          <cell r="AP5833">
            <v>0</v>
          </cell>
          <cell r="AQ5833">
            <v>0</v>
          </cell>
          <cell r="AV5833">
            <v>0</v>
          </cell>
        </row>
        <row r="5834">
          <cell r="E5834" t="str">
            <v>B26000631</v>
          </cell>
          <cell r="AP5834">
            <v>0</v>
          </cell>
          <cell r="AQ5834">
            <v>0</v>
          </cell>
          <cell r="AV5834">
            <v>0</v>
          </cell>
        </row>
        <row r="5835">
          <cell r="E5835" t="str">
            <v>D26000774</v>
          </cell>
          <cell r="AP5835">
            <v>0</v>
          </cell>
          <cell r="AQ5835">
            <v>0</v>
          </cell>
          <cell r="AV5835">
            <v>0</v>
          </cell>
        </row>
        <row r="5836">
          <cell r="E5836" t="str">
            <v>B26000805</v>
          </cell>
          <cell r="AP5836">
            <v>0</v>
          </cell>
          <cell r="AQ5836">
            <v>0</v>
          </cell>
          <cell r="AV5836">
            <v>0</v>
          </cell>
        </row>
        <row r="5837">
          <cell r="E5837" t="str">
            <v>B26000817</v>
          </cell>
          <cell r="AP5837">
            <v>0</v>
          </cell>
          <cell r="AQ5837">
            <v>0</v>
          </cell>
          <cell r="AV5837">
            <v>0</v>
          </cell>
        </row>
        <row r="5838">
          <cell r="E5838" t="str">
            <v>B26000921</v>
          </cell>
          <cell r="AP5838">
            <v>0</v>
          </cell>
          <cell r="AQ5838">
            <v>0</v>
          </cell>
          <cell r="AV5838">
            <v>0</v>
          </cell>
        </row>
        <row r="5839">
          <cell r="E5839" t="str">
            <v>D26001125</v>
          </cell>
          <cell r="AP5839">
            <v>0</v>
          </cell>
          <cell r="AQ5839">
            <v>0</v>
          </cell>
          <cell r="AV5839">
            <v>0</v>
          </cell>
        </row>
        <row r="5840">
          <cell r="E5840" t="str">
            <v>B26001300</v>
          </cell>
          <cell r="AP5840">
            <v>0</v>
          </cell>
          <cell r="AQ5840">
            <v>0</v>
          </cell>
          <cell r="AV5840">
            <v>0</v>
          </cell>
        </row>
        <row r="5841">
          <cell r="E5841" t="str">
            <v>B26001312</v>
          </cell>
          <cell r="AP5841">
            <v>0</v>
          </cell>
          <cell r="AQ5841">
            <v>0</v>
          </cell>
          <cell r="AV5841">
            <v>0</v>
          </cell>
        </row>
        <row r="5842">
          <cell r="E5842" t="str">
            <v>D26001536</v>
          </cell>
          <cell r="AP5842">
            <v>0</v>
          </cell>
          <cell r="AQ5842">
            <v>0</v>
          </cell>
          <cell r="AV5842">
            <v>0</v>
          </cell>
        </row>
        <row r="5843">
          <cell r="E5843" t="str">
            <v>D26001656</v>
          </cell>
          <cell r="AP5843">
            <v>0</v>
          </cell>
          <cell r="AQ5843">
            <v>0</v>
          </cell>
          <cell r="AV5843">
            <v>0</v>
          </cell>
        </row>
        <row r="5844">
          <cell r="E5844" t="str">
            <v>D26001657</v>
          </cell>
          <cell r="AP5844">
            <v>0</v>
          </cell>
          <cell r="AQ5844">
            <v>0</v>
          </cell>
          <cell r="AV5844">
            <v>0</v>
          </cell>
        </row>
        <row r="5845">
          <cell r="E5845" t="str">
            <v>D26001659</v>
          </cell>
          <cell r="AP5845">
            <v>0</v>
          </cell>
          <cell r="AQ5845">
            <v>0</v>
          </cell>
          <cell r="AV5845">
            <v>0</v>
          </cell>
        </row>
        <row r="5846">
          <cell r="E5846">
            <v>260010</v>
          </cell>
          <cell r="AP5846">
            <v>0</v>
          </cell>
          <cell r="AQ5846">
            <v>0</v>
          </cell>
          <cell r="AV5846">
            <v>0</v>
          </cell>
        </row>
        <row r="5847">
          <cell r="E5847" t="str">
            <v>B26001679</v>
          </cell>
          <cell r="AP5847">
            <v>0</v>
          </cell>
          <cell r="AQ5847">
            <v>0</v>
          </cell>
          <cell r="AV5847">
            <v>0</v>
          </cell>
        </row>
        <row r="5848">
          <cell r="E5848" t="str">
            <v>B26001769</v>
          </cell>
          <cell r="AP5848">
            <v>0</v>
          </cell>
          <cell r="AQ5848">
            <v>0</v>
          </cell>
          <cell r="AV5848">
            <v>0</v>
          </cell>
        </row>
        <row r="5849">
          <cell r="E5849" t="str">
            <v>B26001770</v>
          </cell>
          <cell r="AP5849">
            <v>0</v>
          </cell>
          <cell r="AQ5849">
            <v>0</v>
          </cell>
          <cell r="AV5849">
            <v>0</v>
          </cell>
        </row>
        <row r="5850">
          <cell r="E5850" t="str">
            <v>B26001776</v>
          </cell>
          <cell r="AP5850">
            <v>0</v>
          </cell>
          <cell r="AQ5850">
            <v>0</v>
          </cell>
          <cell r="AV5850">
            <v>0</v>
          </cell>
        </row>
        <row r="5851">
          <cell r="E5851" t="str">
            <v>B26001941</v>
          </cell>
          <cell r="AP5851">
            <v>0</v>
          </cell>
          <cell r="AQ5851">
            <v>0</v>
          </cell>
          <cell r="AV5851">
            <v>0</v>
          </cell>
        </row>
        <row r="5852">
          <cell r="E5852" t="str">
            <v>D26002075</v>
          </cell>
          <cell r="AP5852">
            <v>0</v>
          </cell>
          <cell r="AQ5852">
            <v>0</v>
          </cell>
          <cell r="AV5852">
            <v>0</v>
          </cell>
        </row>
        <row r="5853">
          <cell r="E5853" t="str">
            <v>D26002076</v>
          </cell>
          <cell r="AP5853">
            <v>0</v>
          </cell>
          <cell r="AQ5853">
            <v>0</v>
          </cell>
          <cell r="AV5853">
            <v>0</v>
          </cell>
        </row>
        <row r="5854">
          <cell r="E5854" t="str">
            <v>D26002133</v>
          </cell>
          <cell r="AP5854">
            <v>0</v>
          </cell>
          <cell r="AQ5854">
            <v>0</v>
          </cell>
          <cell r="AV5854">
            <v>0</v>
          </cell>
        </row>
        <row r="5855">
          <cell r="E5855" t="str">
            <v>B25015944</v>
          </cell>
          <cell r="AP5855">
            <v>0</v>
          </cell>
          <cell r="AQ5855">
            <v>0</v>
          </cell>
          <cell r="AV5855">
            <v>600000</v>
          </cell>
        </row>
        <row r="5856">
          <cell r="E5856" t="str">
            <v>D25018649</v>
          </cell>
          <cell r="AP5856">
            <v>0</v>
          </cell>
          <cell r="AQ5856">
            <v>0</v>
          </cell>
          <cell r="AV5856">
            <v>4900000</v>
          </cell>
        </row>
        <row r="5857">
          <cell r="E5857" t="str">
            <v>D25018860</v>
          </cell>
          <cell r="AP5857">
            <v>0</v>
          </cell>
          <cell r="AQ5857">
            <v>0</v>
          </cell>
          <cell r="AV5857">
            <v>1050000</v>
          </cell>
        </row>
        <row r="5858">
          <cell r="E5858" t="str">
            <v>D25018944</v>
          </cell>
          <cell r="AP5858">
            <v>0</v>
          </cell>
          <cell r="AQ5858">
            <v>0</v>
          </cell>
          <cell r="AV5858">
            <v>102000000</v>
          </cell>
        </row>
        <row r="5859">
          <cell r="E5859" t="str">
            <v>B26000235</v>
          </cell>
          <cell r="AP5859">
            <v>0</v>
          </cell>
          <cell r="AQ5859">
            <v>0</v>
          </cell>
          <cell r="AV5859">
            <v>0</v>
          </cell>
        </row>
        <row r="5860">
          <cell r="E5860" t="str">
            <v>D26000347</v>
          </cell>
          <cell r="AP5860">
            <v>0</v>
          </cell>
          <cell r="AQ5860">
            <v>0</v>
          </cell>
          <cell r="AV5860">
            <v>0</v>
          </cell>
        </row>
        <row r="5861">
          <cell r="E5861" t="str">
            <v>B26000494</v>
          </cell>
          <cell r="AP5861">
            <v>0</v>
          </cell>
          <cell r="AQ5861">
            <v>0</v>
          </cell>
          <cell r="AV5861">
            <v>0</v>
          </cell>
        </row>
        <row r="5862">
          <cell r="E5862" t="str">
            <v>D26001795</v>
          </cell>
          <cell r="AP5862">
            <v>0</v>
          </cell>
          <cell r="AQ5862">
            <v>0</v>
          </cell>
          <cell r="AV5862">
            <v>0</v>
          </cell>
        </row>
        <row r="5863">
          <cell r="E5863" t="str">
            <v>Z26000004</v>
          </cell>
          <cell r="AP5863">
            <v>0</v>
          </cell>
          <cell r="AQ5863">
            <v>0</v>
          </cell>
          <cell r="AV5863">
            <v>0</v>
          </cell>
        </row>
        <row r="5864">
          <cell r="E5864" t="str">
            <v>Z26000047</v>
          </cell>
          <cell r="AP5864">
            <v>0</v>
          </cell>
          <cell r="AQ5864">
            <v>0</v>
          </cell>
          <cell r="AV5864">
            <v>0</v>
          </cell>
        </row>
        <row r="5865">
          <cell r="E5865" t="str">
            <v>Z26000216</v>
          </cell>
          <cell r="AP5865">
            <v>0</v>
          </cell>
          <cell r="AQ5865">
            <v>0</v>
          </cell>
          <cell r="AV5865">
            <v>0</v>
          </cell>
        </row>
        <row r="5866">
          <cell r="E5866" t="str">
            <v>Z26000304</v>
          </cell>
          <cell r="AP5866">
            <v>0</v>
          </cell>
          <cell r="AQ5866">
            <v>0</v>
          </cell>
          <cell r="AV5866">
            <v>0</v>
          </cell>
        </row>
        <row r="5867">
          <cell r="E5867" t="str">
            <v>Z26000305</v>
          </cell>
          <cell r="AP5867">
            <v>0</v>
          </cell>
          <cell r="AQ5867">
            <v>0</v>
          </cell>
          <cell r="AV5867">
            <v>4950000</v>
          </cell>
        </row>
        <row r="5868">
          <cell r="E5868" t="str">
            <v>Z26000322</v>
          </cell>
          <cell r="AP5868">
            <v>0</v>
          </cell>
          <cell r="AQ5868">
            <v>0</v>
          </cell>
          <cell r="AV5868">
            <v>0</v>
          </cell>
        </row>
        <row r="5869">
          <cell r="E5869" t="str">
            <v>Z26000345</v>
          </cell>
          <cell r="AP5869">
            <v>0</v>
          </cell>
          <cell r="AQ5869">
            <v>0</v>
          </cell>
          <cell r="AV5869">
            <v>66000000</v>
          </cell>
        </row>
        <row r="5870">
          <cell r="E5870" t="str">
            <v>Z26000352</v>
          </cell>
          <cell r="AP5870">
            <v>0</v>
          </cell>
          <cell r="AQ5870">
            <v>0</v>
          </cell>
          <cell r="AV5870">
            <v>66000000</v>
          </cell>
        </row>
        <row r="5871">
          <cell r="E5871" t="str">
            <v>B25015036</v>
          </cell>
          <cell r="AP5871">
            <v>0</v>
          </cell>
          <cell r="AQ5871">
            <v>0</v>
          </cell>
          <cell r="AV5871">
            <v>61295000</v>
          </cell>
        </row>
        <row r="5872">
          <cell r="E5872" t="str">
            <v>B25016263</v>
          </cell>
          <cell r="AP5872">
            <v>0</v>
          </cell>
          <cell r="AQ5872">
            <v>0</v>
          </cell>
          <cell r="AV5872">
            <v>9984000</v>
          </cell>
        </row>
        <row r="5873">
          <cell r="E5873" t="str">
            <v>D25018727</v>
          </cell>
          <cell r="AP5873">
            <v>0</v>
          </cell>
          <cell r="AQ5873">
            <v>0</v>
          </cell>
          <cell r="AV5873">
            <v>0</v>
          </cell>
        </row>
        <row r="5874">
          <cell r="E5874" t="str">
            <v>D25019314</v>
          </cell>
          <cell r="AP5874">
            <v>0</v>
          </cell>
          <cell r="AQ5874">
            <v>0</v>
          </cell>
          <cell r="AV5874">
            <v>0</v>
          </cell>
        </row>
        <row r="5875">
          <cell r="E5875" t="str">
            <v>B26000352</v>
          </cell>
          <cell r="AP5875">
            <v>0</v>
          </cell>
          <cell r="AQ5875">
            <v>0</v>
          </cell>
          <cell r="AV5875">
            <v>0</v>
          </cell>
        </row>
        <row r="5876">
          <cell r="E5876" t="str">
            <v>D26000420</v>
          </cell>
          <cell r="AP5876">
            <v>0</v>
          </cell>
          <cell r="AQ5876">
            <v>0</v>
          </cell>
          <cell r="AV5876">
            <v>0</v>
          </cell>
        </row>
        <row r="5877">
          <cell r="E5877" t="str">
            <v>D26000897</v>
          </cell>
          <cell r="AP5877">
            <v>0</v>
          </cell>
          <cell r="AQ5877">
            <v>0</v>
          </cell>
          <cell r="AV5877">
            <v>0</v>
          </cell>
        </row>
        <row r="5878">
          <cell r="E5878" t="str">
            <v>D26000972</v>
          </cell>
          <cell r="AP5878">
            <v>0</v>
          </cell>
          <cell r="AQ5878">
            <v>0</v>
          </cell>
          <cell r="AV5878">
            <v>0</v>
          </cell>
        </row>
        <row r="5879">
          <cell r="E5879" t="str">
            <v>D26000997</v>
          </cell>
          <cell r="AP5879">
            <v>0</v>
          </cell>
          <cell r="AQ5879">
            <v>0</v>
          </cell>
          <cell r="AV5879">
            <v>0</v>
          </cell>
        </row>
        <row r="5880">
          <cell r="E5880" t="str">
            <v>N26000008</v>
          </cell>
          <cell r="AP5880">
            <v>0</v>
          </cell>
          <cell r="AQ5880">
            <v>0</v>
          </cell>
          <cell r="AV5880">
            <v>0</v>
          </cell>
        </row>
        <row r="5881">
          <cell r="E5881" t="str">
            <v>B26001351</v>
          </cell>
          <cell r="AP5881">
            <v>0</v>
          </cell>
          <cell r="AQ5881">
            <v>0</v>
          </cell>
          <cell r="AV5881">
            <v>0</v>
          </cell>
        </row>
        <row r="5882">
          <cell r="E5882" t="str">
            <v>B26001352</v>
          </cell>
          <cell r="AP5882">
            <v>0</v>
          </cell>
          <cell r="AQ5882">
            <v>0</v>
          </cell>
          <cell r="AV5882">
            <v>9900000</v>
          </cell>
        </row>
        <row r="5883">
          <cell r="E5883" t="str">
            <v>B26001387</v>
          </cell>
          <cell r="AP5883">
            <v>0</v>
          </cell>
          <cell r="AQ5883">
            <v>0</v>
          </cell>
          <cell r="AV5883">
            <v>0</v>
          </cell>
        </row>
        <row r="5884">
          <cell r="E5884" t="str">
            <v>D26001456</v>
          </cell>
          <cell r="AP5884">
            <v>0</v>
          </cell>
          <cell r="AQ5884">
            <v>0</v>
          </cell>
          <cell r="AV5884">
            <v>0</v>
          </cell>
        </row>
        <row r="5885">
          <cell r="E5885" t="str">
            <v>B26001960</v>
          </cell>
          <cell r="AP5885">
            <v>0</v>
          </cell>
          <cell r="AQ5885">
            <v>0</v>
          </cell>
          <cell r="AV5885">
            <v>0</v>
          </cell>
        </row>
        <row r="5886">
          <cell r="E5886" t="str">
            <v>D26002438</v>
          </cell>
          <cell r="AP5886">
            <v>0</v>
          </cell>
          <cell r="AQ5886">
            <v>0</v>
          </cell>
          <cell r="AV5886">
            <v>0</v>
          </cell>
        </row>
        <row r="5887">
          <cell r="E5887" t="str">
            <v>B26002050</v>
          </cell>
          <cell r="AP5887">
            <v>0</v>
          </cell>
          <cell r="AQ5887">
            <v>0</v>
          </cell>
          <cell r="AV5887">
            <v>0</v>
          </cell>
        </row>
        <row r="5888">
          <cell r="E5888" t="str">
            <v>D26002191</v>
          </cell>
          <cell r="AP5888">
            <v>0</v>
          </cell>
          <cell r="AQ5888">
            <v>0</v>
          </cell>
          <cell r="AV5888">
            <v>0</v>
          </cell>
        </row>
        <row r="5889">
          <cell r="E5889" t="str">
            <v>D26001008</v>
          </cell>
          <cell r="AP5889">
            <v>0</v>
          </cell>
          <cell r="AQ5889">
            <v>0</v>
          </cell>
          <cell r="AV5889">
            <v>0</v>
          </cell>
        </row>
        <row r="5890">
          <cell r="E5890" t="str">
            <v>D26001441</v>
          </cell>
          <cell r="AP5890">
            <v>0</v>
          </cell>
          <cell r="AQ5890">
            <v>0</v>
          </cell>
          <cell r="AV5890">
            <v>0</v>
          </cell>
        </row>
        <row r="5891">
          <cell r="E5891" t="str">
            <v>D26001442</v>
          </cell>
          <cell r="AP5891">
            <v>0</v>
          </cell>
          <cell r="AQ5891">
            <v>0</v>
          </cell>
          <cell r="AV5891">
            <v>0</v>
          </cell>
        </row>
        <row r="5892">
          <cell r="E5892" t="str">
            <v>B25015874</v>
          </cell>
          <cell r="AP5892">
            <v>0</v>
          </cell>
          <cell r="AQ5892">
            <v>0</v>
          </cell>
          <cell r="AV5892">
            <v>0</v>
          </cell>
        </row>
        <row r="5893">
          <cell r="E5893" t="str">
            <v>D25018812</v>
          </cell>
          <cell r="AP5893">
            <v>0</v>
          </cell>
          <cell r="AQ5893">
            <v>0</v>
          </cell>
          <cell r="AV5893">
            <v>46200000</v>
          </cell>
        </row>
        <row r="5894">
          <cell r="E5894" t="str">
            <v>D25018857</v>
          </cell>
          <cell r="AP5894">
            <v>0</v>
          </cell>
          <cell r="AQ5894">
            <v>0</v>
          </cell>
          <cell r="AV5894">
            <v>23280000</v>
          </cell>
        </row>
        <row r="5895">
          <cell r="E5895" t="str">
            <v>B25016481</v>
          </cell>
          <cell r="AP5895">
            <v>0</v>
          </cell>
          <cell r="AQ5895">
            <v>0</v>
          </cell>
          <cell r="AV5895">
            <v>7000000</v>
          </cell>
        </row>
        <row r="5896">
          <cell r="E5896" t="str">
            <v>D25018898</v>
          </cell>
          <cell r="AP5896">
            <v>0</v>
          </cell>
          <cell r="AQ5896">
            <v>0</v>
          </cell>
          <cell r="AV5896">
            <v>15400000</v>
          </cell>
        </row>
        <row r="5897">
          <cell r="E5897" t="str">
            <v>D25018899</v>
          </cell>
          <cell r="AP5897">
            <v>0</v>
          </cell>
          <cell r="AQ5897">
            <v>0</v>
          </cell>
          <cell r="AV5897">
            <v>0</v>
          </cell>
        </row>
        <row r="5898">
          <cell r="E5898" t="str">
            <v>D25019102</v>
          </cell>
          <cell r="AP5898">
            <v>0</v>
          </cell>
          <cell r="AQ5898">
            <v>0</v>
          </cell>
          <cell r="AV5898">
            <v>8120000</v>
          </cell>
        </row>
        <row r="5899">
          <cell r="E5899" t="str">
            <v>B25016867</v>
          </cell>
          <cell r="AP5899">
            <v>0</v>
          </cell>
          <cell r="AQ5899">
            <v>0</v>
          </cell>
          <cell r="AV5899">
            <v>0</v>
          </cell>
        </row>
        <row r="5900">
          <cell r="E5900" t="str">
            <v>B25016939</v>
          </cell>
          <cell r="AP5900">
            <v>0</v>
          </cell>
          <cell r="AQ5900">
            <v>0</v>
          </cell>
          <cell r="AV5900">
            <v>0</v>
          </cell>
        </row>
        <row r="5901">
          <cell r="E5901" t="str">
            <v>B25017058</v>
          </cell>
          <cell r="AP5901">
            <v>0</v>
          </cell>
          <cell r="AQ5901">
            <v>0</v>
          </cell>
          <cell r="AV5901">
            <v>0</v>
          </cell>
        </row>
        <row r="5902">
          <cell r="E5902" t="str">
            <v>D25019659</v>
          </cell>
          <cell r="AP5902">
            <v>0</v>
          </cell>
          <cell r="AQ5902">
            <v>0</v>
          </cell>
          <cell r="AV5902">
            <v>0</v>
          </cell>
        </row>
        <row r="5903">
          <cell r="E5903" t="str">
            <v>D26000131</v>
          </cell>
          <cell r="AP5903">
            <v>0</v>
          </cell>
          <cell r="AQ5903">
            <v>0</v>
          </cell>
          <cell r="AV5903">
            <v>0</v>
          </cell>
        </row>
        <row r="5904">
          <cell r="E5904" t="str">
            <v>D26000206</v>
          </cell>
          <cell r="AP5904">
            <v>0</v>
          </cell>
          <cell r="AQ5904">
            <v>0</v>
          </cell>
          <cell r="AV5904">
            <v>0</v>
          </cell>
        </row>
        <row r="5905">
          <cell r="E5905" t="str">
            <v>D26000263</v>
          </cell>
          <cell r="AP5905">
            <v>0</v>
          </cell>
          <cell r="AQ5905">
            <v>0</v>
          </cell>
          <cell r="AV5905">
            <v>0</v>
          </cell>
        </row>
        <row r="5906">
          <cell r="E5906" t="str">
            <v>D26000283</v>
          </cell>
          <cell r="AP5906">
            <v>0</v>
          </cell>
          <cell r="AQ5906">
            <v>0</v>
          </cell>
          <cell r="AV5906">
            <v>0</v>
          </cell>
        </row>
        <row r="5907">
          <cell r="E5907" t="str">
            <v>D26000297</v>
          </cell>
          <cell r="AP5907">
            <v>0</v>
          </cell>
          <cell r="AQ5907">
            <v>0</v>
          </cell>
          <cell r="AV5907">
            <v>0</v>
          </cell>
        </row>
        <row r="5908">
          <cell r="E5908" t="str">
            <v>D26000394</v>
          </cell>
          <cell r="AP5908">
            <v>0</v>
          </cell>
          <cell r="AQ5908">
            <v>0</v>
          </cell>
          <cell r="AV5908">
            <v>0</v>
          </cell>
        </row>
        <row r="5909">
          <cell r="E5909" t="str">
            <v>D26000407</v>
          </cell>
          <cell r="AP5909">
            <v>0</v>
          </cell>
          <cell r="AQ5909">
            <v>0</v>
          </cell>
          <cell r="AV5909">
            <v>0</v>
          </cell>
        </row>
        <row r="5910">
          <cell r="E5910" t="str">
            <v>D26000450</v>
          </cell>
          <cell r="AP5910">
            <v>0</v>
          </cell>
          <cell r="AQ5910">
            <v>0</v>
          </cell>
          <cell r="AV5910">
            <v>0</v>
          </cell>
        </row>
        <row r="5911">
          <cell r="E5911" t="str">
            <v>B26000616</v>
          </cell>
          <cell r="AP5911">
            <v>0</v>
          </cell>
          <cell r="AQ5911">
            <v>0</v>
          </cell>
          <cell r="AV5911">
            <v>0</v>
          </cell>
        </row>
        <row r="5912">
          <cell r="E5912" t="str">
            <v>D26000636</v>
          </cell>
          <cell r="AP5912">
            <v>0</v>
          </cell>
          <cell r="AQ5912">
            <v>0</v>
          </cell>
          <cell r="AV5912">
            <v>0</v>
          </cell>
        </row>
        <row r="5913">
          <cell r="E5913" t="str">
            <v>D26000821</v>
          </cell>
          <cell r="AP5913">
            <v>0</v>
          </cell>
          <cell r="AQ5913">
            <v>0</v>
          </cell>
          <cell r="AV5913">
            <v>0</v>
          </cell>
        </row>
        <row r="5914">
          <cell r="E5914" t="str">
            <v>T26000041</v>
          </cell>
          <cell r="AP5914">
            <v>0</v>
          </cell>
          <cell r="AQ5914">
            <v>0</v>
          </cell>
          <cell r="AV5914">
            <v>0</v>
          </cell>
        </row>
        <row r="5915">
          <cell r="E5915" t="str">
            <v>B26000970</v>
          </cell>
          <cell r="AP5915">
            <v>0</v>
          </cell>
          <cell r="AQ5915">
            <v>0</v>
          </cell>
          <cell r="AV5915">
            <v>0</v>
          </cell>
        </row>
        <row r="5916">
          <cell r="E5916" t="str">
            <v>B26000998</v>
          </cell>
          <cell r="AP5916">
            <v>0</v>
          </cell>
          <cell r="AQ5916">
            <v>0</v>
          </cell>
          <cell r="AV5916">
            <v>0</v>
          </cell>
        </row>
        <row r="5917">
          <cell r="E5917" t="str">
            <v>B26001226</v>
          </cell>
          <cell r="AP5917">
            <v>0</v>
          </cell>
          <cell r="AQ5917">
            <v>0</v>
          </cell>
          <cell r="AV5917">
            <v>0</v>
          </cell>
        </row>
        <row r="5918">
          <cell r="E5918" t="str">
            <v>D26001330</v>
          </cell>
          <cell r="AP5918">
            <v>0</v>
          </cell>
          <cell r="AQ5918">
            <v>0</v>
          </cell>
          <cell r="AV5918">
            <v>0</v>
          </cell>
        </row>
        <row r="5919">
          <cell r="E5919" t="str">
            <v>B26001270</v>
          </cell>
          <cell r="AP5919">
            <v>0</v>
          </cell>
          <cell r="AQ5919">
            <v>0</v>
          </cell>
          <cell r="AV5919">
            <v>0</v>
          </cell>
        </row>
        <row r="5920">
          <cell r="E5920" t="str">
            <v>B26001405</v>
          </cell>
          <cell r="AP5920">
            <v>0</v>
          </cell>
          <cell r="AQ5920">
            <v>0</v>
          </cell>
          <cell r="AV5920">
            <v>0</v>
          </cell>
        </row>
        <row r="5921">
          <cell r="E5921" t="str">
            <v>D26001530</v>
          </cell>
          <cell r="AP5921">
            <v>0</v>
          </cell>
          <cell r="AQ5921">
            <v>0</v>
          </cell>
          <cell r="AV5921">
            <v>0</v>
          </cell>
        </row>
        <row r="5922">
          <cell r="E5922" t="str">
            <v>B26001696</v>
          </cell>
          <cell r="AP5922">
            <v>0</v>
          </cell>
          <cell r="AQ5922">
            <v>0</v>
          </cell>
          <cell r="AV5922">
            <v>0</v>
          </cell>
        </row>
        <row r="5923">
          <cell r="E5923" t="str">
            <v>D26001919</v>
          </cell>
          <cell r="AP5923">
            <v>0</v>
          </cell>
          <cell r="AQ5923">
            <v>0</v>
          </cell>
          <cell r="AV5923">
            <v>0</v>
          </cell>
        </row>
        <row r="5924">
          <cell r="E5924" t="str">
            <v>D26001921</v>
          </cell>
          <cell r="AP5924">
            <v>0</v>
          </cell>
          <cell r="AQ5924">
            <v>0</v>
          </cell>
          <cell r="AV5924">
            <v>0</v>
          </cell>
        </row>
        <row r="5925">
          <cell r="E5925" t="str">
            <v>B26001981</v>
          </cell>
          <cell r="AP5925">
            <v>0</v>
          </cell>
          <cell r="AQ5925">
            <v>0</v>
          </cell>
          <cell r="AV5925">
            <v>0</v>
          </cell>
        </row>
        <row r="5926">
          <cell r="E5926" t="str">
            <v>B26002093</v>
          </cell>
          <cell r="AP5926">
            <v>0</v>
          </cell>
          <cell r="AQ5926">
            <v>0</v>
          </cell>
          <cell r="AV5926">
            <v>0</v>
          </cell>
        </row>
        <row r="5927">
          <cell r="E5927" t="str">
            <v>D26002244</v>
          </cell>
          <cell r="AP5927">
            <v>0</v>
          </cell>
          <cell r="AQ5927">
            <v>0</v>
          </cell>
          <cell r="AV5927">
            <v>0</v>
          </cell>
        </row>
        <row r="5928">
          <cell r="E5928" t="str">
            <v>D25017964</v>
          </cell>
          <cell r="AP5928">
            <v>0</v>
          </cell>
          <cell r="AQ5928">
            <v>0</v>
          </cell>
          <cell r="AV5928">
            <v>775450</v>
          </cell>
        </row>
        <row r="5929">
          <cell r="E5929" t="str">
            <v>B25015793</v>
          </cell>
          <cell r="AP5929">
            <v>0</v>
          </cell>
          <cell r="AQ5929">
            <v>0</v>
          </cell>
          <cell r="AV5929">
            <v>824550</v>
          </cell>
        </row>
        <row r="5930">
          <cell r="E5930" t="str">
            <v>B25015793</v>
          </cell>
          <cell r="AP5930">
            <v>0</v>
          </cell>
          <cell r="AQ5930">
            <v>0</v>
          </cell>
          <cell r="AV5930">
            <v>1000000</v>
          </cell>
        </row>
        <row r="5931">
          <cell r="E5931" t="str">
            <v>B25015793</v>
          </cell>
          <cell r="AP5931">
            <v>0</v>
          </cell>
          <cell r="AQ5931">
            <v>0</v>
          </cell>
          <cell r="AV5931">
            <v>1600000</v>
          </cell>
        </row>
        <row r="5932">
          <cell r="E5932" t="str">
            <v>B25015793</v>
          </cell>
          <cell r="AP5932">
            <v>0</v>
          </cell>
          <cell r="AQ5932">
            <v>0</v>
          </cell>
          <cell r="AV5932">
            <v>1350000</v>
          </cell>
        </row>
        <row r="5933">
          <cell r="E5933" t="str">
            <v>B25015793</v>
          </cell>
          <cell r="AP5933">
            <v>0</v>
          </cell>
          <cell r="AQ5933">
            <v>0</v>
          </cell>
          <cell r="AV5933">
            <v>1800000</v>
          </cell>
        </row>
        <row r="5934">
          <cell r="E5934" t="str">
            <v>B25015793</v>
          </cell>
          <cell r="AP5934">
            <v>0</v>
          </cell>
          <cell r="AQ5934">
            <v>0</v>
          </cell>
          <cell r="AV5934">
            <v>1050000</v>
          </cell>
        </row>
        <row r="5935">
          <cell r="E5935" t="str">
            <v>D25018854</v>
          </cell>
          <cell r="AP5935">
            <v>0</v>
          </cell>
          <cell r="AQ5935">
            <v>0</v>
          </cell>
          <cell r="AV5935">
            <v>0</v>
          </cell>
        </row>
        <row r="5936">
          <cell r="E5936" t="str">
            <v>D25019145</v>
          </cell>
          <cell r="AP5936">
            <v>0</v>
          </cell>
          <cell r="AQ5936">
            <v>0</v>
          </cell>
          <cell r="AV5936">
            <v>0</v>
          </cell>
        </row>
        <row r="5937">
          <cell r="E5937" t="str">
            <v>D25019146</v>
          </cell>
          <cell r="AP5937">
            <v>0</v>
          </cell>
          <cell r="AQ5937">
            <v>0</v>
          </cell>
          <cell r="AV5937">
            <v>0</v>
          </cell>
        </row>
        <row r="5938">
          <cell r="E5938" t="str">
            <v>D25019147</v>
          </cell>
          <cell r="AP5938">
            <v>0</v>
          </cell>
          <cell r="AQ5938">
            <v>0</v>
          </cell>
          <cell r="AV5938">
            <v>0</v>
          </cell>
        </row>
        <row r="5939">
          <cell r="E5939" t="str">
            <v>B26000081</v>
          </cell>
          <cell r="AP5939">
            <v>0</v>
          </cell>
          <cell r="AQ5939">
            <v>0</v>
          </cell>
          <cell r="AV5939">
            <v>0</v>
          </cell>
        </row>
        <row r="5940">
          <cell r="E5940" t="str">
            <v>B26000082</v>
          </cell>
          <cell r="AP5940">
            <v>0</v>
          </cell>
          <cell r="AQ5940">
            <v>0</v>
          </cell>
          <cell r="AV5940">
            <v>0</v>
          </cell>
        </row>
        <row r="5941">
          <cell r="E5941" t="str">
            <v>B26000083</v>
          </cell>
          <cell r="AP5941">
            <v>0</v>
          </cell>
          <cell r="AQ5941">
            <v>0</v>
          </cell>
          <cell r="AV5941">
            <v>0</v>
          </cell>
        </row>
        <row r="5942">
          <cell r="E5942" t="str">
            <v>D26000675</v>
          </cell>
          <cell r="AP5942">
            <v>0</v>
          </cell>
          <cell r="AQ5942">
            <v>0</v>
          </cell>
          <cell r="AV5942">
            <v>0</v>
          </cell>
        </row>
        <row r="5943">
          <cell r="E5943" t="str">
            <v>D26001080</v>
          </cell>
          <cell r="AP5943">
            <v>0</v>
          </cell>
          <cell r="AQ5943">
            <v>0</v>
          </cell>
          <cell r="AV5943">
            <v>0</v>
          </cell>
        </row>
        <row r="5944">
          <cell r="E5944" t="str">
            <v>D26001081</v>
          </cell>
          <cell r="AP5944">
            <v>0</v>
          </cell>
          <cell r="AQ5944">
            <v>0</v>
          </cell>
          <cell r="AV5944">
            <v>0</v>
          </cell>
        </row>
        <row r="5945">
          <cell r="E5945" t="str">
            <v>D26001123</v>
          </cell>
          <cell r="AP5945">
            <v>0</v>
          </cell>
          <cell r="AQ5945">
            <v>0</v>
          </cell>
          <cell r="AV5945">
            <v>0</v>
          </cell>
        </row>
        <row r="5946">
          <cell r="E5946" t="str">
            <v>D26002250</v>
          </cell>
          <cell r="AP5946">
            <v>0</v>
          </cell>
          <cell r="AQ5946">
            <v>0</v>
          </cell>
          <cell r="AV5946">
            <v>0</v>
          </cell>
        </row>
        <row r="5947">
          <cell r="E5947" t="str">
            <v>D26002251</v>
          </cell>
          <cell r="AP5947">
            <v>0</v>
          </cell>
          <cell r="AQ5947">
            <v>0</v>
          </cell>
          <cell r="AV5947">
            <v>0</v>
          </cell>
        </row>
        <row r="5948">
          <cell r="E5948" t="str">
            <v>D26002252</v>
          </cell>
          <cell r="AP5948">
            <v>0</v>
          </cell>
          <cell r="AQ5948">
            <v>0</v>
          </cell>
          <cell r="AV5948">
            <v>0</v>
          </cell>
        </row>
        <row r="5949">
          <cell r="E5949" t="str">
            <v>D26002271</v>
          </cell>
          <cell r="AP5949">
            <v>0</v>
          </cell>
          <cell r="AQ5949">
            <v>0</v>
          </cell>
          <cell r="AV5949">
            <v>0</v>
          </cell>
        </row>
        <row r="5950">
          <cell r="E5950" t="str">
            <v>D25019432</v>
          </cell>
          <cell r="AP5950">
            <v>0</v>
          </cell>
          <cell r="AQ5950">
            <v>0</v>
          </cell>
          <cell r="AV5950">
            <v>0</v>
          </cell>
        </row>
        <row r="5951">
          <cell r="E5951" t="str">
            <v>D25019433</v>
          </cell>
          <cell r="AP5951">
            <v>0</v>
          </cell>
          <cell r="AQ5951">
            <v>0</v>
          </cell>
          <cell r="AV5951">
            <v>5000000</v>
          </cell>
        </row>
        <row r="5952">
          <cell r="E5952" t="str">
            <v>D25019434</v>
          </cell>
          <cell r="AP5952">
            <v>0</v>
          </cell>
          <cell r="AQ5952">
            <v>0</v>
          </cell>
          <cell r="AV5952">
            <v>8000000</v>
          </cell>
        </row>
        <row r="5953">
          <cell r="E5953" t="str">
            <v>D25019435</v>
          </cell>
          <cell r="AP5953">
            <v>0</v>
          </cell>
          <cell r="AQ5953">
            <v>0</v>
          </cell>
          <cell r="AV5953">
            <v>0</v>
          </cell>
        </row>
        <row r="5954">
          <cell r="E5954" t="str">
            <v>D25019436</v>
          </cell>
          <cell r="AP5954">
            <v>0</v>
          </cell>
          <cell r="AQ5954">
            <v>0</v>
          </cell>
          <cell r="AV5954">
            <v>0</v>
          </cell>
        </row>
        <row r="5955">
          <cell r="E5955" t="str">
            <v>D25019437</v>
          </cell>
          <cell r="AP5955">
            <v>0</v>
          </cell>
          <cell r="AQ5955">
            <v>0</v>
          </cell>
          <cell r="AV5955">
            <v>0</v>
          </cell>
        </row>
        <row r="5956">
          <cell r="E5956" t="str">
            <v>N25000086</v>
          </cell>
          <cell r="AP5956">
            <v>0</v>
          </cell>
          <cell r="AQ5956">
            <v>0</v>
          </cell>
          <cell r="AV5956">
            <v>0</v>
          </cell>
        </row>
        <row r="5957">
          <cell r="E5957" t="str">
            <v>D26001162</v>
          </cell>
          <cell r="AP5957">
            <v>0</v>
          </cell>
          <cell r="AQ5957">
            <v>0</v>
          </cell>
          <cell r="AV5957">
            <v>0</v>
          </cell>
        </row>
        <row r="5958">
          <cell r="E5958" t="str">
            <v>C26000102</v>
          </cell>
          <cell r="AP5958">
            <v>0</v>
          </cell>
          <cell r="AQ5958">
            <v>0</v>
          </cell>
          <cell r="AV5958">
            <v>430000</v>
          </cell>
        </row>
        <row r="5959">
          <cell r="E5959" t="str">
            <v>B26002032</v>
          </cell>
          <cell r="AP5959">
            <v>0</v>
          </cell>
          <cell r="AQ5959">
            <v>0</v>
          </cell>
          <cell r="AV5959">
            <v>3720000</v>
          </cell>
        </row>
        <row r="5960">
          <cell r="E5960" t="str">
            <v>B26002033</v>
          </cell>
          <cell r="AP5960">
            <v>0</v>
          </cell>
          <cell r="AQ5960">
            <v>0</v>
          </cell>
          <cell r="AV5960">
            <v>4150000</v>
          </cell>
        </row>
        <row r="5961">
          <cell r="E5961" t="str">
            <v>D25019441</v>
          </cell>
          <cell r="AP5961">
            <v>0</v>
          </cell>
          <cell r="AQ5961">
            <v>0</v>
          </cell>
          <cell r="AV5961">
            <v>0</v>
          </cell>
        </row>
        <row r="5962">
          <cell r="E5962" t="str">
            <v>D26001723</v>
          </cell>
          <cell r="AP5962">
            <v>0</v>
          </cell>
          <cell r="AQ5962">
            <v>0</v>
          </cell>
          <cell r="AV5962">
            <v>0</v>
          </cell>
        </row>
        <row r="5963">
          <cell r="E5963" t="str">
            <v>B26001157</v>
          </cell>
          <cell r="AP5963">
            <v>0</v>
          </cell>
          <cell r="AQ5963">
            <v>0</v>
          </cell>
          <cell r="AV5963">
            <v>0</v>
          </cell>
        </row>
        <row r="5964">
          <cell r="E5964" t="str">
            <v>D26002312</v>
          </cell>
          <cell r="AP5964">
            <v>0</v>
          </cell>
          <cell r="AQ5964">
            <v>0</v>
          </cell>
          <cell r="AV5964">
            <v>0</v>
          </cell>
        </row>
        <row r="5965">
          <cell r="E5965" t="str">
            <v>D26002313</v>
          </cell>
          <cell r="AP5965">
            <v>0</v>
          </cell>
          <cell r="AQ5965">
            <v>0</v>
          </cell>
          <cell r="AV5965">
            <v>0</v>
          </cell>
        </row>
        <row r="5966">
          <cell r="E5966" t="str">
            <v>T25001816</v>
          </cell>
          <cell r="AP5966">
            <v>0</v>
          </cell>
          <cell r="AQ5966">
            <v>0</v>
          </cell>
          <cell r="AV5966">
            <v>0</v>
          </cell>
        </row>
        <row r="5967">
          <cell r="E5967" t="str">
            <v>T25001874</v>
          </cell>
          <cell r="AP5967">
            <v>0</v>
          </cell>
          <cell r="AQ5967">
            <v>0</v>
          </cell>
          <cell r="AV5967">
            <v>0</v>
          </cell>
        </row>
        <row r="5968">
          <cell r="E5968" t="str">
            <v>D25019329</v>
          </cell>
          <cell r="AP5968">
            <v>0</v>
          </cell>
          <cell r="AQ5968">
            <v>0</v>
          </cell>
          <cell r="AV5968">
            <v>0</v>
          </cell>
        </row>
        <row r="5969">
          <cell r="E5969" t="str">
            <v>B25016559</v>
          </cell>
          <cell r="AP5969">
            <v>0</v>
          </cell>
          <cell r="AQ5969">
            <v>0</v>
          </cell>
          <cell r="AV5969">
            <v>15019400</v>
          </cell>
        </row>
        <row r="5970">
          <cell r="E5970" t="str">
            <v>B25016560</v>
          </cell>
          <cell r="AP5970">
            <v>0</v>
          </cell>
          <cell r="AQ5970">
            <v>0</v>
          </cell>
          <cell r="AV5970">
            <v>8100000</v>
          </cell>
        </row>
        <row r="5971">
          <cell r="E5971" t="str">
            <v>D25019022</v>
          </cell>
          <cell r="AP5971">
            <v>0</v>
          </cell>
          <cell r="AQ5971">
            <v>0</v>
          </cell>
          <cell r="AV5971">
            <v>6880600</v>
          </cell>
        </row>
        <row r="5972">
          <cell r="E5972" t="str">
            <v>D25019022</v>
          </cell>
          <cell r="AP5972">
            <v>0</v>
          </cell>
          <cell r="AQ5972">
            <v>0</v>
          </cell>
          <cell r="AV5972">
            <v>20000000</v>
          </cell>
        </row>
        <row r="5973">
          <cell r="E5973" t="str">
            <v>D25019022</v>
          </cell>
          <cell r="AP5973">
            <v>0</v>
          </cell>
          <cell r="AQ5973">
            <v>0</v>
          </cell>
          <cell r="AV5973">
            <v>9012400</v>
          </cell>
        </row>
        <row r="5974">
          <cell r="E5974" t="str">
            <v>D25019023</v>
          </cell>
          <cell r="AP5974">
            <v>0</v>
          </cell>
          <cell r="AQ5974">
            <v>0</v>
          </cell>
          <cell r="AV5974">
            <v>10987600</v>
          </cell>
        </row>
        <row r="5975">
          <cell r="E5975" t="str">
            <v>B25017023</v>
          </cell>
          <cell r="AP5975">
            <v>0</v>
          </cell>
          <cell r="AQ5975">
            <v>0</v>
          </cell>
          <cell r="AV5975">
            <v>0</v>
          </cell>
        </row>
        <row r="5976">
          <cell r="E5976" t="str">
            <v>B25017024</v>
          </cell>
          <cell r="AP5976">
            <v>0</v>
          </cell>
          <cell r="AQ5976">
            <v>0</v>
          </cell>
          <cell r="AV5976">
            <v>0</v>
          </cell>
        </row>
        <row r="5977">
          <cell r="E5977" t="str">
            <v>B25017025</v>
          </cell>
          <cell r="AP5977">
            <v>0</v>
          </cell>
          <cell r="AQ5977">
            <v>0</v>
          </cell>
          <cell r="AV5977">
            <v>0</v>
          </cell>
        </row>
        <row r="5978">
          <cell r="E5978" t="str">
            <v>B25017030</v>
          </cell>
          <cell r="AP5978">
            <v>0</v>
          </cell>
          <cell r="AQ5978">
            <v>0</v>
          </cell>
          <cell r="AV5978">
            <v>0</v>
          </cell>
        </row>
        <row r="5979">
          <cell r="E5979" t="str">
            <v>B26000120</v>
          </cell>
          <cell r="AP5979">
            <v>0</v>
          </cell>
          <cell r="AQ5979">
            <v>0</v>
          </cell>
          <cell r="AV5979">
            <v>0</v>
          </cell>
        </row>
        <row r="5980">
          <cell r="E5980" t="str">
            <v>D26000204</v>
          </cell>
          <cell r="AP5980">
            <v>0</v>
          </cell>
          <cell r="AQ5980">
            <v>0</v>
          </cell>
          <cell r="AV5980">
            <v>0</v>
          </cell>
        </row>
        <row r="5981">
          <cell r="E5981" t="str">
            <v>D26000205</v>
          </cell>
          <cell r="AP5981">
            <v>0</v>
          </cell>
          <cell r="AQ5981">
            <v>0</v>
          </cell>
          <cell r="AV5981">
            <v>0</v>
          </cell>
        </row>
        <row r="5982">
          <cell r="E5982" t="str">
            <v>D26000213</v>
          </cell>
          <cell r="AP5982">
            <v>0</v>
          </cell>
          <cell r="AQ5982">
            <v>0</v>
          </cell>
          <cell r="AV5982">
            <v>0</v>
          </cell>
        </row>
        <row r="5983">
          <cell r="E5983" t="str">
            <v>D26000598</v>
          </cell>
          <cell r="AP5983">
            <v>0</v>
          </cell>
          <cell r="AQ5983">
            <v>0</v>
          </cell>
          <cell r="AV5983">
            <v>0</v>
          </cell>
        </row>
        <row r="5984">
          <cell r="E5984" t="str">
            <v>D26000610</v>
          </cell>
          <cell r="AP5984">
            <v>0</v>
          </cell>
          <cell r="AQ5984">
            <v>0</v>
          </cell>
          <cell r="AV5984">
            <v>0</v>
          </cell>
        </row>
        <row r="5985">
          <cell r="E5985" t="str">
            <v>B26000874</v>
          </cell>
          <cell r="AP5985">
            <v>0</v>
          </cell>
          <cell r="AQ5985">
            <v>0</v>
          </cell>
          <cell r="AV5985">
            <v>0</v>
          </cell>
        </row>
        <row r="5986">
          <cell r="E5986" t="str">
            <v>D26000932</v>
          </cell>
          <cell r="AP5986">
            <v>0</v>
          </cell>
          <cell r="AQ5986">
            <v>0</v>
          </cell>
          <cell r="AV5986">
            <v>0</v>
          </cell>
        </row>
        <row r="5987">
          <cell r="E5987" t="str">
            <v>B26000954</v>
          </cell>
          <cell r="AP5987">
            <v>0</v>
          </cell>
          <cell r="AQ5987">
            <v>0</v>
          </cell>
          <cell r="AV5987">
            <v>0</v>
          </cell>
        </row>
        <row r="5988">
          <cell r="E5988" t="str">
            <v>B26000991</v>
          </cell>
          <cell r="AP5988">
            <v>0</v>
          </cell>
          <cell r="AQ5988">
            <v>0</v>
          </cell>
          <cell r="AV5988">
            <v>0</v>
          </cell>
        </row>
        <row r="5989">
          <cell r="E5989" t="str">
            <v>B26001002</v>
          </cell>
          <cell r="AP5989">
            <v>0</v>
          </cell>
          <cell r="AQ5989">
            <v>0</v>
          </cell>
          <cell r="AV5989">
            <v>0</v>
          </cell>
        </row>
        <row r="5990">
          <cell r="E5990" t="str">
            <v>D26001576</v>
          </cell>
          <cell r="AP5990">
            <v>0</v>
          </cell>
          <cell r="AQ5990">
            <v>0</v>
          </cell>
          <cell r="AV5990">
            <v>0</v>
          </cell>
        </row>
        <row r="5991">
          <cell r="E5991" t="str">
            <v>D26001577</v>
          </cell>
          <cell r="AP5991">
            <v>0</v>
          </cell>
          <cell r="AQ5991">
            <v>0</v>
          </cell>
          <cell r="AV5991">
            <v>0</v>
          </cell>
        </row>
        <row r="5992">
          <cell r="E5992" t="str">
            <v>D26001578</v>
          </cell>
          <cell r="AP5992">
            <v>0</v>
          </cell>
          <cell r="AQ5992">
            <v>0</v>
          </cell>
          <cell r="AV5992">
            <v>0</v>
          </cell>
        </row>
        <row r="5993">
          <cell r="E5993" t="str">
            <v>B26001971</v>
          </cell>
          <cell r="AP5993">
            <v>0</v>
          </cell>
          <cell r="AQ5993">
            <v>0</v>
          </cell>
          <cell r="AV5993">
            <v>0</v>
          </cell>
        </row>
        <row r="5994">
          <cell r="E5994" t="str">
            <v>B26002092</v>
          </cell>
          <cell r="AP5994">
            <v>0</v>
          </cell>
          <cell r="AQ5994">
            <v>0</v>
          </cell>
          <cell r="AV5994">
            <v>0</v>
          </cell>
        </row>
        <row r="5995">
          <cell r="E5995" t="str">
            <v>B26002251</v>
          </cell>
          <cell r="AP5995">
            <v>0</v>
          </cell>
          <cell r="AQ5995">
            <v>0</v>
          </cell>
          <cell r="AV5995">
            <v>0</v>
          </cell>
        </row>
        <row r="5996">
          <cell r="E5996" t="str">
            <v>D25018241</v>
          </cell>
          <cell r="AP5996">
            <v>0</v>
          </cell>
          <cell r="AQ5996">
            <v>0</v>
          </cell>
          <cell r="AV5996">
            <v>0</v>
          </cell>
        </row>
        <row r="5997">
          <cell r="E5997" t="str">
            <v>T25001801</v>
          </cell>
          <cell r="AP5997">
            <v>0</v>
          </cell>
          <cell r="AQ5997">
            <v>0</v>
          </cell>
          <cell r="AV5997">
            <v>0</v>
          </cell>
        </row>
        <row r="5998">
          <cell r="E5998" t="str">
            <v>D25018357</v>
          </cell>
          <cell r="AP5998">
            <v>0</v>
          </cell>
          <cell r="AQ5998">
            <v>0</v>
          </cell>
          <cell r="AV5998">
            <v>0</v>
          </cell>
        </row>
        <row r="5999">
          <cell r="E5999" t="str">
            <v>D25018506</v>
          </cell>
          <cell r="AP5999">
            <v>0</v>
          </cell>
          <cell r="AQ5999">
            <v>0</v>
          </cell>
          <cell r="AV5999">
            <v>0</v>
          </cell>
        </row>
        <row r="6000">
          <cell r="E6000" t="str">
            <v>D25018510</v>
          </cell>
          <cell r="AP6000">
            <v>0</v>
          </cell>
          <cell r="AQ6000">
            <v>0</v>
          </cell>
          <cell r="AV6000">
            <v>0</v>
          </cell>
        </row>
        <row r="6001">
          <cell r="E6001" t="str">
            <v>D25018591</v>
          </cell>
          <cell r="AP6001">
            <v>0</v>
          </cell>
          <cell r="AQ6001">
            <v>0</v>
          </cell>
          <cell r="AV6001">
            <v>0</v>
          </cell>
        </row>
        <row r="6002">
          <cell r="E6002" t="str">
            <v>D25018731</v>
          </cell>
          <cell r="AP6002">
            <v>0</v>
          </cell>
          <cell r="AQ6002">
            <v>0</v>
          </cell>
          <cell r="AV6002">
            <v>0</v>
          </cell>
        </row>
        <row r="6003">
          <cell r="E6003" t="str">
            <v>D25018924</v>
          </cell>
          <cell r="AP6003">
            <v>0</v>
          </cell>
          <cell r="AQ6003">
            <v>0</v>
          </cell>
          <cell r="AV6003">
            <v>0</v>
          </cell>
        </row>
        <row r="6004">
          <cell r="E6004" t="str">
            <v>B25016525</v>
          </cell>
          <cell r="AP6004">
            <v>0</v>
          </cell>
          <cell r="AQ6004">
            <v>0</v>
          </cell>
          <cell r="AV6004">
            <v>0</v>
          </cell>
        </row>
        <row r="6005">
          <cell r="E6005" t="str">
            <v>B25016620</v>
          </cell>
          <cell r="AP6005">
            <v>0</v>
          </cell>
          <cell r="AQ6005">
            <v>0</v>
          </cell>
          <cell r="AV6005">
            <v>0</v>
          </cell>
        </row>
        <row r="6006">
          <cell r="E6006" t="str">
            <v>B25016759</v>
          </cell>
          <cell r="AP6006">
            <v>0</v>
          </cell>
          <cell r="AQ6006">
            <v>0</v>
          </cell>
          <cell r="AV6006">
            <v>0</v>
          </cell>
        </row>
        <row r="6007">
          <cell r="E6007" t="str">
            <v>D25019439</v>
          </cell>
          <cell r="AP6007">
            <v>0</v>
          </cell>
          <cell r="AQ6007">
            <v>0</v>
          </cell>
          <cell r="AV6007">
            <v>0</v>
          </cell>
        </row>
        <row r="6008">
          <cell r="E6008" t="str">
            <v>B25016915</v>
          </cell>
          <cell r="AP6008">
            <v>0</v>
          </cell>
          <cell r="AQ6008">
            <v>0</v>
          </cell>
          <cell r="AV6008">
            <v>0</v>
          </cell>
        </row>
        <row r="6009">
          <cell r="E6009" t="str">
            <v>B25016952</v>
          </cell>
          <cell r="AP6009">
            <v>0</v>
          </cell>
          <cell r="AQ6009">
            <v>0</v>
          </cell>
          <cell r="AV6009">
            <v>0</v>
          </cell>
        </row>
        <row r="6010">
          <cell r="E6010" t="str">
            <v>D25019470</v>
          </cell>
          <cell r="AP6010">
            <v>0</v>
          </cell>
          <cell r="AQ6010">
            <v>0</v>
          </cell>
          <cell r="AV6010">
            <v>0</v>
          </cell>
        </row>
        <row r="6011">
          <cell r="E6011" t="str">
            <v>D25019473</v>
          </cell>
          <cell r="AP6011">
            <v>0</v>
          </cell>
          <cell r="AQ6011">
            <v>0</v>
          </cell>
          <cell r="AV6011">
            <v>0</v>
          </cell>
        </row>
        <row r="6012">
          <cell r="E6012" t="str">
            <v>D25019553</v>
          </cell>
          <cell r="AP6012">
            <v>0</v>
          </cell>
          <cell r="AQ6012">
            <v>0</v>
          </cell>
          <cell r="AV6012">
            <v>0</v>
          </cell>
        </row>
        <row r="6013">
          <cell r="E6013" t="str">
            <v>D25019584</v>
          </cell>
          <cell r="AP6013">
            <v>0</v>
          </cell>
          <cell r="AQ6013">
            <v>0</v>
          </cell>
          <cell r="AV6013">
            <v>0</v>
          </cell>
        </row>
        <row r="6014">
          <cell r="E6014" t="str">
            <v>D25019681</v>
          </cell>
          <cell r="AP6014">
            <v>0</v>
          </cell>
          <cell r="AQ6014">
            <v>0</v>
          </cell>
          <cell r="AV6014">
            <v>0</v>
          </cell>
        </row>
        <row r="6015">
          <cell r="E6015" t="str">
            <v>B26000160</v>
          </cell>
          <cell r="AP6015">
            <v>0</v>
          </cell>
          <cell r="AQ6015">
            <v>0</v>
          </cell>
          <cell r="AV6015">
            <v>0</v>
          </cell>
        </row>
        <row r="6016">
          <cell r="E6016" t="str">
            <v>D26000049</v>
          </cell>
          <cell r="AP6016">
            <v>0</v>
          </cell>
          <cell r="AQ6016">
            <v>0</v>
          </cell>
          <cell r="AV6016">
            <v>0</v>
          </cell>
        </row>
        <row r="6017">
          <cell r="E6017" t="str">
            <v>D26000128</v>
          </cell>
          <cell r="AP6017">
            <v>0</v>
          </cell>
          <cell r="AQ6017">
            <v>0</v>
          </cell>
          <cell r="AV6017">
            <v>0</v>
          </cell>
        </row>
        <row r="6018">
          <cell r="E6018" t="str">
            <v>D26000313</v>
          </cell>
          <cell r="AP6018">
            <v>0</v>
          </cell>
          <cell r="AQ6018">
            <v>0</v>
          </cell>
          <cell r="AV6018">
            <v>0</v>
          </cell>
        </row>
        <row r="6019">
          <cell r="E6019" t="str">
            <v>D26000329</v>
          </cell>
          <cell r="AP6019">
            <v>0</v>
          </cell>
          <cell r="AQ6019">
            <v>0</v>
          </cell>
          <cell r="AV6019">
            <v>0</v>
          </cell>
        </row>
        <row r="6020">
          <cell r="E6020" t="str">
            <v>D26000360</v>
          </cell>
          <cell r="AP6020">
            <v>0</v>
          </cell>
          <cell r="AQ6020">
            <v>0</v>
          </cell>
          <cell r="AV6020">
            <v>0</v>
          </cell>
        </row>
        <row r="6021">
          <cell r="E6021" t="str">
            <v>D26000409</v>
          </cell>
          <cell r="AP6021">
            <v>0</v>
          </cell>
          <cell r="AQ6021">
            <v>0</v>
          </cell>
          <cell r="AV6021">
            <v>0</v>
          </cell>
        </row>
        <row r="6022">
          <cell r="E6022" t="str">
            <v>D26000453</v>
          </cell>
          <cell r="AP6022">
            <v>0</v>
          </cell>
          <cell r="AQ6022">
            <v>0</v>
          </cell>
          <cell r="AV6022">
            <v>0</v>
          </cell>
        </row>
        <row r="6023">
          <cell r="E6023" t="str">
            <v>B26000420</v>
          </cell>
          <cell r="AP6023">
            <v>0</v>
          </cell>
          <cell r="AQ6023">
            <v>0</v>
          </cell>
          <cell r="AV6023">
            <v>0</v>
          </cell>
        </row>
        <row r="6024">
          <cell r="E6024" t="str">
            <v>B26000458</v>
          </cell>
          <cell r="AP6024">
            <v>0</v>
          </cell>
          <cell r="AQ6024">
            <v>0</v>
          </cell>
          <cell r="AV6024">
            <v>0</v>
          </cell>
        </row>
        <row r="6025">
          <cell r="E6025" t="str">
            <v>B26000480</v>
          </cell>
          <cell r="AP6025">
            <v>0</v>
          </cell>
          <cell r="AQ6025">
            <v>0</v>
          </cell>
          <cell r="AV6025">
            <v>0</v>
          </cell>
        </row>
        <row r="6026">
          <cell r="E6026" t="str">
            <v>B26000481</v>
          </cell>
          <cell r="AP6026">
            <v>0</v>
          </cell>
          <cell r="AQ6026">
            <v>0</v>
          </cell>
          <cell r="AV6026">
            <v>0</v>
          </cell>
        </row>
        <row r="6027">
          <cell r="E6027" t="str">
            <v>B26000493</v>
          </cell>
          <cell r="AP6027">
            <v>0</v>
          </cell>
          <cell r="AQ6027">
            <v>0</v>
          </cell>
          <cell r="AV6027">
            <v>0</v>
          </cell>
        </row>
        <row r="6028">
          <cell r="E6028" t="str">
            <v>D26000483</v>
          </cell>
          <cell r="AP6028">
            <v>0</v>
          </cell>
          <cell r="AQ6028">
            <v>0</v>
          </cell>
          <cell r="AV6028">
            <v>0</v>
          </cell>
        </row>
        <row r="6029">
          <cell r="E6029" t="str">
            <v>D26000487</v>
          </cell>
          <cell r="AP6029">
            <v>0</v>
          </cell>
          <cell r="AQ6029">
            <v>0</v>
          </cell>
          <cell r="AV6029">
            <v>0</v>
          </cell>
        </row>
        <row r="6030">
          <cell r="E6030" t="str">
            <v>B26000629</v>
          </cell>
          <cell r="AP6030">
            <v>0</v>
          </cell>
          <cell r="AQ6030">
            <v>0</v>
          </cell>
          <cell r="AV6030">
            <v>0</v>
          </cell>
        </row>
        <row r="6031">
          <cell r="E6031" t="str">
            <v>B26000834</v>
          </cell>
          <cell r="AP6031">
            <v>0</v>
          </cell>
          <cell r="AQ6031">
            <v>0</v>
          </cell>
          <cell r="AV6031">
            <v>0</v>
          </cell>
        </row>
        <row r="6032">
          <cell r="E6032" t="str">
            <v>B26000898</v>
          </cell>
          <cell r="AP6032">
            <v>0</v>
          </cell>
          <cell r="AQ6032">
            <v>0</v>
          </cell>
          <cell r="AV6032">
            <v>0</v>
          </cell>
        </row>
        <row r="6033">
          <cell r="E6033" t="str">
            <v>D26001267</v>
          </cell>
          <cell r="AP6033">
            <v>0</v>
          </cell>
          <cell r="AQ6033">
            <v>0</v>
          </cell>
          <cell r="AV6033">
            <v>0</v>
          </cell>
        </row>
        <row r="6034">
          <cell r="E6034" t="str">
            <v>B26001257</v>
          </cell>
          <cell r="AP6034">
            <v>0</v>
          </cell>
          <cell r="AQ6034">
            <v>0</v>
          </cell>
          <cell r="AV6034">
            <v>0</v>
          </cell>
        </row>
        <row r="6035">
          <cell r="E6035" t="str">
            <v>D26001332</v>
          </cell>
          <cell r="AP6035">
            <v>0</v>
          </cell>
          <cell r="AQ6035">
            <v>0</v>
          </cell>
          <cell r="AV6035">
            <v>0</v>
          </cell>
        </row>
        <row r="6036">
          <cell r="E6036" t="str">
            <v>D26001391</v>
          </cell>
          <cell r="AP6036">
            <v>0</v>
          </cell>
          <cell r="AQ6036">
            <v>0</v>
          </cell>
          <cell r="AV6036">
            <v>0</v>
          </cell>
        </row>
        <row r="6037">
          <cell r="E6037" t="str">
            <v>B26001487</v>
          </cell>
          <cell r="AP6037">
            <v>0</v>
          </cell>
          <cell r="AQ6037">
            <v>8400000</v>
          </cell>
          <cell r="AV6037">
            <v>0</v>
          </cell>
        </row>
        <row r="6038">
          <cell r="E6038" t="str">
            <v>D26001598</v>
          </cell>
          <cell r="AP6038">
            <v>0</v>
          </cell>
          <cell r="AQ6038">
            <v>10773000</v>
          </cell>
          <cell r="AV6038">
            <v>0</v>
          </cell>
        </row>
        <row r="6039">
          <cell r="E6039" t="str">
            <v>D26001599</v>
          </cell>
          <cell r="AP6039">
            <v>0</v>
          </cell>
          <cell r="AQ6039">
            <v>13250000</v>
          </cell>
          <cell r="AV6039">
            <v>0</v>
          </cell>
        </row>
        <row r="6040">
          <cell r="E6040" t="str">
            <v>D26001697</v>
          </cell>
          <cell r="AP6040">
            <v>0</v>
          </cell>
          <cell r="AQ6040">
            <v>10575000</v>
          </cell>
          <cell r="AV6040">
            <v>0</v>
          </cell>
        </row>
        <row r="6041">
          <cell r="E6041" t="str">
            <v>B26001612</v>
          </cell>
          <cell r="AP6041">
            <v>0</v>
          </cell>
          <cell r="AQ6041">
            <v>10080000</v>
          </cell>
          <cell r="AV6041">
            <v>0</v>
          </cell>
        </row>
        <row r="6042">
          <cell r="E6042" t="str">
            <v>D26001821</v>
          </cell>
          <cell r="AP6042">
            <v>0</v>
          </cell>
          <cell r="AQ6042">
            <v>0</v>
          </cell>
          <cell r="AV6042">
            <v>0</v>
          </cell>
        </row>
        <row r="6043">
          <cell r="E6043" t="str">
            <v>D26001821</v>
          </cell>
          <cell r="AP6043">
            <v>0</v>
          </cell>
          <cell r="AQ6043">
            <v>16290000</v>
          </cell>
          <cell r="AV6043">
            <v>0</v>
          </cell>
        </row>
        <row r="6044">
          <cell r="E6044" t="str">
            <v>B26001911</v>
          </cell>
          <cell r="AP6044">
            <v>0</v>
          </cell>
          <cell r="AQ6044">
            <v>13250000</v>
          </cell>
          <cell r="AV6044">
            <v>0</v>
          </cell>
        </row>
        <row r="6045">
          <cell r="E6045" t="str">
            <v>D26002027</v>
          </cell>
          <cell r="AP6045">
            <v>0</v>
          </cell>
          <cell r="AQ6045">
            <v>1875000</v>
          </cell>
          <cell r="AV6045">
            <v>0</v>
          </cell>
        </row>
        <row r="6046">
          <cell r="E6046" t="str">
            <v>D26002092</v>
          </cell>
          <cell r="AP6046">
            <v>0</v>
          </cell>
          <cell r="AQ6046">
            <v>3080000</v>
          </cell>
          <cell r="AV6046">
            <v>0</v>
          </cell>
        </row>
        <row r="6047">
          <cell r="E6047" t="str">
            <v>B26001987</v>
          </cell>
          <cell r="AP6047">
            <v>0</v>
          </cell>
          <cell r="AQ6047">
            <v>7095000</v>
          </cell>
          <cell r="AV6047">
            <v>0</v>
          </cell>
        </row>
        <row r="6048">
          <cell r="E6048" t="str">
            <v>B26001987</v>
          </cell>
          <cell r="AP6048">
            <v>0</v>
          </cell>
          <cell r="AQ6048">
            <v>225000</v>
          </cell>
          <cell r="AV6048">
            <v>0</v>
          </cell>
        </row>
        <row r="6049">
          <cell r="E6049" t="str">
            <v>B26001988</v>
          </cell>
          <cell r="AP6049">
            <v>0</v>
          </cell>
          <cell r="AQ6049">
            <v>5700000</v>
          </cell>
          <cell r="AV6049">
            <v>0</v>
          </cell>
        </row>
        <row r="6050">
          <cell r="E6050" t="str">
            <v>B26002049</v>
          </cell>
          <cell r="AP6050">
            <v>0</v>
          </cell>
          <cell r="AQ6050">
            <v>0</v>
          </cell>
          <cell r="AV6050">
            <v>62000</v>
          </cell>
        </row>
        <row r="6051">
          <cell r="E6051" t="str">
            <v>B26002049</v>
          </cell>
          <cell r="AP6051">
            <v>0</v>
          </cell>
          <cell r="AQ6051">
            <v>1638000</v>
          </cell>
          <cell r="AV6051">
            <v>0</v>
          </cell>
        </row>
        <row r="6052">
          <cell r="E6052" t="str">
            <v>B26002049</v>
          </cell>
          <cell r="AP6052">
            <v>0</v>
          </cell>
          <cell r="AQ6052">
            <v>0</v>
          </cell>
          <cell r="AV6052">
            <v>10000</v>
          </cell>
        </row>
        <row r="6053">
          <cell r="E6053" t="str">
            <v>D26002199</v>
          </cell>
          <cell r="AP6053">
            <v>0</v>
          </cell>
          <cell r="AQ6053">
            <v>14000000</v>
          </cell>
          <cell r="AV6053">
            <v>0</v>
          </cell>
        </row>
        <row r="6054">
          <cell r="E6054" t="str">
            <v>B26002120</v>
          </cell>
          <cell r="AP6054">
            <v>0</v>
          </cell>
          <cell r="AQ6054">
            <v>2900000</v>
          </cell>
          <cell r="AV6054">
            <v>0</v>
          </cell>
        </row>
        <row r="6055">
          <cell r="E6055" t="str">
            <v>B26002155</v>
          </cell>
          <cell r="AP6055">
            <v>0</v>
          </cell>
          <cell r="AQ6055">
            <v>36000000</v>
          </cell>
          <cell r="AV6055">
            <v>0</v>
          </cell>
        </row>
        <row r="6056">
          <cell r="E6056" t="str">
            <v>D26002305</v>
          </cell>
          <cell r="AP6056">
            <v>0</v>
          </cell>
          <cell r="AQ6056">
            <v>2720000</v>
          </cell>
          <cell r="AV6056">
            <v>0</v>
          </cell>
        </row>
        <row r="6057">
          <cell r="E6057" t="str">
            <v>D26002337</v>
          </cell>
          <cell r="AP6057">
            <v>0</v>
          </cell>
          <cell r="AQ6057">
            <v>15250000</v>
          </cell>
          <cell r="AV6057">
            <v>0</v>
          </cell>
        </row>
        <row r="6058">
          <cell r="E6058" t="str">
            <v>B26000360</v>
          </cell>
          <cell r="AP6058">
            <v>0</v>
          </cell>
          <cell r="AQ6058">
            <v>0</v>
          </cell>
          <cell r="AV6058">
            <v>1035000</v>
          </cell>
        </row>
        <row r="6059">
          <cell r="E6059" t="str">
            <v>D26000441</v>
          </cell>
          <cell r="AP6059">
            <v>0</v>
          </cell>
          <cell r="AQ6059">
            <v>0</v>
          </cell>
          <cell r="AV6059">
            <v>1175000</v>
          </cell>
        </row>
        <row r="6060">
          <cell r="E6060" t="str">
            <v>T25001880</v>
          </cell>
          <cell r="AP6060">
            <v>0</v>
          </cell>
          <cell r="AQ6060">
            <v>0</v>
          </cell>
          <cell r="AV6060">
            <v>0</v>
          </cell>
        </row>
        <row r="6061">
          <cell r="E6061" t="str">
            <v>B26000964</v>
          </cell>
          <cell r="AP6061">
            <v>0</v>
          </cell>
          <cell r="AQ6061">
            <v>0</v>
          </cell>
          <cell r="AV6061">
            <v>0</v>
          </cell>
        </row>
        <row r="6062">
          <cell r="E6062" t="str">
            <v>B26000965</v>
          </cell>
          <cell r="AP6062">
            <v>0</v>
          </cell>
          <cell r="AQ6062">
            <v>0</v>
          </cell>
          <cell r="AV6062">
            <v>0</v>
          </cell>
        </row>
        <row r="6063">
          <cell r="E6063" t="str">
            <v>D26002347</v>
          </cell>
          <cell r="AP6063">
            <v>0</v>
          </cell>
          <cell r="AQ6063">
            <v>0</v>
          </cell>
          <cell r="AV6063">
            <v>0</v>
          </cell>
        </row>
        <row r="6064">
          <cell r="E6064" t="str">
            <v>B26001570</v>
          </cell>
          <cell r="AP6064">
            <v>0</v>
          </cell>
          <cell r="AQ6064">
            <v>0</v>
          </cell>
          <cell r="AV6064">
            <v>5400000</v>
          </cell>
        </row>
        <row r="6065">
          <cell r="E6065" t="str">
            <v>B26001932</v>
          </cell>
          <cell r="AP6065">
            <v>0</v>
          </cell>
          <cell r="AQ6065">
            <v>0</v>
          </cell>
          <cell r="AV6065">
            <v>4300000</v>
          </cell>
        </row>
        <row r="6066">
          <cell r="E6066" t="str">
            <v>T26000145</v>
          </cell>
          <cell r="AP6066">
            <v>0</v>
          </cell>
          <cell r="AQ6066">
            <v>0</v>
          </cell>
          <cell r="AV6066">
            <v>650000</v>
          </cell>
        </row>
        <row r="6067">
          <cell r="E6067" t="str">
            <v>B26001149</v>
          </cell>
          <cell r="AP6067">
            <v>0</v>
          </cell>
          <cell r="AQ6067">
            <v>0</v>
          </cell>
          <cell r="AV6067">
            <v>0</v>
          </cell>
        </row>
        <row r="6068">
          <cell r="E6068" t="str">
            <v>D26001262</v>
          </cell>
          <cell r="AP6068">
            <v>0</v>
          </cell>
          <cell r="AQ6068">
            <v>0</v>
          </cell>
          <cell r="AV6068">
            <v>0</v>
          </cell>
        </row>
        <row r="6069">
          <cell r="E6069" t="str">
            <v>D26001395</v>
          </cell>
          <cell r="AP6069">
            <v>0</v>
          </cell>
          <cell r="AQ6069">
            <v>0</v>
          </cell>
          <cell r="AV6069">
            <v>0</v>
          </cell>
        </row>
        <row r="6070">
          <cell r="E6070" t="str">
            <v>D26001803</v>
          </cell>
          <cell r="AP6070">
            <v>0</v>
          </cell>
          <cell r="AQ6070">
            <v>0</v>
          </cell>
          <cell r="AV6070">
            <v>0</v>
          </cell>
        </row>
        <row r="6071">
          <cell r="E6071" t="str">
            <v>D26001804</v>
          </cell>
          <cell r="AP6071">
            <v>0</v>
          </cell>
          <cell r="AQ6071">
            <v>0</v>
          </cell>
          <cell r="AV6071">
            <v>4387500</v>
          </cell>
        </row>
        <row r="6072">
          <cell r="E6072" t="str">
            <v>D26001979</v>
          </cell>
          <cell r="AP6072">
            <v>0</v>
          </cell>
          <cell r="AQ6072">
            <v>0</v>
          </cell>
          <cell r="AV6072">
            <v>3070000</v>
          </cell>
        </row>
        <row r="6073">
          <cell r="E6073" t="str">
            <v>B26002009</v>
          </cell>
          <cell r="AP6073">
            <v>0</v>
          </cell>
          <cell r="AQ6073">
            <v>0</v>
          </cell>
          <cell r="AV6073">
            <v>0</v>
          </cell>
        </row>
        <row r="6074">
          <cell r="E6074" t="str">
            <v>B26001600</v>
          </cell>
          <cell r="AP6074">
            <v>0</v>
          </cell>
          <cell r="AQ6074">
            <v>0</v>
          </cell>
          <cell r="AV6074">
            <v>0</v>
          </cell>
        </row>
        <row r="6075">
          <cell r="E6075" t="str">
            <v>B26001601</v>
          </cell>
          <cell r="AP6075">
            <v>0</v>
          </cell>
          <cell r="AQ6075">
            <v>0</v>
          </cell>
          <cell r="AV6075">
            <v>0</v>
          </cell>
        </row>
        <row r="6076">
          <cell r="E6076" t="str">
            <v>B26000703</v>
          </cell>
          <cell r="AP6076">
            <v>0</v>
          </cell>
          <cell r="AQ6076">
            <v>0</v>
          </cell>
          <cell r="AV6076">
            <v>0</v>
          </cell>
        </row>
        <row r="6077">
          <cell r="E6077" t="str">
            <v>B26001737</v>
          </cell>
          <cell r="AP6077">
            <v>0</v>
          </cell>
          <cell r="AQ6077">
            <v>0</v>
          </cell>
          <cell r="AV6077">
            <v>2000000</v>
          </cell>
        </row>
        <row r="6078">
          <cell r="E6078" t="str">
            <v>B25012562</v>
          </cell>
          <cell r="AP6078">
            <v>0</v>
          </cell>
          <cell r="AQ6078">
            <v>0</v>
          </cell>
          <cell r="AV6078">
            <v>0</v>
          </cell>
        </row>
        <row r="6079">
          <cell r="E6079" t="str">
            <v>D25018138</v>
          </cell>
          <cell r="AP6079">
            <v>0</v>
          </cell>
          <cell r="AQ6079">
            <v>0</v>
          </cell>
          <cell r="AV6079">
            <v>0</v>
          </cell>
        </row>
        <row r="6080">
          <cell r="E6080" t="str">
            <v>D26000414</v>
          </cell>
          <cell r="AP6080">
            <v>0</v>
          </cell>
          <cell r="AQ6080">
            <v>0</v>
          </cell>
          <cell r="AV6080">
            <v>0</v>
          </cell>
        </row>
        <row r="6081">
          <cell r="E6081" t="str">
            <v>D26000734</v>
          </cell>
          <cell r="AP6081">
            <v>0</v>
          </cell>
          <cell r="AQ6081">
            <v>0</v>
          </cell>
          <cell r="AV6081">
            <v>0</v>
          </cell>
        </row>
        <row r="6082">
          <cell r="E6082" t="str">
            <v>D26000978</v>
          </cell>
          <cell r="AP6082">
            <v>0</v>
          </cell>
          <cell r="AQ6082">
            <v>0</v>
          </cell>
          <cell r="AV6082">
            <v>0</v>
          </cell>
        </row>
        <row r="6083">
          <cell r="E6083" t="str">
            <v>D26001284</v>
          </cell>
          <cell r="AP6083">
            <v>0</v>
          </cell>
          <cell r="AQ6083">
            <v>0</v>
          </cell>
          <cell r="AV6083">
            <v>0</v>
          </cell>
        </row>
        <row r="6084">
          <cell r="E6084" t="str">
            <v>B25012496</v>
          </cell>
          <cell r="AP6084">
            <v>0</v>
          </cell>
          <cell r="AQ6084">
            <v>0</v>
          </cell>
          <cell r="AV6084">
            <v>0</v>
          </cell>
        </row>
        <row r="6085">
          <cell r="E6085" t="str">
            <v>B25014117</v>
          </cell>
          <cell r="AP6085">
            <v>0</v>
          </cell>
          <cell r="AQ6085">
            <v>0</v>
          </cell>
          <cell r="AV6085">
            <v>6500000</v>
          </cell>
        </row>
        <row r="6086">
          <cell r="E6086" t="str">
            <v>B25015370</v>
          </cell>
          <cell r="AP6086">
            <v>0</v>
          </cell>
          <cell r="AQ6086">
            <v>0</v>
          </cell>
          <cell r="AV6086">
            <v>0</v>
          </cell>
        </row>
        <row r="6087">
          <cell r="E6087" t="str">
            <v>D25017825</v>
          </cell>
          <cell r="AP6087">
            <v>0</v>
          </cell>
          <cell r="AQ6087">
            <v>0</v>
          </cell>
          <cell r="AV6087">
            <v>0</v>
          </cell>
        </row>
        <row r="6088">
          <cell r="E6088" t="str">
            <v>B25015450</v>
          </cell>
          <cell r="AP6088">
            <v>0</v>
          </cell>
          <cell r="AQ6088">
            <v>0</v>
          </cell>
          <cell r="AV6088">
            <v>0</v>
          </cell>
        </row>
        <row r="6089">
          <cell r="E6089" t="str">
            <v>D25017977</v>
          </cell>
          <cell r="AP6089">
            <v>0</v>
          </cell>
          <cell r="AQ6089">
            <v>0</v>
          </cell>
          <cell r="AV6089">
            <v>5600000</v>
          </cell>
        </row>
        <row r="6090">
          <cell r="E6090" t="str">
            <v>D25018108</v>
          </cell>
          <cell r="AP6090">
            <v>0</v>
          </cell>
          <cell r="AQ6090">
            <v>0</v>
          </cell>
          <cell r="AV6090">
            <v>3600000</v>
          </cell>
        </row>
        <row r="6091">
          <cell r="E6091" t="str">
            <v>D25018601</v>
          </cell>
          <cell r="AP6091">
            <v>0</v>
          </cell>
          <cell r="AQ6091">
            <v>0</v>
          </cell>
          <cell r="AV6091">
            <v>1750000</v>
          </cell>
        </row>
        <row r="6092">
          <cell r="E6092" t="str">
            <v>B25016277</v>
          </cell>
          <cell r="AP6092">
            <v>0</v>
          </cell>
          <cell r="AQ6092">
            <v>0</v>
          </cell>
          <cell r="AV6092">
            <v>0</v>
          </cell>
        </row>
        <row r="6093">
          <cell r="E6093" t="str">
            <v>B25016377</v>
          </cell>
          <cell r="AP6093">
            <v>0</v>
          </cell>
          <cell r="AQ6093">
            <v>0</v>
          </cell>
          <cell r="AV6093">
            <v>2720000</v>
          </cell>
        </row>
        <row r="6094">
          <cell r="E6094" t="str">
            <v>D25018972</v>
          </cell>
          <cell r="AP6094">
            <v>0</v>
          </cell>
          <cell r="AQ6094">
            <v>0</v>
          </cell>
          <cell r="AV6094">
            <v>0</v>
          </cell>
        </row>
        <row r="6095">
          <cell r="E6095" t="str">
            <v>D25019208</v>
          </cell>
          <cell r="AP6095">
            <v>0</v>
          </cell>
          <cell r="AQ6095">
            <v>0</v>
          </cell>
          <cell r="AV6095">
            <v>0</v>
          </cell>
        </row>
        <row r="6096">
          <cell r="E6096" t="str">
            <v>B25016844</v>
          </cell>
          <cell r="AP6096">
            <v>0</v>
          </cell>
          <cell r="AQ6096">
            <v>0</v>
          </cell>
          <cell r="AV6096">
            <v>0</v>
          </cell>
        </row>
        <row r="6097">
          <cell r="E6097" t="str">
            <v>B25017048</v>
          </cell>
          <cell r="AP6097">
            <v>0</v>
          </cell>
          <cell r="AQ6097">
            <v>0</v>
          </cell>
          <cell r="AV6097">
            <v>0</v>
          </cell>
        </row>
        <row r="6098">
          <cell r="E6098" t="str">
            <v>B26000009</v>
          </cell>
          <cell r="AP6098">
            <v>0</v>
          </cell>
          <cell r="AQ6098">
            <v>0</v>
          </cell>
          <cell r="AV6098">
            <v>0</v>
          </cell>
        </row>
        <row r="6099">
          <cell r="E6099" t="str">
            <v>D26000119</v>
          </cell>
          <cell r="AP6099">
            <v>0</v>
          </cell>
          <cell r="AQ6099">
            <v>0</v>
          </cell>
          <cell r="AV6099">
            <v>0</v>
          </cell>
        </row>
        <row r="6100">
          <cell r="E6100" t="str">
            <v>B26000200</v>
          </cell>
          <cell r="AP6100">
            <v>0</v>
          </cell>
          <cell r="AQ6100">
            <v>0</v>
          </cell>
          <cell r="AV6100">
            <v>0</v>
          </cell>
        </row>
        <row r="6101">
          <cell r="E6101" t="str">
            <v>D26000281</v>
          </cell>
          <cell r="AP6101">
            <v>0</v>
          </cell>
          <cell r="AQ6101">
            <v>0</v>
          </cell>
          <cell r="AV6101">
            <v>0</v>
          </cell>
        </row>
        <row r="6102">
          <cell r="E6102" t="str">
            <v>D26000374</v>
          </cell>
          <cell r="AP6102">
            <v>0</v>
          </cell>
          <cell r="AQ6102">
            <v>0</v>
          </cell>
          <cell r="AV6102">
            <v>0</v>
          </cell>
        </row>
        <row r="6103">
          <cell r="E6103" t="str">
            <v>D26000759</v>
          </cell>
          <cell r="AP6103">
            <v>0</v>
          </cell>
          <cell r="AQ6103">
            <v>0</v>
          </cell>
          <cell r="AV6103">
            <v>0</v>
          </cell>
        </row>
        <row r="6104">
          <cell r="E6104" t="str">
            <v>D26000773</v>
          </cell>
          <cell r="AP6104">
            <v>0</v>
          </cell>
          <cell r="AQ6104">
            <v>0</v>
          </cell>
          <cell r="AV6104">
            <v>0</v>
          </cell>
        </row>
        <row r="6105">
          <cell r="E6105" t="str">
            <v>D26000980</v>
          </cell>
          <cell r="AP6105">
            <v>0</v>
          </cell>
          <cell r="AQ6105">
            <v>0</v>
          </cell>
          <cell r="AV6105">
            <v>0</v>
          </cell>
        </row>
        <row r="6106">
          <cell r="E6106" t="str">
            <v>B26001098</v>
          </cell>
          <cell r="AP6106">
            <v>0</v>
          </cell>
          <cell r="AQ6106">
            <v>0</v>
          </cell>
          <cell r="AV6106">
            <v>0</v>
          </cell>
        </row>
        <row r="6107">
          <cell r="E6107" t="str">
            <v>B26001931</v>
          </cell>
          <cell r="AP6107">
            <v>0</v>
          </cell>
          <cell r="AQ6107">
            <v>0</v>
          </cell>
          <cell r="AV6107">
            <v>0</v>
          </cell>
        </row>
        <row r="6108">
          <cell r="E6108" t="str">
            <v>D26002026</v>
          </cell>
          <cell r="AP6108">
            <v>0</v>
          </cell>
          <cell r="AQ6108">
            <v>0</v>
          </cell>
          <cell r="AV6108">
            <v>15350000</v>
          </cell>
        </row>
        <row r="6109">
          <cell r="E6109" t="str">
            <v>D26002064</v>
          </cell>
          <cell r="AP6109">
            <v>0</v>
          </cell>
          <cell r="AQ6109">
            <v>0</v>
          </cell>
          <cell r="AV6109">
            <v>0</v>
          </cell>
        </row>
        <row r="6110">
          <cell r="E6110" t="str">
            <v>D25015979</v>
          </cell>
          <cell r="AP6110">
            <v>0</v>
          </cell>
          <cell r="AQ6110">
            <v>0</v>
          </cell>
          <cell r="AV6110">
            <v>6000000</v>
          </cell>
        </row>
        <row r="6111">
          <cell r="E6111" t="str">
            <v>B26000375</v>
          </cell>
          <cell r="AP6111">
            <v>0</v>
          </cell>
          <cell r="AQ6111">
            <v>0</v>
          </cell>
          <cell r="AV6111">
            <v>0</v>
          </cell>
        </row>
        <row r="6112">
          <cell r="E6112" t="str">
            <v>B26000622</v>
          </cell>
          <cell r="AP6112">
            <v>0</v>
          </cell>
          <cell r="AQ6112">
            <v>0</v>
          </cell>
          <cell r="AV6112">
            <v>0</v>
          </cell>
        </row>
        <row r="6113">
          <cell r="E6113" t="str">
            <v>B26000775</v>
          </cell>
          <cell r="AP6113">
            <v>0</v>
          </cell>
          <cell r="AQ6113">
            <v>0</v>
          </cell>
          <cell r="AV6113">
            <v>0</v>
          </cell>
        </row>
        <row r="6114">
          <cell r="E6114" t="str">
            <v>B26001262</v>
          </cell>
          <cell r="AP6114">
            <v>0</v>
          </cell>
          <cell r="AQ6114">
            <v>0</v>
          </cell>
          <cell r="AV6114">
            <v>0</v>
          </cell>
        </row>
        <row r="6115">
          <cell r="E6115" t="str">
            <v>T26000105</v>
          </cell>
          <cell r="AP6115">
            <v>0</v>
          </cell>
          <cell r="AQ6115">
            <v>0</v>
          </cell>
          <cell r="AV6115">
            <v>0</v>
          </cell>
        </row>
        <row r="6116">
          <cell r="E6116" t="str">
            <v>D25016981</v>
          </cell>
          <cell r="AP6116">
            <v>0</v>
          </cell>
          <cell r="AQ6116">
            <v>0</v>
          </cell>
          <cell r="AV6116">
            <v>912000000</v>
          </cell>
        </row>
        <row r="6117">
          <cell r="E6117" t="str">
            <v>D25016983</v>
          </cell>
          <cell r="AP6117">
            <v>0</v>
          </cell>
          <cell r="AQ6117">
            <v>0</v>
          </cell>
          <cell r="AV6117">
            <v>54400000</v>
          </cell>
        </row>
        <row r="6118">
          <cell r="E6118" t="str">
            <v>D25017237</v>
          </cell>
          <cell r="AP6118">
            <v>0</v>
          </cell>
          <cell r="AQ6118">
            <v>0</v>
          </cell>
          <cell r="AV6118">
            <v>10850000</v>
          </cell>
        </row>
        <row r="6119">
          <cell r="E6119" t="str">
            <v>D25017247</v>
          </cell>
          <cell r="AP6119">
            <v>0</v>
          </cell>
          <cell r="AQ6119">
            <v>0</v>
          </cell>
          <cell r="AV6119">
            <v>0</v>
          </cell>
        </row>
        <row r="6120">
          <cell r="E6120" t="str">
            <v>B25015169</v>
          </cell>
          <cell r="AP6120">
            <v>0</v>
          </cell>
          <cell r="AQ6120">
            <v>0</v>
          </cell>
          <cell r="AV6120">
            <v>0</v>
          </cell>
        </row>
        <row r="6121">
          <cell r="E6121" t="str">
            <v>D25018067</v>
          </cell>
          <cell r="AP6121">
            <v>0</v>
          </cell>
          <cell r="AQ6121">
            <v>0</v>
          </cell>
          <cell r="AV6121">
            <v>0</v>
          </cell>
        </row>
        <row r="6122">
          <cell r="E6122" t="str">
            <v>D25018084</v>
          </cell>
          <cell r="AP6122">
            <v>0</v>
          </cell>
          <cell r="AQ6122">
            <v>0</v>
          </cell>
          <cell r="AV6122">
            <v>0</v>
          </cell>
        </row>
        <row r="6123">
          <cell r="E6123" t="str">
            <v>B25016237</v>
          </cell>
          <cell r="AP6123">
            <v>0</v>
          </cell>
          <cell r="AQ6123">
            <v>0</v>
          </cell>
          <cell r="AV6123">
            <v>0</v>
          </cell>
        </row>
        <row r="6124">
          <cell r="E6124" t="str">
            <v>D25019227</v>
          </cell>
          <cell r="AP6124">
            <v>0</v>
          </cell>
          <cell r="AQ6124">
            <v>0</v>
          </cell>
          <cell r="AV6124">
            <v>0</v>
          </cell>
        </row>
        <row r="6125">
          <cell r="E6125" t="str">
            <v>D25019279</v>
          </cell>
          <cell r="AP6125">
            <v>0</v>
          </cell>
          <cell r="AQ6125">
            <v>0</v>
          </cell>
          <cell r="AV6125">
            <v>0</v>
          </cell>
        </row>
        <row r="6126">
          <cell r="E6126" t="str">
            <v>D26001292</v>
          </cell>
          <cell r="AP6126">
            <v>0</v>
          </cell>
          <cell r="AQ6126">
            <v>0</v>
          </cell>
          <cell r="AV6126">
            <v>0</v>
          </cell>
        </row>
        <row r="6127">
          <cell r="E6127" t="str">
            <v>D26001420</v>
          </cell>
          <cell r="AP6127">
            <v>0</v>
          </cell>
          <cell r="AQ6127">
            <v>0</v>
          </cell>
          <cell r="AV6127">
            <v>0</v>
          </cell>
        </row>
        <row r="6128">
          <cell r="E6128" t="str">
            <v>D26001523</v>
          </cell>
          <cell r="AP6128">
            <v>0</v>
          </cell>
          <cell r="AQ6128">
            <v>0</v>
          </cell>
          <cell r="AV6128">
            <v>0</v>
          </cell>
        </row>
        <row r="6129">
          <cell r="E6129" t="str">
            <v>D26001981</v>
          </cell>
          <cell r="AP6129">
            <v>0</v>
          </cell>
          <cell r="AQ6129">
            <v>0</v>
          </cell>
          <cell r="AV6129">
            <v>0</v>
          </cell>
        </row>
        <row r="6130">
          <cell r="E6130" t="str">
            <v>D26002085</v>
          </cell>
          <cell r="AP6130">
            <v>0</v>
          </cell>
          <cell r="AQ6130">
            <v>0</v>
          </cell>
          <cell r="AV6130">
            <v>0</v>
          </cell>
        </row>
        <row r="6131">
          <cell r="E6131" t="str">
            <v>D26002140</v>
          </cell>
          <cell r="AP6131">
            <v>0</v>
          </cell>
          <cell r="AQ6131">
            <v>0</v>
          </cell>
          <cell r="AV6131">
            <v>0</v>
          </cell>
        </row>
        <row r="6132">
          <cell r="E6132" t="str">
            <v>B26002067</v>
          </cell>
          <cell r="AP6132">
            <v>0</v>
          </cell>
          <cell r="AQ6132">
            <v>0</v>
          </cell>
          <cell r="AV6132">
            <v>0</v>
          </cell>
        </row>
        <row r="6133">
          <cell r="E6133" t="str">
            <v>D26002422</v>
          </cell>
          <cell r="AP6133">
            <v>0</v>
          </cell>
          <cell r="AQ6133">
            <v>0</v>
          </cell>
          <cell r="AV6133">
            <v>0</v>
          </cell>
        </row>
        <row r="6134">
          <cell r="E6134" t="str">
            <v>D25018655</v>
          </cell>
          <cell r="AP6134">
            <v>0</v>
          </cell>
          <cell r="AQ6134">
            <v>0</v>
          </cell>
          <cell r="AV6134">
            <v>1265000</v>
          </cell>
        </row>
        <row r="6135">
          <cell r="E6135" t="str">
            <v>B26000006</v>
          </cell>
          <cell r="AP6135">
            <v>0</v>
          </cell>
          <cell r="AQ6135">
            <v>0</v>
          </cell>
          <cell r="AV6135">
            <v>0</v>
          </cell>
        </row>
        <row r="6136">
          <cell r="E6136" t="str">
            <v>D26002333</v>
          </cell>
          <cell r="AP6136">
            <v>0</v>
          </cell>
          <cell r="AQ6136">
            <v>0</v>
          </cell>
          <cell r="AV6136">
            <v>0</v>
          </cell>
        </row>
        <row r="6137">
          <cell r="E6137" t="str">
            <v>B26001702</v>
          </cell>
          <cell r="AP6137">
            <v>0</v>
          </cell>
          <cell r="AQ6137">
            <v>0</v>
          </cell>
          <cell r="AV6137">
            <v>3750000</v>
          </cell>
        </row>
        <row r="6138">
          <cell r="E6138" t="str">
            <v>B26001309</v>
          </cell>
          <cell r="AP6138">
            <v>0</v>
          </cell>
          <cell r="AQ6138">
            <v>0</v>
          </cell>
          <cell r="AV6138">
            <v>0</v>
          </cell>
        </row>
        <row r="6139">
          <cell r="E6139" t="str">
            <v>D26000429</v>
          </cell>
          <cell r="AP6139">
            <v>0</v>
          </cell>
          <cell r="AQ6139">
            <v>0</v>
          </cell>
          <cell r="AV6139">
            <v>0</v>
          </cell>
        </row>
        <row r="6140">
          <cell r="E6140" t="str">
            <v>B26001839</v>
          </cell>
          <cell r="AP6140">
            <v>0</v>
          </cell>
          <cell r="AQ6140">
            <v>0</v>
          </cell>
          <cell r="AV6140">
            <v>650000</v>
          </cell>
        </row>
        <row r="6141">
          <cell r="E6141" t="str">
            <v>B26001865</v>
          </cell>
          <cell r="AP6141">
            <v>0</v>
          </cell>
          <cell r="AQ6141">
            <v>0</v>
          </cell>
          <cell r="AV6141">
            <v>1220000</v>
          </cell>
        </row>
        <row r="6142">
          <cell r="E6142" t="str">
            <v>B26001978</v>
          </cell>
          <cell r="AP6142">
            <v>0</v>
          </cell>
          <cell r="AQ6142">
            <v>0</v>
          </cell>
          <cell r="AV6142">
            <v>1203000</v>
          </cell>
        </row>
        <row r="6143">
          <cell r="E6143" t="str">
            <v>B26002227</v>
          </cell>
          <cell r="AP6143">
            <v>0</v>
          </cell>
          <cell r="AQ6143">
            <v>0</v>
          </cell>
          <cell r="AV6143">
            <v>0</v>
          </cell>
        </row>
        <row r="6144">
          <cell r="E6144" t="str">
            <v>B26002249</v>
          </cell>
          <cell r="AP6144">
            <v>0</v>
          </cell>
          <cell r="AQ6144">
            <v>0</v>
          </cell>
          <cell r="AV6144">
            <v>0</v>
          </cell>
        </row>
        <row r="6145">
          <cell r="E6145" t="str">
            <v>B25014885</v>
          </cell>
          <cell r="AP6145">
            <v>0</v>
          </cell>
          <cell r="AQ6145">
            <v>0</v>
          </cell>
          <cell r="AV6145">
            <v>7339825</v>
          </cell>
        </row>
        <row r="6146">
          <cell r="E6146" t="str">
            <v>B25014906</v>
          </cell>
          <cell r="AP6146">
            <v>0</v>
          </cell>
          <cell r="AQ6146">
            <v>0</v>
          </cell>
          <cell r="AV6146">
            <v>39050000</v>
          </cell>
        </row>
        <row r="6147">
          <cell r="E6147" t="str">
            <v>D25017502</v>
          </cell>
          <cell r="AP6147">
            <v>0</v>
          </cell>
          <cell r="AQ6147">
            <v>0</v>
          </cell>
          <cell r="AV6147">
            <v>32000000</v>
          </cell>
        </row>
        <row r="6148">
          <cell r="E6148" t="str">
            <v>B25015265</v>
          </cell>
          <cell r="AP6148">
            <v>0</v>
          </cell>
          <cell r="AQ6148">
            <v>0</v>
          </cell>
          <cell r="AV6148">
            <v>23310000</v>
          </cell>
        </row>
        <row r="6149">
          <cell r="E6149" t="str">
            <v>B25015320</v>
          </cell>
          <cell r="AP6149">
            <v>0</v>
          </cell>
          <cell r="AQ6149">
            <v>0</v>
          </cell>
          <cell r="AV6149">
            <v>97125000</v>
          </cell>
        </row>
        <row r="6150">
          <cell r="E6150" t="str">
            <v>D25017811</v>
          </cell>
          <cell r="AP6150">
            <v>0</v>
          </cell>
          <cell r="AQ6150">
            <v>0</v>
          </cell>
          <cell r="AV6150">
            <v>0</v>
          </cell>
        </row>
        <row r="6151">
          <cell r="E6151" t="str">
            <v>D25017841</v>
          </cell>
          <cell r="AP6151">
            <v>0</v>
          </cell>
          <cell r="AQ6151">
            <v>0</v>
          </cell>
          <cell r="AV6151">
            <v>0</v>
          </cell>
        </row>
        <row r="6152">
          <cell r="E6152" t="str">
            <v>B25015718</v>
          </cell>
          <cell r="AP6152">
            <v>0</v>
          </cell>
          <cell r="AQ6152">
            <v>0</v>
          </cell>
          <cell r="AV6152">
            <v>0</v>
          </cell>
        </row>
        <row r="6153">
          <cell r="E6153" t="str">
            <v>B25015859</v>
          </cell>
          <cell r="AP6153">
            <v>0</v>
          </cell>
          <cell r="AQ6153">
            <v>0</v>
          </cell>
          <cell r="AV6153">
            <v>1175175</v>
          </cell>
        </row>
        <row r="6154">
          <cell r="E6154" t="str">
            <v>D25018274</v>
          </cell>
          <cell r="AP6154">
            <v>0</v>
          </cell>
          <cell r="AQ6154">
            <v>0</v>
          </cell>
          <cell r="AV6154">
            <v>0</v>
          </cell>
        </row>
        <row r="6155">
          <cell r="E6155" t="str">
            <v>B25016836</v>
          </cell>
          <cell r="AP6155">
            <v>0</v>
          </cell>
          <cell r="AQ6155">
            <v>0</v>
          </cell>
          <cell r="AV6155">
            <v>0</v>
          </cell>
        </row>
        <row r="6156">
          <cell r="E6156" t="str">
            <v>B25016874</v>
          </cell>
          <cell r="AP6156">
            <v>0</v>
          </cell>
          <cell r="AQ6156">
            <v>0</v>
          </cell>
          <cell r="AV6156">
            <v>0</v>
          </cell>
        </row>
        <row r="6157">
          <cell r="E6157" t="str">
            <v>B26000337</v>
          </cell>
          <cell r="AP6157">
            <v>0</v>
          </cell>
          <cell r="AQ6157">
            <v>0</v>
          </cell>
          <cell r="AV6157">
            <v>0</v>
          </cell>
        </row>
        <row r="6158">
          <cell r="E6158" t="str">
            <v>D26000722</v>
          </cell>
          <cell r="AP6158">
            <v>0</v>
          </cell>
          <cell r="AQ6158">
            <v>0</v>
          </cell>
          <cell r="AV6158">
            <v>0</v>
          </cell>
        </row>
        <row r="6159">
          <cell r="E6159" t="str">
            <v>D26000854</v>
          </cell>
          <cell r="AP6159">
            <v>0</v>
          </cell>
          <cell r="AQ6159">
            <v>0</v>
          </cell>
          <cell r="AV6159">
            <v>0</v>
          </cell>
        </row>
        <row r="6160">
          <cell r="E6160" t="str">
            <v>B26001867</v>
          </cell>
          <cell r="AP6160">
            <v>0</v>
          </cell>
          <cell r="AQ6160">
            <v>0</v>
          </cell>
          <cell r="AV6160">
            <v>0</v>
          </cell>
        </row>
        <row r="6161">
          <cell r="E6161" t="str">
            <v>D26001994</v>
          </cell>
          <cell r="AP6161">
            <v>0</v>
          </cell>
          <cell r="AQ6161">
            <v>0</v>
          </cell>
          <cell r="AV6161">
            <v>0</v>
          </cell>
        </row>
        <row r="6162">
          <cell r="E6162" t="str">
            <v>B26001975</v>
          </cell>
          <cell r="AP6162">
            <v>0</v>
          </cell>
          <cell r="AQ6162">
            <v>0</v>
          </cell>
          <cell r="AV6162">
            <v>0</v>
          </cell>
        </row>
        <row r="6163">
          <cell r="E6163" t="str">
            <v>D26002104</v>
          </cell>
          <cell r="AP6163">
            <v>0</v>
          </cell>
          <cell r="AQ6163">
            <v>0</v>
          </cell>
          <cell r="AV6163">
            <v>0</v>
          </cell>
        </row>
        <row r="6164">
          <cell r="E6164" t="str">
            <v>D26002112</v>
          </cell>
          <cell r="AP6164">
            <v>0</v>
          </cell>
          <cell r="AQ6164">
            <v>0</v>
          </cell>
          <cell r="AV6164">
            <v>0</v>
          </cell>
        </row>
        <row r="6165">
          <cell r="E6165" t="str">
            <v>D26002201</v>
          </cell>
          <cell r="AP6165">
            <v>0</v>
          </cell>
          <cell r="AQ6165">
            <v>0</v>
          </cell>
          <cell r="AV6165">
            <v>0</v>
          </cell>
        </row>
        <row r="6166">
          <cell r="E6166" t="str">
            <v>D26002215</v>
          </cell>
          <cell r="AP6166">
            <v>0</v>
          </cell>
          <cell r="AQ6166">
            <v>0</v>
          </cell>
          <cell r="AV6166">
            <v>0</v>
          </cell>
        </row>
        <row r="6167">
          <cell r="E6167" t="str">
            <v>D26002411</v>
          </cell>
          <cell r="AP6167">
            <v>0</v>
          </cell>
          <cell r="AQ6167">
            <v>0</v>
          </cell>
          <cell r="AV6167">
            <v>0</v>
          </cell>
        </row>
        <row r="6168">
          <cell r="E6168" t="str">
            <v>D26000362</v>
          </cell>
          <cell r="AP6168">
            <v>0</v>
          </cell>
          <cell r="AQ6168">
            <v>0</v>
          </cell>
          <cell r="AV6168">
            <v>0</v>
          </cell>
        </row>
        <row r="6169">
          <cell r="E6169" t="str">
            <v>D26000822</v>
          </cell>
          <cell r="AP6169">
            <v>0</v>
          </cell>
          <cell r="AQ6169">
            <v>0</v>
          </cell>
          <cell r="AV6169">
            <v>0</v>
          </cell>
        </row>
        <row r="6170">
          <cell r="E6170" t="str">
            <v>B26001799</v>
          </cell>
          <cell r="AP6170">
            <v>0</v>
          </cell>
          <cell r="AQ6170">
            <v>0</v>
          </cell>
          <cell r="AV6170">
            <v>1430000</v>
          </cell>
        </row>
        <row r="6171">
          <cell r="E6171" t="str">
            <v>B26001800</v>
          </cell>
          <cell r="AP6171">
            <v>0</v>
          </cell>
          <cell r="AQ6171">
            <v>0</v>
          </cell>
          <cell r="AV6171">
            <v>540000</v>
          </cell>
        </row>
        <row r="6172">
          <cell r="E6172" t="str">
            <v>B26001862</v>
          </cell>
          <cell r="AP6172">
            <v>0</v>
          </cell>
          <cell r="AQ6172">
            <v>0</v>
          </cell>
          <cell r="AV6172">
            <v>1140000</v>
          </cell>
        </row>
        <row r="6173">
          <cell r="E6173" t="str">
            <v>B26002078</v>
          </cell>
          <cell r="AP6173">
            <v>0</v>
          </cell>
          <cell r="AQ6173">
            <v>0</v>
          </cell>
          <cell r="AV6173">
            <v>3000000</v>
          </cell>
        </row>
        <row r="6174">
          <cell r="E6174" t="str">
            <v>B25016188</v>
          </cell>
          <cell r="AP6174">
            <v>0</v>
          </cell>
          <cell r="AQ6174">
            <v>0</v>
          </cell>
          <cell r="AV6174">
            <v>8560000</v>
          </cell>
        </row>
        <row r="6175">
          <cell r="E6175" t="str">
            <v>B26000859</v>
          </cell>
          <cell r="AP6175">
            <v>0</v>
          </cell>
          <cell r="AQ6175">
            <v>0</v>
          </cell>
          <cell r="AV6175">
            <v>0</v>
          </cell>
        </row>
        <row r="6176">
          <cell r="E6176" t="str">
            <v>T25001868</v>
          </cell>
          <cell r="AP6176">
            <v>0</v>
          </cell>
          <cell r="AQ6176">
            <v>0</v>
          </cell>
          <cell r="AV6176">
            <v>0</v>
          </cell>
        </row>
        <row r="6177">
          <cell r="E6177" t="str">
            <v>D25018771</v>
          </cell>
          <cell r="AP6177">
            <v>0</v>
          </cell>
          <cell r="AQ6177">
            <v>0</v>
          </cell>
          <cell r="AV6177">
            <v>0</v>
          </cell>
        </row>
        <row r="6178">
          <cell r="E6178" t="str">
            <v>T26000066k</v>
          </cell>
          <cell r="AP6178">
            <v>0</v>
          </cell>
          <cell r="AQ6178">
            <v>0</v>
          </cell>
          <cell r="AV6178">
            <v>0</v>
          </cell>
        </row>
        <row r="6179">
          <cell r="E6179" t="str">
            <v>B26001273</v>
          </cell>
          <cell r="AP6179">
            <v>0</v>
          </cell>
          <cell r="AQ6179">
            <v>0</v>
          </cell>
          <cell r="AV6179">
            <v>0</v>
          </cell>
        </row>
        <row r="6180">
          <cell r="E6180" t="str">
            <v>B26001831</v>
          </cell>
          <cell r="AP6180">
            <v>0</v>
          </cell>
          <cell r="AQ6180">
            <v>0</v>
          </cell>
          <cell r="AV6180">
            <v>0</v>
          </cell>
        </row>
        <row r="6181">
          <cell r="E6181" t="str">
            <v>D26002132</v>
          </cell>
          <cell r="AP6181">
            <v>0</v>
          </cell>
          <cell r="AQ6181">
            <v>0</v>
          </cell>
          <cell r="AV6181">
            <v>9000000</v>
          </cell>
        </row>
        <row r="6182">
          <cell r="E6182" t="str">
            <v>T25001818</v>
          </cell>
          <cell r="AP6182">
            <v>0</v>
          </cell>
          <cell r="AQ6182">
            <v>0</v>
          </cell>
          <cell r="AV6182">
            <v>0</v>
          </cell>
        </row>
        <row r="6183">
          <cell r="E6183" t="str">
            <v>D26001692</v>
          </cell>
          <cell r="AP6183">
            <v>0</v>
          </cell>
          <cell r="AQ6183">
            <v>0</v>
          </cell>
          <cell r="AV6183">
            <v>40000000</v>
          </cell>
        </row>
        <row r="6184">
          <cell r="E6184" t="str">
            <v>D26001692</v>
          </cell>
          <cell r="AP6184">
            <v>0</v>
          </cell>
          <cell r="AQ6184">
            <v>0</v>
          </cell>
          <cell r="AV6184">
            <v>100000000</v>
          </cell>
        </row>
        <row r="6185">
          <cell r="E6185" t="str">
            <v>D26001692</v>
          </cell>
          <cell r="AP6185">
            <v>0</v>
          </cell>
          <cell r="AQ6185">
            <v>0</v>
          </cell>
          <cell r="AV6185">
            <v>40500000</v>
          </cell>
        </row>
        <row r="6186">
          <cell r="E6186" t="str">
            <v>B26001944</v>
          </cell>
          <cell r="AP6186">
            <v>0</v>
          </cell>
          <cell r="AQ6186">
            <v>0</v>
          </cell>
          <cell r="AV6186">
            <v>0</v>
          </cell>
        </row>
        <row r="6187">
          <cell r="E6187" t="str">
            <v>B26001963</v>
          </cell>
          <cell r="AP6187">
            <v>0</v>
          </cell>
          <cell r="AQ6187">
            <v>0</v>
          </cell>
          <cell r="AV6187">
            <v>0</v>
          </cell>
        </row>
        <row r="6188">
          <cell r="E6188" t="str">
            <v>B26002179</v>
          </cell>
          <cell r="AP6188">
            <v>0</v>
          </cell>
          <cell r="AQ6188">
            <v>0</v>
          </cell>
          <cell r="AV6188">
            <v>0</v>
          </cell>
        </row>
        <row r="6189">
          <cell r="E6189" t="str">
            <v>B26000454</v>
          </cell>
          <cell r="AP6189">
            <v>0</v>
          </cell>
          <cell r="AQ6189">
            <v>0</v>
          </cell>
          <cell r="AV6189">
            <v>0</v>
          </cell>
        </row>
        <row r="6190">
          <cell r="E6190" t="str">
            <v>T25001515k</v>
          </cell>
          <cell r="AP6190">
            <v>0</v>
          </cell>
          <cell r="AQ6190">
            <v>0</v>
          </cell>
          <cell r="AV6190">
            <v>0</v>
          </cell>
        </row>
        <row r="6191">
          <cell r="E6191" t="str">
            <v>T25001519K</v>
          </cell>
          <cell r="AP6191">
            <v>0</v>
          </cell>
          <cell r="AQ6191">
            <v>0</v>
          </cell>
          <cell r="AV6191">
            <v>0</v>
          </cell>
        </row>
        <row r="6192">
          <cell r="E6192" t="str">
            <v>D26001011</v>
          </cell>
          <cell r="AP6192">
            <v>0</v>
          </cell>
          <cell r="AQ6192">
            <v>0</v>
          </cell>
          <cell r="AV6192">
            <v>9800000</v>
          </cell>
        </row>
        <row r="6193">
          <cell r="E6193" t="str">
            <v>B26001009</v>
          </cell>
          <cell r="AP6193">
            <v>0</v>
          </cell>
          <cell r="AQ6193">
            <v>0</v>
          </cell>
          <cell r="AV6193">
            <v>2880000</v>
          </cell>
        </row>
        <row r="6194">
          <cell r="E6194" t="str">
            <v>D26002285</v>
          </cell>
          <cell r="AP6194">
            <v>0</v>
          </cell>
          <cell r="AQ6194">
            <v>0</v>
          </cell>
          <cell r="AV6194">
            <v>0</v>
          </cell>
        </row>
        <row r="6195">
          <cell r="E6195" t="str">
            <v>D26002296</v>
          </cell>
          <cell r="AP6195">
            <v>0</v>
          </cell>
          <cell r="AQ6195">
            <v>0</v>
          </cell>
          <cell r="AV6195">
            <v>0</v>
          </cell>
        </row>
        <row r="6196">
          <cell r="E6196" t="str">
            <v>B26000739</v>
          </cell>
          <cell r="AP6196">
            <v>0</v>
          </cell>
          <cell r="AQ6196">
            <v>0</v>
          </cell>
          <cell r="AV6196">
            <v>20830000</v>
          </cell>
        </row>
        <row r="6197">
          <cell r="E6197" t="str">
            <v>B26001298</v>
          </cell>
          <cell r="AP6197">
            <v>0</v>
          </cell>
          <cell r="AQ6197">
            <v>0</v>
          </cell>
          <cell r="AV6197">
            <v>0</v>
          </cell>
        </row>
        <row r="6198">
          <cell r="E6198" t="str">
            <v>D26001646</v>
          </cell>
          <cell r="AP6198">
            <v>0</v>
          </cell>
          <cell r="AQ6198">
            <v>0</v>
          </cell>
          <cell r="AV6198">
            <v>0</v>
          </cell>
        </row>
        <row r="6199">
          <cell r="E6199" t="str">
            <v>B25013109</v>
          </cell>
          <cell r="AP6199">
            <v>0</v>
          </cell>
          <cell r="AQ6199">
            <v>0</v>
          </cell>
          <cell r="AV6199">
            <v>12735000</v>
          </cell>
        </row>
        <row r="6200">
          <cell r="E6200" t="str">
            <v>B25013109</v>
          </cell>
          <cell r="AP6200">
            <v>0</v>
          </cell>
          <cell r="AQ6200">
            <v>0</v>
          </cell>
          <cell r="AV6200">
            <v>10000000</v>
          </cell>
        </row>
        <row r="6201">
          <cell r="E6201" t="str">
            <v>B25013109</v>
          </cell>
          <cell r="AP6201">
            <v>0</v>
          </cell>
          <cell r="AQ6201">
            <v>0</v>
          </cell>
          <cell r="AV6201">
            <v>10000000</v>
          </cell>
        </row>
        <row r="6202">
          <cell r="E6202" t="str">
            <v>D25015675</v>
          </cell>
          <cell r="AP6202">
            <v>0</v>
          </cell>
          <cell r="AQ6202">
            <v>0</v>
          </cell>
          <cell r="AV6202">
            <v>0</v>
          </cell>
        </row>
        <row r="6203">
          <cell r="E6203" t="str">
            <v>B25014895</v>
          </cell>
          <cell r="AP6203">
            <v>0</v>
          </cell>
          <cell r="AQ6203">
            <v>0</v>
          </cell>
          <cell r="AV6203">
            <v>0</v>
          </cell>
        </row>
        <row r="6204">
          <cell r="E6204" t="str">
            <v>D25017233</v>
          </cell>
          <cell r="AP6204">
            <v>0</v>
          </cell>
          <cell r="AQ6204">
            <v>0</v>
          </cell>
          <cell r="AV6204">
            <v>0</v>
          </cell>
        </row>
        <row r="6205">
          <cell r="E6205" t="str">
            <v>B25015497</v>
          </cell>
          <cell r="AP6205">
            <v>0</v>
          </cell>
          <cell r="AQ6205">
            <v>0</v>
          </cell>
          <cell r="AV6205">
            <v>0</v>
          </cell>
        </row>
        <row r="6206">
          <cell r="E6206" t="str">
            <v>B25015498</v>
          </cell>
          <cell r="AP6206">
            <v>0</v>
          </cell>
          <cell r="AQ6206">
            <v>0</v>
          </cell>
          <cell r="AV6206">
            <v>0</v>
          </cell>
        </row>
        <row r="6207">
          <cell r="E6207" t="str">
            <v>B25015508</v>
          </cell>
          <cell r="AP6207">
            <v>0</v>
          </cell>
          <cell r="AQ6207">
            <v>0</v>
          </cell>
          <cell r="AV6207">
            <v>0</v>
          </cell>
        </row>
        <row r="6208">
          <cell r="E6208" t="str">
            <v>B25015667</v>
          </cell>
          <cell r="AP6208">
            <v>0</v>
          </cell>
          <cell r="AQ6208">
            <v>0</v>
          </cell>
          <cell r="AV6208">
            <v>0</v>
          </cell>
        </row>
        <row r="6209">
          <cell r="E6209" t="str">
            <v>B25015981</v>
          </cell>
          <cell r="AP6209">
            <v>0</v>
          </cell>
          <cell r="AQ6209">
            <v>0</v>
          </cell>
          <cell r="AV6209">
            <v>0</v>
          </cell>
        </row>
        <row r="6210">
          <cell r="E6210" t="str">
            <v>T25001821</v>
          </cell>
          <cell r="AP6210">
            <v>0</v>
          </cell>
          <cell r="AQ6210">
            <v>0</v>
          </cell>
          <cell r="AV6210">
            <v>0</v>
          </cell>
        </row>
        <row r="6211">
          <cell r="E6211" t="str">
            <v>D25018765</v>
          </cell>
          <cell r="AP6211">
            <v>0</v>
          </cell>
          <cell r="AQ6211">
            <v>0</v>
          </cell>
          <cell r="AV6211">
            <v>0</v>
          </cell>
        </row>
        <row r="6212">
          <cell r="E6212" t="str">
            <v>B25016753</v>
          </cell>
          <cell r="AP6212">
            <v>0</v>
          </cell>
          <cell r="AQ6212">
            <v>0</v>
          </cell>
          <cell r="AV6212">
            <v>0</v>
          </cell>
        </row>
        <row r="6213">
          <cell r="E6213" t="str">
            <v>T25001877</v>
          </cell>
          <cell r="AP6213">
            <v>0</v>
          </cell>
          <cell r="AQ6213">
            <v>0</v>
          </cell>
          <cell r="AV6213">
            <v>0</v>
          </cell>
        </row>
        <row r="6214">
          <cell r="E6214" t="str">
            <v>B25016907</v>
          </cell>
          <cell r="AP6214">
            <v>0</v>
          </cell>
          <cell r="AQ6214">
            <v>0</v>
          </cell>
          <cell r="AV6214">
            <v>0</v>
          </cell>
        </row>
        <row r="6215">
          <cell r="E6215" t="str">
            <v>B25016909</v>
          </cell>
          <cell r="AP6215">
            <v>0</v>
          </cell>
          <cell r="AQ6215">
            <v>0</v>
          </cell>
          <cell r="AV6215">
            <v>0</v>
          </cell>
        </row>
        <row r="6216">
          <cell r="E6216" t="str">
            <v>D26000033</v>
          </cell>
          <cell r="AP6216">
            <v>0</v>
          </cell>
          <cell r="AQ6216">
            <v>0</v>
          </cell>
          <cell r="AV6216">
            <v>0</v>
          </cell>
        </row>
        <row r="6217">
          <cell r="E6217" t="str">
            <v>D26000041</v>
          </cell>
          <cell r="AP6217">
            <v>0</v>
          </cell>
          <cell r="AQ6217">
            <v>0</v>
          </cell>
          <cell r="AV6217">
            <v>0</v>
          </cell>
        </row>
        <row r="6218">
          <cell r="E6218" t="str">
            <v>D26000042</v>
          </cell>
          <cell r="AP6218">
            <v>0</v>
          </cell>
          <cell r="AQ6218">
            <v>0</v>
          </cell>
          <cell r="AV6218">
            <v>0</v>
          </cell>
        </row>
        <row r="6219">
          <cell r="E6219" t="str">
            <v>B26000271</v>
          </cell>
          <cell r="AP6219">
            <v>0</v>
          </cell>
          <cell r="AQ6219">
            <v>0</v>
          </cell>
          <cell r="AV6219">
            <v>0</v>
          </cell>
        </row>
        <row r="6220">
          <cell r="E6220" t="str">
            <v>B26000335</v>
          </cell>
          <cell r="AP6220">
            <v>0</v>
          </cell>
          <cell r="AQ6220">
            <v>0</v>
          </cell>
          <cell r="AV6220">
            <v>0</v>
          </cell>
        </row>
        <row r="6221">
          <cell r="E6221" t="str">
            <v>D26000591</v>
          </cell>
          <cell r="AP6221">
            <v>0</v>
          </cell>
          <cell r="AQ6221">
            <v>0</v>
          </cell>
          <cell r="AV6221">
            <v>0</v>
          </cell>
        </row>
        <row r="6222">
          <cell r="E6222" t="str">
            <v>D26000816</v>
          </cell>
          <cell r="AP6222">
            <v>0</v>
          </cell>
          <cell r="AQ6222">
            <v>0</v>
          </cell>
          <cell r="AV6222">
            <v>0</v>
          </cell>
        </row>
        <row r="6223">
          <cell r="E6223" t="str">
            <v>D26000831</v>
          </cell>
          <cell r="AP6223">
            <v>0</v>
          </cell>
          <cell r="AQ6223">
            <v>0</v>
          </cell>
          <cell r="AV6223">
            <v>0</v>
          </cell>
        </row>
        <row r="6224">
          <cell r="E6224" t="str">
            <v>B26001161</v>
          </cell>
          <cell r="AP6224">
            <v>0</v>
          </cell>
          <cell r="AQ6224">
            <v>0</v>
          </cell>
          <cell r="AV6224">
            <v>0</v>
          </cell>
        </row>
        <row r="6225">
          <cell r="E6225" t="str">
            <v>D26001238</v>
          </cell>
          <cell r="AP6225">
            <v>0</v>
          </cell>
          <cell r="AQ6225">
            <v>0</v>
          </cell>
          <cell r="AV6225">
            <v>0</v>
          </cell>
        </row>
        <row r="6226">
          <cell r="E6226" t="str">
            <v>D26001378</v>
          </cell>
          <cell r="AP6226">
            <v>0</v>
          </cell>
          <cell r="AQ6226">
            <v>0</v>
          </cell>
          <cell r="AV6226">
            <v>0</v>
          </cell>
        </row>
        <row r="6227">
          <cell r="E6227" t="str">
            <v>D26001908</v>
          </cell>
          <cell r="AP6227">
            <v>0</v>
          </cell>
          <cell r="AQ6227">
            <v>0</v>
          </cell>
          <cell r="AV6227">
            <v>0</v>
          </cell>
        </row>
        <row r="6228">
          <cell r="E6228" t="str">
            <v>B26001950</v>
          </cell>
          <cell r="AP6228">
            <v>0</v>
          </cell>
          <cell r="AQ6228">
            <v>0</v>
          </cell>
          <cell r="AV6228">
            <v>0</v>
          </cell>
        </row>
        <row r="6229">
          <cell r="E6229" t="str">
            <v>D26002060</v>
          </cell>
          <cell r="AP6229">
            <v>0</v>
          </cell>
          <cell r="AQ6229">
            <v>0</v>
          </cell>
          <cell r="AV6229">
            <v>0</v>
          </cell>
        </row>
        <row r="6230">
          <cell r="E6230" t="str">
            <v>D25018155</v>
          </cell>
          <cell r="AP6230">
            <v>0</v>
          </cell>
          <cell r="AQ6230">
            <v>0</v>
          </cell>
          <cell r="AV6230">
            <v>0</v>
          </cell>
        </row>
        <row r="6231">
          <cell r="E6231" t="str">
            <v>B25015911</v>
          </cell>
          <cell r="AP6231">
            <v>0</v>
          </cell>
          <cell r="AQ6231">
            <v>0</v>
          </cell>
          <cell r="AV6231">
            <v>0</v>
          </cell>
        </row>
        <row r="6232">
          <cell r="E6232" t="str">
            <v>B25016190</v>
          </cell>
          <cell r="AP6232">
            <v>0</v>
          </cell>
          <cell r="AQ6232">
            <v>0</v>
          </cell>
          <cell r="AV6232">
            <v>0</v>
          </cell>
        </row>
        <row r="6233">
          <cell r="E6233" t="str">
            <v>D26000593</v>
          </cell>
          <cell r="AP6233">
            <v>0</v>
          </cell>
          <cell r="AQ6233">
            <v>0</v>
          </cell>
          <cell r="AV6233">
            <v>0</v>
          </cell>
        </row>
        <row r="6234">
          <cell r="E6234" t="str">
            <v>D26000732</v>
          </cell>
          <cell r="AP6234">
            <v>0</v>
          </cell>
          <cell r="AQ6234">
            <v>0</v>
          </cell>
          <cell r="AV6234">
            <v>0</v>
          </cell>
        </row>
        <row r="6235">
          <cell r="E6235" t="str">
            <v>B26000718</v>
          </cell>
          <cell r="AP6235">
            <v>0</v>
          </cell>
          <cell r="AQ6235">
            <v>0</v>
          </cell>
          <cell r="AV6235">
            <v>0</v>
          </cell>
        </row>
        <row r="6236">
          <cell r="E6236" t="str">
            <v>D26001206</v>
          </cell>
          <cell r="AP6236">
            <v>0</v>
          </cell>
          <cell r="AQ6236">
            <v>0</v>
          </cell>
          <cell r="AV6236">
            <v>0</v>
          </cell>
        </row>
        <row r="6237">
          <cell r="E6237" t="str">
            <v>B26001142</v>
          </cell>
          <cell r="AP6237">
            <v>0</v>
          </cell>
          <cell r="AQ6237">
            <v>0</v>
          </cell>
          <cell r="AV6237">
            <v>0</v>
          </cell>
        </row>
        <row r="6238">
          <cell r="E6238" t="str">
            <v>B26001158</v>
          </cell>
          <cell r="AP6238">
            <v>0</v>
          </cell>
          <cell r="AQ6238">
            <v>0</v>
          </cell>
          <cell r="AV6238">
            <v>0</v>
          </cell>
        </row>
        <row r="6239">
          <cell r="E6239" t="str">
            <v>D26001411</v>
          </cell>
          <cell r="AP6239">
            <v>0</v>
          </cell>
          <cell r="AQ6239">
            <v>0</v>
          </cell>
          <cell r="AV6239">
            <v>0</v>
          </cell>
        </row>
        <row r="6240">
          <cell r="E6240" t="str">
            <v>D26001470</v>
          </cell>
          <cell r="AP6240">
            <v>0</v>
          </cell>
          <cell r="AQ6240">
            <v>0</v>
          </cell>
          <cell r="AV6240">
            <v>0</v>
          </cell>
        </row>
        <row r="6241">
          <cell r="E6241" t="str">
            <v>D26000488</v>
          </cell>
          <cell r="AP6241">
            <v>0</v>
          </cell>
          <cell r="AQ6241">
            <v>0</v>
          </cell>
          <cell r="AV6241">
            <v>0</v>
          </cell>
        </row>
        <row r="6242">
          <cell r="E6242" t="str">
            <v>D26000489</v>
          </cell>
          <cell r="AP6242">
            <v>0</v>
          </cell>
          <cell r="AQ6242">
            <v>0</v>
          </cell>
          <cell r="AV6242">
            <v>0</v>
          </cell>
        </row>
        <row r="6243">
          <cell r="E6243" t="str">
            <v>D25018575</v>
          </cell>
          <cell r="AP6243">
            <v>0</v>
          </cell>
          <cell r="AQ6243">
            <v>0</v>
          </cell>
          <cell r="AV6243">
            <v>6500000</v>
          </cell>
        </row>
        <row r="6244">
          <cell r="E6244" t="str">
            <v>D25019428</v>
          </cell>
          <cell r="AP6244">
            <v>0</v>
          </cell>
          <cell r="AQ6244">
            <v>0</v>
          </cell>
          <cell r="AV6244">
            <v>0</v>
          </cell>
        </row>
        <row r="6245">
          <cell r="E6245" t="str">
            <v>B25016970</v>
          </cell>
          <cell r="AP6245">
            <v>0</v>
          </cell>
          <cell r="AQ6245">
            <v>0</v>
          </cell>
          <cell r="AV6245">
            <v>0</v>
          </cell>
        </row>
        <row r="6246">
          <cell r="E6246" t="str">
            <v>B26000386</v>
          </cell>
          <cell r="AP6246">
            <v>0</v>
          </cell>
          <cell r="AQ6246">
            <v>0</v>
          </cell>
          <cell r="AV6246">
            <v>21592800</v>
          </cell>
        </row>
        <row r="6247">
          <cell r="E6247" t="str">
            <v>B26000388</v>
          </cell>
          <cell r="AP6247">
            <v>0</v>
          </cell>
          <cell r="AQ6247">
            <v>0</v>
          </cell>
          <cell r="AV6247">
            <v>0</v>
          </cell>
        </row>
        <row r="6248">
          <cell r="E6248" t="str">
            <v>B26000443</v>
          </cell>
          <cell r="AP6248">
            <v>0</v>
          </cell>
          <cell r="AQ6248">
            <v>0</v>
          </cell>
          <cell r="AV6248">
            <v>0</v>
          </cell>
        </row>
        <row r="6249">
          <cell r="E6249" t="str">
            <v>B26000476</v>
          </cell>
          <cell r="AP6249">
            <v>0</v>
          </cell>
          <cell r="AQ6249">
            <v>0</v>
          </cell>
          <cell r="AV6249">
            <v>0</v>
          </cell>
        </row>
        <row r="6250">
          <cell r="E6250" t="str">
            <v>B26001014</v>
          </cell>
          <cell r="AP6250">
            <v>0</v>
          </cell>
          <cell r="AQ6250">
            <v>0</v>
          </cell>
          <cell r="AV6250">
            <v>0</v>
          </cell>
        </row>
        <row r="6251">
          <cell r="E6251" t="str">
            <v>B26001027</v>
          </cell>
          <cell r="AP6251">
            <v>0</v>
          </cell>
          <cell r="AQ6251">
            <v>0</v>
          </cell>
          <cell r="AV6251">
            <v>0</v>
          </cell>
        </row>
        <row r="6252">
          <cell r="E6252" t="str">
            <v>T26000101</v>
          </cell>
          <cell r="AP6252">
            <v>0</v>
          </cell>
          <cell r="AQ6252">
            <v>0</v>
          </cell>
          <cell r="AV6252">
            <v>0</v>
          </cell>
        </row>
        <row r="6253">
          <cell r="E6253" t="str">
            <v>B26001926</v>
          </cell>
          <cell r="AP6253">
            <v>0</v>
          </cell>
          <cell r="AQ6253">
            <v>0</v>
          </cell>
          <cell r="AV6253">
            <v>0</v>
          </cell>
        </row>
        <row r="6254">
          <cell r="E6254" t="str">
            <v>B26001927</v>
          </cell>
          <cell r="AP6254">
            <v>0</v>
          </cell>
          <cell r="AQ6254">
            <v>0</v>
          </cell>
          <cell r="AV6254">
            <v>0</v>
          </cell>
        </row>
        <row r="6255">
          <cell r="E6255" t="str">
            <v>B26001994</v>
          </cell>
          <cell r="AP6255">
            <v>0</v>
          </cell>
          <cell r="AQ6255">
            <v>0</v>
          </cell>
          <cell r="AV6255">
            <v>0</v>
          </cell>
        </row>
        <row r="6256">
          <cell r="E6256" t="str">
            <v>B25014153</v>
          </cell>
          <cell r="AP6256">
            <v>0</v>
          </cell>
          <cell r="AQ6256">
            <v>0</v>
          </cell>
          <cell r="AV6256">
            <v>175700000</v>
          </cell>
        </row>
        <row r="6257">
          <cell r="E6257" t="str">
            <v>B25014153</v>
          </cell>
          <cell r="AP6257">
            <v>0</v>
          </cell>
          <cell r="AQ6257">
            <v>0</v>
          </cell>
          <cell r="AV6257">
            <v>150000000</v>
          </cell>
        </row>
        <row r="6258">
          <cell r="E6258" t="str">
            <v>B25014241</v>
          </cell>
          <cell r="AP6258">
            <v>0</v>
          </cell>
          <cell r="AQ6258">
            <v>0</v>
          </cell>
          <cell r="AV6258">
            <v>0</v>
          </cell>
        </row>
        <row r="6259">
          <cell r="E6259" t="str">
            <v>B25014610</v>
          </cell>
          <cell r="AP6259">
            <v>0</v>
          </cell>
          <cell r="AQ6259">
            <v>0</v>
          </cell>
          <cell r="AV6259">
            <v>0</v>
          </cell>
        </row>
        <row r="6260">
          <cell r="E6260" t="str">
            <v>B25015061</v>
          </cell>
          <cell r="AP6260">
            <v>0</v>
          </cell>
          <cell r="AQ6260">
            <v>0</v>
          </cell>
          <cell r="AV6260">
            <v>0</v>
          </cell>
        </row>
        <row r="6261">
          <cell r="E6261" t="str">
            <v>B25015063</v>
          </cell>
          <cell r="AP6261">
            <v>0</v>
          </cell>
          <cell r="AQ6261">
            <v>0</v>
          </cell>
          <cell r="AV6261">
            <v>0</v>
          </cell>
        </row>
        <row r="6262">
          <cell r="E6262" t="str">
            <v>D25017643</v>
          </cell>
          <cell r="AP6262">
            <v>0</v>
          </cell>
          <cell r="AQ6262">
            <v>0</v>
          </cell>
          <cell r="AV6262">
            <v>0</v>
          </cell>
        </row>
        <row r="6263">
          <cell r="E6263" t="str">
            <v>B25015410</v>
          </cell>
          <cell r="AP6263">
            <v>0</v>
          </cell>
          <cell r="AQ6263">
            <v>0</v>
          </cell>
          <cell r="AV6263">
            <v>0</v>
          </cell>
        </row>
        <row r="6264">
          <cell r="E6264" t="str">
            <v>B25015462</v>
          </cell>
          <cell r="AP6264">
            <v>0</v>
          </cell>
          <cell r="AQ6264">
            <v>0</v>
          </cell>
          <cell r="AV6264">
            <v>0</v>
          </cell>
        </row>
        <row r="6265">
          <cell r="E6265" t="str">
            <v>D25018207</v>
          </cell>
          <cell r="AP6265">
            <v>0</v>
          </cell>
          <cell r="AQ6265">
            <v>0</v>
          </cell>
          <cell r="AV6265">
            <v>0</v>
          </cell>
        </row>
        <row r="6266">
          <cell r="E6266" t="str">
            <v>D25019018</v>
          </cell>
          <cell r="AP6266">
            <v>0</v>
          </cell>
          <cell r="AQ6266">
            <v>0</v>
          </cell>
          <cell r="AV6266">
            <v>0</v>
          </cell>
        </row>
        <row r="6267">
          <cell r="E6267" t="str">
            <v>D25019607</v>
          </cell>
          <cell r="AP6267">
            <v>0</v>
          </cell>
          <cell r="AQ6267">
            <v>0</v>
          </cell>
          <cell r="AV6267">
            <v>0</v>
          </cell>
        </row>
        <row r="6268">
          <cell r="E6268" t="str">
            <v>B26000124</v>
          </cell>
          <cell r="AP6268">
            <v>0</v>
          </cell>
          <cell r="AQ6268">
            <v>0</v>
          </cell>
          <cell r="AV6268">
            <v>0</v>
          </cell>
        </row>
        <row r="6269">
          <cell r="E6269" t="str">
            <v>B26000372</v>
          </cell>
          <cell r="AP6269">
            <v>0</v>
          </cell>
          <cell r="AQ6269">
            <v>0</v>
          </cell>
          <cell r="AV6269">
            <v>0</v>
          </cell>
        </row>
        <row r="6270">
          <cell r="E6270" t="str">
            <v>B26000495</v>
          </cell>
          <cell r="AP6270">
            <v>0</v>
          </cell>
          <cell r="AQ6270">
            <v>0</v>
          </cell>
          <cell r="AV6270">
            <v>0</v>
          </cell>
        </row>
        <row r="6271">
          <cell r="E6271" t="str">
            <v>B26001120</v>
          </cell>
          <cell r="AP6271">
            <v>0</v>
          </cell>
          <cell r="AQ6271">
            <v>0</v>
          </cell>
          <cell r="AV6271">
            <v>0</v>
          </cell>
        </row>
        <row r="6272">
          <cell r="E6272" t="str">
            <v>B26001210</v>
          </cell>
          <cell r="AP6272">
            <v>0</v>
          </cell>
          <cell r="AQ6272">
            <v>0</v>
          </cell>
          <cell r="AV6272">
            <v>0</v>
          </cell>
        </row>
        <row r="6273">
          <cell r="E6273" t="str">
            <v>B26001520</v>
          </cell>
          <cell r="AP6273">
            <v>0</v>
          </cell>
          <cell r="AQ6273">
            <v>0</v>
          </cell>
          <cell r="AV6273">
            <v>0</v>
          </cell>
        </row>
        <row r="6274">
          <cell r="E6274" t="str">
            <v>B26001579</v>
          </cell>
          <cell r="AP6274">
            <v>0</v>
          </cell>
          <cell r="AQ6274">
            <v>0</v>
          </cell>
          <cell r="AV6274">
            <v>0</v>
          </cell>
        </row>
        <row r="6275">
          <cell r="E6275" t="str">
            <v>D26002023</v>
          </cell>
          <cell r="AP6275">
            <v>0</v>
          </cell>
          <cell r="AQ6275">
            <v>0</v>
          </cell>
          <cell r="AV6275">
            <v>66500000</v>
          </cell>
        </row>
        <row r="6276">
          <cell r="E6276" t="str">
            <v>Z26000256</v>
          </cell>
          <cell r="AP6276">
            <v>0</v>
          </cell>
          <cell r="AQ6276">
            <v>0</v>
          </cell>
          <cell r="AV6276">
            <v>12300000</v>
          </cell>
        </row>
        <row r="6277">
          <cell r="E6277" t="str">
            <v>Z26000259</v>
          </cell>
          <cell r="AP6277">
            <v>0</v>
          </cell>
          <cell r="AQ6277">
            <v>0</v>
          </cell>
          <cell r="AV6277">
            <v>3375000</v>
          </cell>
        </row>
        <row r="6278">
          <cell r="E6278" t="str">
            <v>Z26000260</v>
          </cell>
          <cell r="AP6278">
            <v>0</v>
          </cell>
          <cell r="AQ6278">
            <v>0</v>
          </cell>
          <cell r="AV6278">
            <v>21000000</v>
          </cell>
        </row>
        <row r="6279">
          <cell r="E6279" t="str">
            <v>Z26000272</v>
          </cell>
          <cell r="AP6279">
            <v>0</v>
          </cell>
          <cell r="AQ6279">
            <v>0</v>
          </cell>
          <cell r="AV6279">
            <v>14000000</v>
          </cell>
        </row>
        <row r="6280">
          <cell r="E6280" t="str">
            <v>Z26000274</v>
          </cell>
          <cell r="AP6280">
            <v>0</v>
          </cell>
          <cell r="AQ6280">
            <v>0</v>
          </cell>
          <cell r="AV6280">
            <v>5400000</v>
          </cell>
        </row>
        <row r="6281">
          <cell r="E6281" t="str">
            <v>Z26000287</v>
          </cell>
          <cell r="AP6281">
            <v>0</v>
          </cell>
          <cell r="AQ6281">
            <v>0</v>
          </cell>
          <cell r="AV6281">
            <v>2820000</v>
          </cell>
        </row>
        <row r="6282">
          <cell r="E6282" t="str">
            <v>Z26000291</v>
          </cell>
          <cell r="AP6282">
            <v>0</v>
          </cell>
          <cell r="AQ6282">
            <v>0</v>
          </cell>
          <cell r="AV6282">
            <v>0</v>
          </cell>
        </row>
        <row r="6283">
          <cell r="E6283" t="str">
            <v>Z26000320</v>
          </cell>
          <cell r="AP6283">
            <v>0</v>
          </cell>
          <cell r="AQ6283">
            <v>0</v>
          </cell>
          <cell r="AV6283">
            <v>6000000</v>
          </cell>
        </row>
        <row r="6284">
          <cell r="E6284" t="str">
            <v>Z26000370</v>
          </cell>
          <cell r="AP6284">
            <v>0</v>
          </cell>
          <cell r="AQ6284">
            <v>0</v>
          </cell>
          <cell r="AV6284">
            <v>0</v>
          </cell>
        </row>
        <row r="6285">
          <cell r="E6285" t="str">
            <v>Z26000378</v>
          </cell>
          <cell r="AP6285">
            <v>0</v>
          </cell>
          <cell r="AQ6285">
            <v>0</v>
          </cell>
          <cell r="AV6285">
            <v>0</v>
          </cell>
        </row>
        <row r="6286">
          <cell r="E6286" t="str">
            <v>Z26000385</v>
          </cell>
          <cell r="AP6286">
            <v>0</v>
          </cell>
          <cell r="AQ6286">
            <v>0</v>
          </cell>
          <cell r="AV6286">
            <v>28000000</v>
          </cell>
        </row>
        <row r="6287">
          <cell r="E6287" t="str">
            <v>D25018261</v>
          </cell>
          <cell r="AP6287">
            <v>0</v>
          </cell>
          <cell r="AQ6287">
            <v>0</v>
          </cell>
          <cell r="AV6287">
            <v>5250000</v>
          </cell>
        </row>
        <row r="6288">
          <cell r="E6288" t="str">
            <v>B25015917</v>
          </cell>
          <cell r="AP6288">
            <v>0</v>
          </cell>
          <cell r="AQ6288">
            <v>0</v>
          </cell>
          <cell r="AV6288">
            <v>59450000</v>
          </cell>
        </row>
        <row r="6289">
          <cell r="E6289" t="str">
            <v>T25001814</v>
          </cell>
          <cell r="AP6289">
            <v>0</v>
          </cell>
          <cell r="AQ6289">
            <v>0</v>
          </cell>
          <cell r="AV6289">
            <v>3680000</v>
          </cell>
        </row>
        <row r="6290">
          <cell r="E6290" t="str">
            <v>B25016522</v>
          </cell>
          <cell r="AP6290">
            <v>0</v>
          </cell>
          <cell r="AQ6290">
            <v>0</v>
          </cell>
          <cell r="AV6290">
            <v>34650000</v>
          </cell>
        </row>
        <row r="6291">
          <cell r="E6291" t="str">
            <v>D25018976</v>
          </cell>
          <cell r="AP6291">
            <v>0</v>
          </cell>
          <cell r="AQ6291">
            <v>0</v>
          </cell>
          <cell r="AV6291">
            <v>32280000</v>
          </cell>
        </row>
        <row r="6292">
          <cell r="E6292" t="str">
            <v>D25018977</v>
          </cell>
          <cell r="AP6292">
            <v>0</v>
          </cell>
          <cell r="AQ6292">
            <v>0</v>
          </cell>
          <cell r="AV6292">
            <v>13980000</v>
          </cell>
        </row>
        <row r="6293">
          <cell r="E6293" t="str">
            <v>D25019447</v>
          </cell>
          <cell r="AP6293">
            <v>0</v>
          </cell>
          <cell r="AQ6293">
            <v>0</v>
          </cell>
          <cell r="AV6293">
            <v>0</v>
          </cell>
        </row>
        <row r="6294">
          <cell r="E6294" t="str">
            <v>D26000051</v>
          </cell>
          <cell r="AP6294">
            <v>0</v>
          </cell>
          <cell r="AQ6294">
            <v>0</v>
          </cell>
          <cell r="AV6294">
            <v>0</v>
          </cell>
        </row>
        <row r="6295">
          <cell r="E6295" t="str">
            <v>D26000052</v>
          </cell>
          <cell r="AP6295">
            <v>0</v>
          </cell>
          <cell r="AQ6295">
            <v>0</v>
          </cell>
          <cell r="AV6295">
            <v>0</v>
          </cell>
        </row>
        <row r="6296">
          <cell r="E6296" t="str">
            <v>D26000069</v>
          </cell>
          <cell r="AP6296">
            <v>0</v>
          </cell>
          <cell r="AQ6296">
            <v>0</v>
          </cell>
          <cell r="AV6296">
            <v>0</v>
          </cell>
        </row>
        <row r="6297">
          <cell r="E6297" t="str">
            <v>B26000725</v>
          </cell>
          <cell r="AP6297">
            <v>0</v>
          </cell>
          <cell r="AQ6297">
            <v>0</v>
          </cell>
          <cell r="AV6297">
            <v>0</v>
          </cell>
        </row>
        <row r="6298">
          <cell r="E6298" t="str">
            <v>B26000727</v>
          </cell>
          <cell r="AP6298">
            <v>0</v>
          </cell>
          <cell r="AQ6298">
            <v>0</v>
          </cell>
          <cell r="AV6298">
            <v>0</v>
          </cell>
        </row>
        <row r="6299">
          <cell r="E6299" t="str">
            <v>B26000891</v>
          </cell>
          <cell r="AP6299">
            <v>0</v>
          </cell>
          <cell r="AQ6299">
            <v>0</v>
          </cell>
          <cell r="AV6299">
            <v>0</v>
          </cell>
        </row>
        <row r="6300">
          <cell r="E6300" t="str">
            <v>B26000892</v>
          </cell>
          <cell r="AP6300">
            <v>0</v>
          </cell>
          <cell r="AQ6300">
            <v>0</v>
          </cell>
          <cell r="AV6300">
            <v>0</v>
          </cell>
        </row>
        <row r="6301">
          <cell r="E6301" t="str">
            <v>B26000893</v>
          </cell>
          <cell r="AP6301">
            <v>0</v>
          </cell>
          <cell r="AQ6301">
            <v>0</v>
          </cell>
          <cell r="AV6301">
            <v>0</v>
          </cell>
        </row>
        <row r="6302">
          <cell r="E6302" t="str">
            <v>B26000923</v>
          </cell>
          <cell r="AP6302">
            <v>0</v>
          </cell>
          <cell r="AQ6302">
            <v>0</v>
          </cell>
          <cell r="AV6302">
            <v>0</v>
          </cell>
        </row>
        <row r="6303">
          <cell r="E6303" t="str">
            <v>B26000945</v>
          </cell>
          <cell r="AP6303">
            <v>0</v>
          </cell>
          <cell r="AQ6303">
            <v>0</v>
          </cell>
          <cell r="AV6303">
            <v>0</v>
          </cell>
        </row>
        <row r="6304">
          <cell r="E6304" t="str">
            <v>B26001018</v>
          </cell>
          <cell r="AP6304">
            <v>0</v>
          </cell>
          <cell r="AQ6304">
            <v>0</v>
          </cell>
          <cell r="AV6304">
            <v>0</v>
          </cell>
        </row>
        <row r="6305">
          <cell r="E6305" t="str">
            <v>B26001594</v>
          </cell>
          <cell r="AP6305">
            <v>0</v>
          </cell>
          <cell r="AQ6305">
            <v>0</v>
          </cell>
          <cell r="AV6305">
            <v>0</v>
          </cell>
        </row>
        <row r="6306">
          <cell r="E6306" t="str">
            <v>B26001302</v>
          </cell>
          <cell r="AP6306">
            <v>0</v>
          </cell>
          <cell r="AQ6306">
            <v>0</v>
          </cell>
          <cell r="AV6306">
            <v>0</v>
          </cell>
        </row>
        <row r="6307">
          <cell r="E6307" t="str">
            <v>B25015947</v>
          </cell>
          <cell r="AP6307">
            <v>0</v>
          </cell>
          <cell r="AQ6307">
            <v>0</v>
          </cell>
          <cell r="AV6307">
            <v>48420000</v>
          </cell>
        </row>
        <row r="6308">
          <cell r="E6308" t="str">
            <v>B25016358</v>
          </cell>
          <cell r="AP6308">
            <v>0</v>
          </cell>
          <cell r="AQ6308">
            <v>0</v>
          </cell>
          <cell r="AV6308">
            <v>14400000</v>
          </cell>
        </row>
        <row r="6309">
          <cell r="E6309" t="str">
            <v>D25018892</v>
          </cell>
          <cell r="AP6309">
            <v>0</v>
          </cell>
          <cell r="AQ6309">
            <v>0</v>
          </cell>
          <cell r="AV6309">
            <v>0</v>
          </cell>
        </row>
        <row r="6310">
          <cell r="E6310" t="str">
            <v>D25019646</v>
          </cell>
          <cell r="AP6310">
            <v>0</v>
          </cell>
          <cell r="AQ6310">
            <v>0</v>
          </cell>
          <cell r="AV6310">
            <v>0</v>
          </cell>
        </row>
        <row r="6311">
          <cell r="E6311" t="str">
            <v>D26000087</v>
          </cell>
          <cell r="AP6311">
            <v>0</v>
          </cell>
          <cell r="AQ6311">
            <v>0</v>
          </cell>
          <cell r="AV6311">
            <v>0</v>
          </cell>
        </row>
        <row r="6312">
          <cell r="E6312" t="str">
            <v>D26000404</v>
          </cell>
          <cell r="AP6312">
            <v>0</v>
          </cell>
          <cell r="AQ6312">
            <v>0</v>
          </cell>
          <cell r="AV6312">
            <v>0</v>
          </cell>
        </row>
        <row r="6313">
          <cell r="E6313" t="str">
            <v>B26000928</v>
          </cell>
          <cell r="AP6313">
            <v>0</v>
          </cell>
          <cell r="AQ6313">
            <v>0</v>
          </cell>
          <cell r="AV6313">
            <v>0</v>
          </cell>
        </row>
        <row r="6314">
          <cell r="E6314" t="str">
            <v>D26001385</v>
          </cell>
          <cell r="AP6314">
            <v>0</v>
          </cell>
          <cell r="AQ6314">
            <v>0</v>
          </cell>
          <cell r="AV6314">
            <v>0</v>
          </cell>
        </row>
        <row r="6315">
          <cell r="E6315" t="str">
            <v>D26001436</v>
          </cell>
          <cell r="AP6315">
            <v>0</v>
          </cell>
          <cell r="AQ6315">
            <v>0</v>
          </cell>
          <cell r="AV6315">
            <v>0</v>
          </cell>
        </row>
        <row r="6316">
          <cell r="E6316" t="str">
            <v>D26001488</v>
          </cell>
          <cell r="AP6316">
            <v>0</v>
          </cell>
          <cell r="AQ6316">
            <v>0</v>
          </cell>
          <cell r="AV6316">
            <v>0</v>
          </cell>
        </row>
        <row r="6317">
          <cell r="E6317" t="str">
            <v>D26001503</v>
          </cell>
          <cell r="AP6317">
            <v>0</v>
          </cell>
          <cell r="AQ6317">
            <v>0</v>
          </cell>
          <cell r="AV6317">
            <v>0</v>
          </cell>
        </row>
        <row r="6318">
          <cell r="E6318" t="str">
            <v>D26001505</v>
          </cell>
          <cell r="AP6318">
            <v>0</v>
          </cell>
          <cell r="AQ6318">
            <v>0</v>
          </cell>
          <cell r="AV6318">
            <v>0</v>
          </cell>
        </row>
        <row r="6319">
          <cell r="E6319" t="str">
            <v>D26001527</v>
          </cell>
          <cell r="AP6319">
            <v>0</v>
          </cell>
          <cell r="AQ6319">
            <v>0</v>
          </cell>
          <cell r="AV6319">
            <v>0</v>
          </cell>
        </row>
        <row r="6320">
          <cell r="E6320" t="str">
            <v>D26001816</v>
          </cell>
          <cell r="AP6320">
            <v>0</v>
          </cell>
          <cell r="AQ6320">
            <v>0</v>
          </cell>
          <cell r="AV6320">
            <v>0</v>
          </cell>
        </row>
        <row r="6321">
          <cell r="E6321" t="str">
            <v>D26001831</v>
          </cell>
          <cell r="AP6321">
            <v>0</v>
          </cell>
          <cell r="AQ6321">
            <v>0</v>
          </cell>
          <cell r="AV6321">
            <v>0</v>
          </cell>
        </row>
        <row r="6322">
          <cell r="E6322" t="str">
            <v>D26001913</v>
          </cell>
          <cell r="AP6322">
            <v>0</v>
          </cell>
          <cell r="AQ6322">
            <v>0</v>
          </cell>
          <cell r="AV6322">
            <v>0</v>
          </cell>
        </row>
        <row r="6323">
          <cell r="E6323" t="str">
            <v>B26001886</v>
          </cell>
          <cell r="AP6323">
            <v>0</v>
          </cell>
          <cell r="AQ6323">
            <v>0</v>
          </cell>
          <cell r="AV6323">
            <v>50625000</v>
          </cell>
        </row>
        <row r="6324">
          <cell r="E6324" t="str">
            <v>D26002179</v>
          </cell>
          <cell r="AP6324">
            <v>0</v>
          </cell>
          <cell r="AQ6324">
            <v>0</v>
          </cell>
          <cell r="AV6324">
            <v>0</v>
          </cell>
        </row>
        <row r="6325">
          <cell r="E6325" t="str">
            <v>D26002222</v>
          </cell>
          <cell r="AP6325">
            <v>0</v>
          </cell>
          <cell r="AQ6325">
            <v>0</v>
          </cell>
          <cell r="AV6325">
            <v>0</v>
          </cell>
        </row>
        <row r="6326">
          <cell r="E6326" t="str">
            <v>D25018536</v>
          </cell>
          <cell r="AP6326">
            <v>0</v>
          </cell>
          <cell r="AQ6326">
            <v>0</v>
          </cell>
          <cell r="AV6326">
            <v>8200000</v>
          </cell>
        </row>
        <row r="6327">
          <cell r="E6327" t="str">
            <v>D25018614</v>
          </cell>
          <cell r="AP6327">
            <v>0</v>
          </cell>
          <cell r="AQ6327">
            <v>0</v>
          </cell>
          <cell r="AV6327">
            <v>2640000</v>
          </cell>
        </row>
        <row r="6328">
          <cell r="E6328" t="str">
            <v>B25016376</v>
          </cell>
          <cell r="AP6328">
            <v>0</v>
          </cell>
          <cell r="AQ6328">
            <v>0</v>
          </cell>
          <cell r="AV6328">
            <v>9500000</v>
          </cell>
        </row>
        <row r="6329">
          <cell r="E6329" t="str">
            <v>B25016743</v>
          </cell>
          <cell r="AP6329">
            <v>0</v>
          </cell>
          <cell r="AQ6329">
            <v>0</v>
          </cell>
          <cell r="AV6329">
            <v>8210000</v>
          </cell>
        </row>
        <row r="6330">
          <cell r="E6330" t="str">
            <v>B25017013</v>
          </cell>
          <cell r="AP6330">
            <v>0</v>
          </cell>
          <cell r="AQ6330">
            <v>0</v>
          </cell>
          <cell r="AV6330">
            <v>1410000</v>
          </cell>
        </row>
        <row r="6331">
          <cell r="E6331" t="str">
            <v>B25017043</v>
          </cell>
          <cell r="AP6331">
            <v>0</v>
          </cell>
          <cell r="AQ6331">
            <v>0</v>
          </cell>
          <cell r="AV6331">
            <v>7730000</v>
          </cell>
        </row>
        <row r="6332">
          <cell r="E6332" t="str">
            <v>D25019635</v>
          </cell>
          <cell r="AP6332">
            <v>0</v>
          </cell>
          <cell r="AQ6332">
            <v>0</v>
          </cell>
          <cell r="AV6332">
            <v>0</v>
          </cell>
        </row>
        <row r="6333">
          <cell r="E6333" t="str">
            <v>D26000172</v>
          </cell>
          <cell r="AP6333">
            <v>0</v>
          </cell>
          <cell r="AQ6333">
            <v>0</v>
          </cell>
          <cell r="AV6333">
            <v>0</v>
          </cell>
        </row>
        <row r="6334">
          <cell r="E6334" t="str">
            <v>D26000199</v>
          </cell>
          <cell r="AP6334">
            <v>0</v>
          </cell>
          <cell r="AQ6334">
            <v>0</v>
          </cell>
          <cell r="AV6334">
            <v>0</v>
          </cell>
        </row>
        <row r="6335">
          <cell r="E6335" t="str">
            <v>B26000195</v>
          </cell>
          <cell r="AP6335">
            <v>0</v>
          </cell>
          <cell r="AQ6335">
            <v>0</v>
          </cell>
          <cell r="AV6335">
            <v>0</v>
          </cell>
        </row>
        <row r="6336">
          <cell r="E6336" t="str">
            <v>D26000221</v>
          </cell>
          <cell r="AP6336">
            <v>0</v>
          </cell>
          <cell r="AQ6336">
            <v>0</v>
          </cell>
          <cell r="AV6336">
            <v>0</v>
          </cell>
        </row>
        <row r="6337">
          <cell r="E6337" t="str">
            <v>B26000519</v>
          </cell>
          <cell r="AP6337">
            <v>0</v>
          </cell>
          <cell r="AQ6337">
            <v>0</v>
          </cell>
          <cell r="AV6337">
            <v>0</v>
          </cell>
        </row>
        <row r="6338">
          <cell r="E6338" t="str">
            <v>B26000520</v>
          </cell>
          <cell r="AP6338">
            <v>0</v>
          </cell>
          <cell r="AQ6338">
            <v>0</v>
          </cell>
          <cell r="AV6338">
            <v>0</v>
          </cell>
        </row>
        <row r="6339">
          <cell r="E6339" t="str">
            <v>B26000822</v>
          </cell>
          <cell r="AP6339">
            <v>0</v>
          </cell>
          <cell r="AQ6339">
            <v>0</v>
          </cell>
          <cell r="AV6339">
            <v>0</v>
          </cell>
        </row>
        <row r="6340">
          <cell r="E6340" t="str">
            <v>B26000833</v>
          </cell>
          <cell r="AP6340">
            <v>0</v>
          </cell>
          <cell r="AQ6340">
            <v>0</v>
          </cell>
          <cell r="AV6340">
            <v>0</v>
          </cell>
        </row>
        <row r="6341">
          <cell r="E6341" t="str">
            <v>B26000880</v>
          </cell>
          <cell r="AP6341">
            <v>0</v>
          </cell>
          <cell r="AQ6341">
            <v>0</v>
          </cell>
          <cell r="AV6341">
            <v>0</v>
          </cell>
        </row>
        <row r="6342">
          <cell r="E6342" t="str">
            <v>D26000985</v>
          </cell>
          <cell r="AP6342">
            <v>0</v>
          </cell>
          <cell r="AQ6342">
            <v>0</v>
          </cell>
          <cell r="AV6342">
            <v>0</v>
          </cell>
        </row>
        <row r="6343">
          <cell r="E6343" t="str">
            <v>B26000990</v>
          </cell>
          <cell r="AP6343">
            <v>0</v>
          </cell>
          <cell r="AQ6343">
            <v>0</v>
          </cell>
          <cell r="AV6343">
            <v>0</v>
          </cell>
        </row>
        <row r="6344">
          <cell r="E6344" t="str">
            <v>D26001048</v>
          </cell>
          <cell r="AP6344">
            <v>0</v>
          </cell>
          <cell r="AQ6344">
            <v>0</v>
          </cell>
          <cell r="AV6344">
            <v>0</v>
          </cell>
        </row>
        <row r="6345">
          <cell r="E6345" t="str">
            <v>D26001208</v>
          </cell>
          <cell r="AP6345">
            <v>0</v>
          </cell>
          <cell r="AQ6345">
            <v>0</v>
          </cell>
          <cell r="AV6345">
            <v>0</v>
          </cell>
        </row>
        <row r="6346">
          <cell r="E6346" t="str">
            <v>D26001271</v>
          </cell>
          <cell r="AP6346">
            <v>0</v>
          </cell>
          <cell r="AQ6346">
            <v>0</v>
          </cell>
          <cell r="AV6346">
            <v>0</v>
          </cell>
        </row>
        <row r="6347">
          <cell r="E6347" t="str">
            <v>D26001278</v>
          </cell>
          <cell r="AP6347">
            <v>0</v>
          </cell>
          <cell r="AQ6347">
            <v>0</v>
          </cell>
          <cell r="AV6347">
            <v>0</v>
          </cell>
        </row>
        <row r="6348">
          <cell r="E6348" t="str">
            <v>B26001235</v>
          </cell>
          <cell r="AP6348">
            <v>0</v>
          </cell>
          <cell r="AQ6348">
            <v>0</v>
          </cell>
          <cell r="AV6348">
            <v>0</v>
          </cell>
        </row>
        <row r="6349">
          <cell r="E6349" t="str">
            <v>D26001374</v>
          </cell>
          <cell r="AP6349">
            <v>0</v>
          </cell>
          <cell r="AQ6349">
            <v>0</v>
          </cell>
          <cell r="AV6349">
            <v>0</v>
          </cell>
        </row>
        <row r="6350">
          <cell r="E6350" t="str">
            <v>B26001631</v>
          </cell>
          <cell r="AP6350">
            <v>0</v>
          </cell>
          <cell r="AQ6350">
            <v>0</v>
          </cell>
          <cell r="AV6350">
            <v>0</v>
          </cell>
        </row>
        <row r="6351">
          <cell r="E6351" t="str">
            <v>D26001788</v>
          </cell>
          <cell r="AP6351">
            <v>0</v>
          </cell>
          <cell r="AQ6351">
            <v>0</v>
          </cell>
          <cell r="AV6351">
            <v>0</v>
          </cell>
        </row>
        <row r="6352">
          <cell r="E6352" t="str">
            <v>B26001829</v>
          </cell>
          <cell r="AP6352">
            <v>0</v>
          </cell>
          <cell r="AQ6352">
            <v>0</v>
          </cell>
          <cell r="AV6352">
            <v>0</v>
          </cell>
        </row>
        <row r="6353">
          <cell r="E6353" t="str">
            <v>B26001836</v>
          </cell>
          <cell r="AP6353">
            <v>0</v>
          </cell>
          <cell r="AQ6353">
            <v>0</v>
          </cell>
          <cell r="AV6353">
            <v>0</v>
          </cell>
        </row>
        <row r="6354">
          <cell r="E6354" t="str">
            <v>B26001837</v>
          </cell>
          <cell r="AP6354">
            <v>0</v>
          </cell>
          <cell r="AQ6354">
            <v>0</v>
          </cell>
          <cell r="AV6354">
            <v>0</v>
          </cell>
        </row>
        <row r="6355">
          <cell r="E6355" t="str">
            <v>D26001944</v>
          </cell>
          <cell r="AP6355">
            <v>0</v>
          </cell>
          <cell r="AQ6355">
            <v>0</v>
          </cell>
          <cell r="AV6355">
            <v>0</v>
          </cell>
        </row>
        <row r="6356">
          <cell r="E6356" t="str">
            <v>B26001905</v>
          </cell>
          <cell r="AP6356">
            <v>0</v>
          </cell>
          <cell r="AQ6356">
            <v>0</v>
          </cell>
          <cell r="AV6356">
            <v>0</v>
          </cell>
        </row>
        <row r="6357">
          <cell r="E6357" t="str">
            <v>D26002147</v>
          </cell>
          <cell r="AP6357">
            <v>0</v>
          </cell>
          <cell r="AQ6357">
            <v>0</v>
          </cell>
          <cell r="AV6357">
            <v>0</v>
          </cell>
        </row>
        <row r="6358">
          <cell r="E6358" t="str">
            <v>B26002158</v>
          </cell>
          <cell r="AP6358">
            <v>0</v>
          </cell>
          <cell r="AQ6358">
            <v>0</v>
          </cell>
          <cell r="AV6358">
            <v>0</v>
          </cell>
        </row>
        <row r="6359">
          <cell r="E6359" t="str">
            <v>B26002160</v>
          </cell>
          <cell r="AP6359">
            <v>0</v>
          </cell>
          <cell r="AQ6359">
            <v>0</v>
          </cell>
          <cell r="AV6359">
            <v>11300000</v>
          </cell>
        </row>
        <row r="6360">
          <cell r="E6360" t="str">
            <v>D26002307</v>
          </cell>
          <cell r="AP6360">
            <v>0</v>
          </cell>
          <cell r="AQ6360">
            <v>0</v>
          </cell>
          <cell r="AV6360">
            <v>0</v>
          </cell>
        </row>
        <row r="6361">
          <cell r="E6361" t="str">
            <v>B25016192</v>
          </cell>
          <cell r="AP6361">
            <v>0</v>
          </cell>
          <cell r="AQ6361">
            <v>0</v>
          </cell>
          <cell r="AV6361">
            <v>0</v>
          </cell>
        </row>
        <row r="6362">
          <cell r="E6362" t="str">
            <v>T26000003</v>
          </cell>
          <cell r="AP6362">
            <v>0</v>
          </cell>
          <cell r="AQ6362">
            <v>0</v>
          </cell>
          <cell r="AV6362">
            <v>0</v>
          </cell>
        </row>
        <row r="6363">
          <cell r="E6363" t="str">
            <v>D25017244</v>
          </cell>
          <cell r="AP6363">
            <v>0</v>
          </cell>
          <cell r="AQ6363">
            <v>0</v>
          </cell>
          <cell r="AV6363">
            <v>7875000</v>
          </cell>
        </row>
        <row r="6364">
          <cell r="E6364" t="str">
            <v>B25015130</v>
          </cell>
          <cell r="AP6364">
            <v>0</v>
          </cell>
          <cell r="AQ6364">
            <v>0</v>
          </cell>
          <cell r="AV6364">
            <v>0</v>
          </cell>
        </row>
        <row r="6365">
          <cell r="E6365" t="str">
            <v>B25015305</v>
          </cell>
          <cell r="AP6365">
            <v>0</v>
          </cell>
          <cell r="AQ6365">
            <v>0</v>
          </cell>
          <cell r="AV6365">
            <v>0</v>
          </cell>
        </row>
        <row r="6366">
          <cell r="E6366" t="str">
            <v>D25018115</v>
          </cell>
          <cell r="AP6366">
            <v>0</v>
          </cell>
          <cell r="AQ6366">
            <v>0</v>
          </cell>
          <cell r="AV6366">
            <v>0</v>
          </cell>
        </row>
        <row r="6367">
          <cell r="E6367" t="str">
            <v>D25018171</v>
          </cell>
          <cell r="AP6367">
            <v>0</v>
          </cell>
          <cell r="AQ6367">
            <v>0</v>
          </cell>
          <cell r="AV6367">
            <v>0</v>
          </cell>
        </row>
        <row r="6368">
          <cell r="E6368" t="str">
            <v>D25018568</v>
          </cell>
          <cell r="AP6368">
            <v>0</v>
          </cell>
          <cell r="AQ6368">
            <v>0</v>
          </cell>
          <cell r="AV6368">
            <v>0</v>
          </cell>
        </row>
        <row r="6369">
          <cell r="E6369" t="str">
            <v>D25019184</v>
          </cell>
          <cell r="AP6369">
            <v>0</v>
          </cell>
          <cell r="AQ6369">
            <v>0</v>
          </cell>
          <cell r="AV6369">
            <v>0</v>
          </cell>
        </row>
        <row r="6370">
          <cell r="E6370" t="str">
            <v>D25019476</v>
          </cell>
          <cell r="AP6370">
            <v>0</v>
          </cell>
          <cell r="AQ6370">
            <v>0</v>
          </cell>
          <cell r="AV6370">
            <v>0</v>
          </cell>
        </row>
        <row r="6371">
          <cell r="E6371" t="str">
            <v>D25019477</v>
          </cell>
          <cell r="AP6371">
            <v>0</v>
          </cell>
          <cell r="AQ6371">
            <v>0</v>
          </cell>
          <cell r="AV6371">
            <v>0</v>
          </cell>
        </row>
        <row r="6372">
          <cell r="E6372" t="str">
            <v>B25017143</v>
          </cell>
          <cell r="AP6372">
            <v>0</v>
          </cell>
          <cell r="AQ6372">
            <v>0</v>
          </cell>
          <cell r="AV6372">
            <v>0</v>
          </cell>
        </row>
        <row r="6373">
          <cell r="E6373" t="str">
            <v>D26000064</v>
          </cell>
          <cell r="AP6373">
            <v>0</v>
          </cell>
          <cell r="AQ6373">
            <v>0</v>
          </cell>
          <cell r="AV6373">
            <v>0</v>
          </cell>
        </row>
        <row r="6374">
          <cell r="E6374" t="str">
            <v>D26000065</v>
          </cell>
          <cell r="AP6374">
            <v>0</v>
          </cell>
          <cell r="AQ6374">
            <v>0</v>
          </cell>
          <cell r="AV6374">
            <v>0</v>
          </cell>
        </row>
        <row r="6375">
          <cell r="E6375" t="str">
            <v>D26002003</v>
          </cell>
          <cell r="AP6375">
            <v>0</v>
          </cell>
          <cell r="AQ6375">
            <v>0</v>
          </cell>
          <cell r="AV6375">
            <v>0</v>
          </cell>
        </row>
        <row r="6376">
          <cell r="E6376" t="str">
            <v>D26002039</v>
          </cell>
          <cell r="AP6376">
            <v>0</v>
          </cell>
          <cell r="AQ6376">
            <v>0</v>
          </cell>
          <cell r="AV6376">
            <v>0</v>
          </cell>
        </row>
        <row r="6377">
          <cell r="E6377" t="str">
            <v>T25001776</v>
          </cell>
          <cell r="AP6377">
            <v>0</v>
          </cell>
          <cell r="AQ6377">
            <v>0</v>
          </cell>
          <cell r="AV6377">
            <v>0</v>
          </cell>
        </row>
        <row r="6378">
          <cell r="E6378" t="str">
            <v>D26001920</v>
          </cell>
          <cell r="AP6378">
            <v>0</v>
          </cell>
          <cell r="AQ6378">
            <v>0</v>
          </cell>
          <cell r="AV6378">
            <v>12319000</v>
          </cell>
        </row>
        <row r="6379">
          <cell r="E6379" t="str">
            <v>Z25003112</v>
          </cell>
          <cell r="AP6379">
            <v>0</v>
          </cell>
          <cell r="AQ6379">
            <v>0</v>
          </cell>
          <cell r="AV6379">
            <v>23250000</v>
          </cell>
        </row>
        <row r="6380">
          <cell r="E6380" t="str">
            <v>Z26000017</v>
          </cell>
          <cell r="AP6380">
            <v>0</v>
          </cell>
          <cell r="AQ6380">
            <v>0</v>
          </cell>
          <cell r="AV6380">
            <v>0</v>
          </cell>
        </row>
        <row r="6381">
          <cell r="E6381" t="str">
            <v>Z26000181</v>
          </cell>
          <cell r="AP6381">
            <v>0</v>
          </cell>
          <cell r="AQ6381">
            <v>0</v>
          </cell>
          <cell r="AV6381">
            <v>8100000</v>
          </cell>
        </row>
        <row r="6382">
          <cell r="E6382" t="str">
            <v>Z26000182</v>
          </cell>
          <cell r="AP6382">
            <v>0</v>
          </cell>
          <cell r="AQ6382">
            <v>0</v>
          </cell>
          <cell r="AV6382">
            <v>5400000</v>
          </cell>
        </row>
        <row r="6383">
          <cell r="E6383" t="str">
            <v>Z26000298</v>
          </cell>
          <cell r="AP6383">
            <v>0</v>
          </cell>
          <cell r="AQ6383">
            <v>0</v>
          </cell>
          <cell r="AV6383">
            <v>7560000</v>
          </cell>
        </row>
        <row r="6384">
          <cell r="E6384" t="str">
            <v>Z26000389</v>
          </cell>
          <cell r="AP6384">
            <v>0</v>
          </cell>
          <cell r="AQ6384">
            <v>0</v>
          </cell>
          <cell r="AV6384">
            <v>0</v>
          </cell>
        </row>
        <row r="6385">
          <cell r="E6385" t="str">
            <v>B26000379</v>
          </cell>
          <cell r="AP6385">
            <v>0</v>
          </cell>
          <cell r="AQ6385">
            <v>0</v>
          </cell>
          <cell r="AV6385">
            <v>0</v>
          </cell>
        </row>
        <row r="6386">
          <cell r="E6386" t="str">
            <v>B26000451</v>
          </cell>
          <cell r="AP6386">
            <v>0</v>
          </cell>
          <cell r="AQ6386">
            <v>0</v>
          </cell>
          <cell r="AV6386">
            <v>0</v>
          </cell>
        </row>
        <row r="6387">
          <cell r="E6387" t="str">
            <v>B26000456</v>
          </cell>
          <cell r="AP6387">
            <v>0</v>
          </cell>
          <cell r="AQ6387">
            <v>0</v>
          </cell>
          <cell r="AV6387">
            <v>0</v>
          </cell>
        </row>
        <row r="6388">
          <cell r="E6388" t="str">
            <v>B26000707</v>
          </cell>
          <cell r="AP6388">
            <v>0</v>
          </cell>
          <cell r="AQ6388">
            <v>0</v>
          </cell>
          <cell r="AV6388">
            <v>0</v>
          </cell>
        </row>
        <row r="6389">
          <cell r="E6389" t="str">
            <v>B26001462</v>
          </cell>
          <cell r="AP6389">
            <v>0</v>
          </cell>
          <cell r="AQ6389">
            <v>0</v>
          </cell>
          <cell r="AV6389">
            <v>0</v>
          </cell>
        </row>
        <row r="6390">
          <cell r="E6390" t="str">
            <v>D26001560</v>
          </cell>
          <cell r="AP6390">
            <v>0</v>
          </cell>
          <cell r="AQ6390">
            <v>0</v>
          </cell>
          <cell r="AV6390">
            <v>0</v>
          </cell>
        </row>
        <row r="6391">
          <cell r="E6391" t="str">
            <v>D26002417</v>
          </cell>
          <cell r="AP6391">
            <v>0</v>
          </cell>
          <cell r="AQ6391">
            <v>0</v>
          </cell>
          <cell r="AV6391">
            <v>0</v>
          </cell>
        </row>
        <row r="6392">
          <cell r="E6392" t="str">
            <v>D26002418</v>
          </cell>
          <cell r="AP6392">
            <v>0</v>
          </cell>
          <cell r="AQ6392">
            <v>0</v>
          </cell>
          <cell r="AV6392">
            <v>0</v>
          </cell>
        </row>
        <row r="6393">
          <cell r="E6393" t="str">
            <v>D26002419</v>
          </cell>
          <cell r="AP6393">
            <v>0</v>
          </cell>
          <cell r="AQ6393">
            <v>0</v>
          </cell>
          <cell r="AV6393">
            <v>0</v>
          </cell>
        </row>
        <row r="6394">
          <cell r="E6394" t="str">
            <v>Z25003241</v>
          </cell>
          <cell r="AP6394">
            <v>0</v>
          </cell>
          <cell r="AQ6394">
            <v>0</v>
          </cell>
          <cell r="AV6394">
            <v>0</v>
          </cell>
        </row>
        <row r="6395">
          <cell r="E6395" t="str">
            <v>Z26000025</v>
          </cell>
          <cell r="AP6395">
            <v>0</v>
          </cell>
          <cell r="AQ6395">
            <v>0</v>
          </cell>
          <cell r="AV6395">
            <v>0</v>
          </cell>
        </row>
        <row r="6396">
          <cell r="E6396" t="str">
            <v>Z26000237</v>
          </cell>
          <cell r="AP6396">
            <v>0</v>
          </cell>
          <cell r="AQ6396">
            <v>0</v>
          </cell>
          <cell r="AV6396">
            <v>0</v>
          </cell>
        </row>
        <row r="6397">
          <cell r="E6397" t="str">
            <v>Z26000392</v>
          </cell>
          <cell r="AP6397">
            <v>0</v>
          </cell>
          <cell r="AQ6397">
            <v>0</v>
          </cell>
          <cell r="AV6397">
            <v>0</v>
          </cell>
        </row>
        <row r="6398">
          <cell r="E6398" t="str">
            <v>T26000156</v>
          </cell>
          <cell r="AP6398">
            <v>0</v>
          </cell>
          <cell r="AQ6398">
            <v>0</v>
          </cell>
          <cell r="AV6398">
            <v>0</v>
          </cell>
        </row>
        <row r="6399">
          <cell r="E6399" t="str">
            <v>T26000157</v>
          </cell>
          <cell r="AP6399">
            <v>0</v>
          </cell>
          <cell r="AQ6399">
            <v>0</v>
          </cell>
          <cell r="AV6399">
            <v>0</v>
          </cell>
        </row>
        <row r="6400">
          <cell r="E6400" t="str">
            <v>D25016736</v>
          </cell>
          <cell r="AP6400">
            <v>0</v>
          </cell>
          <cell r="AQ6400">
            <v>0</v>
          </cell>
          <cell r="AV6400">
            <v>0</v>
          </cell>
        </row>
        <row r="6401">
          <cell r="E6401" t="str">
            <v>D25016855</v>
          </cell>
          <cell r="AP6401">
            <v>0</v>
          </cell>
          <cell r="AQ6401">
            <v>0</v>
          </cell>
          <cell r="AV6401">
            <v>0</v>
          </cell>
        </row>
        <row r="6402">
          <cell r="E6402" t="str">
            <v>B25014592</v>
          </cell>
          <cell r="AP6402">
            <v>0</v>
          </cell>
          <cell r="AQ6402">
            <v>0</v>
          </cell>
          <cell r="AV6402">
            <v>0</v>
          </cell>
        </row>
        <row r="6403">
          <cell r="E6403" t="str">
            <v>D25016987</v>
          </cell>
          <cell r="AP6403">
            <v>0</v>
          </cell>
          <cell r="AQ6403">
            <v>0</v>
          </cell>
          <cell r="AV6403">
            <v>0</v>
          </cell>
        </row>
        <row r="6404">
          <cell r="E6404" t="str">
            <v>B25015156</v>
          </cell>
          <cell r="AP6404">
            <v>0</v>
          </cell>
          <cell r="AQ6404">
            <v>0</v>
          </cell>
          <cell r="AV6404">
            <v>0</v>
          </cell>
        </row>
        <row r="6405">
          <cell r="E6405" t="str">
            <v>D25017582</v>
          </cell>
          <cell r="AP6405">
            <v>0</v>
          </cell>
          <cell r="AQ6405">
            <v>0</v>
          </cell>
          <cell r="AV6405">
            <v>0</v>
          </cell>
        </row>
        <row r="6406">
          <cell r="E6406" t="str">
            <v>B25015225</v>
          </cell>
          <cell r="AP6406">
            <v>0</v>
          </cell>
          <cell r="AQ6406">
            <v>0</v>
          </cell>
          <cell r="AV6406">
            <v>0</v>
          </cell>
        </row>
        <row r="6407">
          <cell r="E6407" t="str">
            <v>D25017837</v>
          </cell>
          <cell r="AP6407">
            <v>0</v>
          </cell>
          <cell r="AQ6407">
            <v>0</v>
          </cell>
          <cell r="AV6407">
            <v>0</v>
          </cell>
        </row>
        <row r="6408">
          <cell r="E6408" t="str">
            <v>D25018210</v>
          </cell>
          <cell r="AP6408">
            <v>0</v>
          </cell>
          <cell r="AQ6408">
            <v>0</v>
          </cell>
          <cell r="AV6408">
            <v>0</v>
          </cell>
        </row>
        <row r="6409">
          <cell r="E6409" t="str">
            <v>B25016202</v>
          </cell>
          <cell r="AP6409">
            <v>0</v>
          </cell>
          <cell r="AQ6409">
            <v>0</v>
          </cell>
          <cell r="AV6409">
            <v>0</v>
          </cell>
        </row>
        <row r="6410">
          <cell r="E6410" t="str">
            <v>D25018685</v>
          </cell>
          <cell r="AP6410">
            <v>0</v>
          </cell>
          <cell r="AQ6410">
            <v>0</v>
          </cell>
          <cell r="AV6410">
            <v>0</v>
          </cell>
        </row>
        <row r="6411">
          <cell r="E6411" t="str">
            <v>D25018685</v>
          </cell>
          <cell r="AP6411">
            <v>0</v>
          </cell>
          <cell r="AQ6411">
            <v>0</v>
          </cell>
          <cell r="AV6411">
            <v>0</v>
          </cell>
        </row>
        <row r="6412">
          <cell r="E6412" t="str">
            <v>D25018685</v>
          </cell>
          <cell r="AP6412">
            <v>0</v>
          </cell>
          <cell r="AQ6412">
            <v>0</v>
          </cell>
          <cell r="AV6412">
            <v>0</v>
          </cell>
        </row>
        <row r="6413">
          <cell r="E6413" t="str">
            <v>D25018686</v>
          </cell>
          <cell r="AP6413">
            <v>0</v>
          </cell>
          <cell r="AQ6413">
            <v>0</v>
          </cell>
          <cell r="AV6413">
            <v>0</v>
          </cell>
        </row>
        <row r="6414">
          <cell r="E6414" t="str">
            <v>D25018979</v>
          </cell>
          <cell r="AP6414">
            <v>0</v>
          </cell>
          <cell r="AQ6414">
            <v>0</v>
          </cell>
          <cell r="AV6414">
            <v>0</v>
          </cell>
        </row>
        <row r="6415">
          <cell r="E6415" t="str">
            <v>B25016581</v>
          </cell>
          <cell r="AP6415">
            <v>0</v>
          </cell>
          <cell r="AQ6415">
            <v>0</v>
          </cell>
          <cell r="AV6415">
            <v>0</v>
          </cell>
        </row>
        <row r="6416">
          <cell r="E6416" t="str">
            <v>B25016605</v>
          </cell>
          <cell r="AP6416">
            <v>0</v>
          </cell>
          <cell r="AQ6416">
            <v>0</v>
          </cell>
          <cell r="AV6416">
            <v>0</v>
          </cell>
        </row>
        <row r="6417">
          <cell r="E6417" t="str">
            <v>D25019309</v>
          </cell>
          <cell r="AP6417">
            <v>0</v>
          </cell>
          <cell r="AQ6417">
            <v>0</v>
          </cell>
          <cell r="AV6417">
            <v>0</v>
          </cell>
        </row>
        <row r="6418">
          <cell r="E6418" t="str">
            <v>B25016921</v>
          </cell>
          <cell r="AP6418">
            <v>0</v>
          </cell>
          <cell r="AQ6418">
            <v>0</v>
          </cell>
          <cell r="AV6418">
            <v>0</v>
          </cell>
        </row>
        <row r="6419">
          <cell r="E6419" t="str">
            <v>B25016989</v>
          </cell>
          <cell r="AP6419">
            <v>0</v>
          </cell>
          <cell r="AQ6419">
            <v>0</v>
          </cell>
          <cell r="AV6419">
            <v>0</v>
          </cell>
        </row>
        <row r="6420">
          <cell r="E6420" t="str">
            <v>D25019644</v>
          </cell>
          <cell r="AP6420">
            <v>0</v>
          </cell>
          <cell r="AQ6420">
            <v>0</v>
          </cell>
          <cell r="AV6420">
            <v>0</v>
          </cell>
        </row>
        <row r="6421">
          <cell r="E6421" t="str">
            <v>B26000063</v>
          </cell>
          <cell r="AP6421">
            <v>0</v>
          </cell>
          <cell r="AQ6421">
            <v>0</v>
          </cell>
          <cell r="AV6421">
            <v>0</v>
          </cell>
        </row>
        <row r="6422">
          <cell r="E6422" t="str">
            <v>B26000309</v>
          </cell>
          <cell r="AP6422">
            <v>0</v>
          </cell>
          <cell r="AQ6422">
            <v>0</v>
          </cell>
          <cell r="AV6422">
            <v>0</v>
          </cell>
        </row>
        <row r="6423">
          <cell r="E6423" t="str">
            <v>B26000320</v>
          </cell>
          <cell r="AP6423">
            <v>0</v>
          </cell>
          <cell r="AQ6423">
            <v>0</v>
          </cell>
          <cell r="AV6423">
            <v>0</v>
          </cell>
        </row>
        <row r="6424">
          <cell r="E6424" t="str">
            <v>B26000492</v>
          </cell>
          <cell r="AP6424">
            <v>0</v>
          </cell>
          <cell r="AQ6424">
            <v>0</v>
          </cell>
          <cell r="AV6424">
            <v>0</v>
          </cell>
        </row>
        <row r="6425">
          <cell r="E6425" t="str">
            <v>B26000604</v>
          </cell>
          <cell r="AP6425">
            <v>0</v>
          </cell>
          <cell r="AQ6425">
            <v>0</v>
          </cell>
          <cell r="AV6425">
            <v>0</v>
          </cell>
        </row>
        <row r="6426">
          <cell r="E6426" t="str">
            <v>B26000732</v>
          </cell>
          <cell r="AP6426">
            <v>0</v>
          </cell>
          <cell r="AQ6426">
            <v>45240000</v>
          </cell>
          <cell r="AV6426">
            <v>0</v>
          </cell>
        </row>
        <row r="6427">
          <cell r="E6427" t="str">
            <v>B26001066</v>
          </cell>
          <cell r="AP6427">
            <v>0</v>
          </cell>
          <cell r="AQ6427">
            <v>14400000</v>
          </cell>
          <cell r="AV6427">
            <v>0</v>
          </cell>
        </row>
        <row r="6428">
          <cell r="E6428" t="str">
            <v>B26001148</v>
          </cell>
          <cell r="AP6428">
            <v>0</v>
          </cell>
          <cell r="AQ6428">
            <v>134375000</v>
          </cell>
          <cell r="AV6428">
            <v>0</v>
          </cell>
        </row>
        <row r="6429">
          <cell r="E6429" t="str">
            <v>B26001443</v>
          </cell>
          <cell r="AP6429">
            <v>0</v>
          </cell>
          <cell r="AQ6429">
            <v>20375000</v>
          </cell>
          <cell r="AV6429">
            <v>0</v>
          </cell>
        </row>
        <row r="6430">
          <cell r="E6430" t="str">
            <v>B26001443</v>
          </cell>
          <cell r="AP6430">
            <v>0</v>
          </cell>
          <cell r="AQ6430">
            <v>112125000</v>
          </cell>
          <cell r="AV6430">
            <v>0</v>
          </cell>
        </row>
        <row r="6431">
          <cell r="E6431" t="str">
            <v>B26001448</v>
          </cell>
          <cell r="AP6431">
            <v>0</v>
          </cell>
          <cell r="AQ6431">
            <v>20375000</v>
          </cell>
          <cell r="AV6431">
            <v>0</v>
          </cell>
        </row>
        <row r="6432">
          <cell r="E6432" t="str">
            <v>B26001465</v>
          </cell>
          <cell r="AP6432">
            <v>0</v>
          </cell>
          <cell r="AQ6432">
            <v>0</v>
          </cell>
          <cell r="AV6432">
            <v>132000000</v>
          </cell>
        </row>
        <row r="6433">
          <cell r="E6433" t="str">
            <v>B26001750</v>
          </cell>
          <cell r="AP6433">
            <v>0</v>
          </cell>
          <cell r="AQ6433">
            <v>27280000</v>
          </cell>
          <cell r="AV6433">
            <v>0</v>
          </cell>
        </row>
        <row r="6434">
          <cell r="E6434" t="str">
            <v>D26002090</v>
          </cell>
          <cell r="AP6434">
            <v>0</v>
          </cell>
          <cell r="AQ6434">
            <v>0</v>
          </cell>
          <cell r="AV6434">
            <v>0</v>
          </cell>
        </row>
        <row r="6435">
          <cell r="E6435" t="str">
            <v>D26002117</v>
          </cell>
          <cell r="AP6435">
            <v>0</v>
          </cell>
          <cell r="AQ6435">
            <v>0</v>
          </cell>
          <cell r="AV6435">
            <v>0</v>
          </cell>
        </row>
        <row r="6436">
          <cell r="E6436" t="str">
            <v>D26002129</v>
          </cell>
          <cell r="AP6436">
            <v>0</v>
          </cell>
          <cell r="AQ6436">
            <v>0</v>
          </cell>
          <cell r="AV6436">
            <v>0</v>
          </cell>
        </row>
        <row r="6437">
          <cell r="E6437" t="str">
            <v>D26002141</v>
          </cell>
          <cell r="AP6437">
            <v>0</v>
          </cell>
          <cell r="AQ6437">
            <v>0</v>
          </cell>
          <cell r="AV6437">
            <v>0</v>
          </cell>
        </row>
        <row r="6438">
          <cell r="E6438" t="str">
            <v>B26002079</v>
          </cell>
          <cell r="AP6438">
            <v>0</v>
          </cell>
          <cell r="AQ6438">
            <v>0</v>
          </cell>
          <cell r="AV6438">
            <v>0</v>
          </cell>
        </row>
        <row r="6439">
          <cell r="E6439" t="str">
            <v>D26002287</v>
          </cell>
          <cell r="AP6439">
            <v>0</v>
          </cell>
          <cell r="AQ6439">
            <v>0</v>
          </cell>
          <cell r="AV6439">
            <v>0</v>
          </cell>
        </row>
        <row r="6440">
          <cell r="E6440" t="str">
            <v>D26002288</v>
          </cell>
          <cell r="AP6440">
            <v>0</v>
          </cell>
          <cell r="AQ6440">
            <v>0</v>
          </cell>
          <cell r="AV6440">
            <v>0</v>
          </cell>
        </row>
        <row r="6441">
          <cell r="E6441" t="str">
            <v>B26002177</v>
          </cell>
          <cell r="AP6441">
            <v>0</v>
          </cell>
          <cell r="AQ6441">
            <v>0</v>
          </cell>
          <cell r="AV6441">
            <v>0</v>
          </cell>
        </row>
        <row r="6442">
          <cell r="E6442" t="str">
            <v>D26002321</v>
          </cell>
          <cell r="AP6442">
            <v>0</v>
          </cell>
          <cell r="AQ6442">
            <v>0</v>
          </cell>
          <cell r="AV6442">
            <v>0</v>
          </cell>
        </row>
        <row r="6443">
          <cell r="E6443" t="str">
            <v>D26002327</v>
          </cell>
          <cell r="AP6443">
            <v>0</v>
          </cell>
          <cell r="AQ6443">
            <v>0</v>
          </cell>
          <cell r="AV6443">
            <v>0</v>
          </cell>
        </row>
        <row r="6444">
          <cell r="E6444" t="str">
            <v>B26002203</v>
          </cell>
          <cell r="AP6444">
            <v>0</v>
          </cell>
          <cell r="AQ6444">
            <v>0</v>
          </cell>
          <cell r="AV6444">
            <v>0</v>
          </cell>
        </row>
        <row r="6445">
          <cell r="E6445" t="str">
            <v>B26002235</v>
          </cell>
          <cell r="AP6445">
            <v>0</v>
          </cell>
          <cell r="AQ6445">
            <v>0</v>
          </cell>
          <cell r="AV6445">
            <v>0</v>
          </cell>
        </row>
        <row r="6446">
          <cell r="E6446" t="str">
            <v>D26000278</v>
          </cell>
          <cell r="AP6446">
            <v>0</v>
          </cell>
          <cell r="AQ6446">
            <v>0</v>
          </cell>
          <cell r="AV6446">
            <v>0</v>
          </cell>
        </row>
        <row r="6447">
          <cell r="E6447" t="str">
            <v>D26000279</v>
          </cell>
          <cell r="AP6447">
            <v>0</v>
          </cell>
          <cell r="AQ6447">
            <v>0</v>
          </cell>
          <cell r="AV6447">
            <v>0</v>
          </cell>
        </row>
        <row r="6448">
          <cell r="E6448" t="str">
            <v>D26000894</v>
          </cell>
          <cell r="AP6448">
            <v>0</v>
          </cell>
          <cell r="AQ6448">
            <v>0</v>
          </cell>
          <cell r="AV6448">
            <v>0</v>
          </cell>
        </row>
        <row r="6449">
          <cell r="E6449" t="str">
            <v>B26001850</v>
          </cell>
          <cell r="AP6449">
            <v>0</v>
          </cell>
          <cell r="AQ6449">
            <v>0</v>
          </cell>
          <cell r="AV6449">
            <v>0</v>
          </cell>
        </row>
        <row r="6450">
          <cell r="E6450" t="str">
            <v>D26001986</v>
          </cell>
          <cell r="AP6450">
            <v>0</v>
          </cell>
          <cell r="AQ6450">
            <v>0</v>
          </cell>
          <cell r="AV6450">
            <v>0</v>
          </cell>
        </row>
        <row r="6451">
          <cell r="E6451" t="str">
            <v>B26002208</v>
          </cell>
          <cell r="AP6451">
            <v>0</v>
          </cell>
          <cell r="AQ6451">
            <v>0</v>
          </cell>
          <cell r="AV6451">
            <v>0</v>
          </cell>
        </row>
        <row r="6452">
          <cell r="E6452" t="str">
            <v>T26000162</v>
          </cell>
          <cell r="AP6452">
            <v>0</v>
          </cell>
          <cell r="AQ6452">
            <v>0</v>
          </cell>
          <cell r="AV6452">
            <v>0</v>
          </cell>
        </row>
        <row r="6453">
          <cell r="E6453" t="str">
            <v>D26001666</v>
          </cell>
          <cell r="AP6453">
            <v>0</v>
          </cell>
          <cell r="AQ6453">
            <v>0</v>
          </cell>
          <cell r="AV6453">
            <v>0</v>
          </cell>
        </row>
        <row r="6454">
          <cell r="E6454" t="str">
            <v>B26001949</v>
          </cell>
          <cell r="AP6454">
            <v>0</v>
          </cell>
          <cell r="AQ6454">
            <v>0</v>
          </cell>
          <cell r="AV6454">
            <v>1870000</v>
          </cell>
        </row>
        <row r="6455">
          <cell r="E6455" t="str">
            <v>D26002086</v>
          </cell>
          <cell r="AP6455">
            <v>0</v>
          </cell>
          <cell r="AQ6455">
            <v>0</v>
          </cell>
          <cell r="AV6455">
            <v>8255000</v>
          </cell>
        </row>
        <row r="6456">
          <cell r="E6456" t="str">
            <v>R25000016</v>
          </cell>
          <cell r="AP6456">
            <v>0</v>
          </cell>
          <cell r="AQ6456">
            <v>0</v>
          </cell>
          <cell r="AV6456">
            <v>0</v>
          </cell>
        </row>
        <row r="6457">
          <cell r="E6457" t="str">
            <v>T25001692</v>
          </cell>
          <cell r="AP6457">
            <v>0</v>
          </cell>
          <cell r="AQ6457">
            <v>0</v>
          </cell>
          <cell r="AV6457">
            <v>2000000</v>
          </cell>
        </row>
        <row r="6458">
          <cell r="E6458" t="str">
            <v>B26000594</v>
          </cell>
          <cell r="AP6458">
            <v>0</v>
          </cell>
          <cell r="AQ6458">
            <v>0</v>
          </cell>
          <cell r="AV6458">
            <v>0</v>
          </cell>
        </row>
        <row r="6459">
          <cell r="E6459" t="str">
            <v>B26000595</v>
          </cell>
          <cell r="AP6459">
            <v>0</v>
          </cell>
          <cell r="AQ6459">
            <v>0</v>
          </cell>
          <cell r="AV6459">
            <v>0</v>
          </cell>
        </row>
        <row r="6460">
          <cell r="E6460" t="str">
            <v>D26000651</v>
          </cell>
          <cell r="AP6460">
            <v>0</v>
          </cell>
          <cell r="AQ6460">
            <v>0</v>
          </cell>
          <cell r="AV6460">
            <v>0</v>
          </cell>
        </row>
        <row r="6461">
          <cell r="E6461" t="str">
            <v>T25001865</v>
          </cell>
          <cell r="AP6461">
            <v>0</v>
          </cell>
          <cell r="AQ6461">
            <v>0</v>
          </cell>
          <cell r="AV6461">
            <v>0</v>
          </cell>
        </row>
        <row r="6462">
          <cell r="E6462" t="str">
            <v>T25001353</v>
          </cell>
          <cell r="AP6462">
            <v>0</v>
          </cell>
          <cell r="AQ6462">
            <v>0</v>
          </cell>
          <cell r="AV6462">
            <v>4400000</v>
          </cell>
        </row>
        <row r="6463">
          <cell r="E6463" t="str">
            <v>D26000819</v>
          </cell>
          <cell r="AP6463">
            <v>0</v>
          </cell>
          <cell r="AQ6463">
            <v>0</v>
          </cell>
          <cell r="AV6463">
            <v>2250000</v>
          </cell>
        </row>
        <row r="6464">
          <cell r="E6464" t="str">
            <v>D26001152</v>
          </cell>
          <cell r="AP6464">
            <v>0</v>
          </cell>
          <cell r="AQ6464">
            <v>0</v>
          </cell>
          <cell r="AV6464">
            <v>1710000</v>
          </cell>
        </row>
        <row r="6465">
          <cell r="E6465" t="str">
            <v>D26001634</v>
          </cell>
          <cell r="AP6465">
            <v>0</v>
          </cell>
          <cell r="AQ6465">
            <v>0</v>
          </cell>
          <cell r="AV6465">
            <v>20850000</v>
          </cell>
        </row>
        <row r="6466">
          <cell r="E6466" t="str">
            <v>B26002023</v>
          </cell>
          <cell r="AP6466">
            <v>0</v>
          </cell>
          <cell r="AQ6466">
            <v>0</v>
          </cell>
          <cell r="AV6466">
            <v>0</v>
          </cell>
        </row>
        <row r="6467">
          <cell r="E6467" t="str">
            <v>D26002325</v>
          </cell>
          <cell r="AP6467">
            <v>0</v>
          </cell>
          <cell r="AQ6467">
            <v>0</v>
          </cell>
          <cell r="AV6467">
            <v>0</v>
          </cell>
        </row>
        <row r="6468">
          <cell r="E6468" t="str">
            <v>B26002233</v>
          </cell>
          <cell r="AP6468">
            <v>0</v>
          </cell>
          <cell r="AQ6468">
            <v>0</v>
          </cell>
          <cell r="AV6468">
            <v>0</v>
          </cell>
        </row>
        <row r="6469">
          <cell r="E6469" t="str">
            <v>B26002236</v>
          </cell>
          <cell r="AP6469">
            <v>0</v>
          </cell>
          <cell r="AQ6469">
            <v>0</v>
          </cell>
          <cell r="AV6469">
            <v>0</v>
          </cell>
        </row>
        <row r="6470">
          <cell r="E6470" t="str">
            <v>T25001625</v>
          </cell>
          <cell r="AP6470">
            <v>0</v>
          </cell>
          <cell r="AQ6470">
            <v>0</v>
          </cell>
          <cell r="AV6470">
            <v>1880000</v>
          </cell>
        </row>
        <row r="6471">
          <cell r="E6471" t="str">
            <v>D25019383</v>
          </cell>
          <cell r="AP6471">
            <v>0</v>
          </cell>
          <cell r="AQ6471">
            <v>0</v>
          </cell>
          <cell r="AV6471">
            <v>0</v>
          </cell>
        </row>
        <row r="6472">
          <cell r="E6472" t="str">
            <v>B26002149</v>
          </cell>
          <cell r="AP6472">
            <v>0</v>
          </cell>
          <cell r="AQ6472">
            <v>0</v>
          </cell>
          <cell r="AV6472">
            <v>5490000</v>
          </cell>
        </row>
        <row r="6473">
          <cell r="E6473" t="str">
            <v>T26000088k</v>
          </cell>
          <cell r="AP6473">
            <v>0</v>
          </cell>
          <cell r="AQ6473">
            <v>0</v>
          </cell>
          <cell r="AV6473">
            <v>0</v>
          </cell>
        </row>
        <row r="6474">
          <cell r="E6474" t="str">
            <v>B26001517</v>
          </cell>
          <cell r="AP6474">
            <v>0</v>
          </cell>
          <cell r="AQ6474">
            <v>0</v>
          </cell>
          <cell r="AV6474">
            <v>0</v>
          </cell>
        </row>
        <row r="6475">
          <cell r="E6475" t="str">
            <v>D26001837</v>
          </cell>
          <cell r="AP6475">
            <v>0</v>
          </cell>
          <cell r="AQ6475">
            <v>0</v>
          </cell>
          <cell r="AV6475">
            <v>10400000</v>
          </cell>
        </row>
        <row r="6476">
          <cell r="E6476" t="str">
            <v>B26002042</v>
          </cell>
          <cell r="AP6476">
            <v>0</v>
          </cell>
          <cell r="AQ6476">
            <v>0</v>
          </cell>
          <cell r="AV6476">
            <v>33600000</v>
          </cell>
        </row>
        <row r="6477">
          <cell r="E6477" t="str">
            <v>D25018177</v>
          </cell>
          <cell r="AP6477">
            <v>0</v>
          </cell>
          <cell r="AQ6477">
            <v>0</v>
          </cell>
          <cell r="AV6477">
            <v>1840000</v>
          </cell>
        </row>
        <row r="6478">
          <cell r="E6478" t="str">
            <v>D25018834</v>
          </cell>
          <cell r="AP6478">
            <v>0</v>
          </cell>
          <cell r="AQ6478">
            <v>0</v>
          </cell>
          <cell r="AV6478">
            <v>4660000</v>
          </cell>
        </row>
        <row r="6479">
          <cell r="E6479" t="str">
            <v>D26000282</v>
          </cell>
          <cell r="AP6479">
            <v>0</v>
          </cell>
          <cell r="AQ6479">
            <v>0</v>
          </cell>
          <cell r="AV6479">
            <v>0</v>
          </cell>
        </row>
        <row r="6480">
          <cell r="E6480" t="str">
            <v>B26001778</v>
          </cell>
          <cell r="AP6480">
            <v>0</v>
          </cell>
          <cell r="AQ6480">
            <v>0</v>
          </cell>
          <cell r="AV6480">
            <v>2340000</v>
          </cell>
        </row>
        <row r="6481">
          <cell r="E6481" t="str">
            <v>B26001783</v>
          </cell>
          <cell r="AP6481">
            <v>0</v>
          </cell>
          <cell r="AQ6481">
            <v>0</v>
          </cell>
          <cell r="AV6481">
            <v>1040000</v>
          </cell>
        </row>
        <row r="6482">
          <cell r="E6482" t="str">
            <v>B26000043</v>
          </cell>
          <cell r="AP6482">
            <v>0</v>
          </cell>
          <cell r="AQ6482">
            <v>0</v>
          </cell>
          <cell r="AV6482">
            <v>0</v>
          </cell>
        </row>
        <row r="6483">
          <cell r="E6483" t="str">
            <v>B26000045</v>
          </cell>
          <cell r="AP6483">
            <v>0</v>
          </cell>
          <cell r="AQ6483">
            <v>0</v>
          </cell>
          <cell r="AV6483">
            <v>0</v>
          </cell>
        </row>
        <row r="6484">
          <cell r="E6484" t="str">
            <v>C26000008</v>
          </cell>
          <cell r="AP6484">
            <v>0</v>
          </cell>
          <cell r="AQ6484">
            <v>0</v>
          </cell>
          <cell r="AV6484">
            <v>0</v>
          </cell>
        </row>
        <row r="6485">
          <cell r="E6485" t="str">
            <v>B26000446</v>
          </cell>
          <cell r="AP6485">
            <v>0</v>
          </cell>
          <cell r="AQ6485">
            <v>0</v>
          </cell>
          <cell r="AV6485">
            <v>0</v>
          </cell>
        </row>
        <row r="6486">
          <cell r="E6486" t="str">
            <v>D26000516</v>
          </cell>
          <cell r="AP6486">
            <v>0</v>
          </cell>
          <cell r="AQ6486">
            <v>0</v>
          </cell>
          <cell r="AV6486">
            <v>0</v>
          </cell>
        </row>
        <row r="6487">
          <cell r="E6487" t="str">
            <v>B26000246</v>
          </cell>
          <cell r="AP6487">
            <v>0</v>
          </cell>
          <cell r="AQ6487">
            <v>0</v>
          </cell>
          <cell r="AV6487">
            <v>0</v>
          </cell>
        </row>
        <row r="6488">
          <cell r="E6488" t="str">
            <v>B26000247</v>
          </cell>
          <cell r="AP6488">
            <v>0</v>
          </cell>
          <cell r="AQ6488">
            <v>0</v>
          </cell>
          <cell r="AV6488">
            <v>0</v>
          </cell>
        </row>
        <row r="6489">
          <cell r="E6489" t="str">
            <v>D26001546</v>
          </cell>
          <cell r="AP6489">
            <v>0</v>
          </cell>
          <cell r="AQ6489">
            <v>0</v>
          </cell>
          <cell r="AV6489">
            <v>0</v>
          </cell>
        </row>
        <row r="6490">
          <cell r="E6490" t="str">
            <v>B25014156</v>
          </cell>
          <cell r="AP6490">
            <v>0</v>
          </cell>
          <cell r="AQ6490">
            <v>0</v>
          </cell>
          <cell r="AV6490">
            <v>1920000</v>
          </cell>
        </row>
        <row r="6491">
          <cell r="E6491" t="str">
            <v>D25018044</v>
          </cell>
          <cell r="AP6491">
            <v>0</v>
          </cell>
          <cell r="AQ6491">
            <v>0</v>
          </cell>
          <cell r="AV6491">
            <v>9608400</v>
          </cell>
        </row>
        <row r="6492">
          <cell r="E6492" t="str">
            <v>B25015992</v>
          </cell>
          <cell r="AP6492">
            <v>0</v>
          </cell>
          <cell r="AQ6492">
            <v>0</v>
          </cell>
          <cell r="AV6492">
            <v>8471600</v>
          </cell>
        </row>
        <row r="6493">
          <cell r="E6493" t="str">
            <v>B25015992</v>
          </cell>
          <cell r="AP6493">
            <v>0</v>
          </cell>
          <cell r="AQ6493">
            <v>0</v>
          </cell>
          <cell r="AV6493">
            <v>1199900</v>
          </cell>
        </row>
        <row r="6494">
          <cell r="E6494" t="str">
            <v>B25016085</v>
          </cell>
          <cell r="AP6494">
            <v>0</v>
          </cell>
          <cell r="AQ6494">
            <v>0</v>
          </cell>
          <cell r="AV6494">
            <v>4087500</v>
          </cell>
        </row>
        <row r="6495">
          <cell r="E6495" t="str">
            <v>D25018873</v>
          </cell>
          <cell r="AP6495">
            <v>0</v>
          </cell>
          <cell r="AQ6495">
            <v>0</v>
          </cell>
          <cell r="AV6495">
            <v>14712600</v>
          </cell>
        </row>
        <row r="6496">
          <cell r="E6496" t="str">
            <v>D25018889</v>
          </cell>
          <cell r="AP6496">
            <v>0</v>
          </cell>
          <cell r="AQ6496">
            <v>0</v>
          </cell>
          <cell r="AV6496">
            <v>0</v>
          </cell>
        </row>
        <row r="6497">
          <cell r="E6497" t="str">
            <v>D25019527</v>
          </cell>
          <cell r="AP6497">
            <v>0</v>
          </cell>
          <cell r="AQ6497">
            <v>0</v>
          </cell>
          <cell r="AV6497">
            <v>0</v>
          </cell>
        </row>
        <row r="6498">
          <cell r="E6498" t="str">
            <v>D25019528</v>
          </cell>
          <cell r="AP6498">
            <v>0</v>
          </cell>
          <cell r="AQ6498">
            <v>0</v>
          </cell>
          <cell r="AV6498">
            <v>0</v>
          </cell>
        </row>
        <row r="6499">
          <cell r="E6499" t="str">
            <v>D25019529</v>
          </cell>
          <cell r="AP6499">
            <v>0</v>
          </cell>
          <cell r="AQ6499">
            <v>0</v>
          </cell>
          <cell r="AV6499">
            <v>0</v>
          </cell>
        </row>
        <row r="6500">
          <cell r="E6500" t="str">
            <v>B26001458</v>
          </cell>
          <cell r="AP6500">
            <v>0</v>
          </cell>
          <cell r="AQ6500">
            <v>0</v>
          </cell>
          <cell r="AV6500">
            <v>19400000</v>
          </cell>
        </row>
        <row r="6501">
          <cell r="E6501" t="str">
            <v>B25015024</v>
          </cell>
          <cell r="AP6501">
            <v>0</v>
          </cell>
          <cell r="AQ6501">
            <v>0</v>
          </cell>
          <cell r="AV6501">
            <v>37550000</v>
          </cell>
        </row>
        <row r="6502">
          <cell r="E6502">
            <v>250197</v>
          </cell>
          <cell r="AP6502">
            <v>0</v>
          </cell>
          <cell r="AQ6502">
            <v>0</v>
          </cell>
          <cell r="AV6502">
            <v>0</v>
          </cell>
        </row>
        <row r="6503">
          <cell r="E6503">
            <v>250198</v>
          </cell>
          <cell r="AP6503">
            <v>0</v>
          </cell>
          <cell r="AQ6503">
            <v>0</v>
          </cell>
          <cell r="AV6503">
            <v>0</v>
          </cell>
        </row>
        <row r="6504">
          <cell r="E6504" t="str">
            <v>D25018478</v>
          </cell>
          <cell r="AP6504">
            <v>0</v>
          </cell>
          <cell r="AQ6504">
            <v>0</v>
          </cell>
          <cell r="AV6504">
            <v>96000000</v>
          </cell>
        </row>
        <row r="6505">
          <cell r="E6505" t="str">
            <v>D26000491</v>
          </cell>
          <cell r="AP6505">
            <v>0</v>
          </cell>
          <cell r="AQ6505">
            <v>0</v>
          </cell>
          <cell r="AV6505">
            <v>0</v>
          </cell>
        </row>
        <row r="6506">
          <cell r="E6506" t="str">
            <v>D26000947</v>
          </cell>
          <cell r="AP6506">
            <v>0</v>
          </cell>
          <cell r="AQ6506">
            <v>0</v>
          </cell>
          <cell r="AV6506">
            <v>0</v>
          </cell>
        </row>
        <row r="6507">
          <cell r="E6507" t="str">
            <v>D26000987</v>
          </cell>
          <cell r="AP6507">
            <v>0</v>
          </cell>
          <cell r="AQ6507">
            <v>0</v>
          </cell>
          <cell r="AV6507">
            <v>0</v>
          </cell>
        </row>
        <row r="6508">
          <cell r="E6508" t="str">
            <v>D26001963</v>
          </cell>
          <cell r="AP6508">
            <v>0</v>
          </cell>
          <cell r="AQ6508">
            <v>0</v>
          </cell>
          <cell r="AV6508">
            <v>0</v>
          </cell>
        </row>
        <row r="6509">
          <cell r="E6509" t="str">
            <v>B26001280</v>
          </cell>
          <cell r="AP6509">
            <v>0</v>
          </cell>
          <cell r="AQ6509">
            <v>0</v>
          </cell>
          <cell r="AV6509">
            <v>0</v>
          </cell>
        </row>
        <row r="6510">
          <cell r="E6510" t="str">
            <v>B26000884</v>
          </cell>
          <cell r="AP6510">
            <v>0</v>
          </cell>
          <cell r="AQ6510">
            <v>0</v>
          </cell>
          <cell r="AV6510">
            <v>0</v>
          </cell>
        </row>
        <row r="6511">
          <cell r="E6511" t="str">
            <v>B26001284</v>
          </cell>
          <cell r="AP6511">
            <v>0</v>
          </cell>
          <cell r="AQ6511">
            <v>0</v>
          </cell>
          <cell r="AV6511">
            <v>0</v>
          </cell>
        </row>
        <row r="6512">
          <cell r="E6512" t="str">
            <v>B26000116</v>
          </cell>
          <cell r="AP6512">
            <v>0</v>
          </cell>
          <cell r="AQ6512">
            <v>0</v>
          </cell>
          <cell r="AV6512">
            <v>1665000</v>
          </cell>
        </row>
        <row r="6513">
          <cell r="E6513" t="str">
            <v>B26000168</v>
          </cell>
          <cell r="AP6513">
            <v>0</v>
          </cell>
          <cell r="AQ6513">
            <v>0</v>
          </cell>
          <cell r="AV6513">
            <v>0</v>
          </cell>
        </row>
        <row r="6514">
          <cell r="E6514" t="str">
            <v>B26000499</v>
          </cell>
          <cell r="AP6514">
            <v>0</v>
          </cell>
          <cell r="AQ6514">
            <v>0</v>
          </cell>
          <cell r="AV6514">
            <v>0</v>
          </cell>
        </row>
        <row r="6515">
          <cell r="E6515" t="str">
            <v>B26000500</v>
          </cell>
          <cell r="AP6515">
            <v>0</v>
          </cell>
          <cell r="AQ6515">
            <v>0</v>
          </cell>
          <cell r="AV6515">
            <v>0</v>
          </cell>
        </row>
        <row r="6516">
          <cell r="E6516" t="str">
            <v>B26000507</v>
          </cell>
          <cell r="AP6516">
            <v>0</v>
          </cell>
          <cell r="AQ6516">
            <v>0</v>
          </cell>
          <cell r="AV6516">
            <v>0</v>
          </cell>
        </row>
        <row r="6517">
          <cell r="E6517" t="str">
            <v>B26000890</v>
          </cell>
          <cell r="AP6517">
            <v>0</v>
          </cell>
          <cell r="AQ6517">
            <v>0</v>
          </cell>
          <cell r="AV6517">
            <v>0</v>
          </cell>
        </row>
        <row r="6518">
          <cell r="E6518" t="str">
            <v>D26001435</v>
          </cell>
          <cell r="AP6518">
            <v>0</v>
          </cell>
          <cell r="AQ6518">
            <v>0</v>
          </cell>
          <cell r="AV6518">
            <v>0</v>
          </cell>
        </row>
        <row r="6519">
          <cell r="E6519" t="str">
            <v>D26001660</v>
          </cell>
          <cell r="AP6519">
            <v>0</v>
          </cell>
          <cell r="AQ6519">
            <v>0</v>
          </cell>
          <cell r="AV6519">
            <v>0</v>
          </cell>
        </row>
        <row r="6520">
          <cell r="E6520" t="str">
            <v>B26001842</v>
          </cell>
          <cell r="AP6520">
            <v>0</v>
          </cell>
          <cell r="AQ6520">
            <v>0</v>
          </cell>
          <cell r="AV6520">
            <v>0</v>
          </cell>
        </row>
        <row r="6521">
          <cell r="E6521" t="str">
            <v>B26001999</v>
          </cell>
          <cell r="AP6521">
            <v>0</v>
          </cell>
          <cell r="AQ6521">
            <v>0</v>
          </cell>
          <cell r="AV6521">
            <v>0</v>
          </cell>
        </row>
        <row r="6522">
          <cell r="E6522" t="str">
            <v>D26000785</v>
          </cell>
          <cell r="AP6522">
            <v>0</v>
          </cell>
          <cell r="AQ6522">
            <v>0</v>
          </cell>
          <cell r="AV6522">
            <v>0</v>
          </cell>
        </row>
        <row r="6523">
          <cell r="E6523" t="str">
            <v>B25014926</v>
          </cell>
          <cell r="AP6523">
            <v>0</v>
          </cell>
          <cell r="AQ6523">
            <v>0</v>
          </cell>
          <cell r="AV6523">
            <v>10000000</v>
          </cell>
        </row>
        <row r="6524">
          <cell r="E6524" t="str">
            <v>B25015763</v>
          </cell>
          <cell r="AP6524">
            <v>0</v>
          </cell>
          <cell r="AQ6524">
            <v>0</v>
          </cell>
          <cell r="AV6524">
            <v>0</v>
          </cell>
        </row>
        <row r="6525">
          <cell r="E6525" t="str">
            <v>B25015927</v>
          </cell>
          <cell r="AP6525">
            <v>0</v>
          </cell>
          <cell r="AQ6525">
            <v>0</v>
          </cell>
          <cell r="AV6525">
            <v>5000000</v>
          </cell>
        </row>
        <row r="6526">
          <cell r="E6526" t="str">
            <v>D25018368</v>
          </cell>
          <cell r="AP6526">
            <v>0</v>
          </cell>
          <cell r="AQ6526">
            <v>0</v>
          </cell>
          <cell r="AV6526">
            <v>8155000</v>
          </cell>
        </row>
        <row r="6527">
          <cell r="E6527" t="str">
            <v>D25019001</v>
          </cell>
          <cell r="AP6527">
            <v>0</v>
          </cell>
          <cell r="AQ6527">
            <v>0</v>
          </cell>
          <cell r="AV6527">
            <v>0</v>
          </cell>
        </row>
        <row r="6528">
          <cell r="E6528" t="str">
            <v>D25019019</v>
          </cell>
          <cell r="AP6528">
            <v>0</v>
          </cell>
          <cell r="AQ6528">
            <v>0</v>
          </cell>
          <cell r="AV6528">
            <v>0</v>
          </cell>
        </row>
        <row r="6529">
          <cell r="E6529" t="str">
            <v>D25019440</v>
          </cell>
          <cell r="AP6529">
            <v>0</v>
          </cell>
          <cell r="AQ6529">
            <v>0</v>
          </cell>
          <cell r="AV6529">
            <v>0</v>
          </cell>
        </row>
        <row r="6530">
          <cell r="E6530" t="str">
            <v>B25016982</v>
          </cell>
          <cell r="AP6530">
            <v>0</v>
          </cell>
          <cell r="AQ6530">
            <v>0</v>
          </cell>
          <cell r="AV6530">
            <v>0</v>
          </cell>
        </row>
        <row r="6531">
          <cell r="E6531" t="str">
            <v>D25019587</v>
          </cell>
          <cell r="AP6531">
            <v>0</v>
          </cell>
          <cell r="AQ6531">
            <v>0</v>
          </cell>
          <cell r="AV6531">
            <v>0</v>
          </cell>
        </row>
        <row r="6532">
          <cell r="E6532" t="str">
            <v>B26000022</v>
          </cell>
          <cell r="AP6532">
            <v>0</v>
          </cell>
          <cell r="AQ6532">
            <v>0</v>
          </cell>
          <cell r="AV6532">
            <v>0</v>
          </cell>
        </row>
        <row r="6533">
          <cell r="E6533" t="str">
            <v>D26000091</v>
          </cell>
          <cell r="AP6533">
            <v>0</v>
          </cell>
          <cell r="AQ6533">
            <v>0</v>
          </cell>
          <cell r="AV6533">
            <v>0</v>
          </cell>
        </row>
        <row r="6534">
          <cell r="E6534" t="str">
            <v>B26000175</v>
          </cell>
          <cell r="AP6534">
            <v>0</v>
          </cell>
          <cell r="AQ6534">
            <v>0</v>
          </cell>
          <cell r="AV6534">
            <v>0</v>
          </cell>
        </row>
        <row r="6535">
          <cell r="E6535" t="str">
            <v>D26000626</v>
          </cell>
          <cell r="AP6535">
            <v>0</v>
          </cell>
          <cell r="AQ6535">
            <v>0</v>
          </cell>
          <cell r="AV6535">
            <v>0</v>
          </cell>
        </row>
        <row r="6536">
          <cell r="E6536" t="str">
            <v>D26001467</v>
          </cell>
          <cell r="AP6536">
            <v>0</v>
          </cell>
          <cell r="AQ6536">
            <v>0</v>
          </cell>
          <cell r="AV6536">
            <v>0</v>
          </cell>
        </row>
        <row r="6537">
          <cell r="E6537" t="str">
            <v>B26001668</v>
          </cell>
          <cell r="AP6537">
            <v>0</v>
          </cell>
          <cell r="AQ6537">
            <v>0</v>
          </cell>
          <cell r="AV6537">
            <v>0</v>
          </cell>
        </row>
        <row r="6538">
          <cell r="E6538" t="str">
            <v>B26001796</v>
          </cell>
          <cell r="AP6538">
            <v>0</v>
          </cell>
          <cell r="AQ6538">
            <v>0</v>
          </cell>
          <cell r="AV6538">
            <v>0</v>
          </cell>
        </row>
        <row r="6539">
          <cell r="E6539" t="str">
            <v>D26002427</v>
          </cell>
          <cell r="AP6539">
            <v>0</v>
          </cell>
          <cell r="AQ6539">
            <v>0</v>
          </cell>
          <cell r="AV6539">
            <v>0</v>
          </cell>
        </row>
        <row r="6540">
          <cell r="E6540" t="str">
            <v>Z25003133</v>
          </cell>
          <cell r="AP6540">
            <v>0</v>
          </cell>
          <cell r="AQ6540">
            <v>0</v>
          </cell>
          <cell r="AV6540">
            <v>0</v>
          </cell>
        </row>
        <row r="6541">
          <cell r="E6541" t="str">
            <v>Z25003175</v>
          </cell>
          <cell r="AP6541">
            <v>0</v>
          </cell>
          <cell r="AQ6541">
            <v>0</v>
          </cell>
          <cell r="AV6541">
            <v>0</v>
          </cell>
        </row>
        <row r="6542">
          <cell r="E6542" t="str">
            <v>Z25003313</v>
          </cell>
          <cell r="AP6542">
            <v>0</v>
          </cell>
          <cell r="AQ6542">
            <v>0</v>
          </cell>
          <cell r="AV6542">
            <v>0</v>
          </cell>
        </row>
        <row r="6543">
          <cell r="E6543" t="str">
            <v>Z26000010</v>
          </cell>
          <cell r="AP6543">
            <v>0</v>
          </cell>
          <cell r="AQ6543">
            <v>0</v>
          </cell>
          <cell r="AV6543">
            <v>0</v>
          </cell>
        </row>
        <row r="6544">
          <cell r="E6544" t="str">
            <v>Z26000013</v>
          </cell>
          <cell r="AP6544">
            <v>0</v>
          </cell>
          <cell r="AQ6544">
            <v>0</v>
          </cell>
          <cell r="AV6544">
            <v>0</v>
          </cell>
        </row>
        <row r="6545">
          <cell r="E6545" t="str">
            <v>Z26000149</v>
          </cell>
          <cell r="AP6545">
            <v>0</v>
          </cell>
          <cell r="AQ6545">
            <v>0</v>
          </cell>
          <cell r="AV6545">
            <v>0</v>
          </cell>
        </row>
        <row r="6546">
          <cell r="E6546" t="str">
            <v>Z26000172</v>
          </cell>
          <cell r="AP6546">
            <v>0</v>
          </cell>
          <cell r="AQ6546">
            <v>0</v>
          </cell>
          <cell r="AV6546">
            <v>0</v>
          </cell>
        </row>
        <row r="6547">
          <cell r="E6547" t="str">
            <v>Z26000186</v>
          </cell>
          <cell r="AP6547">
            <v>0</v>
          </cell>
          <cell r="AQ6547">
            <v>0</v>
          </cell>
          <cell r="AV6547">
            <v>0</v>
          </cell>
        </row>
        <row r="6548">
          <cell r="E6548" t="str">
            <v>Z26000189</v>
          </cell>
          <cell r="AP6548">
            <v>0</v>
          </cell>
          <cell r="AQ6548">
            <v>0</v>
          </cell>
          <cell r="AV6548">
            <v>0</v>
          </cell>
        </row>
        <row r="6549">
          <cell r="E6549" t="str">
            <v>Z26000201</v>
          </cell>
          <cell r="AP6549">
            <v>0</v>
          </cell>
          <cell r="AQ6549">
            <v>0</v>
          </cell>
          <cell r="AV6549">
            <v>0</v>
          </cell>
        </row>
        <row r="6550">
          <cell r="E6550" t="str">
            <v>Z26000307</v>
          </cell>
          <cell r="AP6550">
            <v>0</v>
          </cell>
          <cell r="AQ6550">
            <v>0</v>
          </cell>
          <cell r="AV6550">
            <v>0</v>
          </cell>
        </row>
        <row r="6551">
          <cell r="E6551" t="str">
            <v>Z26000309</v>
          </cell>
          <cell r="AP6551">
            <v>0</v>
          </cell>
          <cell r="AQ6551">
            <v>0</v>
          </cell>
          <cell r="AV6551">
            <v>0</v>
          </cell>
        </row>
        <row r="6552">
          <cell r="E6552" t="str">
            <v>Z26000337</v>
          </cell>
          <cell r="AP6552">
            <v>0</v>
          </cell>
          <cell r="AQ6552">
            <v>0</v>
          </cell>
          <cell r="AV6552">
            <v>0</v>
          </cell>
        </row>
        <row r="6553">
          <cell r="E6553" t="str">
            <v>Z26000386</v>
          </cell>
          <cell r="AP6553">
            <v>0</v>
          </cell>
          <cell r="AQ6553">
            <v>0</v>
          </cell>
          <cell r="AV6553">
            <v>0</v>
          </cell>
        </row>
        <row r="6554">
          <cell r="E6554" t="str">
            <v>D26000891</v>
          </cell>
          <cell r="AP6554">
            <v>0</v>
          </cell>
          <cell r="AQ6554">
            <v>0</v>
          </cell>
          <cell r="AV6554">
            <v>0</v>
          </cell>
        </row>
        <row r="6555">
          <cell r="E6555" t="str">
            <v>D26000892</v>
          </cell>
          <cell r="AP6555">
            <v>0</v>
          </cell>
          <cell r="AQ6555">
            <v>0</v>
          </cell>
          <cell r="AV6555">
            <v>0</v>
          </cell>
        </row>
        <row r="6556">
          <cell r="E6556" t="str">
            <v>D26000893</v>
          </cell>
          <cell r="AP6556">
            <v>0</v>
          </cell>
          <cell r="AQ6556">
            <v>0</v>
          </cell>
          <cell r="AV6556">
            <v>0</v>
          </cell>
        </row>
        <row r="6557">
          <cell r="E6557" t="str">
            <v>B26002212</v>
          </cell>
          <cell r="AP6557">
            <v>0</v>
          </cell>
          <cell r="AQ6557">
            <v>0</v>
          </cell>
          <cell r="AV6557">
            <v>0</v>
          </cell>
        </row>
        <row r="6558">
          <cell r="E6558" t="str">
            <v>D25017659</v>
          </cell>
          <cell r="AP6558">
            <v>0</v>
          </cell>
          <cell r="AQ6558">
            <v>0</v>
          </cell>
          <cell r="AV6558">
            <v>0</v>
          </cell>
        </row>
        <row r="6559">
          <cell r="E6559" t="str">
            <v>D25018842</v>
          </cell>
          <cell r="AP6559">
            <v>0</v>
          </cell>
          <cell r="AQ6559">
            <v>0</v>
          </cell>
          <cell r="AV6559">
            <v>0</v>
          </cell>
        </row>
        <row r="6560">
          <cell r="E6560" t="str">
            <v>B25015526</v>
          </cell>
          <cell r="AP6560">
            <v>0</v>
          </cell>
          <cell r="AQ6560">
            <v>0</v>
          </cell>
          <cell r="AV6560">
            <v>2180000</v>
          </cell>
        </row>
        <row r="6561">
          <cell r="E6561" t="str">
            <v>D25019103</v>
          </cell>
          <cell r="AP6561">
            <v>0</v>
          </cell>
          <cell r="AQ6561">
            <v>0</v>
          </cell>
          <cell r="AV6561">
            <v>0</v>
          </cell>
        </row>
        <row r="6562">
          <cell r="E6562" t="str">
            <v>B26000114</v>
          </cell>
          <cell r="AP6562">
            <v>0</v>
          </cell>
          <cell r="AQ6562">
            <v>0</v>
          </cell>
          <cell r="AV6562">
            <v>0</v>
          </cell>
        </row>
        <row r="6563">
          <cell r="E6563" t="str">
            <v>D26000123</v>
          </cell>
          <cell r="AP6563">
            <v>0</v>
          </cell>
          <cell r="AQ6563">
            <v>0</v>
          </cell>
          <cell r="AV6563">
            <v>0</v>
          </cell>
        </row>
        <row r="6564">
          <cell r="E6564" t="str">
            <v>B26001621</v>
          </cell>
          <cell r="AP6564">
            <v>0</v>
          </cell>
          <cell r="AQ6564">
            <v>0</v>
          </cell>
          <cell r="AV6564">
            <v>0</v>
          </cell>
        </row>
        <row r="6565">
          <cell r="E6565" t="str">
            <v>B26001622</v>
          </cell>
          <cell r="AP6565">
            <v>0</v>
          </cell>
          <cell r="AQ6565">
            <v>0</v>
          </cell>
          <cell r="AV6565">
            <v>0</v>
          </cell>
        </row>
        <row r="6566">
          <cell r="E6566" t="str">
            <v>B26001666</v>
          </cell>
          <cell r="AP6566">
            <v>0</v>
          </cell>
          <cell r="AQ6566">
            <v>0</v>
          </cell>
          <cell r="AV6566">
            <v>0</v>
          </cell>
        </row>
        <row r="6567">
          <cell r="E6567" t="str">
            <v>B25016981</v>
          </cell>
          <cell r="AP6567">
            <v>0</v>
          </cell>
          <cell r="AQ6567">
            <v>0</v>
          </cell>
          <cell r="AV6567">
            <v>0</v>
          </cell>
        </row>
        <row r="6568">
          <cell r="E6568" t="str">
            <v>B25016983</v>
          </cell>
          <cell r="AP6568">
            <v>0</v>
          </cell>
          <cell r="AQ6568">
            <v>0</v>
          </cell>
          <cell r="AV6568">
            <v>4525000</v>
          </cell>
        </row>
        <row r="6569">
          <cell r="E6569" t="str">
            <v>B26000189</v>
          </cell>
          <cell r="AP6569">
            <v>0</v>
          </cell>
          <cell r="AQ6569">
            <v>0</v>
          </cell>
          <cell r="AV6569">
            <v>475000</v>
          </cell>
        </row>
        <row r="6570">
          <cell r="E6570" t="str">
            <v>T26000019</v>
          </cell>
          <cell r="AP6570">
            <v>0</v>
          </cell>
          <cell r="AQ6570">
            <v>0</v>
          </cell>
          <cell r="AV6570">
            <v>0</v>
          </cell>
        </row>
        <row r="6571">
          <cell r="E6571" t="str">
            <v>D26000364</v>
          </cell>
          <cell r="AP6571">
            <v>0</v>
          </cell>
          <cell r="AQ6571">
            <v>0</v>
          </cell>
          <cell r="AV6571">
            <v>0</v>
          </cell>
        </row>
        <row r="6572">
          <cell r="E6572" t="str">
            <v>B26001172</v>
          </cell>
          <cell r="AP6572">
            <v>0</v>
          </cell>
          <cell r="AQ6572">
            <v>0</v>
          </cell>
          <cell r="AV6572">
            <v>0</v>
          </cell>
        </row>
        <row r="6573">
          <cell r="E6573" t="str">
            <v>B26001176</v>
          </cell>
          <cell r="AP6573">
            <v>0</v>
          </cell>
          <cell r="AQ6573">
            <v>0</v>
          </cell>
          <cell r="AV6573">
            <v>0</v>
          </cell>
        </row>
        <row r="6574">
          <cell r="E6574" t="str">
            <v>B26001460</v>
          </cell>
          <cell r="AP6574">
            <v>0</v>
          </cell>
          <cell r="AQ6574">
            <v>0</v>
          </cell>
          <cell r="AV6574">
            <v>0</v>
          </cell>
        </row>
        <row r="6575">
          <cell r="E6575" t="str">
            <v>D26001601</v>
          </cell>
          <cell r="AP6575">
            <v>0</v>
          </cell>
          <cell r="AQ6575">
            <v>0</v>
          </cell>
          <cell r="AV6575">
            <v>0</v>
          </cell>
        </row>
        <row r="6576">
          <cell r="E6576" t="str">
            <v>D26001602</v>
          </cell>
          <cell r="AP6576">
            <v>0</v>
          </cell>
          <cell r="AQ6576">
            <v>0</v>
          </cell>
          <cell r="AV6576">
            <v>0</v>
          </cell>
        </row>
        <row r="6577">
          <cell r="E6577" t="str">
            <v>D26002151</v>
          </cell>
          <cell r="AP6577">
            <v>0</v>
          </cell>
          <cell r="AQ6577">
            <v>0</v>
          </cell>
          <cell r="AV6577">
            <v>0</v>
          </cell>
        </row>
        <row r="6578">
          <cell r="E6578" t="str">
            <v>D25018476</v>
          </cell>
          <cell r="AP6578">
            <v>0</v>
          </cell>
          <cell r="AQ6578">
            <v>0</v>
          </cell>
          <cell r="AV6578">
            <v>5968000</v>
          </cell>
        </row>
        <row r="6579">
          <cell r="E6579" t="str">
            <v>D25018846</v>
          </cell>
          <cell r="AP6579">
            <v>0</v>
          </cell>
          <cell r="AQ6579">
            <v>0</v>
          </cell>
          <cell r="AV6579">
            <v>1510000</v>
          </cell>
        </row>
        <row r="6580">
          <cell r="E6580" t="str">
            <v>D25019341</v>
          </cell>
          <cell r="AP6580">
            <v>0</v>
          </cell>
          <cell r="AQ6580">
            <v>0</v>
          </cell>
          <cell r="AV6580">
            <v>0</v>
          </cell>
        </row>
        <row r="6581">
          <cell r="E6581" t="str">
            <v>B26000385</v>
          </cell>
          <cell r="AP6581">
            <v>0</v>
          </cell>
          <cell r="AQ6581">
            <v>0</v>
          </cell>
          <cell r="AV6581">
            <v>0</v>
          </cell>
        </row>
        <row r="6582">
          <cell r="E6582" t="str">
            <v>D26000832</v>
          </cell>
          <cell r="AP6582">
            <v>0</v>
          </cell>
          <cell r="AQ6582">
            <v>0</v>
          </cell>
          <cell r="AV6582">
            <v>0</v>
          </cell>
        </row>
        <row r="6583">
          <cell r="E6583" t="str">
            <v>T26000146</v>
          </cell>
          <cell r="AP6583">
            <v>0</v>
          </cell>
          <cell r="AQ6583">
            <v>0</v>
          </cell>
          <cell r="AV6583">
            <v>0</v>
          </cell>
        </row>
        <row r="6584">
          <cell r="E6584" t="str">
            <v>B26002248</v>
          </cell>
          <cell r="AP6584">
            <v>0</v>
          </cell>
          <cell r="AQ6584">
            <v>0</v>
          </cell>
          <cell r="AV6584">
            <v>0</v>
          </cell>
        </row>
        <row r="6585">
          <cell r="E6585" t="str">
            <v>D26000057</v>
          </cell>
          <cell r="AP6585">
            <v>0</v>
          </cell>
          <cell r="AQ6585">
            <v>0</v>
          </cell>
          <cell r="AV6585">
            <v>0</v>
          </cell>
        </row>
        <row r="6586">
          <cell r="E6586" t="str">
            <v>D26001564</v>
          </cell>
          <cell r="AP6586">
            <v>0</v>
          </cell>
          <cell r="AQ6586">
            <v>0</v>
          </cell>
          <cell r="AV6586">
            <v>0</v>
          </cell>
        </row>
        <row r="6587">
          <cell r="E6587" t="str">
            <v>D25013787</v>
          </cell>
          <cell r="AP6587">
            <v>0</v>
          </cell>
          <cell r="AQ6587">
            <v>0</v>
          </cell>
          <cell r="AV6587">
            <v>4380000</v>
          </cell>
        </row>
        <row r="6588">
          <cell r="E6588" t="str">
            <v>B25013655</v>
          </cell>
          <cell r="AP6588">
            <v>0</v>
          </cell>
          <cell r="AQ6588">
            <v>0</v>
          </cell>
          <cell r="AV6588">
            <v>13200000</v>
          </cell>
        </row>
        <row r="6589">
          <cell r="E6589" t="str">
            <v>B25014606</v>
          </cell>
          <cell r="AP6589">
            <v>0</v>
          </cell>
          <cell r="AQ6589">
            <v>0</v>
          </cell>
          <cell r="AV6589">
            <v>860000</v>
          </cell>
        </row>
        <row r="6590">
          <cell r="E6590" t="str">
            <v>B25014698</v>
          </cell>
          <cell r="AP6590">
            <v>0</v>
          </cell>
          <cell r="AQ6590">
            <v>0</v>
          </cell>
          <cell r="AV6590">
            <v>3210000</v>
          </cell>
        </row>
        <row r="6591">
          <cell r="E6591" t="str">
            <v>D25017436</v>
          </cell>
          <cell r="AP6591">
            <v>0</v>
          </cell>
          <cell r="AQ6591">
            <v>0</v>
          </cell>
          <cell r="AV6591">
            <v>2105000</v>
          </cell>
        </row>
        <row r="6592">
          <cell r="E6592" t="str">
            <v>B25015576</v>
          </cell>
          <cell r="AP6592">
            <v>0</v>
          </cell>
          <cell r="AQ6592">
            <v>0</v>
          </cell>
          <cell r="AV6592">
            <v>0</v>
          </cell>
        </row>
        <row r="6593">
          <cell r="E6593" t="str">
            <v>D25018180</v>
          </cell>
          <cell r="AP6593">
            <v>0</v>
          </cell>
          <cell r="AQ6593">
            <v>0</v>
          </cell>
          <cell r="AV6593">
            <v>0</v>
          </cell>
        </row>
        <row r="6594">
          <cell r="E6594" t="str">
            <v>B25016094</v>
          </cell>
          <cell r="AP6594">
            <v>0</v>
          </cell>
          <cell r="AQ6594">
            <v>0</v>
          </cell>
          <cell r="AV6594">
            <v>0</v>
          </cell>
        </row>
        <row r="6595">
          <cell r="E6595" t="str">
            <v>B26000433</v>
          </cell>
          <cell r="AP6595">
            <v>0</v>
          </cell>
          <cell r="AQ6595">
            <v>0</v>
          </cell>
          <cell r="AV6595">
            <v>0</v>
          </cell>
        </row>
        <row r="6596">
          <cell r="E6596" t="str">
            <v>B26000689</v>
          </cell>
          <cell r="AP6596">
            <v>0</v>
          </cell>
          <cell r="AQ6596">
            <v>0</v>
          </cell>
          <cell r="AV6596">
            <v>0</v>
          </cell>
        </row>
        <row r="6597">
          <cell r="E6597" t="str">
            <v>B26000818</v>
          </cell>
          <cell r="AP6597">
            <v>0</v>
          </cell>
          <cell r="AQ6597">
            <v>0</v>
          </cell>
          <cell r="AV6597">
            <v>0</v>
          </cell>
        </row>
        <row r="6598">
          <cell r="E6598" t="str">
            <v>B26000934</v>
          </cell>
          <cell r="AP6598">
            <v>0</v>
          </cell>
          <cell r="AQ6598">
            <v>0</v>
          </cell>
          <cell r="AV6598">
            <v>0</v>
          </cell>
        </row>
        <row r="6599">
          <cell r="E6599" t="str">
            <v>B26001429</v>
          </cell>
          <cell r="AP6599">
            <v>0</v>
          </cell>
          <cell r="AQ6599">
            <v>0</v>
          </cell>
          <cell r="AV6599">
            <v>0</v>
          </cell>
        </row>
        <row r="6600">
          <cell r="E6600" t="str">
            <v>B26001660</v>
          </cell>
          <cell r="AP6600">
            <v>0</v>
          </cell>
          <cell r="AQ6600">
            <v>0</v>
          </cell>
          <cell r="AV6600">
            <v>0</v>
          </cell>
        </row>
        <row r="6601">
          <cell r="E6601" t="str">
            <v>D25018239</v>
          </cell>
          <cell r="AP6601">
            <v>0</v>
          </cell>
          <cell r="AQ6601">
            <v>0</v>
          </cell>
          <cell r="AV6601">
            <v>15500</v>
          </cell>
        </row>
        <row r="6602">
          <cell r="E6602" t="str">
            <v>D25019128</v>
          </cell>
          <cell r="AP6602">
            <v>0</v>
          </cell>
          <cell r="AQ6602">
            <v>0</v>
          </cell>
          <cell r="AV6602">
            <v>900000</v>
          </cell>
        </row>
        <row r="6603">
          <cell r="E6603" t="str">
            <v>D25019142</v>
          </cell>
          <cell r="AP6603">
            <v>0</v>
          </cell>
          <cell r="AQ6603">
            <v>0</v>
          </cell>
          <cell r="AV6603">
            <v>4880000</v>
          </cell>
        </row>
        <row r="6604">
          <cell r="E6604" t="str">
            <v>D25019143</v>
          </cell>
          <cell r="AP6604">
            <v>0</v>
          </cell>
          <cell r="AQ6604">
            <v>0</v>
          </cell>
          <cell r="AV6604">
            <v>1570000</v>
          </cell>
        </row>
        <row r="6605">
          <cell r="E6605" t="str">
            <v>B25016823</v>
          </cell>
          <cell r="AP6605">
            <v>0</v>
          </cell>
          <cell r="AQ6605">
            <v>0</v>
          </cell>
          <cell r="AV6605">
            <v>1187500</v>
          </cell>
        </row>
        <row r="6606">
          <cell r="E6606" t="str">
            <v>B25016925</v>
          </cell>
          <cell r="AP6606">
            <v>0</v>
          </cell>
          <cell r="AQ6606">
            <v>0</v>
          </cell>
          <cell r="AV6606">
            <v>740000</v>
          </cell>
        </row>
        <row r="6607">
          <cell r="E6607" t="str">
            <v>D26000268</v>
          </cell>
          <cell r="AP6607">
            <v>0</v>
          </cell>
          <cell r="AQ6607">
            <v>0</v>
          </cell>
          <cell r="AV6607">
            <v>2502500</v>
          </cell>
        </row>
        <row r="6608">
          <cell r="E6608" t="str">
            <v>D26000275</v>
          </cell>
          <cell r="AP6608">
            <v>0</v>
          </cell>
          <cell r="AQ6608">
            <v>0</v>
          </cell>
          <cell r="AV6608">
            <v>0</v>
          </cell>
        </row>
        <row r="6609">
          <cell r="E6609" t="str">
            <v>D26000355</v>
          </cell>
          <cell r="AP6609">
            <v>0</v>
          </cell>
          <cell r="AQ6609">
            <v>0</v>
          </cell>
          <cell r="AV6609">
            <v>0</v>
          </cell>
        </row>
        <row r="6610">
          <cell r="E6610" t="str">
            <v>D26000788</v>
          </cell>
          <cell r="AP6610">
            <v>0</v>
          </cell>
          <cell r="AQ6610">
            <v>0</v>
          </cell>
          <cell r="AV6610">
            <v>0</v>
          </cell>
        </row>
        <row r="6611">
          <cell r="E6611" t="str">
            <v>D26001044</v>
          </cell>
          <cell r="AP6611">
            <v>0</v>
          </cell>
          <cell r="AQ6611">
            <v>0</v>
          </cell>
          <cell r="AV6611">
            <v>0</v>
          </cell>
        </row>
        <row r="6612">
          <cell r="E6612" t="str">
            <v>D26001231</v>
          </cell>
          <cell r="AP6612">
            <v>0</v>
          </cell>
          <cell r="AQ6612">
            <v>0</v>
          </cell>
          <cell r="AV6612">
            <v>0</v>
          </cell>
        </row>
        <row r="6613">
          <cell r="E6613" t="str">
            <v>D26001274</v>
          </cell>
          <cell r="AP6613">
            <v>0</v>
          </cell>
          <cell r="AQ6613">
            <v>0</v>
          </cell>
          <cell r="AV6613">
            <v>0</v>
          </cell>
        </row>
        <row r="6614">
          <cell r="E6614" t="str">
            <v>D26001280</v>
          </cell>
          <cell r="AP6614">
            <v>0</v>
          </cell>
          <cell r="AQ6614">
            <v>0</v>
          </cell>
          <cell r="AV6614">
            <v>0</v>
          </cell>
        </row>
        <row r="6615">
          <cell r="E6615" t="str">
            <v>B26001232</v>
          </cell>
          <cell r="AP6615">
            <v>0</v>
          </cell>
          <cell r="AQ6615">
            <v>0</v>
          </cell>
          <cell r="AV6615">
            <v>0</v>
          </cell>
        </row>
        <row r="6616">
          <cell r="E6616" t="str">
            <v>D26001779</v>
          </cell>
          <cell r="AP6616">
            <v>0</v>
          </cell>
          <cell r="AQ6616">
            <v>0</v>
          </cell>
          <cell r="AV6616">
            <v>0</v>
          </cell>
        </row>
        <row r="6617">
          <cell r="E6617" t="str">
            <v>D26001782</v>
          </cell>
          <cell r="AP6617">
            <v>0</v>
          </cell>
          <cell r="AQ6617">
            <v>0</v>
          </cell>
          <cell r="AV6617">
            <v>0</v>
          </cell>
        </row>
        <row r="6618">
          <cell r="E6618" t="str">
            <v>B26001945</v>
          </cell>
          <cell r="AP6618">
            <v>0</v>
          </cell>
          <cell r="AQ6618">
            <v>0</v>
          </cell>
          <cell r="AV6618">
            <v>0</v>
          </cell>
        </row>
        <row r="6619">
          <cell r="E6619" t="str">
            <v>B26002019</v>
          </cell>
          <cell r="AP6619">
            <v>0</v>
          </cell>
          <cell r="AQ6619">
            <v>0</v>
          </cell>
          <cell r="AV6619">
            <v>0</v>
          </cell>
        </row>
        <row r="6620">
          <cell r="E6620" t="str">
            <v>D26002429</v>
          </cell>
          <cell r="AP6620">
            <v>0</v>
          </cell>
          <cell r="AQ6620">
            <v>0</v>
          </cell>
          <cell r="AV6620">
            <v>0</v>
          </cell>
        </row>
        <row r="6621">
          <cell r="E6621" t="str">
            <v>B25016320</v>
          </cell>
          <cell r="AP6621">
            <v>0</v>
          </cell>
          <cell r="AQ6621">
            <v>0</v>
          </cell>
          <cell r="AV6621">
            <v>0</v>
          </cell>
        </row>
        <row r="6622">
          <cell r="E6622" t="str">
            <v>B26001603</v>
          </cell>
          <cell r="AP6622">
            <v>0</v>
          </cell>
          <cell r="AQ6622">
            <v>0</v>
          </cell>
          <cell r="AV6622">
            <v>1978000</v>
          </cell>
        </row>
        <row r="6623">
          <cell r="E6623" t="str">
            <v>B26001436</v>
          </cell>
          <cell r="AP6623">
            <v>0</v>
          </cell>
          <cell r="AQ6623">
            <v>0</v>
          </cell>
          <cell r="AV6623">
            <v>0</v>
          </cell>
        </row>
        <row r="6624">
          <cell r="E6624" t="str">
            <v>D26002262</v>
          </cell>
          <cell r="AP6624">
            <v>0</v>
          </cell>
          <cell r="AQ6624">
            <v>0</v>
          </cell>
          <cell r="AV6624">
            <v>0</v>
          </cell>
        </row>
        <row r="6625">
          <cell r="E6625" t="str">
            <v>D25018732</v>
          </cell>
          <cell r="AP6625">
            <v>0</v>
          </cell>
          <cell r="AQ6625">
            <v>0</v>
          </cell>
          <cell r="AV6625">
            <v>1062500</v>
          </cell>
        </row>
        <row r="6626">
          <cell r="E6626" t="str">
            <v>B26000254</v>
          </cell>
          <cell r="AP6626">
            <v>0</v>
          </cell>
          <cell r="AQ6626">
            <v>0</v>
          </cell>
          <cell r="AV6626">
            <v>1800000</v>
          </cell>
        </row>
        <row r="6627">
          <cell r="E6627" t="str">
            <v>B26000255</v>
          </cell>
          <cell r="AP6627">
            <v>0</v>
          </cell>
          <cell r="AQ6627">
            <v>0</v>
          </cell>
          <cell r="AV6627">
            <v>680000</v>
          </cell>
        </row>
        <row r="6628">
          <cell r="E6628" t="str">
            <v>T26000046</v>
          </cell>
          <cell r="AP6628">
            <v>0</v>
          </cell>
          <cell r="AQ6628">
            <v>0</v>
          </cell>
          <cell r="AV6628">
            <v>0</v>
          </cell>
        </row>
        <row r="6629">
          <cell r="E6629" t="str">
            <v>D26001104</v>
          </cell>
          <cell r="AP6629">
            <v>0</v>
          </cell>
          <cell r="AQ6629">
            <v>0</v>
          </cell>
          <cell r="AV6629">
            <v>0</v>
          </cell>
        </row>
        <row r="6630">
          <cell r="E6630" t="str">
            <v>D26001105</v>
          </cell>
          <cell r="AP6630">
            <v>0</v>
          </cell>
          <cell r="AQ6630">
            <v>0</v>
          </cell>
          <cell r="AV6630">
            <v>0</v>
          </cell>
        </row>
        <row r="6631">
          <cell r="E6631" t="str">
            <v>B26002157</v>
          </cell>
          <cell r="AP6631">
            <v>0</v>
          </cell>
          <cell r="AQ6631">
            <v>0</v>
          </cell>
          <cell r="AV6631">
            <v>0</v>
          </cell>
        </row>
        <row r="6632">
          <cell r="E6632" t="str">
            <v>D25019640</v>
          </cell>
          <cell r="AP6632">
            <v>0</v>
          </cell>
          <cell r="AQ6632">
            <v>0</v>
          </cell>
          <cell r="AV6632">
            <v>0</v>
          </cell>
        </row>
        <row r="6633">
          <cell r="E6633" t="str">
            <v>D25019720</v>
          </cell>
          <cell r="AP6633">
            <v>0</v>
          </cell>
          <cell r="AQ6633">
            <v>0</v>
          </cell>
          <cell r="AV6633">
            <v>0</v>
          </cell>
        </row>
        <row r="6634">
          <cell r="E6634" t="str">
            <v>T25001900</v>
          </cell>
          <cell r="AP6634">
            <v>0</v>
          </cell>
          <cell r="AQ6634">
            <v>0</v>
          </cell>
          <cell r="AV6634">
            <v>0</v>
          </cell>
        </row>
        <row r="6635">
          <cell r="E6635" t="str">
            <v>T25001901</v>
          </cell>
          <cell r="AP6635">
            <v>0</v>
          </cell>
          <cell r="AQ6635">
            <v>0</v>
          </cell>
          <cell r="AV6635">
            <v>0</v>
          </cell>
        </row>
        <row r="6636">
          <cell r="E6636" t="str">
            <v>D26000325</v>
          </cell>
          <cell r="AP6636">
            <v>0</v>
          </cell>
          <cell r="AQ6636">
            <v>0</v>
          </cell>
          <cell r="AV6636">
            <v>0</v>
          </cell>
        </row>
        <row r="6637">
          <cell r="E6637" t="str">
            <v>D26000877</v>
          </cell>
          <cell r="AP6637">
            <v>0</v>
          </cell>
          <cell r="AQ6637">
            <v>0</v>
          </cell>
          <cell r="AV6637">
            <v>0</v>
          </cell>
        </row>
        <row r="6638">
          <cell r="E6638" t="str">
            <v>B26000163</v>
          </cell>
          <cell r="AP6638">
            <v>0</v>
          </cell>
          <cell r="AQ6638">
            <v>0</v>
          </cell>
          <cell r="AV6638">
            <v>0</v>
          </cell>
        </row>
        <row r="6639">
          <cell r="E6639" t="str">
            <v>B26000164</v>
          </cell>
          <cell r="AP6639">
            <v>0</v>
          </cell>
          <cell r="AQ6639">
            <v>0</v>
          </cell>
          <cell r="AV6639">
            <v>0</v>
          </cell>
        </row>
        <row r="6640">
          <cell r="E6640" t="str">
            <v>B26001386</v>
          </cell>
          <cell r="AP6640">
            <v>0</v>
          </cell>
          <cell r="AQ6640">
            <v>0</v>
          </cell>
          <cell r="AV6640">
            <v>0</v>
          </cell>
        </row>
        <row r="6641">
          <cell r="E6641" t="str">
            <v>B26001972</v>
          </cell>
          <cell r="AP6641">
            <v>0</v>
          </cell>
          <cell r="AQ6641">
            <v>0</v>
          </cell>
          <cell r="AV6641">
            <v>0</v>
          </cell>
        </row>
        <row r="6642">
          <cell r="E6642" t="str">
            <v>B26001973</v>
          </cell>
          <cell r="AP6642">
            <v>0</v>
          </cell>
          <cell r="AQ6642">
            <v>0</v>
          </cell>
          <cell r="AV6642">
            <v>0</v>
          </cell>
        </row>
        <row r="6643">
          <cell r="E6643" t="str">
            <v>B25016817</v>
          </cell>
          <cell r="AP6643">
            <v>0</v>
          </cell>
          <cell r="AQ6643">
            <v>0</v>
          </cell>
          <cell r="AV6643">
            <v>2603000</v>
          </cell>
        </row>
        <row r="6644">
          <cell r="E6644" t="str">
            <v>B25016821</v>
          </cell>
          <cell r="AP6644">
            <v>0</v>
          </cell>
          <cell r="AQ6644">
            <v>0</v>
          </cell>
          <cell r="AV6644">
            <v>540000</v>
          </cell>
        </row>
        <row r="6645">
          <cell r="E6645" t="str">
            <v>B25016835</v>
          </cell>
          <cell r="AP6645">
            <v>0</v>
          </cell>
          <cell r="AQ6645">
            <v>0</v>
          </cell>
          <cell r="AV6645">
            <v>0</v>
          </cell>
        </row>
        <row r="6646">
          <cell r="E6646" t="str">
            <v>N25000087</v>
          </cell>
          <cell r="AP6646">
            <v>0</v>
          </cell>
          <cell r="AQ6646">
            <v>0</v>
          </cell>
          <cell r="AV6646">
            <v>0</v>
          </cell>
        </row>
        <row r="6647">
          <cell r="E6647" t="str">
            <v>D25019685</v>
          </cell>
          <cell r="AP6647">
            <v>0</v>
          </cell>
          <cell r="AQ6647">
            <v>0</v>
          </cell>
          <cell r="AV6647">
            <v>0</v>
          </cell>
        </row>
        <row r="6648">
          <cell r="E6648" t="str">
            <v>B26000305</v>
          </cell>
          <cell r="AP6648">
            <v>0</v>
          </cell>
          <cell r="AQ6648">
            <v>0</v>
          </cell>
          <cell r="AV6648">
            <v>0</v>
          </cell>
        </row>
        <row r="6649">
          <cell r="E6649" t="str">
            <v>D26000342</v>
          </cell>
          <cell r="AP6649">
            <v>0</v>
          </cell>
          <cell r="AQ6649">
            <v>0</v>
          </cell>
          <cell r="AV6649">
            <v>0</v>
          </cell>
        </row>
        <row r="6650">
          <cell r="E6650" t="str">
            <v>B26001263</v>
          </cell>
          <cell r="AP6650">
            <v>0</v>
          </cell>
          <cell r="AQ6650">
            <v>0</v>
          </cell>
          <cell r="AV6650">
            <v>0</v>
          </cell>
        </row>
        <row r="6651">
          <cell r="E6651" t="str">
            <v>B26002094</v>
          </cell>
          <cell r="AP6651">
            <v>0</v>
          </cell>
          <cell r="AQ6651">
            <v>0</v>
          </cell>
          <cell r="AV6651">
            <v>0</v>
          </cell>
        </row>
        <row r="6652">
          <cell r="E6652" t="str">
            <v>B25010943</v>
          </cell>
          <cell r="AP6652">
            <v>0</v>
          </cell>
          <cell r="AQ6652">
            <v>0</v>
          </cell>
          <cell r="AV6652">
            <v>0</v>
          </cell>
        </row>
        <row r="6653">
          <cell r="E6653" t="str">
            <v>D25017776</v>
          </cell>
          <cell r="AP6653">
            <v>0</v>
          </cell>
          <cell r="AQ6653">
            <v>0</v>
          </cell>
          <cell r="AV6653">
            <v>3750000</v>
          </cell>
        </row>
        <row r="6654">
          <cell r="E6654" t="str">
            <v>D25018243</v>
          </cell>
          <cell r="AP6654">
            <v>0</v>
          </cell>
          <cell r="AQ6654">
            <v>0</v>
          </cell>
          <cell r="AV6654">
            <v>3250000</v>
          </cell>
        </row>
        <row r="6655">
          <cell r="E6655" t="str">
            <v>D25018571</v>
          </cell>
          <cell r="AP6655">
            <v>0</v>
          </cell>
          <cell r="AQ6655">
            <v>0</v>
          </cell>
          <cell r="AV6655">
            <v>0</v>
          </cell>
        </row>
        <row r="6656">
          <cell r="E6656" t="str">
            <v>B25016168</v>
          </cell>
          <cell r="AP6656">
            <v>0</v>
          </cell>
          <cell r="AQ6656">
            <v>0</v>
          </cell>
          <cell r="AV6656">
            <v>0</v>
          </cell>
        </row>
        <row r="6657">
          <cell r="E6657" t="str">
            <v>T25001842</v>
          </cell>
          <cell r="AP6657">
            <v>0</v>
          </cell>
          <cell r="AQ6657">
            <v>0</v>
          </cell>
          <cell r="AV6657">
            <v>0</v>
          </cell>
        </row>
        <row r="6658">
          <cell r="E6658" t="str">
            <v>D25018833</v>
          </cell>
          <cell r="AP6658">
            <v>0</v>
          </cell>
          <cell r="AQ6658">
            <v>0</v>
          </cell>
          <cell r="AV6658">
            <v>0</v>
          </cell>
        </row>
        <row r="6659">
          <cell r="E6659" t="str">
            <v>D25019627</v>
          </cell>
          <cell r="AP6659">
            <v>0</v>
          </cell>
          <cell r="AQ6659">
            <v>0</v>
          </cell>
          <cell r="AV6659">
            <v>0</v>
          </cell>
        </row>
        <row r="6660">
          <cell r="E6660" t="str">
            <v>D25019118</v>
          </cell>
          <cell r="AP6660">
            <v>0</v>
          </cell>
          <cell r="AQ6660">
            <v>0</v>
          </cell>
          <cell r="AV6660">
            <v>5800000</v>
          </cell>
        </row>
        <row r="6661">
          <cell r="E6661" t="str">
            <v>D25019140</v>
          </cell>
          <cell r="AP6661">
            <v>0</v>
          </cell>
          <cell r="AQ6661">
            <v>0</v>
          </cell>
          <cell r="AV6661">
            <v>250000</v>
          </cell>
        </row>
        <row r="6662">
          <cell r="E6662" t="str">
            <v>D26000402</v>
          </cell>
          <cell r="AP6662">
            <v>0</v>
          </cell>
          <cell r="AQ6662">
            <v>0</v>
          </cell>
          <cell r="AV6662">
            <v>0</v>
          </cell>
        </row>
        <row r="6663">
          <cell r="E6663" t="str">
            <v>D26000403</v>
          </cell>
          <cell r="AP6663">
            <v>0</v>
          </cell>
          <cell r="AQ6663">
            <v>0</v>
          </cell>
          <cell r="AV6663">
            <v>0</v>
          </cell>
        </row>
        <row r="6664">
          <cell r="E6664" t="str">
            <v>D25018300</v>
          </cell>
          <cell r="AP6664">
            <v>500</v>
          </cell>
          <cell r="AQ6664">
            <v>0</v>
          </cell>
          <cell r="AV6664">
            <v>6357000</v>
          </cell>
        </row>
        <row r="6665">
          <cell r="E6665" t="str">
            <v>B25016008</v>
          </cell>
          <cell r="AP6665">
            <v>0</v>
          </cell>
          <cell r="AQ6665">
            <v>0</v>
          </cell>
          <cell r="AV6665">
            <v>3250000</v>
          </cell>
        </row>
        <row r="6666">
          <cell r="E6666" t="str">
            <v>B26000092</v>
          </cell>
          <cell r="AP6666">
            <v>0</v>
          </cell>
          <cell r="AQ6666">
            <v>0</v>
          </cell>
          <cell r="AV6666">
            <v>0</v>
          </cell>
        </row>
        <row r="6667">
          <cell r="E6667" t="str">
            <v>B26000272</v>
          </cell>
          <cell r="AP6667">
            <v>0</v>
          </cell>
          <cell r="AQ6667">
            <v>0</v>
          </cell>
          <cell r="AV6667">
            <v>0</v>
          </cell>
        </row>
        <row r="6668">
          <cell r="E6668" t="str">
            <v>B26000607</v>
          </cell>
          <cell r="AP6668">
            <v>0</v>
          </cell>
          <cell r="AQ6668">
            <v>0</v>
          </cell>
          <cell r="AV6668">
            <v>0</v>
          </cell>
        </row>
        <row r="6669">
          <cell r="E6669" t="str">
            <v>T26000038</v>
          </cell>
          <cell r="AP6669">
            <v>0</v>
          </cell>
          <cell r="AQ6669">
            <v>0</v>
          </cell>
          <cell r="AV6669">
            <v>0</v>
          </cell>
        </row>
        <row r="6670">
          <cell r="E6670" t="str">
            <v>D26001347</v>
          </cell>
          <cell r="AP6670">
            <v>0</v>
          </cell>
          <cell r="AQ6670">
            <v>0</v>
          </cell>
          <cell r="AV6670">
            <v>0</v>
          </cell>
        </row>
        <row r="6671">
          <cell r="E6671" t="str">
            <v>D26002161</v>
          </cell>
          <cell r="AP6671">
            <v>0</v>
          </cell>
          <cell r="AQ6671">
            <v>0</v>
          </cell>
          <cell r="AV6671">
            <v>0</v>
          </cell>
        </row>
        <row r="6672">
          <cell r="E6672" t="str">
            <v>D26002162</v>
          </cell>
          <cell r="AP6672">
            <v>0</v>
          </cell>
          <cell r="AQ6672">
            <v>0</v>
          </cell>
          <cell r="AV6672">
            <v>2670000</v>
          </cell>
        </row>
        <row r="6673">
          <cell r="E6673" t="str">
            <v>Z26000263</v>
          </cell>
          <cell r="AP6673">
            <v>0</v>
          </cell>
          <cell r="AQ6673">
            <v>0</v>
          </cell>
          <cell r="AV6673">
            <v>0</v>
          </cell>
        </row>
        <row r="6674">
          <cell r="E6674" t="str">
            <v>Z26000265</v>
          </cell>
          <cell r="AP6674">
            <v>0</v>
          </cell>
          <cell r="AQ6674">
            <v>0</v>
          </cell>
          <cell r="AV6674">
            <v>0</v>
          </cell>
        </row>
        <row r="6675">
          <cell r="E6675" t="str">
            <v>Z26000343</v>
          </cell>
          <cell r="AP6675">
            <v>0</v>
          </cell>
          <cell r="AQ6675">
            <v>0</v>
          </cell>
          <cell r="AV6675">
            <v>138280000</v>
          </cell>
        </row>
        <row r="6676">
          <cell r="E6676" t="str">
            <v>T25001586</v>
          </cell>
          <cell r="AP6676">
            <v>0</v>
          </cell>
          <cell r="AQ6676">
            <v>0</v>
          </cell>
          <cell r="AV6676">
            <v>0</v>
          </cell>
        </row>
        <row r="6677">
          <cell r="E6677" t="str">
            <v>D25016178</v>
          </cell>
          <cell r="AP6677">
            <v>0</v>
          </cell>
          <cell r="AQ6677">
            <v>0</v>
          </cell>
          <cell r="AV6677">
            <v>30000000</v>
          </cell>
        </row>
        <row r="6678">
          <cell r="E6678" t="str">
            <v>D25016178</v>
          </cell>
          <cell r="AP6678">
            <v>0</v>
          </cell>
          <cell r="AQ6678">
            <v>0</v>
          </cell>
          <cell r="AV6678">
            <v>20000000</v>
          </cell>
        </row>
        <row r="6679">
          <cell r="E6679" t="str">
            <v>D25016178</v>
          </cell>
          <cell r="AP6679">
            <v>0</v>
          </cell>
          <cell r="AQ6679">
            <v>0</v>
          </cell>
          <cell r="AV6679">
            <v>20000000</v>
          </cell>
        </row>
        <row r="6680">
          <cell r="E6680" t="str">
            <v>D25018900</v>
          </cell>
          <cell r="AP6680">
            <v>0</v>
          </cell>
          <cell r="AQ6680">
            <v>0</v>
          </cell>
          <cell r="AV6680">
            <v>0</v>
          </cell>
        </row>
        <row r="6681">
          <cell r="E6681" t="str">
            <v>D25018997</v>
          </cell>
          <cell r="AP6681">
            <v>0</v>
          </cell>
          <cell r="AQ6681">
            <v>0</v>
          </cell>
          <cell r="AV6681">
            <v>0</v>
          </cell>
        </row>
        <row r="6682">
          <cell r="E6682" t="str">
            <v>D25018998</v>
          </cell>
          <cell r="AP6682">
            <v>0</v>
          </cell>
          <cell r="AQ6682">
            <v>0</v>
          </cell>
          <cell r="AV6682">
            <v>0</v>
          </cell>
        </row>
        <row r="6683">
          <cell r="E6683" t="str">
            <v>D25019266</v>
          </cell>
          <cell r="AP6683">
            <v>0</v>
          </cell>
          <cell r="AQ6683">
            <v>0</v>
          </cell>
          <cell r="AV6683">
            <v>0</v>
          </cell>
        </row>
        <row r="6684">
          <cell r="E6684" t="str">
            <v>D26001677</v>
          </cell>
          <cell r="AP6684">
            <v>0</v>
          </cell>
          <cell r="AQ6684">
            <v>0</v>
          </cell>
          <cell r="AV6684">
            <v>5287500</v>
          </cell>
        </row>
        <row r="6685">
          <cell r="E6685" t="str">
            <v>D26001678</v>
          </cell>
          <cell r="AP6685">
            <v>0</v>
          </cell>
          <cell r="AQ6685">
            <v>0</v>
          </cell>
          <cell r="AV6685">
            <v>0</v>
          </cell>
        </row>
        <row r="6686">
          <cell r="E6686" t="str">
            <v>D26001679</v>
          </cell>
          <cell r="AP6686">
            <v>0</v>
          </cell>
          <cell r="AQ6686">
            <v>0</v>
          </cell>
          <cell r="AV6686">
            <v>0</v>
          </cell>
        </row>
        <row r="6687">
          <cell r="E6687" t="str">
            <v>D26001680</v>
          </cell>
          <cell r="AP6687">
            <v>0</v>
          </cell>
          <cell r="AQ6687">
            <v>0</v>
          </cell>
          <cell r="AV6687">
            <v>0</v>
          </cell>
        </row>
        <row r="6688">
          <cell r="E6688" t="str">
            <v>T26000108</v>
          </cell>
          <cell r="AP6688">
            <v>0</v>
          </cell>
          <cell r="AQ6688">
            <v>0</v>
          </cell>
          <cell r="AV6688">
            <v>0</v>
          </cell>
        </row>
        <row r="6689">
          <cell r="E6689" t="str">
            <v>B26001615</v>
          </cell>
          <cell r="AP6689">
            <v>0</v>
          </cell>
          <cell r="AQ6689">
            <v>0</v>
          </cell>
          <cell r="AV6689">
            <v>11450000</v>
          </cell>
        </row>
        <row r="6690">
          <cell r="E6690" t="str">
            <v>D26000273</v>
          </cell>
          <cell r="AP6690">
            <v>0</v>
          </cell>
          <cell r="AQ6690">
            <v>0</v>
          </cell>
          <cell r="AV6690">
            <v>0</v>
          </cell>
        </row>
        <row r="6691">
          <cell r="E6691" t="str">
            <v>B26000330</v>
          </cell>
          <cell r="AP6691">
            <v>0</v>
          </cell>
          <cell r="AQ6691">
            <v>0</v>
          </cell>
          <cell r="AV6691">
            <v>0</v>
          </cell>
        </row>
        <row r="6692">
          <cell r="E6692" t="str">
            <v>B26000475</v>
          </cell>
          <cell r="AP6692">
            <v>0</v>
          </cell>
          <cell r="AQ6692">
            <v>0</v>
          </cell>
          <cell r="AV6692">
            <v>0</v>
          </cell>
        </row>
        <row r="6693">
          <cell r="E6693" t="str">
            <v>D26001658</v>
          </cell>
          <cell r="AP6693">
            <v>0</v>
          </cell>
          <cell r="AQ6693">
            <v>0</v>
          </cell>
          <cell r="AV6693">
            <v>0</v>
          </cell>
        </row>
        <row r="6694">
          <cell r="E6694" t="str">
            <v>D25013475</v>
          </cell>
          <cell r="AP6694">
            <v>0</v>
          </cell>
          <cell r="AQ6694">
            <v>0</v>
          </cell>
          <cell r="AV6694">
            <v>4000000</v>
          </cell>
        </row>
        <row r="6695">
          <cell r="E6695" t="str">
            <v>B25012121</v>
          </cell>
          <cell r="AP6695">
            <v>0</v>
          </cell>
          <cell r="AQ6695">
            <v>0</v>
          </cell>
          <cell r="AV6695">
            <v>0</v>
          </cell>
        </row>
        <row r="6696">
          <cell r="E6696" t="str">
            <v>B25016643</v>
          </cell>
          <cell r="AP6696">
            <v>0</v>
          </cell>
          <cell r="AQ6696">
            <v>0</v>
          </cell>
          <cell r="AV6696">
            <v>5100000</v>
          </cell>
        </row>
        <row r="6697">
          <cell r="E6697" t="str">
            <v>D25019413</v>
          </cell>
          <cell r="AP6697">
            <v>0</v>
          </cell>
          <cell r="AQ6697">
            <v>0</v>
          </cell>
          <cell r="AV6697">
            <v>1965000</v>
          </cell>
        </row>
        <row r="6698">
          <cell r="E6698" t="str">
            <v>D25019414</v>
          </cell>
          <cell r="AP6698">
            <v>0</v>
          </cell>
          <cell r="AQ6698">
            <v>0</v>
          </cell>
          <cell r="AV6698">
            <v>0</v>
          </cell>
        </row>
        <row r="6699">
          <cell r="E6699" t="str">
            <v>D25019415</v>
          </cell>
          <cell r="AP6699">
            <v>0</v>
          </cell>
          <cell r="AQ6699">
            <v>0</v>
          </cell>
          <cell r="AV6699">
            <v>0</v>
          </cell>
        </row>
        <row r="6700">
          <cell r="E6700" t="str">
            <v>B26000258</v>
          </cell>
          <cell r="AP6700">
            <v>0</v>
          </cell>
          <cell r="AQ6700">
            <v>0</v>
          </cell>
          <cell r="AV6700">
            <v>0</v>
          </cell>
        </row>
        <row r="6701">
          <cell r="E6701" t="str">
            <v>B26000259</v>
          </cell>
          <cell r="AP6701">
            <v>0</v>
          </cell>
          <cell r="AQ6701">
            <v>0</v>
          </cell>
          <cell r="AV6701">
            <v>0</v>
          </cell>
        </row>
        <row r="6702">
          <cell r="E6702" t="str">
            <v>D26000417</v>
          </cell>
          <cell r="AP6702">
            <v>0</v>
          </cell>
          <cell r="AQ6702">
            <v>0</v>
          </cell>
          <cell r="AV6702">
            <v>0</v>
          </cell>
        </row>
        <row r="6703">
          <cell r="E6703" t="str">
            <v>D26000895</v>
          </cell>
          <cell r="AP6703">
            <v>0</v>
          </cell>
          <cell r="AQ6703">
            <v>0</v>
          </cell>
          <cell r="AV6703">
            <v>0</v>
          </cell>
        </row>
        <row r="6704">
          <cell r="E6704" t="str">
            <v>B26001318</v>
          </cell>
          <cell r="AP6704">
            <v>0</v>
          </cell>
          <cell r="AQ6704">
            <v>0</v>
          </cell>
          <cell r="AV6704">
            <v>0</v>
          </cell>
        </row>
        <row r="6705">
          <cell r="E6705" t="str">
            <v>B26001322</v>
          </cell>
          <cell r="AP6705">
            <v>0</v>
          </cell>
          <cell r="AQ6705">
            <v>0</v>
          </cell>
          <cell r="AV6705">
            <v>0</v>
          </cell>
        </row>
        <row r="6706">
          <cell r="E6706" t="str">
            <v>B26002103</v>
          </cell>
          <cell r="AP6706">
            <v>0</v>
          </cell>
          <cell r="AQ6706">
            <v>0</v>
          </cell>
          <cell r="AV6706">
            <v>0</v>
          </cell>
        </row>
        <row r="6707">
          <cell r="E6707" t="str">
            <v>B26002105</v>
          </cell>
          <cell r="AP6707">
            <v>0</v>
          </cell>
          <cell r="AQ6707">
            <v>0</v>
          </cell>
          <cell r="AV6707">
            <v>0</v>
          </cell>
        </row>
        <row r="6708">
          <cell r="E6708" t="str">
            <v>B25015291</v>
          </cell>
          <cell r="AP6708">
            <v>0</v>
          </cell>
          <cell r="AQ6708">
            <v>0</v>
          </cell>
          <cell r="AV6708">
            <v>0</v>
          </cell>
        </row>
        <row r="6709">
          <cell r="E6709" t="str">
            <v>D25018254</v>
          </cell>
          <cell r="AP6709">
            <v>0</v>
          </cell>
          <cell r="AQ6709">
            <v>0</v>
          </cell>
          <cell r="AV6709">
            <v>0</v>
          </cell>
        </row>
        <row r="6710">
          <cell r="E6710" t="str">
            <v>D25019042</v>
          </cell>
          <cell r="AP6710">
            <v>0</v>
          </cell>
          <cell r="AQ6710">
            <v>0</v>
          </cell>
          <cell r="AV6710">
            <v>0</v>
          </cell>
        </row>
        <row r="6711">
          <cell r="E6711" t="str">
            <v>B26002182</v>
          </cell>
          <cell r="AP6711">
            <v>0</v>
          </cell>
          <cell r="AQ6711">
            <v>0</v>
          </cell>
          <cell r="AV6711">
            <v>0</v>
          </cell>
        </row>
        <row r="6712">
          <cell r="E6712" t="str">
            <v>D26002294</v>
          </cell>
          <cell r="AP6712">
            <v>0</v>
          </cell>
          <cell r="AQ6712">
            <v>0</v>
          </cell>
          <cell r="AV6712">
            <v>0</v>
          </cell>
        </row>
        <row r="6713">
          <cell r="E6713" t="str">
            <v>D25019668</v>
          </cell>
          <cell r="AP6713">
            <v>0</v>
          </cell>
          <cell r="AQ6713">
            <v>0</v>
          </cell>
          <cell r="AV6713">
            <v>0</v>
          </cell>
        </row>
        <row r="6714">
          <cell r="E6714" t="str">
            <v>B26000242</v>
          </cell>
          <cell r="AP6714">
            <v>0</v>
          </cell>
          <cell r="AQ6714">
            <v>0</v>
          </cell>
          <cell r="AV6714">
            <v>900000</v>
          </cell>
        </row>
        <row r="6715">
          <cell r="E6715" t="str">
            <v>B26000243</v>
          </cell>
          <cell r="AP6715">
            <v>0</v>
          </cell>
          <cell r="AQ6715">
            <v>0</v>
          </cell>
          <cell r="AV6715">
            <v>2990000</v>
          </cell>
        </row>
        <row r="6716">
          <cell r="E6716" t="str">
            <v>D26000301</v>
          </cell>
          <cell r="AP6716">
            <v>0</v>
          </cell>
          <cell r="AQ6716">
            <v>0</v>
          </cell>
          <cell r="AV6716">
            <v>960000</v>
          </cell>
        </row>
        <row r="6717">
          <cell r="E6717" t="str">
            <v>D26001064</v>
          </cell>
          <cell r="AP6717">
            <v>0</v>
          </cell>
          <cell r="AQ6717">
            <v>0</v>
          </cell>
          <cell r="AV6717">
            <v>0</v>
          </cell>
        </row>
        <row r="6718">
          <cell r="E6718" t="str">
            <v>D26001223</v>
          </cell>
          <cell r="AP6718">
            <v>0</v>
          </cell>
          <cell r="AQ6718">
            <v>0</v>
          </cell>
          <cell r="AV6718">
            <v>0</v>
          </cell>
        </row>
        <row r="6719">
          <cell r="E6719" t="str">
            <v>B26001371</v>
          </cell>
          <cell r="AP6719">
            <v>0</v>
          </cell>
          <cell r="AQ6719">
            <v>0</v>
          </cell>
          <cell r="AV6719">
            <v>0</v>
          </cell>
        </row>
        <row r="6720">
          <cell r="E6720" t="str">
            <v>B26002252</v>
          </cell>
          <cell r="AP6720">
            <v>0</v>
          </cell>
          <cell r="AQ6720">
            <v>0</v>
          </cell>
          <cell r="AV6720">
            <v>0</v>
          </cell>
        </row>
        <row r="6721">
          <cell r="E6721" t="str">
            <v>B26002253</v>
          </cell>
          <cell r="AP6721">
            <v>0</v>
          </cell>
          <cell r="AQ6721">
            <v>0</v>
          </cell>
          <cell r="AV6721">
            <v>0</v>
          </cell>
        </row>
        <row r="6722">
          <cell r="E6722" t="str">
            <v>D26001749</v>
          </cell>
          <cell r="AP6722">
            <v>0</v>
          </cell>
          <cell r="AQ6722">
            <v>0</v>
          </cell>
          <cell r="AV6722">
            <v>17800000</v>
          </cell>
        </row>
        <row r="6723">
          <cell r="E6723" t="str">
            <v>D26002096</v>
          </cell>
          <cell r="AP6723">
            <v>0</v>
          </cell>
          <cell r="AQ6723">
            <v>0</v>
          </cell>
          <cell r="AV6723">
            <v>5340000</v>
          </cell>
        </row>
        <row r="6724">
          <cell r="E6724" t="str">
            <v>T26000026</v>
          </cell>
          <cell r="AP6724">
            <v>0</v>
          </cell>
          <cell r="AQ6724">
            <v>0</v>
          </cell>
          <cell r="AV6724">
            <v>0</v>
          </cell>
        </row>
        <row r="6725">
          <cell r="E6725" t="str">
            <v>T26000027</v>
          </cell>
          <cell r="AP6725">
            <v>0</v>
          </cell>
          <cell r="AQ6725">
            <v>0</v>
          </cell>
          <cell r="AV6725">
            <v>0</v>
          </cell>
        </row>
        <row r="6726">
          <cell r="E6726" t="str">
            <v>T26000076</v>
          </cell>
          <cell r="AP6726">
            <v>0</v>
          </cell>
          <cell r="AQ6726">
            <v>0</v>
          </cell>
          <cell r="AV6726">
            <v>0</v>
          </cell>
        </row>
        <row r="6727">
          <cell r="E6727" t="str">
            <v>B26001736</v>
          </cell>
          <cell r="AP6727">
            <v>0</v>
          </cell>
          <cell r="AQ6727">
            <v>0</v>
          </cell>
          <cell r="AV6727">
            <v>0</v>
          </cell>
        </row>
        <row r="6728">
          <cell r="E6728" t="str">
            <v>B25016736</v>
          </cell>
          <cell r="AP6728">
            <v>0</v>
          </cell>
          <cell r="AQ6728">
            <v>0</v>
          </cell>
          <cell r="AV6728">
            <v>5480000</v>
          </cell>
        </row>
        <row r="6729">
          <cell r="E6729" t="str">
            <v>D26000346</v>
          </cell>
          <cell r="AP6729">
            <v>0</v>
          </cell>
          <cell r="AQ6729">
            <v>0</v>
          </cell>
          <cell r="AV6729">
            <v>0</v>
          </cell>
        </row>
        <row r="6730">
          <cell r="E6730" t="str">
            <v>D26000534</v>
          </cell>
          <cell r="AP6730">
            <v>0</v>
          </cell>
          <cell r="AQ6730">
            <v>0</v>
          </cell>
          <cell r="AV6730">
            <v>0</v>
          </cell>
        </row>
        <row r="6731">
          <cell r="E6731" t="str">
            <v>B26001022</v>
          </cell>
          <cell r="AP6731">
            <v>0</v>
          </cell>
          <cell r="AQ6731">
            <v>0</v>
          </cell>
          <cell r="AV6731">
            <v>0</v>
          </cell>
        </row>
        <row r="6732">
          <cell r="E6732" t="str">
            <v>D26001563</v>
          </cell>
          <cell r="AP6732">
            <v>0</v>
          </cell>
          <cell r="AQ6732">
            <v>0</v>
          </cell>
          <cell r="AV6732">
            <v>0</v>
          </cell>
        </row>
        <row r="6733">
          <cell r="E6733" t="str">
            <v>D26001570</v>
          </cell>
          <cell r="AP6733">
            <v>0</v>
          </cell>
          <cell r="AQ6733">
            <v>0</v>
          </cell>
          <cell r="AV6733">
            <v>0</v>
          </cell>
        </row>
        <row r="6734">
          <cell r="E6734" t="str">
            <v>D26001586</v>
          </cell>
          <cell r="AP6734">
            <v>0</v>
          </cell>
          <cell r="AQ6734">
            <v>0</v>
          </cell>
          <cell r="AV6734">
            <v>0</v>
          </cell>
        </row>
        <row r="6735">
          <cell r="E6735" t="str">
            <v>D26001864</v>
          </cell>
          <cell r="AP6735">
            <v>0</v>
          </cell>
          <cell r="AQ6735">
            <v>0</v>
          </cell>
          <cell r="AV6735">
            <v>0</v>
          </cell>
        </row>
        <row r="6736">
          <cell r="E6736" t="str">
            <v>D26002353</v>
          </cell>
          <cell r="AP6736">
            <v>0</v>
          </cell>
          <cell r="AQ6736">
            <v>0</v>
          </cell>
          <cell r="AV6736">
            <v>0</v>
          </cell>
        </row>
        <row r="6737">
          <cell r="E6737" t="str">
            <v>D25019389</v>
          </cell>
          <cell r="AP6737">
            <v>0</v>
          </cell>
          <cell r="AQ6737">
            <v>0</v>
          </cell>
          <cell r="AV6737">
            <v>6400000</v>
          </cell>
        </row>
        <row r="6738">
          <cell r="E6738" t="str">
            <v>D25019522</v>
          </cell>
          <cell r="AP6738">
            <v>0</v>
          </cell>
          <cell r="AQ6738">
            <v>0</v>
          </cell>
          <cell r="AV6738">
            <v>1375000</v>
          </cell>
        </row>
        <row r="6739">
          <cell r="E6739" t="str">
            <v>B26000228</v>
          </cell>
          <cell r="AP6739">
            <v>0</v>
          </cell>
          <cell r="AQ6739">
            <v>0</v>
          </cell>
          <cell r="AV6739">
            <v>0</v>
          </cell>
        </row>
        <row r="6740">
          <cell r="E6740" t="str">
            <v>D26000408</v>
          </cell>
          <cell r="AP6740">
            <v>0</v>
          </cell>
          <cell r="AQ6740">
            <v>0</v>
          </cell>
          <cell r="AV6740">
            <v>0</v>
          </cell>
        </row>
        <row r="6741">
          <cell r="E6741" t="str">
            <v>N26000010</v>
          </cell>
          <cell r="AP6741">
            <v>0</v>
          </cell>
          <cell r="AQ6741">
            <v>0</v>
          </cell>
          <cell r="AV6741">
            <v>0</v>
          </cell>
        </row>
        <row r="6742">
          <cell r="E6742" t="str">
            <v>B26001056</v>
          </cell>
          <cell r="AP6742">
            <v>0</v>
          </cell>
          <cell r="AQ6742">
            <v>0</v>
          </cell>
          <cell r="AV6742">
            <v>0</v>
          </cell>
        </row>
        <row r="6743">
          <cell r="E6743" t="str">
            <v>D26001762</v>
          </cell>
          <cell r="AP6743">
            <v>0</v>
          </cell>
          <cell r="AQ6743">
            <v>0</v>
          </cell>
          <cell r="AV6743">
            <v>0</v>
          </cell>
        </row>
        <row r="6744">
          <cell r="E6744" t="str">
            <v>B26002088</v>
          </cell>
          <cell r="AP6744">
            <v>0</v>
          </cell>
          <cell r="AQ6744">
            <v>0</v>
          </cell>
          <cell r="AV6744">
            <v>0</v>
          </cell>
        </row>
        <row r="6745">
          <cell r="E6745" t="str">
            <v>B25017056</v>
          </cell>
          <cell r="AP6745">
            <v>0</v>
          </cell>
          <cell r="AQ6745">
            <v>0</v>
          </cell>
          <cell r="AV6745">
            <v>1200000</v>
          </cell>
        </row>
        <row r="6746">
          <cell r="E6746" t="str">
            <v>D26000311</v>
          </cell>
          <cell r="AP6746">
            <v>0</v>
          </cell>
          <cell r="AQ6746">
            <v>0</v>
          </cell>
          <cell r="AV6746">
            <v>0</v>
          </cell>
        </row>
        <row r="6747">
          <cell r="E6747" t="str">
            <v>D26000621</v>
          </cell>
          <cell r="AP6747">
            <v>0</v>
          </cell>
          <cell r="AQ6747">
            <v>0</v>
          </cell>
          <cell r="AV6747">
            <v>0</v>
          </cell>
        </row>
        <row r="6748">
          <cell r="E6748" t="str">
            <v>D26000622</v>
          </cell>
          <cell r="AP6748">
            <v>0</v>
          </cell>
          <cell r="AQ6748">
            <v>0</v>
          </cell>
          <cell r="AV6748">
            <v>0</v>
          </cell>
        </row>
        <row r="6749">
          <cell r="E6749" t="str">
            <v>B26000676</v>
          </cell>
          <cell r="AP6749">
            <v>0</v>
          </cell>
          <cell r="AQ6749">
            <v>0</v>
          </cell>
          <cell r="AV6749">
            <v>0</v>
          </cell>
        </row>
        <row r="6750">
          <cell r="E6750" t="str">
            <v>D26000679</v>
          </cell>
          <cell r="AP6750">
            <v>0</v>
          </cell>
          <cell r="AQ6750">
            <v>0</v>
          </cell>
          <cell r="AV6750">
            <v>0</v>
          </cell>
        </row>
        <row r="6751">
          <cell r="E6751" t="str">
            <v>D26000763</v>
          </cell>
          <cell r="AP6751">
            <v>0</v>
          </cell>
          <cell r="AQ6751">
            <v>0</v>
          </cell>
          <cell r="AV6751">
            <v>0</v>
          </cell>
        </row>
        <row r="6752">
          <cell r="E6752" t="str">
            <v>D26000982</v>
          </cell>
          <cell r="AP6752">
            <v>0</v>
          </cell>
          <cell r="AQ6752">
            <v>0</v>
          </cell>
          <cell r="AV6752">
            <v>0</v>
          </cell>
        </row>
        <row r="6753">
          <cell r="E6753" t="str">
            <v>D26001092</v>
          </cell>
          <cell r="AP6753">
            <v>0</v>
          </cell>
          <cell r="AQ6753">
            <v>0</v>
          </cell>
          <cell r="AV6753">
            <v>0</v>
          </cell>
        </row>
        <row r="6754">
          <cell r="E6754" t="str">
            <v>B26001079</v>
          </cell>
          <cell r="AP6754">
            <v>0</v>
          </cell>
          <cell r="AQ6754">
            <v>0</v>
          </cell>
          <cell r="AV6754">
            <v>0</v>
          </cell>
        </row>
        <row r="6755">
          <cell r="E6755" t="str">
            <v>B26001204</v>
          </cell>
          <cell r="AP6755">
            <v>0</v>
          </cell>
          <cell r="AQ6755">
            <v>0</v>
          </cell>
          <cell r="AV6755">
            <v>0</v>
          </cell>
        </row>
        <row r="6756">
          <cell r="E6756" t="str">
            <v>D26001279</v>
          </cell>
          <cell r="AP6756">
            <v>0</v>
          </cell>
          <cell r="AQ6756">
            <v>0</v>
          </cell>
          <cell r="AV6756">
            <v>0</v>
          </cell>
        </row>
        <row r="6757">
          <cell r="E6757" t="str">
            <v>D26001390</v>
          </cell>
          <cell r="AP6757">
            <v>0</v>
          </cell>
          <cell r="AQ6757">
            <v>0</v>
          </cell>
          <cell r="AV6757">
            <v>0</v>
          </cell>
        </row>
        <row r="6758">
          <cell r="E6758" t="str">
            <v>D26001463</v>
          </cell>
          <cell r="AP6758">
            <v>0</v>
          </cell>
          <cell r="AQ6758">
            <v>0</v>
          </cell>
          <cell r="AV6758">
            <v>0</v>
          </cell>
        </row>
        <row r="6759">
          <cell r="E6759" t="str">
            <v>B26001447</v>
          </cell>
          <cell r="AP6759">
            <v>0</v>
          </cell>
          <cell r="AQ6759">
            <v>0</v>
          </cell>
          <cell r="AV6759">
            <v>0</v>
          </cell>
        </row>
        <row r="6760">
          <cell r="E6760" t="str">
            <v>D26001532</v>
          </cell>
          <cell r="AP6760">
            <v>0</v>
          </cell>
          <cell r="AQ6760">
            <v>0</v>
          </cell>
          <cell r="AV6760">
            <v>0</v>
          </cell>
        </row>
        <row r="6761">
          <cell r="E6761" t="str">
            <v>D26001698</v>
          </cell>
          <cell r="AP6761">
            <v>0</v>
          </cell>
          <cell r="AQ6761">
            <v>1440000</v>
          </cell>
          <cell r="AV6761">
            <v>0</v>
          </cell>
        </row>
        <row r="6762">
          <cell r="E6762" t="str">
            <v>D26001699</v>
          </cell>
          <cell r="AP6762">
            <v>0</v>
          </cell>
          <cell r="AQ6762">
            <v>839500</v>
          </cell>
          <cell r="AV6762">
            <v>0</v>
          </cell>
        </row>
        <row r="6763">
          <cell r="E6763" t="str">
            <v>B26001644</v>
          </cell>
          <cell r="AP6763">
            <v>0</v>
          </cell>
          <cell r="AQ6763">
            <v>1647000</v>
          </cell>
          <cell r="AV6763">
            <v>0</v>
          </cell>
        </row>
        <row r="6764">
          <cell r="E6764" t="str">
            <v>B26001743</v>
          </cell>
          <cell r="AP6764">
            <v>0</v>
          </cell>
          <cell r="AQ6764">
            <v>3869500</v>
          </cell>
          <cell r="AV6764">
            <v>0</v>
          </cell>
        </row>
        <row r="6765">
          <cell r="E6765" t="str">
            <v>B26001744</v>
          </cell>
          <cell r="AP6765">
            <v>0</v>
          </cell>
          <cell r="AQ6765">
            <v>986500</v>
          </cell>
          <cell r="AV6765">
            <v>0</v>
          </cell>
        </row>
        <row r="6766">
          <cell r="E6766" t="str">
            <v>D26001925</v>
          </cell>
          <cell r="AP6766">
            <v>0</v>
          </cell>
          <cell r="AQ6766">
            <v>510000</v>
          </cell>
          <cell r="AV6766">
            <v>0</v>
          </cell>
        </row>
        <row r="6767">
          <cell r="E6767" t="str">
            <v>B26002086</v>
          </cell>
          <cell r="AP6767">
            <v>0</v>
          </cell>
          <cell r="AQ6767">
            <v>1676000</v>
          </cell>
          <cell r="AV6767">
            <v>0</v>
          </cell>
        </row>
        <row r="6768">
          <cell r="E6768" t="str">
            <v>B26002087</v>
          </cell>
          <cell r="AP6768">
            <v>0</v>
          </cell>
          <cell r="AQ6768">
            <v>1884000</v>
          </cell>
          <cell r="AV6768">
            <v>0</v>
          </cell>
        </row>
        <row r="6769">
          <cell r="E6769" t="str">
            <v>B25015512</v>
          </cell>
          <cell r="AP6769">
            <v>0</v>
          </cell>
          <cell r="AQ6769">
            <v>0</v>
          </cell>
          <cell r="AV6769">
            <v>137700000</v>
          </cell>
        </row>
        <row r="6770">
          <cell r="E6770" t="str">
            <v>B25015575</v>
          </cell>
          <cell r="AP6770">
            <v>0</v>
          </cell>
          <cell r="AQ6770">
            <v>0</v>
          </cell>
          <cell r="AV6770">
            <v>140000000</v>
          </cell>
        </row>
        <row r="6771">
          <cell r="E6771" t="str">
            <v>B25015575</v>
          </cell>
          <cell r="AP6771">
            <v>0</v>
          </cell>
          <cell r="AQ6771">
            <v>0</v>
          </cell>
          <cell r="AV6771">
            <v>135400000</v>
          </cell>
        </row>
        <row r="6772">
          <cell r="E6772" t="str">
            <v>D25018433</v>
          </cell>
          <cell r="AP6772">
            <v>0</v>
          </cell>
          <cell r="AQ6772">
            <v>0</v>
          </cell>
          <cell r="AV6772">
            <v>117000000</v>
          </cell>
        </row>
        <row r="6773">
          <cell r="E6773" t="str">
            <v>D25018433</v>
          </cell>
          <cell r="AP6773">
            <v>0</v>
          </cell>
          <cell r="AQ6773">
            <v>0</v>
          </cell>
          <cell r="AV6773">
            <v>100000000</v>
          </cell>
        </row>
        <row r="6774">
          <cell r="E6774" t="str">
            <v>T25001825</v>
          </cell>
          <cell r="AP6774">
            <v>0</v>
          </cell>
          <cell r="AQ6774">
            <v>0</v>
          </cell>
          <cell r="AV6774">
            <v>0</v>
          </cell>
        </row>
        <row r="6775">
          <cell r="E6775" t="str">
            <v>T25001840</v>
          </cell>
          <cell r="AP6775">
            <v>0</v>
          </cell>
          <cell r="AQ6775">
            <v>0</v>
          </cell>
          <cell r="AV6775">
            <v>0</v>
          </cell>
        </row>
        <row r="6776">
          <cell r="E6776" t="str">
            <v>B25016195</v>
          </cell>
          <cell r="AP6776">
            <v>0</v>
          </cell>
          <cell r="AQ6776">
            <v>0</v>
          </cell>
          <cell r="AV6776">
            <v>0</v>
          </cell>
        </row>
        <row r="6777">
          <cell r="E6777" t="str">
            <v>D25018882</v>
          </cell>
          <cell r="AP6777">
            <v>0</v>
          </cell>
          <cell r="AQ6777">
            <v>0</v>
          </cell>
          <cell r="AV6777">
            <v>0</v>
          </cell>
        </row>
        <row r="6778">
          <cell r="E6778" t="str">
            <v>D25019123</v>
          </cell>
          <cell r="AP6778">
            <v>0</v>
          </cell>
          <cell r="AQ6778">
            <v>0</v>
          </cell>
          <cell r="AV6778">
            <v>0</v>
          </cell>
        </row>
        <row r="6779">
          <cell r="E6779" t="str">
            <v>D26000372</v>
          </cell>
          <cell r="AP6779">
            <v>0</v>
          </cell>
          <cell r="AQ6779">
            <v>0</v>
          </cell>
          <cell r="AV6779">
            <v>0</v>
          </cell>
        </row>
        <row r="6780">
          <cell r="E6780" t="str">
            <v>D26000562</v>
          </cell>
          <cell r="AP6780">
            <v>0</v>
          </cell>
          <cell r="AQ6780">
            <v>0</v>
          </cell>
          <cell r="AV6780">
            <v>0</v>
          </cell>
        </row>
        <row r="6781">
          <cell r="E6781" t="str">
            <v>D26000795</v>
          </cell>
          <cell r="AP6781">
            <v>0</v>
          </cell>
          <cell r="AQ6781">
            <v>0</v>
          </cell>
          <cell r="AV6781">
            <v>0</v>
          </cell>
        </row>
        <row r="6782">
          <cell r="E6782" t="str">
            <v>D26001163</v>
          </cell>
          <cell r="AP6782">
            <v>0</v>
          </cell>
          <cell r="AQ6782">
            <v>0</v>
          </cell>
          <cell r="AV6782">
            <v>0</v>
          </cell>
        </row>
        <row r="6783">
          <cell r="E6783" t="str">
            <v>D26001164</v>
          </cell>
          <cell r="AP6783">
            <v>0</v>
          </cell>
          <cell r="AQ6783">
            <v>0</v>
          </cell>
          <cell r="AV6783">
            <v>0</v>
          </cell>
        </row>
        <row r="6784">
          <cell r="E6784" t="str">
            <v>D26001731</v>
          </cell>
          <cell r="AP6784">
            <v>0</v>
          </cell>
          <cell r="AQ6784">
            <v>0</v>
          </cell>
          <cell r="AV6784">
            <v>0</v>
          </cell>
        </row>
        <row r="6785">
          <cell r="E6785" t="str">
            <v>D26001755</v>
          </cell>
          <cell r="AP6785">
            <v>0</v>
          </cell>
          <cell r="AQ6785">
            <v>0</v>
          </cell>
          <cell r="AV6785">
            <v>0</v>
          </cell>
        </row>
        <row r="6786">
          <cell r="E6786" t="str">
            <v>B26001805</v>
          </cell>
          <cell r="AP6786">
            <v>0</v>
          </cell>
          <cell r="AQ6786">
            <v>0</v>
          </cell>
          <cell r="AV6786">
            <v>0</v>
          </cell>
        </row>
        <row r="6787">
          <cell r="E6787" t="str">
            <v>D26002032</v>
          </cell>
          <cell r="AP6787">
            <v>0</v>
          </cell>
          <cell r="AQ6787">
            <v>0</v>
          </cell>
          <cell r="AV6787">
            <v>0</v>
          </cell>
        </row>
        <row r="6788">
          <cell r="E6788" t="str">
            <v>D26002266</v>
          </cell>
          <cell r="AP6788">
            <v>0</v>
          </cell>
          <cell r="AQ6788">
            <v>0</v>
          </cell>
          <cell r="AV6788">
            <v>0</v>
          </cell>
        </row>
        <row r="6789">
          <cell r="E6789" t="str">
            <v>D26002328</v>
          </cell>
          <cell r="AP6789">
            <v>0</v>
          </cell>
          <cell r="AQ6789">
            <v>0</v>
          </cell>
          <cell r="AV6789">
            <v>0</v>
          </cell>
        </row>
        <row r="6790">
          <cell r="E6790" t="str">
            <v>D25016147</v>
          </cell>
          <cell r="AP6790">
            <v>0</v>
          </cell>
          <cell r="AQ6790">
            <v>0</v>
          </cell>
          <cell r="AV6790">
            <v>308125000</v>
          </cell>
        </row>
        <row r="6791">
          <cell r="E6791" t="str">
            <v>D25016147</v>
          </cell>
          <cell r="AP6791">
            <v>0</v>
          </cell>
          <cell r="AQ6791">
            <v>0</v>
          </cell>
          <cell r="AV6791">
            <v>200000000</v>
          </cell>
        </row>
        <row r="6792">
          <cell r="E6792" t="str">
            <v>D25018869</v>
          </cell>
          <cell r="AP6792">
            <v>0</v>
          </cell>
          <cell r="AQ6792">
            <v>0</v>
          </cell>
          <cell r="AV6792">
            <v>172500000</v>
          </cell>
        </row>
        <row r="6793">
          <cell r="E6793" t="str">
            <v>Z25003266</v>
          </cell>
          <cell r="AP6793">
            <v>0</v>
          </cell>
          <cell r="AQ6793">
            <v>0</v>
          </cell>
          <cell r="AV6793">
            <v>0</v>
          </cell>
        </row>
        <row r="6794">
          <cell r="E6794" t="str">
            <v>D26000365</v>
          </cell>
          <cell r="AP6794">
            <v>0</v>
          </cell>
          <cell r="AQ6794">
            <v>0</v>
          </cell>
          <cell r="AV6794">
            <v>0</v>
          </cell>
        </row>
        <row r="6795">
          <cell r="E6795" t="str">
            <v>Z26000203</v>
          </cell>
          <cell r="AP6795">
            <v>0</v>
          </cell>
          <cell r="AQ6795">
            <v>0</v>
          </cell>
          <cell r="AV6795">
            <v>0</v>
          </cell>
        </row>
        <row r="6796">
          <cell r="E6796" t="str">
            <v>Z26000312</v>
          </cell>
          <cell r="AP6796">
            <v>0</v>
          </cell>
          <cell r="AQ6796">
            <v>0</v>
          </cell>
          <cell r="AV6796">
            <v>0</v>
          </cell>
        </row>
        <row r="6797">
          <cell r="E6797" t="str">
            <v>D26001870</v>
          </cell>
          <cell r="AP6797">
            <v>0</v>
          </cell>
          <cell r="AQ6797">
            <v>0</v>
          </cell>
          <cell r="AV6797">
            <v>0</v>
          </cell>
        </row>
        <row r="6798">
          <cell r="E6798" t="str">
            <v>Z26000338</v>
          </cell>
          <cell r="AP6798">
            <v>0</v>
          </cell>
          <cell r="AQ6798">
            <v>0</v>
          </cell>
          <cell r="AV6798">
            <v>0</v>
          </cell>
        </row>
        <row r="6799">
          <cell r="E6799" t="str">
            <v>Z26000357</v>
          </cell>
          <cell r="AP6799">
            <v>0</v>
          </cell>
          <cell r="AQ6799">
            <v>0</v>
          </cell>
          <cell r="AV6799">
            <v>0</v>
          </cell>
        </row>
        <row r="6800">
          <cell r="E6800" t="str">
            <v>D26002245</v>
          </cell>
          <cell r="AP6800">
            <v>0</v>
          </cell>
          <cell r="AQ6800">
            <v>0</v>
          </cell>
          <cell r="AV6800">
            <v>0</v>
          </cell>
        </row>
        <row r="6801">
          <cell r="E6801" t="str">
            <v>D25016427</v>
          </cell>
          <cell r="AP6801">
            <v>0</v>
          </cell>
          <cell r="AQ6801">
            <v>0</v>
          </cell>
          <cell r="AV6801">
            <v>0</v>
          </cell>
        </row>
        <row r="6802">
          <cell r="E6802" t="str">
            <v>D25016464</v>
          </cell>
          <cell r="AP6802">
            <v>0</v>
          </cell>
          <cell r="AQ6802">
            <v>0</v>
          </cell>
          <cell r="AV6802">
            <v>0</v>
          </cell>
        </row>
        <row r="6803">
          <cell r="E6803" t="str">
            <v>D25016539</v>
          </cell>
          <cell r="AP6803">
            <v>0</v>
          </cell>
          <cell r="AQ6803">
            <v>0</v>
          </cell>
          <cell r="AV6803">
            <v>0</v>
          </cell>
        </row>
        <row r="6804">
          <cell r="E6804" t="str">
            <v>D25016812</v>
          </cell>
          <cell r="AP6804">
            <v>0</v>
          </cell>
          <cell r="AQ6804">
            <v>0</v>
          </cell>
          <cell r="AV6804">
            <v>0</v>
          </cell>
        </row>
        <row r="6805">
          <cell r="E6805" t="str">
            <v>D25017107</v>
          </cell>
          <cell r="AP6805">
            <v>0</v>
          </cell>
          <cell r="AQ6805">
            <v>0</v>
          </cell>
          <cell r="AV6805">
            <v>0</v>
          </cell>
        </row>
        <row r="6806">
          <cell r="E6806" t="str">
            <v>D25017315</v>
          </cell>
          <cell r="AP6806">
            <v>0</v>
          </cell>
          <cell r="AQ6806">
            <v>0</v>
          </cell>
          <cell r="AV6806">
            <v>0</v>
          </cell>
        </row>
        <row r="6807">
          <cell r="E6807" t="str">
            <v>D25017698</v>
          </cell>
          <cell r="AP6807">
            <v>0</v>
          </cell>
          <cell r="AQ6807">
            <v>0</v>
          </cell>
          <cell r="AV6807">
            <v>0</v>
          </cell>
        </row>
        <row r="6808">
          <cell r="E6808" t="str">
            <v>D25018251</v>
          </cell>
          <cell r="AP6808">
            <v>0</v>
          </cell>
          <cell r="AQ6808">
            <v>0</v>
          </cell>
          <cell r="AV6808">
            <v>0</v>
          </cell>
        </row>
        <row r="6809">
          <cell r="E6809" t="str">
            <v>D25018302</v>
          </cell>
          <cell r="AP6809">
            <v>0</v>
          </cell>
          <cell r="AQ6809">
            <v>0</v>
          </cell>
          <cell r="AV6809">
            <v>0</v>
          </cell>
        </row>
        <row r="6810">
          <cell r="E6810" t="str">
            <v>D25018453</v>
          </cell>
          <cell r="AP6810">
            <v>0</v>
          </cell>
          <cell r="AQ6810">
            <v>0</v>
          </cell>
          <cell r="AV6810">
            <v>0</v>
          </cell>
        </row>
        <row r="6811">
          <cell r="E6811" t="str">
            <v>D25018491</v>
          </cell>
          <cell r="AP6811">
            <v>0</v>
          </cell>
          <cell r="AQ6811">
            <v>0</v>
          </cell>
          <cell r="AV6811">
            <v>0</v>
          </cell>
        </row>
        <row r="6812">
          <cell r="E6812" t="str">
            <v>D25019005</v>
          </cell>
          <cell r="AP6812">
            <v>0</v>
          </cell>
          <cell r="AQ6812">
            <v>0</v>
          </cell>
          <cell r="AV6812">
            <v>0</v>
          </cell>
        </row>
        <row r="6813">
          <cell r="E6813" t="str">
            <v>D26000062</v>
          </cell>
          <cell r="AP6813">
            <v>0</v>
          </cell>
          <cell r="AQ6813">
            <v>0</v>
          </cell>
          <cell r="AV6813">
            <v>0</v>
          </cell>
        </row>
        <row r="6814">
          <cell r="E6814" t="str">
            <v>B26000565</v>
          </cell>
          <cell r="AP6814">
            <v>0</v>
          </cell>
          <cell r="AQ6814">
            <v>0</v>
          </cell>
          <cell r="AV6814">
            <v>0</v>
          </cell>
        </row>
        <row r="6815">
          <cell r="E6815" t="str">
            <v>D26000552</v>
          </cell>
          <cell r="AP6815">
            <v>0</v>
          </cell>
          <cell r="AQ6815">
            <v>0</v>
          </cell>
          <cell r="AV6815">
            <v>0</v>
          </cell>
        </row>
        <row r="6816">
          <cell r="E6816" t="str">
            <v>D26000595</v>
          </cell>
          <cell r="AP6816">
            <v>0</v>
          </cell>
          <cell r="AQ6816">
            <v>0</v>
          </cell>
          <cell r="AV6816">
            <v>0</v>
          </cell>
        </row>
        <row r="6817">
          <cell r="E6817" t="str">
            <v>D26000710</v>
          </cell>
          <cell r="AP6817">
            <v>0</v>
          </cell>
          <cell r="AQ6817">
            <v>0</v>
          </cell>
          <cell r="AV6817">
            <v>0</v>
          </cell>
        </row>
        <row r="6818">
          <cell r="E6818" t="str">
            <v>D26000721</v>
          </cell>
          <cell r="AP6818">
            <v>0</v>
          </cell>
          <cell r="AQ6818">
            <v>0</v>
          </cell>
          <cell r="AV6818">
            <v>0</v>
          </cell>
        </row>
        <row r="6819">
          <cell r="E6819" t="str">
            <v>D26000951</v>
          </cell>
          <cell r="AP6819">
            <v>0</v>
          </cell>
          <cell r="AQ6819">
            <v>0</v>
          </cell>
          <cell r="AV6819">
            <v>0</v>
          </cell>
        </row>
        <row r="6820">
          <cell r="E6820" t="str">
            <v>D26001083</v>
          </cell>
          <cell r="AP6820">
            <v>0</v>
          </cell>
          <cell r="AQ6820">
            <v>0</v>
          </cell>
          <cell r="AV6820">
            <v>0</v>
          </cell>
        </row>
        <row r="6821">
          <cell r="E6821" t="str">
            <v>D26001088</v>
          </cell>
          <cell r="AP6821">
            <v>0</v>
          </cell>
          <cell r="AQ6821">
            <v>0</v>
          </cell>
          <cell r="AV6821">
            <v>0</v>
          </cell>
        </row>
        <row r="6822">
          <cell r="E6822" t="str">
            <v>D26001122</v>
          </cell>
          <cell r="AP6822">
            <v>0</v>
          </cell>
          <cell r="AQ6822">
            <v>0</v>
          </cell>
          <cell r="AV6822">
            <v>0</v>
          </cell>
        </row>
        <row r="6823">
          <cell r="E6823" t="str">
            <v>D26001377</v>
          </cell>
          <cell r="AP6823">
            <v>0</v>
          </cell>
          <cell r="AQ6823">
            <v>0</v>
          </cell>
          <cell r="AV6823">
            <v>0</v>
          </cell>
        </row>
        <row r="6824">
          <cell r="E6824" t="str">
            <v>D26001477</v>
          </cell>
          <cell r="AP6824">
            <v>0</v>
          </cell>
          <cell r="AQ6824">
            <v>0</v>
          </cell>
          <cell r="AV6824">
            <v>0</v>
          </cell>
        </row>
        <row r="6825">
          <cell r="E6825" t="str">
            <v>D26001497</v>
          </cell>
          <cell r="AP6825">
            <v>0</v>
          </cell>
          <cell r="AQ6825">
            <v>0</v>
          </cell>
          <cell r="AV6825">
            <v>0</v>
          </cell>
        </row>
        <row r="6826">
          <cell r="E6826" t="str">
            <v>D26001499</v>
          </cell>
          <cell r="AP6826">
            <v>0</v>
          </cell>
          <cell r="AQ6826">
            <v>0</v>
          </cell>
          <cell r="AV6826">
            <v>0</v>
          </cell>
        </row>
        <row r="6827">
          <cell r="E6827" t="str">
            <v>D26001746</v>
          </cell>
          <cell r="AP6827">
            <v>0</v>
          </cell>
          <cell r="AQ6827">
            <v>0</v>
          </cell>
          <cell r="AV6827">
            <v>0</v>
          </cell>
        </row>
        <row r="6828">
          <cell r="E6828" t="str">
            <v>B26001715</v>
          </cell>
          <cell r="AP6828">
            <v>0</v>
          </cell>
          <cell r="AQ6828">
            <v>0</v>
          </cell>
          <cell r="AV6828">
            <v>0</v>
          </cell>
        </row>
        <row r="6829">
          <cell r="E6829" t="str">
            <v>D26001861</v>
          </cell>
          <cell r="AP6829">
            <v>0</v>
          </cell>
          <cell r="AQ6829">
            <v>0</v>
          </cell>
          <cell r="AV6829">
            <v>0</v>
          </cell>
        </row>
        <row r="6830">
          <cell r="E6830" t="str">
            <v>D26001877</v>
          </cell>
          <cell r="AP6830">
            <v>0</v>
          </cell>
          <cell r="AQ6830">
            <v>0</v>
          </cell>
          <cell r="AV6830">
            <v>0</v>
          </cell>
        </row>
        <row r="6831">
          <cell r="E6831" t="str">
            <v>B26001801</v>
          </cell>
          <cell r="AP6831">
            <v>0</v>
          </cell>
          <cell r="AQ6831">
            <v>0</v>
          </cell>
          <cell r="AV6831">
            <v>0</v>
          </cell>
        </row>
        <row r="6832">
          <cell r="E6832" t="str">
            <v>B26001900</v>
          </cell>
          <cell r="AP6832">
            <v>0</v>
          </cell>
          <cell r="AQ6832">
            <v>0</v>
          </cell>
          <cell r="AV6832">
            <v>0</v>
          </cell>
        </row>
        <row r="6833">
          <cell r="E6833" t="str">
            <v>D26002095</v>
          </cell>
          <cell r="AP6833">
            <v>0</v>
          </cell>
          <cell r="AQ6833">
            <v>0</v>
          </cell>
          <cell r="AV6833">
            <v>0</v>
          </cell>
        </row>
        <row r="6834">
          <cell r="E6834" t="str">
            <v>D26002324</v>
          </cell>
          <cell r="AP6834">
            <v>0</v>
          </cell>
          <cell r="AQ6834">
            <v>0</v>
          </cell>
          <cell r="AV6834">
            <v>0</v>
          </cell>
        </row>
        <row r="6835">
          <cell r="E6835" t="str">
            <v>B26002216</v>
          </cell>
          <cell r="AP6835">
            <v>0</v>
          </cell>
          <cell r="AQ6835">
            <v>0</v>
          </cell>
          <cell r="AV6835">
            <v>0</v>
          </cell>
        </row>
        <row r="6836">
          <cell r="E6836" t="str">
            <v>B26002159</v>
          </cell>
          <cell r="AP6836">
            <v>0</v>
          </cell>
          <cell r="AQ6836">
            <v>0</v>
          </cell>
          <cell r="AV6836">
            <v>1075000</v>
          </cell>
        </row>
        <row r="6837">
          <cell r="E6837" t="str">
            <v>B26001760</v>
          </cell>
          <cell r="AP6837">
            <v>0</v>
          </cell>
          <cell r="AQ6837">
            <v>0</v>
          </cell>
          <cell r="AV6837">
            <v>27250000</v>
          </cell>
        </row>
        <row r="6838">
          <cell r="E6838" t="str">
            <v>B26001760</v>
          </cell>
          <cell r="AP6838">
            <v>250000</v>
          </cell>
          <cell r="AQ6838">
            <v>0</v>
          </cell>
          <cell r="AV6838">
            <v>0</v>
          </cell>
        </row>
        <row r="6839">
          <cell r="E6839" t="str">
            <v>D26002010</v>
          </cell>
          <cell r="AP6839">
            <v>0</v>
          </cell>
          <cell r="AQ6839">
            <v>0</v>
          </cell>
          <cell r="AV6839">
            <v>0</v>
          </cell>
        </row>
        <row r="6840">
          <cell r="E6840" t="str">
            <v>D26002173</v>
          </cell>
          <cell r="AP6840">
            <v>0</v>
          </cell>
          <cell r="AQ6840">
            <v>0</v>
          </cell>
          <cell r="AV6840">
            <v>4682500</v>
          </cell>
        </row>
        <row r="6841">
          <cell r="E6841" t="str">
            <v>D26002174</v>
          </cell>
          <cell r="AP6841">
            <v>0</v>
          </cell>
          <cell r="AQ6841">
            <v>0</v>
          </cell>
          <cell r="AV6841">
            <v>1950000</v>
          </cell>
        </row>
        <row r="6842">
          <cell r="E6842" t="str">
            <v>N26000020</v>
          </cell>
          <cell r="AP6842">
            <v>0</v>
          </cell>
          <cell r="AQ6842">
            <v>0</v>
          </cell>
          <cell r="AV6842">
            <v>0</v>
          </cell>
        </row>
        <row r="6843">
          <cell r="E6843" t="str">
            <v>B26000219</v>
          </cell>
          <cell r="AP6843">
            <v>0</v>
          </cell>
          <cell r="AQ6843">
            <v>0</v>
          </cell>
          <cell r="AV6843">
            <v>6800000</v>
          </cell>
        </row>
        <row r="6844">
          <cell r="E6844" t="str">
            <v>B26000485</v>
          </cell>
          <cell r="AP6844">
            <v>0</v>
          </cell>
          <cell r="AQ6844">
            <v>0</v>
          </cell>
          <cell r="AV6844">
            <v>0</v>
          </cell>
        </row>
        <row r="6845">
          <cell r="E6845" t="str">
            <v>B26000584</v>
          </cell>
          <cell r="AP6845">
            <v>0</v>
          </cell>
          <cell r="AQ6845">
            <v>0</v>
          </cell>
          <cell r="AV6845">
            <v>0</v>
          </cell>
        </row>
        <row r="6846">
          <cell r="E6846" t="str">
            <v>D26000684</v>
          </cell>
          <cell r="AP6846">
            <v>0</v>
          </cell>
          <cell r="AQ6846">
            <v>0</v>
          </cell>
          <cell r="AV6846">
            <v>0</v>
          </cell>
        </row>
        <row r="6847">
          <cell r="E6847" t="str">
            <v>D26000804</v>
          </cell>
          <cell r="AP6847">
            <v>0</v>
          </cell>
          <cell r="AQ6847">
            <v>0</v>
          </cell>
          <cell r="AV6847">
            <v>0</v>
          </cell>
        </row>
        <row r="6848">
          <cell r="E6848" t="str">
            <v>B26000976</v>
          </cell>
          <cell r="AP6848">
            <v>0</v>
          </cell>
          <cell r="AQ6848">
            <v>0</v>
          </cell>
          <cell r="AV6848">
            <v>0</v>
          </cell>
        </row>
        <row r="6849">
          <cell r="E6849" t="str">
            <v>D26001640</v>
          </cell>
          <cell r="AP6849">
            <v>0</v>
          </cell>
          <cell r="AQ6849">
            <v>0</v>
          </cell>
          <cell r="AV6849">
            <v>0</v>
          </cell>
        </row>
        <row r="6850">
          <cell r="E6850" t="str">
            <v>B26001677</v>
          </cell>
          <cell r="AP6850">
            <v>0</v>
          </cell>
          <cell r="AQ6850">
            <v>0</v>
          </cell>
          <cell r="AV6850">
            <v>0</v>
          </cell>
        </row>
        <row r="6851">
          <cell r="E6851" t="str">
            <v>B26000814</v>
          </cell>
          <cell r="AP6851">
            <v>0</v>
          </cell>
          <cell r="AQ6851">
            <v>0</v>
          </cell>
          <cell r="AV6851">
            <v>0</v>
          </cell>
        </row>
        <row r="6852">
          <cell r="E6852" t="str">
            <v>D26001220</v>
          </cell>
          <cell r="AP6852">
            <v>0</v>
          </cell>
          <cell r="AQ6852">
            <v>0</v>
          </cell>
          <cell r="AV6852">
            <v>0</v>
          </cell>
        </row>
        <row r="6853">
          <cell r="E6853" t="str">
            <v>D26001575</v>
          </cell>
          <cell r="AP6853">
            <v>0</v>
          </cell>
          <cell r="AQ6853">
            <v>0</v>
          </cell>
          <cell r="AV6853">
            <v>0</v>
          </cell>
        </row>
        <row r="6854">
          <cell r="E6854" t="str">
            <v>B26001946</v>
          </cell>
          <cell r="AP6854">
            <v>0</v>
          </cell>
          <cell r="AQ6854">
            <v>0</v>
          </cell>
          <cell r="AV6854">
            <v>0</v>
          </cell>
        </row>
        <row r="6855">
          <cell r="E6855" t="str">
            <v>B26002070</v>
          </cell>
          <cell r="AP6855">
            <v>0</v>
          </cell>
          <cell r="AQ6855">
            <v>0</v>
          </cell>
          <cell r="AV6855">
            <v>0</v>
          </cell>
        </row>
        <row r="6856">
          <cell r="E6856" t="str">
            <v>D26002200</v>
          </cell>
          <cell r="AP6856">
            <v>0</v>
          </cell>
          <cell r="AQ6856">
            <v>0</v>
          </cell>
          <cell r="AV6856">
            <v>0</v>
          </cell>
        </row>
        <row r="6857">
          <cell r="E6857" t="str">
            <v>B26001792</v>
          </cell>
          <cell r="AP6857">
            <v>0</v>
          </cell>
          <cell r="AQ6857">
            <v>0</v>
          </cell>
          <cell r="AV6857">
            <v>600000</v>
          </cell>
        </row>
        <row r="6858">
          <cell r="E6858" t="str">
            <v>D26001911</v>
          </cell>
          <cell r="AP6858">
            <v>0</v>
          </cell>
          <cell r="AQ6858">
            <v>0</v>
          </cell>
          <cell r="AV6858">
            <v>1275000</v>
          </cell>
        </row>
        <row r="6859">
          <cell r="E6859" t="str">
            <v>B25015974</v>
          </cell>
          <cell r="AP6859">
            <v>0</v>
          </cell>
          <cell r="AQ6859">
            <v>0</v>
          </cell>
          <cell r="AV6859">
            <v>95500000</v>
          </cell>
        </row>
        <row r="6860">
          <cell r="E6860" t="str">
            <v>D26000725</v>
          </cell>
          <cell r="AP6860">
            <v>0</v>
          </cell>
          <cell r="AQ6860">
            <v>0</v>
          </cell>
          <cell r="AV6860">
            <v>0</v>
          </cell>
        </row>
        <row r="6861">
          <cell r="E6861" t="str">
            <v>D26001408</v>
          </cell>
          <cell r="AP6861">
            <v>0</v>
          </cell>
          <cell r="AQ6861">
            <v>0</v>
          </cell>
          <cell r="AV6861">
            <v>0</v>
          </cell>
        </row>
        <row r="6862">
          <cell r="E6862" t="str">
            <v>D26001653</v>
          </cell>
          <cell r="AP6862">
            <v>0</v>
          </cell>
          <cell r="AQ6862">
            <v>0</v>
          </cell>
          <cell r="AV6862">
            <v>0</v>
          </cell>
        </row>
        <row r="6863">
          <cell r="E6863" t="str">
            <v>B26001772</v>
          </cell>
          <cell r="AP6863">
            <v>0</v>
          </cell>
          <cell r="AQ6863">
            <v>0</v>
          </cell>
          <cell r="AV6863">
            <v>0</v>
          </cell>
        </row>
        <row r="6864">
          <cell r="E6864" t="str">
            <v>B26001806</v>
          </cell>
          <cell r="AP6864">
            <v>0</v>
          </cell>
          <cell r="AQ6864">
            <v>0</v>
          </cell>
          <cell r="AV6864">
            <v>31200000</v>
          </cell>
        </row>
        <row r="6865">
          <cell r="E6865" t="str">
            <v>N26000017</v>
          </cell>
          <cell r="AP6865">
            <v>0</v>
          </cell>
          <cell r="AQ6865">
            <v>0</v>
          </cell>
          <cell r="AV6865">
            <v>0</v>
          </cell>
        </row>
        <row r="6866">
          <cell r="E6866" t="str">
            <v>D26001652</v>
          </cell>
          <cell r="AP6866">
            <v>0</v>
          </cell>
          <cell r="AQ6866">
            <v>0</v>
          </cell>
          <cell r="AV6866">
            <v>660000</v>
          </cell>
        </row>
        <row r="6867">
          <cell r="E6867" t="str">
            <v>B26001627</v>
          </cell>
          <cell r="AP6867">
            <v>0</v>
          </cell>
          <cell r="AQ6867">
            <v>0</v>
          </cell>
          <cell r="AV6867">
            <v>8910000</v>
          </cell>
        </row>
        <row r="6868">
          <cell r="E6868" t="str">
            <v>B26000016</v>
          </cell>
          <cell r="AP6868">
            <v>0</v>
          </cell>
          <cell r="AQ6868">
            <v>0</v>
          </cell>
          <cell r="AV6868">
            <v>0</v>
          </cell>
        </row>
        <row r="6869">
          <cell r="E6869" t="str">
            <v>B25016667</v>
          </cell>
          <cell r="AP6869">
            <v>0</v>
          </cell>
          <cell r="AQ6869">
            <v>0</v>
          </cell>
          <cell r="AV6869">
            <v>7560000</v>
          </cell>
        </row>
        <row r="6870">
          <cell r="E6870" t="str">
            <v>D26002099</v>
          </cell>
          <cell r="AP6870">
            <v>0</v>
          </cell>
          <cell r="AQ6870">
            <v>0</v>
          </cell>
          <cell r="AV6870">
            <v>165500</v>
          </cell>
        </row>
        <row r="6871">
          <cell r="E6871" t="str">
            <v>D25017411</v>
          </cell>
          <cell r="AP6871">
            <v>0</v>
          </cell>
          <cell r="AQ6871">
            <v>0</v>
          </cell>
          <cell r="AV6871">
            <v>345000</v>
          </cell>
        </row>
        <row r="6872">
          <cell r="E6872" t="str">
            <v>D25017419</v>
          </cell>
          <cell r="AP6872">
            <v>0</v>
          </cell>
          <cell r="AQ6872">
            <v>0</v>
          </cell>
          <cell r="AV6872">
            <v>3330000</v>
          </cell>
        </row>
        <row r="6873">
          <cell r="E6873" t="str">
            <v>D25017766</v>
          </cell>
          <cell r="AP6873">
            <v>0</v>
          </cell>
          <cell r="AQ6873">
            <v>0</v>
          </cell>
          <cell r="AV6873">
            <v>300000</v>
          </cell>
        </row>
        <row r="6874">
          <cell r="E6874" t="str">
            <v>D25017998</v>
          </cell>
          <cell r="AP6874">
            <v>0</v>
          </cell>
          <cell r="AQ6874">
            <v>0</v>
          </cell>
          <cell r="AV6874">
            <v>1415000</v>
          </cell>
        </row>
        <row r="6875">
          <cell r="E6875" t="str">
            <v>D25018321</v>
          </cell>
          <cell r="AP6875">
            <v>0</v>
          </cell>
          <cell r="AQ6875">
            <v>0</v>
          </cell>
          <cell r="AV6875">
            <v>3237500</v>
          </cell>
        </row>
        <row r="6876">
          <cell r="E6876" t="str">
            <v>D25018366</v>
          </cell>
          <cell r="AP6876">
            <v>0</v>
          </cell>
          <cell r="AQ6876">
            <v>0</v>
          </cell>
          <cell r="AV6876">
            <v>3618000</v>
          </cell>
        </row>
        <row r="6877">
          <cell r="E6877" t="str">
            <v>T25001824</v>
          </cell>
          <cell r="AP6877">
            <v>0</v>
          </cell>
          <cell r="AQ6877">
            <v>0</v>
          </cell>
          <cell r="AV6877">
            <v>2250000</v>
          </cell>
        </row>
        <row r="6878">
          <cell r="E6878" t="str">
            <v>B25016167</v>
          </cell>
          <cell r="AP6878">
            <v>0</v>
          </cell>
          <cell r="AQ6878">
            <v>0</v>
          </cell>
          <cell r="AV6878">
            <v>3072500</v>
          </cell>
        </row>
        <row r="6879">
          <cell r="E6879" t="str">
            <v>B25016275</v>
          </cell>
          <cell r="AP6879">
            <v>0</v>
          </cell>
          <cell r="AQ6879">
            <v>0</v>
          </cell>
          <cell r="AV6879">
            <v>1492000</v>
          </cell>
        </row>
        <row r="6880">
          <cell r="E6880" t="str">
            <v>B25016275</v>
          </cell>
          <cell r="AP6880">
            <v>0</v>
          </cell>
          <cell r="AQ6880">
            <v>0</v>
          </cell>
          <cell r="AV6880">
            <v>4538000</v>
          </cell>
        </row>
        <row r="6881">
          <cell r="E6881" t="str">
            <v>B25016313</v>
          </cell>
          <cell r="AP6881">
            <v>0</v>
          </cell>
          <cell r="AQ6881">
            <v>0</v>
          </cell>
          <cell r="AV6881">
            <v>3400000</v>
          </cell>
        </row>
        <row r="6882">
          <cell r="E6882" t="str">
            <v>B25016456</v>
          </cell>
          <cell r="AP6882">
            <v>0</v>
          </cell>
          <cell r="AQ6882">
            <v>0</v>
          </cell>
          <cell r="AV6882">
            <v>3366000</v>
          </cell>
        </row>
        <row r="6883">
          <cell r="E6883" t="str">
            <v>B25016558</v>
          </cell>
          <cell r="AP6883">
            <v>0</v>
          </cell>
          <cell r="AQ6883">
            <v>0</v>
          </cell>
          <cell r="AV6883">
            <v>10000000</v>
          </cell>
        </row>
        <row r="6884">
          <cell r="E6884" t="str">
            <v>B25016558</v>
          </cell>
          <cell r="AP6884">
            <v>0</v>
          </cell>
          <cell r="AQ6884">
            <v>0</v>
          </cell>
          <cell r="AV6884">
            <v>2240000</v>
          </cell>
        </row>
        <row r="6885">
          <cell r="E6885" t="str">
            <v>B25016603</v>
          </cell>
          <cell r="AP6885">
            <v>0</v>
          </cell>
          <cell r="AQ6885">
            <v>0</v>
          </cell>
          <cell r="AV6885">
            <v>0</v>
          </cell>
        </row>
        <row r="6886">
          <cell r="E6886" t="str">
            <v>B25016604</v>
          </cell>
          <cell r="AP6886">
            <v>0</v>
          </cell>
          <cell r="AQ6886">
            <v>0</v>
          </cell>
          <cell r="AV6886">
            <v>292000</v>
          </cell>
        </row>
        <row r="6887">
          <cell r="E6887" t="str">
            <v>D25019192</v>
          </cell>
          <cell r="AP6887">
            <v>0</v>
          </cell>
          <cell r="AQ6887">
            <v>0</v>
          </cell>
          <cell r="AV6887">
            <v>8160000</v>
          </cell>
        </row>
        <row r="6888">
          <cell r="E6888" t="str">
            <v>B25016783</v>
          </cell>
          <cell r="AP6888">
            <v>0</v>
          </cell>
          <cell r="AQ6888">
            <v>0</v>
          </cell>
          <cell r="AV6888">
            <v>0</v>
          </cell>
        </row>
        <row r="6889">
          <cell r="E6889" t="str">
            <v>D25019403</v>
          </cell>
          <cell r="AP6889">
            <v>0</v>
          </cell>
          <cell r="AQ6889">
            <v>0</v>
          </cell>
          <cell r="AV6889">
            <v>0</v>
          </cell>
        </row>
        <row r="6890">
          <cell r="E6890" t="str">
            <v>D25019424</v>
          </cell>
          <cell r="AP6890">
            <v>0</v>
          </cell>
          <cell r="AQ6890">
            <v>0</v>
          </cell>
          <cell r="AV6890">
            <v>1960000</v>
          </cell>
        </row>
        <row r="6891">
          <cell r="E6891" t="str">
            <v>B25016960</v>
          </cell>
          <cell r="AP6891">
            <v>0</v>
          </cell>
          <cell r="AQ6891">
            <v>0</v>
          </cell>
          <cell r="AV6891">
            <v>0</v>
          </cell>
        </row>
        <row r="6892">
          <cell r="E6892" t="str">
            <v>D26000276</v>
          </cell>
          <cell r="AP6892">
            <v>0</v>
          </cell>
          <cell r="AQ6892">
            <v>0</v>
          </cell>
          <cell r="AV6892">
            <v>0</v>
          </cell>
        </row>
        <row r="6893">
          <cell r="E6893" t="str">
            <v>D26000277</v>
          </cell>
          <cell r="AP6893">
            <v>0</v>
          </cell>
          <cell r="AQ6893">
            <v>0</v>
          </cell>
          <cell r="AV6893">
            <v>3720000</v>
          </cell>
        </row>
        <row r="6894">
          <cell r="E6894" t="str">
            <v>B26000405</v>
          </cell>
          <cell r="AP6894">
            <v>0</v>
          </cell>
          <cell r="AQ6894">
            <v>0</v>
          </cell>
          <cell r="AV6894">
            <v>2976000</v>
          </cell>
        </row>
        <row r="6895">
          <cell r="E6895" t="str">
            <v>D26001002</v>
          </cell>
          <cell r="AP6895">
            <v>0</v>
          </cell>
          <cell r="AQ6895">
            <v>0</v>
          </cell>
          <cell r="AV6895">
            <v>0</v>
          </cell>
        </row>
        <row r="6896">
          <cell r="E6896" t="str">
            <v>D26001158</v>
          </cell>
          <cell r="AP6896">
            <v>0</v>
          </cell>
          <cell r="AQ6896">
            <v>0</v>
          </cell>
          <cell r="AV6896">
            <v>0</v>
          </cell>
        </row>
        <row r="6897">
          <cell r="E6897" t="str">
            <v>D26001159</v>
          </cell>
          <cell r="AP6897">
            <v>0</v>
          </cell>
          <cell r="AQ6897">
            <v>0</v>
          </cell>
          <cell r="AV6897">
            <v>0</v>
          </cell>
        </row>
        <row r="6898">
          <cell r="E6898" t="str">
            <v>D26001418</v>
          </cell>
          <cell r="AP6898">
            <v>0</v>
          </cell>
          <cell r="AQ6898">
            <v>0</v>
          </cell>
          <cell r="AV6898">
            <v>0</v>
          </cell>
        </row>
        <row r="6899">
          <cell r="E6899" t="str">
            <v>B26001370</v>
          </cell>
          <cell r="AP6899">
            <v>0</v>
          </cell>
          <cell r="AQ6899">
            <v>0</v>
          </cell>
          <cell r="AV6899">
            <v>0</v>
          </cell>
        </row>
        <row r="6900">
          <cell r="E6900" t="str">
            <v>D26001439</v>
          </cell>
          <cell r="AP6900">
            <v>0</v>
          </cell>
          <cell r="AQ6900">
            <v>0</v>
          </cell>
          <cell r="AV6900">
            <v>0</v>
          </cell>
        </row>
        <row r="6901">
          <cell r="E6901" t="str">
            <v>B26001690</v>
          </cell>
          <cell r="AP6901">
            <v>0</v>
          </cell>
          <cell r="AQ6901">
            <v>0</v>
          </cell>
          <cell r="AV6901">
            <v>0</v>
          </cell>
        </row>
        <row r="6902">
          <cell r="E6902" t="str">
            <v>D26001776</v>
          </cell>
          <cell r="AP6902">
            <v>0</v>
          </cell>
          <cell r="AQ6902">
            <v>0</v>
          </cell>
          <cell r="AV6902">
            <v>0</v>
          </cell>
        </row>
        <row r="6903">
          <cell r="E6903" t="str">
            <v>B26001814</v>
          </cell>
          <cell r="AP6903">
            <v>0</v>
          </cell>
          <cell r="AQ6903">
            <v>0</v>
          </cell>
          <cell r="AV6903">
            <v>0</v>
          </cell>
        </row>
        <row r="6904">
          <cell r="E6904" t="str">
            <v>D26001916</v>
          </cell>
          <cell r="AP6904">
            <v>0</v>
          </cell>
          <cell r="AQ6904">
            <v>0</v>
          </cell>
          <cell r="AV6904">
            <v>0</v>
          </cell>
        </row>
        <row r="6905">
          <cell r="E6905" t="str">
            <v>B26002064</v>
          </cell>
          <cell r="AP6905">
            <v>0</v>
          </cell>
          <cell r="AQ6905">
            <v>0</v>
          </cell>
          <cell r="AV6905">
            <v>0</v>
          </cell>
        </row>
        <row r="6906">
          <cell r="E6906" t="str">
            <v>T26000153</v>
          </cell>
          <cell r="AP6906">
            <v>0</v>
          </cell>
          <cell r="AQ6906">
            <v>0</v>
          </cell>
          <cell r="AV6906">
            <v>0</v>
          </cell>
        </row>
        <row r="6907">
          <cell r="E6907" t="str">
            <v>B26002242</v>
          </cell>
          <cell r="AP6907">
            <v>0</v>
          </cell>
          <cell r="AQ6907">
            <v>0</v>
          </cell>
          <cell r="AV6907">
            <v>0</v>
          </cell>
        </row>
        <row r="6908">
          <cell r="E6908" t="str">
            <v>B26002243</v>
          </cell>
          <cell r="AP6908">
            <v>0</v>
          </cell>
          <cell r="AQ6908">
            <v>0</v>
          </cell>
          <cell r="AV6908">
            <v>0</v>
          </cell>
        </row>
        <row r="6909">
          <cell r="E6909" t="str">
            <v>B25013621</v>
          </cell>
          <cell r="AP6909">
            <v>0</v>
          </cell>
          <cell r="AQ6909">
            <v>0</v>
          </cell>
          <cell r="AV6909">
            <v>19400000</v>
          </cell>
        </row>
        <row r="6910">
          <cell r="E6910" t="str">
            <v>D25017834</v>
          </cell>
          <cell r="AP6910">
            <v>0</v>
          </cell>
          <cell r="AQ6910">
            <v>0</v>
          </cell>
          <cell r="AV6910">
            <v>600000</v>
          </cell>
        </row>
        <row r="6911">
          <cell r="E6911" t="str">
            <v>D25017834</v>
          </cell>
          <cell r="AP6911">
            <v>0</v>
          </cell>
          <cell r="AQ6911">
            <v>0</v>
          </cell>
          <cell r="AV6911">
            <v>20000000</v>
          </cell>
        </row>
        <row r="6912">
          <cell r="E6912" t="str">
            <v>D26001853</v>
          </cell>
          <cell r="AP6912">
            <v>0</v>
          </cell>
          <cell r="AQ6912">
            <v>0</v>
          </cell>
          <cell r="AV6912">
            <v>7360000</v>
          </cell>
        </row>
        <row r="6913">
          <cell r="E6913" t="str">
            <v>D26000505</v>
          </cell>
          <cell r="AP6913">
            <v>0</v>
          </cell>
          <cell r="AQ6913">
            <v>0</v>
          </cell>
          <cell r="AV6913">
            <v>33387500</v>
          </cell>
        </row>
        <row r="6914">
          <cell r="E6914" t="str">
            <v>D26001027</v>
          </cell>
          <cell r="AP6914">
            <v>0</v>
          </cell>
          <cell r="AQ6914">
            <v>0</v>
          </cell>
          <cell r="AV6914">
            <v>0</v>
          </cell>
        </row>
        <row r="6915">
          <cell r="E6915" t="str">
            <v>B26002188</v>
          </cell>
          <cell r="AP6915">
            <v>0</v>
          </cell>
          <cell r="AQ6915">
            <v>0</v>
          </cell>
          <cell r="AV6915">
            <v>0</v>
          </cell>
        </row>
        <row r="6916">
          <cell r="E6916" t="str">
            <v>R25000105</v>
          </cell>
          <cell r="AP6916">
            <v>0</v>
          </cell>
          <cell r="AQ6916">
            <v>0</v>
          </cell>
          <cell r="AV6916">
            <v>0</v>
          </cell>
        </row>
        <row r="6917">
          <cell r="E6917" t="str">
            <v>B26000187</v>
          </cell>
          <cell r="AP6917">
            <v>0</v>
          </cell>
          <cell r="AQ6917">
            <v>0</v>
          </cell>
          <cell r="AV6917">
            <v>3672000</v>
          </cell>
        </row>
        <row r="6918">
          <cell r="E6918" t="str">
            <v>B26000188</v>
          </cell>
          <cell r="AP6918">
            <v>0</v>
          </cell>
          <cell r="AQ6918">
            <v>0</v>
          </cell>
          <cell r="AV6918">
            <v>29805000</v>
          </cell>
        </row>
        <row r="6919">
          <cell r="E6919" t="str">
            <v>B26001397</v>
          </cell>
          <cell r="AP6919">
            <v>0</v>
          </cell>
          <cell r="AQ6919">
            <v>0</v>
          </cell>
          <cell r="AV6919">
            <v>0</v>
          </cell>
        </row>
        <row r="6920">
          <cell r="E6920" t="str">
            <v>B26001398</v>
          </cell>
          <cell r="AP6920">
            <v>0</v>
          </cell>
          <cell r="AQ6920">
            <v>0</v>
          </cell>
          <cell r="AV6920">
            <v>0</v>
          </cell>
        </row>
        <row r="6921">
          <cell r="E6921" t="str">
            <v>D26002134</v>
          </cell>
          <cell r="AP6921">
            <v>0</v>
          </cell>
          <cell r="AQ6921">
            <v>0</v>
          </cell>
          <cell r="AV6921">
            <v>0</v>
          </cell>
        </row>
        <row r="6922">
          <cell r="E6922" t="str">
            <v>D26002232</v>
          </cell>
          <cell r="AP6922">
            <v>0</v>
          </cell>
          <cell r="AQ6922">
            <v>0</v>
          </cell>
          <cell r="AV6922">
            <v>0</v>
          </cell>
        </row>
        <row r="6923">
          <cell r="E6923" t="str">
            <v>D26002234</v>
          </cell>
          <cell r="AP6923">
            <v>0</v>
          </cell>
          <cell r="AQ6923">
            <v>0</v>
          </cell>
          <cell r="AV6923">
            <v>0</v>
          </cell>
        </row>
        <row r="6924">
          <cell r="E6924" t="str">
            <v>D26002006</v>
          </cell>
          <cell r="AP6924">
            <v>0</v>
          </cell>
          <cell r="AQ6924">
            <v>0</v>
          </cell>
          <cell r="AV6924">
            <v>0</v>
          </cell>
        </row>
        <row r="6925">
          <cell r="E6925" t="str">
            <v>D26002004</v>
          </cell>
          <cell r="AP6925">
            <v>0</v>
          </cell>
          <cell r="AQ6925">
            <v>0</v>
          </cell>
          <cell r="AV6925">
            <v>0</v>
          </cell>
        </row>
        <row r="6926">
          <cell r="E6926" t="str">
            <v>D26001373</v>
          </cell>
          <cell r="AP6926">
            <v>0</v>
          </cell>
          <cell r="AQ6926">
            <v>0</v>
          </cell>
          <cell r="AV6926">
            <v>27880000</v>
          </cell>
        </row>
        <row r="6927">
          <cell r="E6927" t="str">
            <v>D26001876</v>
          </cell>
          <cell r="AP6927">
            <v>0</v>
          </cell>
          <cell r="AQ6927">
            <v>0</v>
          </cell>
          <cell r="AV6927">
            <v>14630000</v>
          </cell>
        </row>
        <row r="6928">
          <cell r="E6928" t="str">
            <v>B26002190</v>
          </cell>
          <cell r="AP6928">
            <v>0</v>
          </cell>
          <cell r="AQ6928">
            <v>0</v>
          </cell>
          <cell r="AV6928">
            <v>0</v>
          </cell>
        </row>
        <row r="6929">
          <cell r="E6929" t="str">
            <v>D26001702</v>
          </cell>
          <cell r="AP6929">
            <v>0</v>
          </cell>
          <cell r="AQ6929">
            <v>0</v>
          </cell>
          <cell r="AV6929">
            <v>8600000</v>
          </cell>
        </row>
        <row r="6930">
          <cell r="E6930" t="str">
            <v>B26001597</v>
          </cell>
          <cell r="AP6930">
            <v>0</v>
          </cell>
          <cell r="AQ6930">
            <v>0</v>
          </cell>
          <cell r="AV6930">
            <v>9200000</v>
          </cell>
        </row>
        <row r="6931">
          <cell r="E6931" t="str">
            <v>D26002024</v>
          </cell>
          <cell r="AP6931">
            <v>0</v>
          </cell>
          <cell r="AQ6931">
            <v>0</v>
          </cell>
          <cell r="AV6931">
            <v>7750000</v>
          </cell>
        </row>
        <row r="6932">
          <cell r="E6932" t="str">
            <v>D26002351</v>
          </cell>
          <cell r="AP6932">
            <v>0</v>
          </cell>
          <cell r="AQ6932">
            <v>0</v>
          </cell>
          <cell r="AV6932">
            <v>22300000</v>
          </cell>
        </row>
        <row r="6933">
          <cell r="E6933" t="str">
            <v>D25019612</v>
          </cell>
          <cell r="AP6933">
            <v>0</v>
          </cell>
          <cell r="AQ6933">
            <v>0</v>
          </cell>
          <cell r="AV6933">
            <v>6030000</v>
          </cell>
        </row>
        <row r="6934">
          <cell r="E6934" t="str">
            <v>D25019613</v>
          </cell>
          <cell r="AP6934">
            <v>0</v>
          </cell>
          <cell r="AQ6934">
            <v>0</v>
          </cell>
          <cell r="AV6934">
            <v>6030000</v>
          </cell>
        </row>
        <row r="6935">
          <cell r="E6935" t="str">
            <v>B26000807</v>
          </cell>
          <cell r="AP6935">
            <v>0</v>
          </cell>
          <cell r="AQ6935">
            <v>0</v>
          </cell>
          <cell r="AV6935">
            <v>0</v>
          </cell>
        </row>
        <row r="6936">
          <cell r="E6936" t="str">
            <v>B26000838</v>
          </cell>
          <cell r="AP6936">
            <v>0</v>
          </cell>
          <cell r="AQ6936">
            <v>0</v>
          </cell>
          <cell r="AV6936">
            <v>0</v>
          </cell>
        </row>
        <row r="6937">
          <cell r="E6937" t="str">
            <v>B26001071</v>
          </cell>
          <cell r="AP6937">
            <v>0</v>
          </cell>
          <cell r="AQ6937">
            <v>0</v>
          </cell>
          <cell r="AV6937">
            <v>0</v>
          </cell>
        </row>
        <row r="6938">
          <cell r="E6938" t="str">
            <v>B26001072</v>
          </cell>
          <cell r="AP6938">
            <v>0</v>
          </cell>
          <cell r="AQ6938">
            <v>0</v>
          </cell>
          <cell r="AV6938">
            <v>0</v>
          </cell>
        </row>
        <row r="6939">
          <cell r="E6939" t="str">
            <v>D26001584</v>
          </cell>
          <cell r="AP6939">
            <v>0</v>
          </cell>
          <cell r="AQ6939">
            <v>0</v>
          </cell>
          <cell r="AV6939">
            <v>0</v>
          </cell>
        </row>
        <row r="6940">
          <cell r="E6940" t="str">
            <v>D26001585</v>
          </cell>
          <cell r="AP6940">
            <v>0</v>
          </cell>
          <cell r="AQ6940">
            <v>0</v>
          </cell>
          <cell r="AV6940">
            <v>0</v>
          </cell>
        </row>
        <row r="6941">
          <cell r="E6941" t="str">
            <v>D26001614</v>
          </cell>
          <cell r="AP6941">
            <v>0</v>
          </cell>
          <cell r="AQ6941">
            <v>0</v>
          </cell>
          <cell r="AV6941">
            <v>0</v>
          </cell>
        </row>
        <row r="6942">
          <cell r="E6942" t="str">
            <v>T26000114</v>
          </cell>
          <cell r="AP6942">
            <v>0</v>
          </cell>
          <cell r="AQ6942">
            <v>0</v>
          </cell>
          <cell r="AV6942">
            <v>1940000</v>
          </cell>
        </row>
        <row r="6943">
          <cell r="E6943" t="str">
            <v>D25018570</v>
          </cell>
          <cell r="AP6943">
            <v>0</v>
          </cell>
          <cell r="AQ6943">
            <v>0</v>
          </cell>
          <cell r="AV6943">
            <v>14900000</v>
          </cell>
        </row>
        <row r="6944">
          <cell r="E6944" t="str">
            <v>D25018687</v>
          </cell>
          <cell r="AP6944">
            <v>0</v>
          </cell>
          <cell r="AQ6944">
            <v>0</v>
          </cell>
          <cell r="AV6944">
            <v>0</v>
          </cell>
        </row>
        <row r="6945">
          <cell r="E6945" t="str">
            <v>B25016269</v>
          </cell>
          <cell r="AP6945">
            <v>0</v>
          </cell>
          <cell r="AQ6945">
            <v>0</v>
          </cell>
          <cell r="AV6945">
            <v>0</v>
          </cell>
        </row>
        <row r="6946">
          <cell r="E6946" t="str">
            <v>D25018993</v>
          </cell>
          <cell r="AP6946">
            <v>0</v>
          </cell>
          <cell r="AQ6946">
            <v>0</v>
          </cell>
          <cell r="AV6946">
            <v>0</v>
          </cell>
        </row>
        <row r="6947">
          <cell r="E6947" t="str">
            <v>T25001505</v>
          </cell>
          <cell r="AP6947">
            <v>0</v>
          </cell>
          <cell r="AQ6947">
            <v>0</v>
          </cell>
          <cell r="AV6947">
            <v>0</v>
          </cell>
        </row>
        <row r="6948">
          <cell r="E6948" t="str">
            <v>D26000048</v>
          </cell>
          <cell r="AP6948">
            <v>0</v>
          </cell>
          <cell r="AQ6948">
            <v>0</v>
          </cell>
          <cell r="AV6948">
            <v>0</v>
          </cell>
        </row>
        <row r="6949">
          <cell r="E6949" t="str">
            <v>B26001784</v>
          </cell>
          <cell r="AP6949">
            <v>0</v>
          </cell>
          <cell r="AQ6949">
            <v>0</v>
          </cell>
          <cell r="AV6949">
            <v>0</v>
          </cell>
        </row>
        <row r="6950">
          <cell r="E6950" t="str">
            <v>B26001961</v>
          </cell>
          <cell r="AP6950">
            <v>0</v>
          </cell>
          <cell r="AQ6950">
            <v>0</v>
          </cell>
          <cell r="AV6950">
            <v>5160000</v>
          </cell>
        </row>
        <row r="6951">
          <cell r="E6951" t="str">
            <v>D26002139</v>
          </cell>
          <cell r="AP6951">
            <v>0</v>
          </cell>
          <cell r="AQ6951">
            <v>0</v>
          </cell>
          <cell r="AV6951">
            <v>3200000</v>
          </cell>
        </row>
        <row r="6952">
          <cell r="E6952" t="str">
            <v>B26000141</v>
          </cell>
          <cell r="AP6952">
            <v>0</v>
          </cell>
          <cell r="AQ6952">
            <v>0</v>
          </cell>
          <cell r="AV6952">
            <v>4680000</v>
          </cell>
        </row>
        <row r="6953">
          <cell r="E6953" t="str">
            <v>T26000013</v>
          </cell>
          <cell r="AP6953">
            <v>0</v>
          </cell>
          <cell r="AQ6953">
            <v>0</v>
          </cell>
          <cell r="AV6953">
            <v>0</v>
          </cell>
        </row>
        <row r="6954">
          <cell r="E6954" t="str">
            <v>D26001489</v>
          </cell>
          <cell r="AP6954">
            <v>0</v>
          </cell>
          <cell r="AQ6954">
            <v>0</v>
          </cell>
          <cell r="AV6954">
            <v>0</v>
          </cell>
        </row>
        <row r="6955">
          <cell r="E6955" t="str">
            <v>B26002186</v>
          </cell>
          <cell r="AP6955">
            <v>0</v>
          </cell>
          <cell r="AQ6955">
            <v>0</v>
          </cell>
          <cell r="AV6955">
            <v>0</v>
          </cell>
        </row>
        <row r="6956">
          <cell r="E6956" t="str">
            <v>B26001205</v>
          </cell>
          <cell r="AP6956">
            <v>0</v>
          </cell>
          <cell r="AQ6956">
            <v>0</v>
          </cell>
          <cell r="AV6956">
            <v>0</v>
          </cell>
        </row>
        <row r="6957">
          <cell r="E6957" t="str">
            <v>B26001876</v>
          </cell>
          <cell r="AP6957">
            <v>0</v>
          </cell>
          <cell r="AQ6957">
            <v>0</v>
          </cell>
          <cell r="AV6957">
            <v>0</v>
          </cell>
        </row>
        <row r="6958">
          <cell r="E6958" t="str">
            <v>T25001864</v>
          </cell>
          <cell r="AP6958">
            <v>0</v>
          </cell>
          <cell r="AQ6958">
            <v>0</v>
          </cell>
          <cell r="AV6958">
            <v>0</v>
          </cell>
        </row>
        <row r="6959">
          <cell r="E6959" t="str">
            <v>D25019346</v>
          </cell>
          <cell r="AP6959">
            <v>0</v>
          </cell>
          <cell r="AQ6959">
            <v>0</v>
          </cell>
          <cell r="AV6959">
            <v>3705000</v>
          </cell>
        </row>
        <row r="6960">
          <cell r="E6960" t="str">
            <v>B26000220</v>
          </cell>
          <cell r="AP6960">
            <v>0</v>
          </cell>
          <cell r="AQ6960">
            <v>0</v>
          </cell>
          <cell r="AV6960">
            <v>4415000</v>
          </cell>
        </row>
        <row r="6961">
          <cell r="E6961" t="str">
            <v>B26000221</v>
          </cell>
          <cell r="AP6961">
            <v>0</v>
          </cell>
          <cell r="AQ6961">
            <v>0</v>
          </cell>
          <cell r="AV6961">
            <v>0</v>
          </cell>
        </row>
        <row r="6962">
          <cell r="E6962" t="str">
            <v>B26000931</v>
          </cell>
          <cell r="AP6962">
            <v>0</v>
          </cell>
          <cell r="AQ6962">
            <v>0</v>
          </cell>
          <cell r="AV6962">
            <v>0</v>
          </cell>
        </row>
        <row r="6963">
          <cell r="E6963" t="str">
            <v>B26000932</v>
          </cell>
          <cell r="AP6963">
            <v>0</v>
          </cell>
          <cell r="AQ6963">
            <v>0</v>
          </cell>
          <cell r="AV6963">
            <v>0</v>
          </cell>
        </row>
        <row r="6964">
          <cell r="E6964" t="str">
            <v>D26001259</v>
          </cell>
          <cell r="AP6964">
            <v>0</v>
          </cell>
          <cell r="AQ6964">
            <v>0</v>
          </cell>
          <cell r="AV6964">
            <v>0</v>
          </cell>
        </row>
        <row r="6965">
          <cell r="E6965" t="str">
            <v>B26001890</v>
          </cell>
          <cell r="AP6965">
            <v>0</v>
          </cell>
          <cell r="AQ6965">
            <v>0</v>
          </cell>
          <cell r="AV6965">
            <v>0</v>
          </cell>
        </row>
        <row r="6966">
          <cell r="E6966" t="str">
            <v>B26001506</v>
          </cell>
          <cell r="AP6966">
            <v>0</v>
          </cell>
          <cell r="AQ6966">
            <v>0</v>
          </cell>
          <cell r="AV6966">
            <v>0</v>
          </cell>
        </row>
        <row r="6967">
          <cell r="E6967" t="str">
            <v>B26001507</v>
          </cell>
          <cell r="AP6967">
            <v>0</v>
          </cell>
          <cell r="AQ6967">
            <v>0</v>
          </cell>
          <cell r="AV6967">
            <v>0</v>
          </cell>
        </row>
        <row r="6968">
          <cell r="E6968" t="str">
            <v>D26001750</v>
          </cell>
          <cell r="AP6968">
            <v>0</v>
          </cell>
          <cell r="AQ6968">
            <v>0</v>
          </cell>
          <cell r="AV6968">
            <v>0</v>
          </cell>
        </row>
        <row r="6969">
          <cell r="E6969" t="str">
            <v>B26001894</v>
          </cell>
          <cell r="AP6969">
            <v>0</v>
          </cell>
          <cell r="AQ6969">
            <v>0</v>
          </cell>
          <cell r="AV6969">
            <v>5240000</v>
          </cell>
        </row>
        <row r="6970">
          <cell r="E6970" t="str">
            <v>D25019133</v>
          </cell>
          <cell r="AP6970">
            <v>0</v>
          </cell>
          <cell r="AQ6970">
            <v>0</v>
          </cell>
          <cell r="AV6970">
            <v>900000</v>
          </cell>
        </row>
        <row r="6971">
          <cell r="E6971" t="str">
            <v>B25016733</v>
          </cell>
          <cell r="AP6971">
            <v>0</v>
          </cell>
          <cell r="AQ6971">
            <v>0</v>
          </cell>
          <cell r="AV6971">
            <v>1375000</v>
          </cell>
        </row>
        <row r="6972">
          <cell r="E6972" t="str">
            <v>D25019444</v>
          </cell>
          <cell r="AP6972">
            <v>0</v>
          </cell>
          <cell r="AQ6972">
            <v>0</v>
          </cell>
          <cell r="AV6972">
            <v>3208800</v>
          </cell>
        </row>
        <row r="6973">
          <cell r="E6973" t="str">
            <v>B25016945</v>
          </cell>
          <cell r="AP6973">
            <v>0</v>
          </cell>
          <cell r="AQ6973">
            <v>0</v>
          </cell>
          <cell r="AV6973">
            <v>1350000</v>
          </cell>
        </row>
        <row r="6974">
          <cell r="E6974" t="str">
            <v>B25017122</v>
          </cell>
          <cell r="AP6974">
            <v>0</v>
          </cell>
          <cell r="AQ6974">
            <v>0</v>
          </cell>
          <cell r="AV6974">
            <v>1350000</v>
          </cell>
        </row>
        <row r="6975">
          <cell r="E6975" t="str">
            <v>B26000035</v>
          </cell>
          <cell r="AP6975">
            <v>0</v>
          </cell>
          <cell r="AQ6975">
            <v>0</v>
          </cell>
          <cell r="AV6975">
            <v>1687500</v>
          </cell>
        </row>
        <row r="6976">
          <cell r="E6976" t="str">
            <v>D26000341</v>
          </cell>
          <cell r="AP6976">
            <v>0</v>
          </cell>
          <cell r="AQ6976">
            <v>0</v>
          </cell>
          <cell r="AV6976">
            <v>0</v>
          </cell>
        </row>
        <row r="6977">
          <cell r="E6977" t="str">
            <v>D26000357</v>
          </cell>
          <cell r="AP6977">
            <v>0</v>
          </cell>
          <cell r="AQ6977">
            <v>0</v>
          </cell>
          <cell r="AV6977">
            <v>0</v>
          </cell>
        </row>
        <row r="6978">
          <cell r="E6978" t="str">
            <v>D26000366</v>
          </cell>
          <cell r="AP6978">
            <v>0</v>
          </cell>
          <cell r="AQ6978">
            <v>0</v>
          </cell>
          <cell r="AV6978">
            <v>0</v>
          </cell>
        </row>
        <row r="6979">
          <cell r="E6979" t="str">
            <v>D26000517</v>
          </cell>
          <cell r="AP6979">
            <v>0</v>
          </cell>
          <cell r="AQ6979">
            <v>0</v>
          </cell>
          <cell r="AV6979">
            <v>0</v>
          </cell>
        </row>
        <row r="6980">
          <cell r="E6980" t="str">
            <v>B26000611</v>
          </cell>
          <cell r="AP6980">
            <v>0</v>
          </cell>
          <cell r="AQ6980">
            <v>0</v>
          </cell>
          <cell r="AV6980">
            <v>0</v>
          </cell>
        </row>
        <row r="6981">
          <cell r="E6981" t="str">
            <v>B26000612</v>
          </cell>
          <cell r="AP6981">
            <v>0</v>
          </cell>
          <cell r="AQ6981">
            <v>0</v>
          </cell>
          <cell r="AV6981">
            <v>0</v>
          </cell>
        </row>
        <row r="6982">
          <cell r="E6982" t="str">
            <v>D26000792</v>
          </cell>
          <cell r="AP6982">
            <v>0</v>
          </cell>
          <cell r="AQ6982">
            <v>0</v>
          </cell>
          <cell r="AV6982">
            <v>0</v>
          </cell>
        </row>
        <row r="6983">
          <cell r="E6983" t="str">
            <v>D26000813</v>
          </cell>
          <cell r="AP6983">
            <v>0</v>
          </cell>
          <cell r="AQ6983">
            <v>0</v>
          </cell>
          <cell r="AV6983">
            <v>0</v>
          </cell>
        </row>
        <row r="6984">
          <cell r="E6984" t="str">
            <v>D26000815</v>
          </cell>
          <cell r="AP6984">
            <v>0</v>
          </cell>
          <cell r="AQ6984">
            <v>0</v>
          </cell>
          <cell r="AV6984">
            <v>0</v>
          </cell>
        </row>
        <row r="6985">
          <cell r="E6985" t="str">
            <v>B26000922</v>
          </cell>
          <cell r="AP6985">
            <v>0</v>
          </cell>
          <cell r="AQ6985">
            <v>0</v>
          </cell>
          <cell r="AV6985">
            <v>0</v>
          </cell>
        </row>
        <row r="6986">
          <cell r="E6986" t="str">
            <v>D26000949</v>
          </cell>
          <cell r="AP6986">
            <v>0</v>
          </cell>
          <cell r="AQ6986">
            <v>0</v>
          </cell>
          <cell r="AV6986">
            <v>0</v>
          </cell>
        </row>
        <row r="6987">
          <cell r="E6987" t="str">
            <v>D26001054</v>
          </cell>
          <cell r="AP6987">
            <v>0</v>
          </cell>
          <cell r="AQ6987">
            <v>0</v>
          </cell>
          <cell r="AV6987">
            <v>0</v>
          </cell>
        </row>
        <row r="6988">
          <cell r="E6988" t="str">
            <v>B26001005</v>
          </cell>
          <cell r="AP6988">
            <v>0</v>
          </cell>
          <cell r="AQ6988">
            <v>0</v>
          </cell>
          <cell r="AV6988">
            <v>0</v>
          </cell>
        </row>
        <row r="6989">
          <cell r="E6989" t="str">
            <v>D26001288</v>
          </cell>
          <cell r="AP6989">
            <v>0</v>
          </cell>
          <cell r="AQ6989">
            <v>0</v>
          </cell>
          <cell r="AV6989">
            <v>0</v>
          </cell>
        </row>
        <row r="6990">
          <cell r="E6990" t="str">
            <v>B26001504</v>
          </cell>
          <cell r="AP6990">
            <v>0</v>
          </cell>
          <cell r="AQ6990">
            <v>0</v>
          </cell>
          <cell r="AV6990">
            <v>0</v>
          </cell>
        </row>
        <row r="6991">
          <cell r="E6991" t="str">
            <v>D26001650</v>
          </cell>
          <cell r="AP6991">
            <v>0</v>
          </cell>
          <cell r="AQ6991">
            <v>0</v>
          </cell>
          <cell r="AV6991">
            <v>0</v>
          </cell>
        </row>
        <row r="6992">
          <cell r="E6992" t="str">
            <v>B26002015</v>
          </cell>
          <cell r="AP6992">
            <v>0</v>
          </cell>
          <cell r="AQ6992">
            <v>0</v>
          </cell>
          <cell r="AV6992">
            <v>0</v>
          </cell>
        </row>
        <row r="6993">
          <cell r="E6993" t="str">
            <v>B26002017</v>
          </cell>
          <cell r="AP6993">
            <v>0</v>
          </cell>
          <cell r="AQ6993">
            <v>0</v>
          </cell>
          <cell r="AV6993">
            <v>0</v>
          </cell>
        </row>
        <row r="6994">
          <cell r="E6994" t="str">
            <v>D26002209</v>
          </cell>
          <cell r="AP6994">
            <v>0</v>
          </cell>
          <cell r="AQ6994">
            <v>0</v>
          </cell>
          <cell r="AV6994">
            <v>0</v>
          </cell>
        </row>
        <row r="6995">
          <cell r="E6995" t="str">
            <v>D26002223</v>
          </cell>
          <cell r="AP6995">
            <v>0</v>
          </cell>
          <cell r="AQ6995">
            <v>0</v>
          </cell>
          <cell r="AV6995">
            <v>0</v>
          </cell>
        </row>
        <row r="6996">
          <cell r="E6996" t="str">
            <v>D26002224</v>
          </cell>
          <cell r="AP6996">
            <v>0</v>
          </cell>
          <cell r="AQ6996">
            <v>0</v>
          </cell>
          <cell r="AV6996">
            <v>0</v>
          </cell>
        </row>
        <row r="6997">
          <cell r="E6997" t="str">
            <v>B26001861</v>
          </cell>
          <cell r="AP6997">
            <v>0</v>
          </cell>
          <cell r="AQ6997">
            <v>0</v>
          </cell>
          <cell r="AV6997">
            <v>0</v>
          </cell>
        </row>
        <row r="6998">
          <cell r="E6998" t="str">
            <v>D26002360</v>
          </cell>
          <cell r="AP6998">
            <v>0</v>
          </cell>
          <cell r="AQ6998">
            <v>0</v>
          </cell>
          <cell r="AV6998">
            <v>5500000</v>
          </cell>
        </row>
        <row r="6999">
          <cell r="E6999" t="str">
            <v>B25015546</v>
          </cell>
          <cell r="AP6999">
            <v>0</v>
          </cell>
          <cell r="AQ6999">
            <v>0</v>
          </cell>
          <cell r="AV6999">
            <v>24275000</v>
          </cell>
        </row>
        <row r="7000">
          <cell r="E7000" t="str">
            <v>B25015825</v>
          </cell>
          <cell r="AP7000">
            <v>0</v>
          </cell>
          <cell r="AQ7000">
            <v>0</v>
          </cell>
          <cell r="AV7000">
            <v>37035000</v>
          </cell>
        </row>
        <row r="7001">
          <cell r="E7001" t="str">
            <v>B25015827</v>
          </cell>
          <cell r="AP7001">
            <v>0</v>
          </cell>
          <cell r="AQ7001">
            <v>0</v>
          </cell>
          <cell r="AV7001">
            <v>6475000</v>
          </cell>
        </row>
        <row r="7002">
          <cell r="E7002" t="str">
            <v>D25018339</v>
          </cell>
          <cell r="AP7002">
            <v>0</v>
          </cell>
          <cell r="AQ7002">
            <v>0</v>
          </cell>
          <cell r="AV7002">
            <v>1750000</v>
          </cell>
        </row>
        <row r="7003">
          <cell r="E7003" t="str">
            <v>B25016280</v>
          </cell>
          <cell r="AP7003">
            <v>0</v>
          </cell>
          <cell r="AQ7003">
            <v>0</v>
          </cell>
          <cell r="AV7003">
            <v>0</v>
          </cell>
        </row>
        <row r="7004">
          <cell r="E7004" t="str">
            <v>B25016282</v>
          </cell>
          <cell r="AP7004">
            <v>0</v>
          </cell>
          <cell r="AQ7004">
            <v>0</v>
          </cell>
          <cell r="AV7004">
            <v>0</v>
          </cell>
        </row>
        <row r="7005">
          <cell r="E7005" t="str">
            <v>B25016415</v>
          </cell>
          <cell r="AP7005">
            <v>0</v>
          </cell>
          <cell r="AQ7005">
            <v>0</v>
          </cell>
          <cell r="AV7005">
            <v>0</v>
          </cell>
        </row>
        <row r="7006">
          <cell r="E7006" t="str">
            <v>B25016517</v>
          </cell>
          <cell r="AP7006">
            <v>0</v>
          </cell>
          <cell r="AQ7006">
            <v>0</v>
          </cell>
          <cell r="AV7006">
            <v>0</v>
          </cell>
        </row>
        <row r="7007">
          <cell r="E7007" t="str">
            <v>D25019007</v>
          </cell>
          <cell r="AP7007">
            <v>0</v>
          </cell>
          <cell r="AQ7007">
            <v>0</v>
          </cell>
          <cell r="AV7007">
            <v>0</v>
          </cell>
        </row>
        <row r="7008">
          <cell r="E7008" t="str">
            <v>B25016730</v>
          </cell>
          <cell r="AP7008">
            <v>0</v>
          </cell>
          <cell r="AQ7008">
            <v>0</v>
          </cell>
          <cell r="AV7008">
            <v>0</v>
          </cell>
        </row>
        <row r="7009">
          <cell r="E7009" t="str">
            <v>D25019344</v>
          </cell>
          <cell r="AP7009">
            <v>0</v>
          </cell>
          <cell r="AQ7009">
            <v>0</v>
          </cell>
          <cell r="AV7009">
            <v>0</v>
          </cell>
        </row>
        <row r="7010">
          <cell r="E7010" t="str">
            <v>D25019545</v>
          </cell>
          <cell r="AP7010">
            <v>0</v>
          </cell>
          <cell r="AQ7010">
            <v>0</v>
          </cell>
          <cell r="AV7010">
            <v>0</v>
          </cell>
        </row>
        <row r="7011">
          <cell r="E7011" t="str">
            <v>D25019705</v>
          </cell>
          <cell r="AP7011">
            <v>0</v>
          </cell>
          <cell r="AQ7011">
            <v>0</v>
          </cell>
          <cell r="AV7011">
            <v>0</v>
          </cell>
        </row>
        <row r="7012">
          <cell r="E7012" t="str">
            <v>B26000112</v>
          </cell>
          <cell r="AP7012">
            <v>0</v>
          </cell>
          <cell r="AQ7012">
            <v>0</v>
          </cell>
          <cell r="AV7012">
            <v>0</v>
          </cell>
        </row>
        <row r="7013">
          <cell r="E7013" t="str">
            <v>D26000018</v>
          </cell>
          <cell r="AP7013">
            <v>0</v>
          </cell>
          <cell r="AQ7013">
            <v>0</v>
          </cell>
          <cell r="AV7013">
            <v>0</v>
          </cell>
        </row>
        <row r="7014">
          <cell r="E7014" t="str">
            <v>D26000046</v>
          </cell>
          <cell r="AP7014">
            <v>0</v>
          </cell>
          <cell r="AQ7014">
            <v>0</v>
          </cell>
          <cell r="AV7014">
            <v>0</v>
          </cell>
        </row>
        <row r="7015">
          <cell r="E7015" t="str">
            <v>B26000270</v>
          </cell>
          <cell r="AP7015">
            <v>0</v>
          </cell>
          <cell r="AQ7015">
            <v>0</v>
          </cell>
          <cell r="AV7015">
            <v>14925000</v>
          </cell>
        </row>
        <row r="7016">
          <cell r="E7016" t="str">
            <v>B26000441</v>
          </cell>
          <cell r="AP7016">
            <v>0</v>
          </cell>
          <cell r="AQ7016">
            <v>0</v>
          </cell>
          <cell r="AV7016">
            <v>0</v>
          </cell>
        </row>
        <row r="7017">
          <cell r="E7017" t="str">
            <v>B26000501</v>
          </cell>
          <cell r="AP7017">
            <v>0</v>
          </cell>
          <cell r="AQ7017">
            <v>0</v>
          </cell>
          <cell r="AV7017">
            <v>0</v>
          </cell>
        </row>
        <row r="7018">
          <cell r="E7018" t="str">
            <v>B26000886</v>
          </cell>
          <cell r="AP7018">
            <v>0</v>
          </cell>
          <cell r="AQ7018">
            <v>0</v>
          </cell>
          <cell r="AV7018">
            <v>0</v>
          </cell>
        </row>
        <row r="7019">
          <cell r="E7019" t="str">
            <v>B26000973</v>
          </cell>
          <cell r="AP7019">
            <v>0</v>
          </cell>
          <cell r="AQ7019">
            <v>0</v>
          </cell>
          <cell r="AV7019">
            <v>0</v>
          </cell>
        </row>
        <row r="7020">
          <cell r="E7020" t="str">
            <v>B26001640</v>
          </cell>
          <cell r="AP7020">
            <v>0</v>
          </cell>
          <cell r="AQ7020">
            <v>0</v>
          </cell>
          <cell r="AV7020">
            <v>656000000</v>
          </cell>
        </row>
        <row r="7021">
          <cell r="E7021" t="str">
            <v>B26001641</v>
          </cell>
          <cell r="AP7021">
            <v>0</v>
          </cell>
          <cell r="AQ7021">
            <v>0</v>
          </cell>
          <cell r="AV7021">
            <v>0</v>
          </cell>
        </row>
        <row r="7022">
          <cell r="E7022" t="str">
            <v>B26001662</v>
          </cell>
          <cell r="AP7022">
            <v>0</v>
          </cell>
          <cell r="AQ7022">
            <v>0</v>
          </cell>
          <cell r="AV7022">
            <v>0</v>
          </cell>
        </row>
        <row r="7023">
          <cell r="E7023" t="str">
            <v>B26001663</v>
          </cell>
          <cell r="AP7023">
            <v>0</v>
          </cell>
          <cell r="AQ7023">
            <v>0</v>
          </cell>
          <cell r="AV7023">
            <v>0</v>
          </cell>
        </row>
        <row r="7024">
          <cell r="E7024" t="str">
            <v>D26001966</v>
          </cell>
          <cell r="AP7024">
            <v>0</v>
          </cell>
          <cell r="AQ7024">
            <v>0</v>
          </cell>
          <cell r="AV7024">
            <v>0</v>
          </cell>
        </row>
        <row r="7025">
          <cell r="E7025" t="str">
            <v>D26001984</v>
          </cell>
          <cell r="AP7025">
            <v>0</v>
          </cell>
          <cell r="AQ7025">
            <v>0</v>
          </cell>
          <cell r="AV7025">
            <v>131000000</v>
          </cell>
        </row>
        <row r="7026">
          <cell r="E7026" t="str">
            <v>D26002018</v>
          </cell>
          <cell r="AP7026">
            <v>0</v>
          </cell>
          <cell r="AQ7026">
            <v>0</v>
          </cell>
          <cell r="AV7026">
            <v>0</v>
          </cell>
        </row>
        <row r="7027">
          <cell r="E7027" t="str">
            <v>B26002011</v>
          </cell>
          <cell r="AP7027">
            <v>0</v>
          </cell>
          <cell r="AQ7027">
            <v>0</v>
          </cell>
          <cell r="AV7027">
            <v>0</v>
          </cell>
        </row>
        <row r="7028">
          <cell r="E7028" t="str">
            <v>B26002012</v>
          </cell>
          <cell r="AP7028">
            <v>0</v>
          </cell>
          <cell r="AQ7028">
            <v>0</v>
          </cell>
          <cell r="AV7028">
            <v>10237500</v>
          </cell>
        </row>
        <row r="7029">
          <cell r="E7029" t="str">
            <v>D26002169</v>
          </cell>
          <cell r="AP7029">
            <v>0</v>
          </cell>
          <cell r="AQ7029">
            <v>0</v>
          </cell>
          <cell r="AV7029">
            <v>71762500</v>
          </cell>
        </row>
        <row r="7030">
          <cell r="E7030" t="str">
            <v>D26002169</v>
          </cell>
          <cell r="AP7030">
            <v>0</v>
          </cell>
          <cell r="AQ7030">
            <v>0</v>
          </cell>
          <cell r="AV7030">
            <v>321489250</v>
          </cell>
        </row>
        <row r="7031">
          <cell r="E7031" t="str">
            <v>D26002169</v>
          </cell>
          <cell r="AP7031">
            <v>0</v>
          </cell>
          <cell r="AQ7031">
            <v>0</v>
          </cell>
          <cell r="AV7031">
            <v>83510750</v>
          </cell>
        </row>
        <row r="7032">
          <cell r="E7032" t="str">
            <v>D26002169</v>
          </cell>
          <cell r="AP7032">
            <v>0</v>
          </cell>
          <cell r="AQ7032">
            <v>0</v>
          </cell>
          <cell r="AV7032">
            <v>218000000</v>
          </cell>
        </row>
        <row r="7033">
          <cell r="E7033" t="str">
            <v>D26002169</v>
          </cell>
          <cell r="AP7033">
            <v>0</v>
          </cell>
          <cell r="AQ7033">
            <v>0</v>
          </cell>
          <cell r="AV7033">
            <v>10237500</v>
          </cell>
        </row>
        <row r="7034">
          <cell r="E7034" t="str">
            <v>D26002225</v>
          </cell>
          <cell r="AP7034">
            <v>0</v>
          </cell>
          <cell r="AQ7034">
            <v>0</v>
          </cell>
          <cell r="AV7034">
            <v>218000000</v>
          </cell>
        </row>
        <row r="7035">
          <cell r="E7035" t="str">
            <v>D26002268</v>
          </cell>
          <cell r="AP7035">
            <v>0</v>
          </cell>
          <cell r="AQ7035">
            <v>0</v>
          </cell>
          <cell r="AV7035">
            <v>20735000</v>
          </cell>
        </row>
        <row r="7036">
          <cell r="E7036" t="str">
            <v>D26002269</v>
          </cell>
          <cell r="AP7036">
            <v>0</v>
          </cell>
          <cell r="AQ7036">
            <v>0</v>
          </cell>
          <cell r="AV7036">
            <v>0</v>
          </cell>
        </row>
        <row r="7037">
          <cell r="E7037" t="str">
            <v>D26002368</v>
          </cell>
          <cell r="AP7037">
            <v>0</v>
          </cell>
          <cell r="AQ7037">
            <v>0</v>
          </cell>
          <cell r="AV7037">
            <v>0</v>
          </cell>
        </row>
        <row r="7038">
          <cell r="E7038" t="str">
            <v>D25018748</v>
          </cell>
          <cell r="AP7038">
            <v>0</v>
          </cell>
          <cell r="AQ7038">
            <v>0</v>
          </cell>
          <cell r="AV7038">
            <v>0</v>
          </cell>
        </row>
        <row r="7039">
          <cell r="E7039" t="str">
            <v>D26001459</v>
          </cell>
          <cell r="AP7039">
            <v>0</v>
          </cell>
          <cell r="AQ7039">
            <v>0</v>
          </cell>
          <cell r="AV7039">
            <v>0</v>
          </cell>
        </row>
        <row r="7040">
          <cell r="E7040" t="str">
            <v>D25018467</v>
          </cell>
          <cell r="AP7040">
            <v>0</v>
          </cell>
          <cell r="AQ7040">
            <v>38746000</v>
          </cell>
          <cell r="AV7040">
            <v>0</v>
          </cell>
        </row>
        <row r="7041">
          <cell r="E7041" t="str">
            <v>D25018615</v>
          </cell>
          <cell r="AP7041">
            <v>0</v>
          </cell>
          <cell r="AQ7041">
            <v>27750000</v>
          </cell>
          <cell r="AV7041">
            <v>0</v>
          </cell>
        </row>
        <row r="7042">
          <cell r="E7042" t="str">
            <v>D25018949</v>
          </cell>
          <cell r="AP7042">
            <v>0</v>
          </cell>
          <cell r="AQ7042">
            <v>19000000</v>
          </cell>
          <cell r="AV7042">
            <v>0</v>
          </cell>
        </row>
        <row r="7043">
          <cell r="E7043" t="str">
            <v>B25016579</v>
          </cell>
          <cell r="AP7043">
            <v>0</v>
          </cell>
          <cell r="AQ7043">
            <v>64504000</v>
          </cell>
          <cell r="AV7043">
            <v>0</v>
          </cell>
        </row>
        <row r="7044">
          <cell r="E7044" t="str">
            <v>B25016579</v>
          </cell>
          <cell r="AP7044">
            <v>0</v>
          </cell>
          <cell r="AQ7044">
            <v>24086000</v>
          </cell>
          <cell r="AV7044">
            <v>0</v>
          </cell>
        </row>
        <row r="7045">
          <cell r="E7045" t="str">
            <v>D25019137</v>
          </cell>
          <cell r="AP7045">
            <v>0</v>
          </cell>
          <cell r="AQ7045">
            <v>92910000</v>
          </cell>
          <cell r="AV7045">
            <v>0</v>
          </cell>
        </row>
        <row r="7046">
          <cell r="E7046" t="str">
            <v>D25019183</v>
          </cell>
          <cell r="AP7046">
            <v>0</v>
          </cell>
          <cell r="AQ7046">
            <v>38000000</v>
          </cell>
          <cell r="AV7046">
            <v>0</v>
          </cell>
        </row>
        <row r="7047">
          <cell r="E7047" t="str">
            <v>D26000910</v>
          </cell>
          <cell r="AP7047">
            <v>0</v>
          </cell>
          <cell r="AQ7047">
            <v>0</v>
          </cell>
          <cell r="AV7047">
            <v>0</v>
          </cell>
        </row>
        <row r="7048">
          <cell r="E7048" t="str">
            <v>B26001311</v>
          </cell>
          <cell r="AP7048">
            <v>0</v>
          </cell>
          <cell r="AQ7048">
            <v>0</v>
          </cell>
          <cell r="AV7048">
            <v>0</v>
          </cell>
        </row>
        <row r="7049">
          <cell r="E7049" t="str">
            <v>B26001500</v>
          </cell>
          <cell r="AP7049">
            <v>0</v>
          </cell>
          <cell r="AQ7049">
            <v>0</v>
          </cell>
          <cell r="AV7049">
            <v>133000000</v>
          </cell>
        </row>
        <row r="7050">
          <cell r="E7050" t="str">
            <v>D26001748</v>
          </cell>
          <cell r="AP7050">
            <v>0</v>
          </cell>
          <cell r="AQ7050">
            <v>0</v>
          </cell>
          <cell r="AV7050">
            <v>0</v>
          </cell>
        </row>
        <row r="7051">
          <cell r="E7051" t="str">
            <v>D26001753</v>
          </cell>
          <cell r="AP7051">
            <v>0</v>
          </cell>
          <cell r="AQ7051">
            <v>0</v>
          </cell>
          <cell r="AV7051">
            <v>19000000</v>
          </cell>
        </row>
        <row r="7052">
          <cell r="E7052" t="str">
            <v>D26001754</v>
          </cell>
          <cell r="AP7052">
            <v>0</v>
          </cell>
          <cell r="AQ7052">
            <v>0</v>
          </cell>
          <cell r="AV7052">
            <v>0</v>
          </cell>
        </row>
        <row r="7053">
          <cell r="E7053" t="str">
            <v>D26001873</v>
          </cell>
          <cell r="AP7053">
            <v>0</v>
          </cell>
          <cell r="AQ7053">
            <v>0</v>
          </cell>
          <cell r="AV7053">
            <v>0</v>
          </cell>
        </row>
        <row r="7054">
          <cell r="E7054" t="str">
            <v>D26001874</v>
          </cell>
          <cell r="AP7054">
            <v>0</v>
          </cell>
          <cell r="AQ7054">
            <v>0</v>
          </cell>
          <cell r="AV7054">
            <v>0</v>
          </cell>
        </row>
        <row r="7055">
          <cell r="E7055" t="str">
            <v>D26002029</v>
          </cell>
          <cell r="AP7055">
            <v>0</v>
          </cell>
          <cell r="AQ7055">
            <v>0</v>
          </cell>
          <cell r="AV7055">
            <v>0</v>
          </cell>
        </row>
        <row r="7056">
          <cell r="E7056" t="str">
            <v>D26002261</v>
          </cell>
          <cell r="AP7056">
            <v>0</v>
          </cell>
          <cell r="AQ7056">
            <v>0</v>
          </cell>
          <cell r="AV7056">
            <v>0</v>
          </cell>
        </row>
        <row r="7057">
          <cell r="E7057" t="str">
            <v>B26002189</v>
          </cell>
          <cell r="AP7057">
            <v>0</v>
          </cell>
          <cell r="AQ7057">
            <v>0</v>
          </cell>
          <cell r="AV7057">
            <v>0</v>
          </cell>
        </row>
        <row r="7058">
          <cell r="E7058" t="str">
            <v>B26002234</v>
          </cell>
          <cell r="AP7058">
            <v>0</v>
          </cell>
          <cell r="AQ7058">
            <v>0</v>
          </cell>
          <cell r="AV7058">
            <v>0</v>
          </cell>
        </row>
        <row r="7059">
          <cell r="E7059" t="str">
            <v>D26002397</v>
          </cell>
          <cell r="AP7059">
            <v>0</v>
          </cell>
          <cell r="AQ7059">
            <v>0</v>
          </cell>
          <cell r="AV7059">
            <v>0</v>
          </cell>
        </row>
        <row r="7060">
          <cell r="E7060" t="str">
            <v>Z25003334</v>
          </cell>
          <cell r="AP7060">
            <v>0</v>
          </cell>
          <cell r="AQ7060">
            <v>0</v>
          </cell>
          <cell r="AV7060">
            <v>5600000</v>
          </cell>
        </row>
        <row r="7061">
          <cell r="E7061" t="str">
            <v>D26000428</v>
          </cell>
          <cell r="AP7061">
            <v>0</v>
          </cell>
          <cell r="AQ7061">
            <v>0</v>
          </cell>
          <cell r="AV7061">
            <v>7700000</v>
          </cell>
        </row>
        <row r="7062">
          <cell r="E7062" t="str">
            <v>D26001452</v>
          </cell>
          <cell r="AP7062">
            <v>0</v>
          </cell>
          <cell r="AQ7062">
            <v>0</v>
          </cell>
          <cell r="AV7062">
            <v>0</v>
          </cell>
        </row>
        <row r="7063">
          <cell r="E7063" t="str">
            <v>Z26000238</v>
          </cell>
          <cell r="AP7063">
            <v>0</v>
          </cell>
          <cell r="AQ7063">
            <v>0</v>
          </cell>
          <cell r="AV7063">
            <v>0</v>
          </cell>
        </row>
        <row r="7064">
          <cell r="E7064" t="str">
            <v>Z26000244</v>
          </cell>
          <cell r="AP7064">
            <v>0</v>
          </cell>
          <cell r="AQ7064">
            <v>0</v>
          </cell>
          <cell r="AV7064">
            <v>0</v>
          </cell>
        </row>
        <row r="7065">
          <cell r="E7065" t="str">
            <v>T26000144</v>
          </cell>
          <cell r="AP7065">
            <v>0</v>
          </cell>
          <cell r="AQ7065">
            <v>0</v>
          </cell>
          <cell r="AV7065">
            <v>3456000</v>
          </cell>
        </row>
        <row r="7066">
          <cell r="E7066" t="str">
            <v>B25016725</v>
          </cell>
          <cell r="AP7066">
            <v>0</v>
          </cell>
          <cell r="AQ7066">
            <v>0</v>
          </cell>
          <cell r="AV7066">
            <v>0</v>
          </cell>
        </row>
        <row r="7067">
          <cell r="E7067" t="str">
            <v>D25019252</v>
          </cell>
          <cell r="AP7067">
            <v>0</v>
          </cell>
          <cell r="AQ7067">
            <v>0</v>
          </cell>
          <cell r="AV7067">
            <v>0</v>
          </cell>
        </row>
        <row r="7068">
          <cell r="E7068" t="str">
            <v>B25014613</v>
          </cell>
          <cell r="AP7068">
            <v>0</v>
          </cell>
          <cell r="AQ7068">
            <v>0</v>
          </cell>
          <cell r="AV7068">
            <v>3400000</v>
          </cell>
        </row>
        <row r="7069">
          <cell r="E7069" t="str">
            <v>B25015210</v>
          </cell>
          <cell r="AP7069">
            <v>0</v>
          </cell>
          <cell r="AQ7069">
            <v>0</v>
          </cell>
          <cell r="AV7069">
            <v>7150000</v>
          </cell>
        </row>
        <row r="7070">
          <cell r="E7070" t="str">
            <v>B25015806</v>
          </cell>
          <cell r="AP7070">
            <v>0</v>
          </cell>
          <cell r="AQ7070">
            <v>0</v>
          </cell>
          <cell r="AV7070">
            <v>2450000</v>
          </cell>
        </row>
        <row r="7071">
          <cell r="E7071" t="str">
            <v>B25015910</v>
          </cell>
          <cell r="AP7071">
            <v>0</v>
          </cell>
          <cell r="AQ7071">
            <v>0</v>
          </cell>
          <cell r="AV7071">
            <v>4560000</v>
          </cell>
        </row>
        <row r="7072">
          <cell r="E7072" t="str">
            <v>T25001806</v>
          </cell>
          <cell r="AP7072">
            <v>0</v>
          </cell>
          <cell r="AQ7072">
            <v>0</v>
          </cell>
          <cell r="AV7072">
            <v>3875000</v>
          </cell>
        </row>
        <row r="7073">
          <cell r="E7073" t="str">
            <v>D25018398</v>
          </cell>
          <cell r="AP7073">
            <v>0</v>
          </cell>
          <cell r="AQ7073">
            <v>0</v>
          </cell>
          <cell r="AV7073">
            <v>5312500</v>
          </cell>
        </row>
        <row r="7074">
          <cell r="E7074" t="str">
            <v>T25001820</v>
          </cell>
          <cell r="AP7074">
            <v>0</v>
          </cell>
          <cell r="AQ7074">
            <v>0</v>
          </cell>
          <cell r="AV7074">
            <v>6520000</v>
          </cell>
        </row>
        <row r="7075">
          <cell r="E7075" t="str">
            <v>D25018620</v>
          </cell>
          <cell r="AP7075">
            <v>0</v>
          </cell>
          <cell r="AQ7075">
            <v>0</v>
          </cell>
          <cell r="AV7075">
            <v>5400000</v>
          </cell>
        </row>
        <row r="7076">
          <cell r="E7076" t="str">
            <v>D25018908</v>
          </cell>
          <cell r="AP7076">
            <v>0</v>
          </cell>
          <cell r="AQ7076">
            <v>0</v>
          </cell>
          <cell r="AV7076">
            <v>2355000</v>
          </cell>
        </row>
        <row r="7077">
          <cell r="E7077" t="str">
            <v>B25017094</v>
          </cell>
          <cell r="AP7077">
            <v>0</v>
          </cell>
          <cell r="AQ7077">
            <v>0</v>
          </cell>
          <cell r="AV7077">
            <v>18000000</v>
          </cell>
        </row>
        <row r="7078">
          <cell r="E7078" t="str">
            <v>D26000236</v>
          </cell>
          <cell r="AP7078">
            <v>0</v>
          </cell>
          <cell r="AQ7078">
            <v>0</v>
          </cell>
          <cell r="AV7078">
            <v>3200000</v>
          </cell>
        </row>
        <row r="7079">
          <cell r="E7079" t="str">
            <v>D26000484</v>
          </cell>
          <cell r="AP7079">
            <v>0</v>
          </cell>
          <cell r="AQ7079">
            <v>0</v>
          </cell>
          <cell r="AV7079">
            <v>1800000</v>
          </cell>
        </row>
        <row r="7080">
          <cell r="E7080" t="str">
            <v>B26000798</v>
          </cell>
          <cell r="AP7080">
            <v>0</v>
          </cell>
          <cell r="AQ7080">
            <v>0</v>
          </cell>
          <cell r="AV7080">
            <v>2460000</v>
          </cell>
        </row>
        <row r="7081">
          <cell r="E7081" t="str">
            <v>B26001036</v>
          </cell>
          <cell r="AP7081">
            <v>0</v>
          </cell>
          <cell r="AQ7081">
            <v>0</v>
          </cell>
          <cell r="AV7081">
            <v>10800000</v>
          </cell>
        </row>
        <row r="7082">
          <cell r="E7082" t="str">
            <v>B26001058</v>
          </cell>
          <cell r="AP7082">
            <v>0</v>
          </cell>
          <cell r="AQ7082">
            <v>0</v>
          </cell>
          <cell r="AV7082">
            <v>3060000</v>
          </cell>
        </row>
        <row r="7083">
          <cell r="E7083" t="str">
            <v>T26000082</v>
          </cell>
          <cell r="AP7083">
            <v>0</v>
          </cell>
          <cell r="AQ7083">
            <v>0</v>
          </cell>
          <cell r="AV7083">
            <v>700000</v>
          </cell>
        </row>
        <row r="7084">
          <cell r="E7084" t="str">
            <v>D26001957</v>
          </cell>
          <cell r="AP7084">
            <v>0</v>
          </cell>
          <cell r="AQ7084">
            <v>0</v>
          </cell>
          <cell r="AV7084">
            <v>0</v>
          </cell>
        </row>
        <row r="7085">
          <cell r="E7085" t="str">
            <v>B26002053</v>
          </cell>
          <cell r="AP7085">
            <v>0</v>
          </cell>
          <cell r="AQ7085">
            <v>0</v>
          </cell>
          <cell r="AV7085">
            <v>1350000</v>
          </cell>
        </row>
        <row r="7086">
          <cell r="E7086" t="str">
            <v>B26001646</v>
          </cell>
          <cell r="AP7086">
            <v>0</v>
          </cell>
          <cell r="AQ7086">
            <v>0</v>
          </cell>
          <cell r="AV7086">
            <v>15200</v>
          </cell>
        </row>
        <row r="7087">
          <cell r="E7087" t="str">
            <v>B26001647</v>
          </cell>
          <cell r="AP7087">
            <v>0</v>
          </cell>
          <cell r="AQ7087">
            <v>0</v>
          </cell>
          <cell r="AV7087">
            <v>58000</v>
          </cell>
        </row>
        <row r="7088">
          <cell r="E7088" t="str">
            <v>B26001860</v>
          </cell>
          <cell r="AP7088">
            <v>0</v>
          </cell>
          <cell r="AQ7088">
            <v>0</v>
          </cell>
          <cell r="AV7088">
            <v>1270000</v>
          </cell>
        </row>
        <row r="7089">
          <cell r="E7089" t="str">
            <v>D25019446</v>
          </cell>
          <cell r="AP7089">
            <v>0</v>
          </cell>
          <cell r="AQ7089">
            <v>0</v>
          </cell>
          <cell r="AV7089">
            <v>0</v>
          </cell>
        </row>
        <row r="7090">
          <cell r="E7090" t="str">
            <v>B25017027</v>
          </cell>
          <cell r="AP7090">
            <v>0</v>
          </cell>
          <cell r="AQ7090">
            <v>0</v>
          </cell>
          <cell r="AV7090">
            <v>0</v>
          </cell>
        </row>
        <row r="7091">
          <cell r="E7091" t="str">
            <v>D25019588</v>
          </cell>
          <cell r="AP7091">
            <v>0</v>
          </cell>
          <cell r="AQ7091">
            <v>0</v>
          </cell>
          <cell r="AV7091">
            <v>0</v>
          </cell>
        </row>
        <row r="7092">
          <cell r="E7092" t="str">
            <v>B26000422</v>
          </cell>
          <cell r="AP7092">
            <v>0</v>
          </cell>
          <cell r="AQ7092">
            <v>0</v>
          </cell>
          <cell r="AV7092">
            <v>0</v>
          </cell>
        </row>
        <row r="7093">
          <cell r="E7093" t="str">
            <v>B26000424</v>
          </cell>
          <cell r="AP7093">
            <v>0</v>
          </cell>
          <cell r="AQ7093">
            <v>0</v>
          </cell>
          <cell r="AV7093">
            <v>0</v>
          </cell>
        </row>
        <row r="7094">
          <cell r="E7094" t="str">
            <v>D26001155</v>
          </cell>
          <cell r="AP7094">
            <v>0</v>
          </cell>
          <cell r="AQ7094">
            <v>0</v>
          </cell>
          <cell r="AV7094">
            <v>0</v>
          </cell>
        </row>
        <row r="7095">
          <cell r="E7095" t="str">
            <v>D26001207</v>
          </cell>
          <cell r="AP7095">
            <v>0</v>
          </cell>
          <cell r="AQ7095">
            <v>0</v>
          </cell>
          <cell r="AV7095">
            <v>0</v>
          </cell>
        </row>
        <row r="7096">
          <cell r="E7096" t="str">
            <v>D26001364</v>
          </cell>
          <cell r="AP7096">
            <v>0</v>
          </cell>
          <cell r="AQ7096">
            <v>0</v>
          </cell>
          <cell r="AV7096">
            <v>0</v>
          </cell>
        </row>
        <row r="7097">
          <cell r="E7097" t="str">
            <v>B26001541</v>
          </cell>
          <cell r="AP7097">
            <v>0</v>
          </cell>
          <cell r="AQ7097">
            <v>0</v>
          </cell>
          <cell r="AV7097">
            <v>0</v>
          </cell>
        </row>
        <row r="7098">
          <cell r="E7098" t="str">
            <v>B26001636</v>
          </cell>
          <cell r="AP7098">
            <v>0</v>
          </cell>
          <cell r="AQ7098">
            <v>0</v>
          </cell>
          <cell r="AV7098">
            <v>0</v>
          </cell>
        </row>
        <row r="7099">
          <cell r="E7099" t="str">
            <v>B26001637</v>
          </cell>
          <cell r="AP7099">
            <v>0</v>
          </cell>
          <cell r="AQ7099">
            <v>0</v>
          </cell>
          <cell r="AV7099">
            <v>0</v>
          </cell>
        </row>
        <row r="7100">
          <cell r="E7100" t="str">
            <v>D26001739</v>
          </cell>
          <cell r="AP7100">
            <v>0</v>
          </cell>
          <cell r="AQ7100">
            <v>0</v>
          </cell>
          <cell r="AV7100">
            <v>0</v>
          </cell>
        </row>
        <row r="7101">
          <cell r="E7101" t="str">
            <v>B26001723</v>
          </cell>
          <cell r="AP7101">
            <v>0</v>
          </cell>
          <cell r="AQ7101">
            <v>0</v>
          </cell>
          <cell r="AV7101">
            <v>0</v>
          </cell>
        </row>
        <row r="7102">
          <cell r="E7102" t="str">
            <v>D26001844</v>
          </cell>
          <cell r="AP7102">
            <v>0</v>
          </cell>
          <cell r="AQ7102">
            <v>0</v>
          </cell>
          <cell r="AV7102">
            <v>0</v>
          </cell>
        </row>
        <row r="7103">
          <cell r="E7103" t="str">
            <v>B26002084</v>
          </cell>
          <cell r="AP7103">
            <v>0</v>
          </cell>
          <cell r="AQ7103">
            <v>0</v>
          </cell>
          <cell r="AV7103">
            <v>0</v>
          </cell>
        </row>
        <row r="7104">
          <cell r="E7104" t="str">
            <v>D26002156</v>
          </cell>
          <cell r="AP7104">
            <v>0</v>
          </cell>
          <cell r="AQ7104">
            <v>0</v>
          </cell>
          <cell r="AV7104">
            <v>9750000</v>
          </cell>
        </row>
        <row r="7105">
          <cell r="E7105" t="str">
            <v>D26001887</v>
          </cell>
          <cell r="AP7105">
            <v>0</v>
          </cell>
          <cell r="AQ7105">
            <v>0</v>
          </cell>
          <cell r="AV7105">
            <v>15380000</v>
          </cell>
        </row>
        <row r="7106">
          <cell r="E7106" t="str">
            <v>C26000098</v>
          </cell>
          <cell r="AP7106">
            <v>0</v>
          </cell>
          <cell r="AQ7106">
            <v>0</v>
          </cell>
          <cell r="AV7106">
            <v>0</v>
          </cell>
        </row>
        <row r="7107">
          <cell r="E7107" t="str">
            <v>M26000025</v>
          </cell>
          <cell r="AP7107">
            <v>0</v>
          </cell>
          <cell r="AQ7107">
            <v>0</v>
          </cell>
          <cell r="AV7107">
            <v>0</v>
          </cell>
        </row>
        <row r="7108">
          <cell r="E7108" t="str">
            <v>T25001650K</v>
          </cell>
          <cell r="AP7108">
            <v>0</v>
          </cell>
          <cell r="AQ7108">
            <v>0</v>
          </cell>
          <cell r="AV7108">
            <v>0</v>
          </cell>
        </row>
        <row r="7109">
          <cell r="E7109" t="str">
            <v>T25001664</v>
          </cell>
          <cell r="AP7109">
            <v>0</v>
          </cell>
          <cell r="AQ7109">
            <v>0</v>
          </cell>
          <cell r="AV7109">
            <v>4360000</v>
          </cell>
        </row>
        <row r="7110">
          <cell r="E7110" t="str">
            <v>D25017969</v>
          </cell>
          <cell r="AP7110">
            <v>0</v>
          </cell>
          <cell r="AQ7110">
            <v>0</v>
          </cell>
          <cell r="AV7110">
            <v>3640000</v>
          </cell>
        </row>
        <row r="7111">
          <cell r="E7111" t="str">
            <v>D25017969</v>
          </cell>
          <cell r="AP7111">
            <v>0</v>
          </cell>
          <cell r="AQ7111">
            <v>0</v>
          </cell>
          <cell r="AV7111">
            <v>4000000</v>
          </cell>
        </row>
        <row r="7112">
          <cell r="E7112" t="str">
            <v>B26000483</v>
          </cell>
          <cell r="AP7112">
            <v>0</v>
          </cell>
          <cell r="AQ7112">
            <v>0</v>
          </cell>
          <cell r="AV7112">
            <v>0</v>
          </cell>
        </row>
        <row r="7113">
          <cell r="E7113" t="str">
            <v>B26000849</v>
          </cell>
          <cell r="AP7113">
            <v>0</v>
          </cell>
          <cell r="AQ7113">
            <v>0</v>
          </cell>
          <cell r="AV7113">
            <v>0</v>
          </cell>
        </row>
        <row r="7114">
          <cell r="E7114" t="str">
            <v>B26001718</v>
          </cell>
          <cell r="AP7114">
            <v>0</v>
          </cell>
          <cell r="AQ7114">
            <v>0</v>
          </cell>
          <cell r="AV7114">
            <v>0</v>
          </cell>
        </row>
        <row r="7115">
          <cell r="E7115" t="str">
            <v>D26002373</v>
          </cell>
          <cell r="AP7115">
            <v>0</v>
          </cell>
          <cell r="AQ7115">
            <v>0</v>
          </cell>
          <cell r="AV7115">
            <v>0</v>
          </cell>
        </row>
        <row r="7116">
          <cell r="E7116" t="str">
            <v>B25015014</v>
          </cell>
          <cell r="AP7116">
            <v>0</v>
          </cell>
          <cell r="AQ7116">
            <v>0</v>
          </cell>
          <cell r="AV7116">
            <v>0</v>
          </cell>
        </row>
        <row r="7117">
          <cell r="E7117" t="str">
            <v>D25017847</v>
          </cell>
          <cell r="AP7117">
            <v>0</v>
          </cell>
          <cell r="AQ7117">
            <v>0</v>
          </cell>
          <cell r="AV7117">
            <v>0</v>
          </cell>
        </row>
        <row r="7118">
          <cell r="E7118" t="str">
            <v>B25015804</v>
          </cell>
          <cell r="AP7118">
            <v>0</v>
          </cell>
          <cell r="AQ7118">
            <v>0</v>
          </cell>
          <cell r="AV7118">
            <v>0</v>
          </cell>
        </row>
        <row r="7119">
          <cell r="E7119" t="str">
            <v>B25016077</v>
          </cell>
          <cell r="AP7119">
            <v>0</v>
          </cell>
          <cell r="AQ7119">
            <v>0</v>
          </cell>
          <cell r="AV7119">
            <v>920000</v>
          </cell>
        </row>
        <row r="7120">
          <cell r="E7120" t="str">
            <v>D25018581</v>
          </cell>
          <cell r="AP7120">
            <v>0</v>
          </cell>
          <cell r="AQ7120">
            <v>0</v>
          </cell>
          <cell r="AV7120">
            <v>1496000</v>
          </cell>
        </row>
        <row r="7121">
          <cell r="E7121" t="str">
            <v>D25018724</v>
          </cell>
          <cell r="AP7121">
            <v>0</v>
          </cell>
          <cell r="AQ7121">
            <v>0</v>
          </cell>
          <cell r="AV7121">
            <v>1062500</v>
          </cell>
        </row>
        <row r="7122">
          <cell r="E7122" t="str">
            <v>D25018766</v>
          </cell>
          <cell r="AP7122">
            <v>0</v>
          </cell>
          <cell r="AQ7122">
            <v>0</v>
          </cell>
          <cell r="AV7122">
            <v>12240000</v>
          </cell>
        </row>
        <row r="7123">
          <cell r="E7123" t="str">
            <v>B25016403</v>
          </cell>
          <cell r="AP7123">
            <v>0</v>
          </cell>
          <cell r="AQ7123">
            <v>0</v>
          </cell>
          <cell r="AV7123">
            <v>1600000</v>
          </cell>
        </row>
        <row r="7124">
          <cell r="E7124" t="str">
            <v>B25016449</v>
          </cell>
          <cell r="AP7124">
            <v>0</v>
          </cell>
          <cell r="AQ7124">
            <v>0</v>
          </cell>
          <cell r="AV7124">
            <v>920000</v>
          </cell>
        </row>
        <row r="7125">
          <cell r="E7125" t="str">
            <v>D25018941</v>
          </cell>
          <cell r="AP7125">
            <v>0</v>
          </cell>
          <cell r="AQ7125">
            <v>0</v>
          </cell>
          <cell r="AV7125">
            <v>0</v>
          </cell>
        </row>
        <row r="7126">
          <cell r="E7126" t="str">
            <v>D25018968</v>
          </cell>
          <cell r="AP7126">
            <v>0</v>
          </cell>
          <cell r="AQ7126">
            <v>0</v>
          </cell>
          <cell r="AV7126">
            <v>0</v>
          </cell>
        </row>
        <row r="7127">
          <cell r="E7127" t="str">
            <v>D25019405</v>
          </cell>
          <cell r="AP7127">
            <v>0</v>
          </cell>
          <cell r="AQ7127">
            <v>0</v>
          </cell>
          <cell r="AV7127">
            <v>0</v>
          </cell>
        </row>
        <row r="7128">
          <cell r="E7128" t="str">
            <v>D25019406</v>
          </cell>
          <cell r="AP7128">
            <v>0</v>
          </cell>
          <cell r="AQ7128">
            <v>0</v>
          </cell>
          <cell r="AV7128">
            <v>0</v>
          </cell>
        </row>
        <row r="7129">
          <cell r="E7129" t="str">
            <v>B26000104</v>
          </cell>
          <cell r="AP7129">
            <v>0</v>
          </cell>
          <cell r="AQ7129">
            <v>0</v>
          </cell>
          <cell r="AV7129">
            <v>0</v>
          </cell>
        </row>
        <row r="7130">
          <cell r="E7130" t="str">
            <v>B26000105</v>
          </cell>
          <cell r="AP7130">
            <v>0</v>
          </cell>
          <cell r="AQ7130">
            <v>0</v>
          </cell>
          <cell r="AV7130">
            <v>0</v>
          </cell>
        </row>
        <row r="7131">
          <cell r="E7131" t="str">
            <v>B26000265</v>
          </cell>
          <cell r="AP7131">
            <v>0</v>
          </cell>
          <cell r="AQ7131">
            <v>0</v>
          </cell>
          <cell r="AV7131">
            <v>0</v>
          </cell>
        </row>
        <row r="7132">
          <cell r="E7132" t="str">
            <v>B26000266</v>
          </cell>
          <cell r="AP7132">
            <v>0</v>
          </cell>
          <cell r="AQ7132">
            <v>0</v>
          </cell>
          <cell r="AV7132">
            <v>0</v>
          </cell>
        </row>
        <row r="7133">
          <cell r="E7133" t="str">
            <v>D26000312</v>
          </cell>
          <cell r="AP7133">
            <v>0</v>
          </cell>
          <cell r="AQ7133">
            <v>0</v>
          </cell>
          <cell r="AV7133">
            <v>0</v>
          </cell>
        </row>
        <row r="7134">
          <cell r="E7134" t="str">
            <v>B26000396</v>
          </cell>
          <cell r="AP7134">
            <v>0</v>
          </cell>
          <cell r="AQ7134">
            <v>0</v>
          </cell>
          <cell r="AV7134">
            <v>0</v>
          </cell>
        </row>
        <row r="7135">
          <cell r="E7135" t="str">
            <v>D26000509</v>
          </cell>
          <cell r="AP7135">
            <v>0</v>
          </cell>
          <cell r="AQ7135">
            <v>0</v>
          </cell>
          <cell r="AV7135">
            <v>0</v>
          </cell>
        </row>
        <row r="7136">
          <cell r="E7136" t="str">
            <v>D26000564</v>
          </cell>
          <cell r="AP7136">
            <v>0</v>
          </cell>
          <cell r="AQ7136">
            <v>0</v>
          </cell>
          <cell r="AV7136">
            <v>0</v>
          </cell>
        </row>
        <row r="7137">
          <cell r="E7137" t="str">
            <v>D26000984</v>
          </cell>
          <cell r="AP7137">
            <v>0</v>
          </cell>
          <cell r="AQ7137">
            <v>0</v>
          </cell>
          <cell r="AV7137">
            <v>0</v>
          </cell>
        </row>
        <row r="7138">
          <cell r="E7138" t="str">
            <v>B26000961</v>
          </cell>
          <cell r="AP7138">
            <v>0</v>
          </cell>
          <cell r="AQ7138">
            <v>0</v>
          </cell>
          <cell r="AV7138">
            <v>0</v>
          </cell>
        </row>
        <row r="7139">
          <cell r="E7139" t="str">
            <v>D26001056</v>
          </cell>
          <cell r="AP7139">
            <v>0</v>
          </cell>
          <cell r="AQ7139">
            <v>0</v>
          </cell>
          <cell r="AV7139">
            <v>0</v>
          </cell>
        </row>
        <row r="7140">
          <cell r="E7140" t="str">
            <v>D26001312</v>
          </cell>
          <cell r="AP7140">
            <v>0</v>
          </cell>
          <cell r="AQ7140">
            <v>0</v>
          </cell>
          <cell r="AV7140">
            <v>0</v>
          </cell>
        </row>
        <row r="7141">
          <cell r="E7141" t="str">
            <v>B26001407</v>
          </cell>
          <cell r="AP7141">
            <v>0</v>
          </cell>
          <cell r="AQ7141">
            <v>0</v>
          </cell>
          <cell r="AV7141">
            <v>0</v>
          </cell>
        </row>
        <row r="7142">
          <cell r="E7142" t="str">
            <v>B26001408</v>
          </cell>
          <cell r="AP7142">
            <v>0</v>
          </cell>
          <cell r="AQ7142">
            <v>0</v>
          </cell>
          <cell r="AV7142">
            <v>0</v>
          </cell>
        </row>
        <row r="7143">
          <cell r="E7143" t="str">
            <v>B26001709</v>
          </cell>
          <cell r="AP7143">
            <v>0</v>
          </cell>
          <cell r="AQ7143">
            <v>0</v>
          </cell>
          <cell r="AV7143">
            <v>0</v>
          </cell>
        </row>
        <row r="7144">
          <cell r="E7144" t="str">
            <v>D26001768</v>
          </cell>
          <cell r="AP7144">
            <v>0</v>
          </cell>
          <cell r="AQ7144">
            <v>0</v>
          </cell>
          <cell r="AV7144">
            <v>0</v>
          </cell>
        </row>
        <row r="7145">
          <cell r="E7145" t="str">
            <v>B26001754</v>
          </cell>
          <cell r="AP7145">
            <v>0</v>
          </cell>
          <cell r="AQ7145">
            <v>0</v>
          </cell>
          <cell r="AV7145">
            <v>0</v>
          </cell>
        </row>
        <row r="7146">
          <cell r="E7146" t="str">
            <v>B26001755</v>
          </cell>
          <cell r="AP7146">
            <v>0</v>
          </cell>
          <cell r="AQ7146">
            <v>0</v>
          </cell>
          <cell r="AV7146">
            <v>0</v>
          </cell>
        </row>
        <row r="7147">
          <cell r="E7147" t="str">
            <v>D26001978</v>
          </cell>
          <cell r="AP7147">
            <v>0</v>
          </cell>
          <cell r="AQ7147">
            <v>0</v>
          </cell>
          <cell r="AV7147">
            <v>0</v>
          </cell>
        </row>
        <row r="7148">
          <cell r="E7148" t="str">
            <v>T26000140</v>
          </cell>
          <cell r="AP7148">
            <v>0</v>
          </cell>
          <cell r="AQ7148">
            <v>0</v>
          </cell>
          <cell r="AV7148">
            <v>0</v>
          </cell>
        </row>
        <row r="7149">
          <cell r="E7149" t="str">
            <v>B26001996</v>
          </cell>
          <cell r="AP7149">
            <v>0</v>
          </cell>
          <cell r="AQ7149">
            <v>0</v>
          </cell>
          <cell r="AV7149">
            <v>0</v>
          </cell>
        </row>
        <row r="7150">
          <cell r="E7150" t="str">
            <v>B26001997</v>
          </cell>
          <cell r="AP7150">
            <v>0</v>
          </cell>
          <cell r="AQ7150">
            <v>0</v>
          </cell>
          <cell r="AV7150">
            <v>0</v>
          </cell>
        </row>
        <row r="7151">
          <cell r="E7151" t="str">
            <v>D26002135</v>
          </cell>
          <cell r="AP7151">
            <v>0</v>
          </cell>
          <cell r="AQ7151">
            <v>0</v>
          </cell>
          <cell r="AV7151">
            <v>0</v>
          </cell>
        </row>
        <row r="7152">
          <cell r="E7152" t="str">
            <v>D26002379</v>
          </cell>
          <cell r="AP7152">
            <v>0</v>
          </cell>
          <cell r="AQ7152">
            <v>0</v>
          </cell>
          <cell r="AV7152">
            <v>0</v>
          </cell>
        </row>
        <row r="7153">
          <cell r="E7153" t="str">
            <v>D26002380</v>
          </cell>
          <cell r="AP7153">
            <v>0</v>
          </cell>
          <cell r="AQ7153">
            <v>0</v>
          </cell>
          <cell r="AV7153">
            <v>0</v>
          </cell>
        </row>
        <row r="7154">
          <cell r="E7154" t="str">
            <v>D26000747</v>
          </cell>
          <cell r="AP7154">
            <v>0</v>
          </cell>
          <cell r="AQ7154">
            <v>0</v>
          </cell>
          <cell r="AV7154">
            <v>6750000</v>
          </cell>
        </row>
        <row r="7155">
          <cell r="E7155" t="str">
            <v>D26000751</v>
          </cell>
          <cell r="AP7155">
            <v>0</v>
          </cell>
          <cell r="AQ7155">
            <v>0</v>
          </cell>
          <cell r="AV7155">
            <v>2845000</v>
          </cell>
        </row>
        <row r="7156">
          <cell r="E7156" t="str">
            <v>B26001530</v>
          </cell>
          <cell r="AP7156">
            <v>0</v>
          </cell>
          <cell r="AQ7156">
            <v>0</v>
          </cell>
          <cell r="AV7156">
            <v>0</v>
          </cell>
        </row>
        <row r="7157">
          <cell r="E7157" t="str">
            <v>B26001875</v>
          </cell>
          <cell r="AP7157">
            <v>0</v>
          </cell>
          <cell r="AQ7157">
            <v>0</v>
          </cell>
          <cell r="AV7157">
            <v>0</v>
          </cell>
        </row>
        <row r="7158">
          <cell r="E7158" t="str">
            <v>B26001093</v>
          </cell>
          <cell r="AP7158">
            <v>0</v>
          </cell>
          <cell r="AQ7158">
            <v>0</v>
          </cell>
          <cell r="AV7158">
            <v>0</v>
          </cell>
        </row>
        <row r="7159">
          <cell r="E7159" t="str">
            <v>B25016506</v>
          </cell>
          <cell r="AP7159">
            <v>0</v>
          </cell>
          <cell r="AQ7159">
            <v>0</v>
          </cell>
          <cell r="AV7159">
            <v>3400000</v>
          </cell>
        </row>
        <row r="7160">
          <cell r="E7160" t="str">
            <v>B26000861</v>
          </cell>
          <cell r="AP7160">
            <v>0</v>
          </cell>
          <cell r="AQ7160">
            <v>0</v>
          </cell>
          <cell r="AV7160">
            <v>0</v>
          </cell>
        </row>
        <row r="7161">
          <cell r="E7161" t="str">
            <v>B26000967</v>
          </cell>
          <cell r="AP7161">
            <v>0</v>
          </cell>
          <cell r="AQ7161">
            <v>0</v>
          </cell>
          <cell r="AV7161">
            <v>0</v>
          </cell>
        </row>
        <row r="7162">
          <cell r="E7162" t="str">
            <v>D26001363</v>
          </cell>
          <cell r="AP7162">
            <v>0</v>
          </cell>
          <cell r="AQ7162">
            <v>0</v>
          </cell>
          <cell r="AV7162">
            <v>0</v>
          </cell>
        </row>
        <row r="7163">
          <cell r="E7163" t="str">
            <v>B25016720</v>
          </cell>
          <cell r="AP7163">
            <v>0</v>
          </cell>
          <cell r="AQ7163">
            <v>0</v>
          </cell>
          <cell r="AV7163">
            <v>0</v>
          </cell>
        </row>
        <row r="7164">
          <cell r="E7164" t="str">
            <v>B26002178</v>
          </cell>
          <cell r="AP7164">
            <v>0</v>
          </cell>
          <cell r="AQ7164">
            <v>0</v>
          </cell>
          <cell r="AV7164">
            <v>0</v>
          </cell>
        </row>
        <row r="7165">
          <cell r="E7165" t="str">
            <v>D26002355</v>
          </cell>
          <cell r="AP7165">
            <v>0</v>
          </cell>
          <cell r="AQ7165">
            <v>0</v>
          </cell>
          <cell r="AV7165">
            <v>0</v>
          </cell>
        </row>
        <row r="7166">
          <cell r="E7166" t="str">
            <v>B25016527</v>
          </cell>
          <cell r="AP7166">
            <v>0</v>
          </cell>
          <cell r="AQ7166">
            <v>0</v>
          </cell>
          <cell r="AV7166">
            <v>3885000</v>
          </cell>
        </row>
        <row r="7167">
          <cell r="E7167" t="str">
            <v>D26000349</v>
          </cell>
          <cell r="AP7167">
            <v>0</v>
          </cell>
          <cell r="AQ7167">
            <v>0</v>
          </cell>
          <cell r="AV7167">
            <v>0</v>
          </cell>
        </row>
        <row r="7168">
          <cell r="E7168" t="str">
            <v>B26001364</v>
          </cell>
          <cell r="AP7168">
            <v>0</v>
          </cell>
          <cell r="AQ7168">
            <v>0</v>
          </cell>
          <cell r="AV7168">
            <v>0</v>
          </cell>
        </row>
        <row r="7169">
          <cell r="E7169" t="str">
            <v>T24000579</v>
          </cell>
          <cell r="AP7169">
            <v>0</v>
          </cell>
          <cell r="AQ7169">
            <v>0</v>
          </cell>
          <cell r="AV7169">
            <v>0</v>
          </cell>
        </row>
        <row r="7170">
          <cell r="E7170" t="str">
            <v>D26002378</v>
          </cell>
          <cell r="AP7170">
            <v>0</v>
          </cell>
          <cell r="AQ7170">
            <v>0</v>
          </cell>
          <cell r="AV7170">
            <v>0</v>
          </cell>
        </row>
        <row r="7171">
          <cell r="E7171" t="str">
            <v>T26000094</v>
          </cell>
          <cell r="AP7171">
            <v>0</v>
          </cell>
          <cell r="AQ7171">
            <v>0</v>
          </cell>
          <cell r="AV7171">
            <v>0</v>
          </cell>
        </row>
        <row r="7172">
          <cell r="E7172" t="str">
            <v>T26000095</v>
          </cell>
          <cell r="AP7172">
            <v>0</v>
          </cell>
          <cell r="AQ7172">
            <v>0</v>
          </cell>
          <cell r="AV7172">
            <v>0</v>
          </cell>
        </row>
        <row r="7173">
          <cell r="E7173" t="str">
            <v>B25016872</v>
          </cell>
          <cell r="AP7173">
            <v>0</v>
          </cell>
          <cell r="AQ7173">
            <v>0</v>
          </cell>
          <cell r="AV7173">
            <v>0</v>
          </cell>
        </row>
        <row r="7174">
          <cell r="E7174" t="str">
            <v>D25018456</v>
          </cell>
          <cell r="AP7174">
            <v>0</v>
          </cell>
          <cell r="AQ7174">
            <v>0</v>
          </cell>
          <cell r="AV7174">
            <v>900000</v>
          </cell>
        </row>
        <row r="7175">
          <cell r="E7175" t="str">
            <v>D25018691</v>
          </cell>
          <cell r="AP7175">
            <v>0</v>
          </cell>
          <cell r="AQ7175">
            <v>0</v>
          </cell>
          <cell r="AV7175">
            <v>1720000</v>
          </cell>
        </row>
        <row r="7176">
          <cell r="E7176" t="str">
            <v>D25019380</v>
          </cell>
          <cell r="AP7176">
            <v>0</v>
          </cell>
          <cell r="AQ7176">
            <v>0</v>
          </cell>
          <cell r="AV7176">
            <v>2733250</v>
          </cell>
        </row>
        <row r="7177">
          <cell r="E7177" t="str">
            <v>B25016924</v>
          </cell>
          <cell r="AP7177">
            <v>0</v>
          </cell>
          <cell r="AQ7177">
            <v>0</v>
          </cell>
          <cell r="AV7177">
            <v>0</v>
          </cell>
        </row>
        <row r="7178">
          <cell r="E7178" t="str">
            <v>D25019503</v>
          </cell>
          <cell r="AP7178">
            <v>0</v>
          </cell>
          <cell r="AQ7178">
            <v>0</v>
          </cell>
          <cell r="AV7178">
            <v>0</v>
          </cell>
        </row>
        <row r="7179">
          <cell r="E7179" t="str">
            <v>B25016963</v>
          </cell>
          <cell r="AP7179">
            <v>0</v>
          </cell>
          <cell r="AQ7179">
            <v>0</v>
          </cell>
          <cell r="AV7179">
            <v>0</v>
          </cell>
        </row>
        <row r="7180">
          <cell r="E7180" t="str">
            <v>B26000087</v>
          </cell>
          <cell r="AP7180">
            <v>0</v>
          </cell>
          <cell r="AQ7180">
            <v>0</v>
          </cell>
          <cell r="AV7180">
            <v>0</v>
          </cell>
        </row>
        <row r="7181">
          <cell r="E7181" t="str">
            <v>D26002198</v>
          </cell>
          <cell r="AP7181">
            <v>0</v>
          </cell>
          <cell r="AQ7181">
            <v>0</v>
          </cell>
          <cell r="AV7181">
            <v>0</v>
          </cell>
        </row>
        <row r="7182">
          <cell r="E7182" t="str">
            <v>B26002163</v>
          </cell>
          <cell r="AP7182">
            <v>0</v>
          </cell>
          <cell r="AQ7182">
            <v>0</v>
          </cell>
          <cell r="AV7182">
            <v>0</v>
          </cell>
        </row>
        <row r="7183">
          <cell r="E7183" t="str">
            <v>B26001571</v>
          </cell>
          <cell r="AP7183">
            <v>0</v>
          </cell>
          <cell r="AQ7183">
            <v>0</v>
          </cell>
          <cell r="AV7183">
            <v>0</v>
          </cell>
        </row>
        <row r="7184">
          <cell r="E7184" t="str">
            <v>B26001572</v>
          </cell>
          <cell r="AP7184">
            <v>0</v>
          </cell>
          <cell r="AQ7184">
            <v>0</v>
          </cell>
          <cell r="AV7184">
            <v>0</v>
          </cell>
        </row>
        <row r="7185">
          <cell r="E7185" t="str">
            <v>T26000115</v>
          </cell>
          <cell r="AP7185">
            <v>0</v>
          </cell>
          <cell r="AQ7185">
            <v>0</v>
          </cell>
          <cell r="AV7185">
            <v>3720000</v>
          </cell>
        </row>
        <row r="7186">
          <cell r="E7186" t="str">
            <v>B25016002</v>
          </cell>
          <cell r="AP7186">
            <v>0</v>
          </cell>
          <cell r="AQ7186">
            <v>0</v>
          </cell>
          <cell r="AV7186">
            <v>7551000</v>
          </cell>
        </row>
        <row r="7187">
          <cell r="E7187" t="str">
            <v>B25016440</v>
          </cell>
          <cell r="AP7187">
            <v>0</v>
          </cell>
          <cell r="AQ7187">
            <v>0</v>
          </cell>
          <cell r="AV7187">
            <v>0</v>
          </cell>
        </row>
        <row r="7188">
          <cell r="E7188" t="str">
            <v>D25019251</v>
          </cell>
          <cell r="AP7188">
            <v>0</v>
          </cell>
          <cell r="AQ7188">
            <v>0</v>
          </cell>
          <cell r="AV7188">
            <v>0</v>
          </cell>
        </row>
        <row r="7189">
          <cell r="E7189" t="str">
            <v>B25016920</v>
          </cell>
          <cell r="AP7189">
            <v>0</v>
          </cell>
          <cell r="AQ7189">
            <v>0</v>
          </cell>
          <cell r="AV7189">
            <v>0</v>
          </cell>
        </row>
        <row r="7190">
          <cell r="E7190" t="str">
            <v>B26000197</v>
          </cell>
          <cell r="AP7190">
            <v>0</v>
          </cell>
          <cell r="AQ7190">
            <v>0</v>
          </cell>
          <cell r="AV7190">
            <v>3300000</v>
          </cell>
        </row>
        <row r="7191">
          <cell r="E7191" t="str">
            <v>D26000285</v>
          </cell>
          <cell r="AP7191">
            <v>0</v>
          </cell>
          <cell r="AQ7191">
            <v>0</v>
          </cell>
          <cell r="AV7191">
            <v>0</v>
          </cell>
        </row>
        <row r="7192">
          <cell r="E7192" t="str">
            <v>D26000339</v>
          </cell>
          <cell r="AP7192">
            <v>0</v>
          </cell>
          <cell r="AQ7192">
            <v>0</v>
          </cell>
          <cell r="AV7192">
            <v>0</v>
          </cell>
        </row>
        <row r="7193">
          <cell r="E7193" t="str">
            <v>D26000436</v>
          </cell>
          <cell r="AP7193">
            <v>0</v>
          </cell>
          <cell r="AQ7193">
            <v>0</v>
          </cell>
          <cell r="AV7193">
            <v>0</v>
          </cell>
        </row>
        <row r="7194">
          <cell r="E7194" t="str">
            <v>B26000448</v>
          </cell>
          <cell r="AP7194">
            <v>0</v>
          </cell>
          <cell r="AQ7194">
            <v>0</v>
          </cell>
          <cell r="AV7194">
            <v>630000</v>
          </cell>
        </row>
        <row r="7195">
          <cell r="E7195" t="str">
            <v>B26000969</v>
          </cell>
          <cell r="AP7195">
            <v>0</v>
          </cell>
          <cell r="AQ7195">
            <v>0</v>
          </cell>
          <cell r="AV7195">
            <v>0</v>
          </cell>
        </row>
        <row r="7196">
          <cell r="E7196" t="str">
            <v>B26000989</v>
          </cell>
          <cell r="AP7196">
            <v>0</v>
          </cell>
          <cell r="AQ7196">
            <v>0</v>
          </cell>
          <cell r="AV7196">
            <v>0</v>
          </cell>
        </row>
        <row r="7197">
          <cell r="E7197" t="str">
            <v>B26001057</v>
          </cell>
          <cell r="AP7197">
            <v>0</v>
          </cell>
          <cell r="AQ7197">
            <v>0</v>
          </cell>
          <cell r="AV7197">
            <v>0</v>
          </cell>
        </row>
        <row r="7198">
          <cell r="E7198" t="str">
            <v>D26001086</v>
          </cell>
          <cell r="AP7198">
            <v>0</v>
          </cell>
          <cell r="AQ7198">
            <v>0</v>
          </cell>
          <cell r="AV7198">
            <v>0</v>
          </cell>
        </row>
        <row r="7199">
          <cell r="E7199" t="str">
            <v>D26001087</v>
          </cell>
          <cell r="AP7199">
            <v>0</v>
          </cell>
          <cell r="AQ7199">
            <v>0</v>
          </cell>
          <cell r="AV7199">
            <v>0</v>
          </cell>
        </row>
        <row r="7200">
          <cell r="E7200" t="str">
            <v>D26001226</v>
          </cell>
          <cell r="AP7200">
            <v>0</v>
          </cell>
          <cell r="AQ7200">
            <v>0</v>
          </cell>
          <cell r="AV7200">
            <v>0</v>
          </cell>
        </row>
        <row r="7201">
          <cell r="E7201" t="str">
            <v>D26001227</v>
          </cell>
          <cell r="AP7201">
            <v>0</v>
          </cell>
          <cell r="AQ7201">
            <v>0</v>
          </cell>
          <cell r="AV7201">
            <v>0</v>
          </cell>
        </row>
        <row r="7202">
          <cell r="E7202" t="str">
            <v>D26001387</v>
          </cell>
          <cell r="AP7202">
            <v>0</v>
          </cell>
          <cell r="AQ7202">
            <v>0</v>
          </cell>
          <cell r="AV7202">
            <v>0</v>
          </cell>
        </row>
        <row r="7203">
          <cell r="E7203" t="str">
            <v>D26001410</v>
          </cell>
          <cell r="AP7203">
            <v>0</v>
          </cell>
          <cell r="AQ7203">
            <v>0</v>
          </cell>
          <cell r="AV7203">
            <v>0</v>
          </cell>
        </row>
        <row r="7204">
          <cell r="E7204" t="str">
            <v>B26001391</v>
          </cell>
          <cell r="AP7204">
            <v>0</v>
          </cell>
          <cell r="AQ7204">
            <v>0</v>
          </cell>
          <cell r="AV7204">
            <v>0</v>
          </cell>
        </row>
        <row r="7205">
          <cell r="E7205" t="str">
            <v>D26001471</v>
          </cell>
          <cell r="AP7205">
            <v>0</v>
          </cell>
          <cell r="AQ7205">
            <v>0</v>
          </cell>
          <cell r="AV7205">
            <v>0</v>
          </cell>
        </row>
        <row r="7206">
          <cell r="E7206" t="str">
            <v>D26002048</v>
          </cell>
          <cell r="AP7206">
            <v>0</v>
          </cell>
          <cell r="AQ7206">
            <v>0</v>
          </cell>
          <cell r="AV7206">
            <v>0</v>
          </cell>
        </row>
        <row r="7207">
          <cell r="E7207" t="str">
            <v>B26002097</v>
          </cell>
          <cell r="AP7207">
            <v>0</v>
          </cell>
          <cell r="AQ7207">
            <v>0</v>
          </cell>
          <cell r="AV7207">
            <v>0</v>
          </cell>
        </row>
        <row r="7208">
          <cell r="E7208" t="str">
            <v>B26002146</v>
          </cell>
          <cell r="AP7208">
            <v>0</v>
          </cell>
          <cell r="AQ7208">
            <v>0</v>
          </cell>
          <cell r="AV7208">
            <v>0</v>
          </cell>
        </row>
        <row r="7209">
          <cell r="E7209" t="str">
            <v>B26002151</v>
          </cell>
          <cell r="AP7209">
            <v>0</v>
          </cell>
          <cell r="AQ7209">
            <v>0</v>
          </cell>
          <cell r="AV7209">
            <v>0</v>
          </cell>
        </row>
        <row r="7210">
          <cell r="E7210" t="str">
            <v>D26002246</v>
          </cell>
          <cell r="AP7210">
            <v>0</v>
          </cell>
          <cell r="AQ7210">
            <v>0</v>
          </cell>
          <cell r="AV7210">
            <v>0</v>
          </cell>
        </row>
        <row r="7211">
          <cell r="E7211" t="str">
            <v>D26002303</v>
          </cell>
          <cell r="AP7211">
            <v>0</v>
          </cell>
          <cell r="AQ7211">
            <v>0</v>
          </cell>
          <cell r="AV7211">
            <v>0</v>
          </cell>
        </row>
        <row r="7212">
          <cell r="E7212" t="str">
            <v>D26002363</v>
          </cell>
          <cell r="AP7212">
            <v>0</v>
          </cell>
          <cell r="AQ7212">
            <v>0</v>
          </cell>
          <cell r="AV7212">
            <v>0</v>
          </cell>
        </row>
        <row r="7213">
          <cell r="E7213" t="str">
            <v>B26002205</v>
          </cell>
          <cell r="AP7213">
            <v>0</v>
          </cell>
          <cell r="AQ7213">
            <v>0</v>
          </cell>
          <cell r="AV7213">
            <v>0</v>
          </cell>
        </row>
        <row r="7214">
          <cell r="E7214" t="str">
            <v>D25017696</v>
          </cell>
          <cell r="AP7214">
            <v>0</v>
          </cell>
          <cell r="AQ7214">
            <v>0</v>
          </cell>
          <cell r="AV7214">
            <v>5025000</v>
          </cell>
        </row>
        <row r="7215">
          <cell r="E7215" t="str">
            <v>D25017696</v>
          </cell>
          <cell r="AP7215">
            <v>975000</v>
          </cell>
          <cell r="AQ7215">
            <v>0</v>
          </cell>
          <cell r="AV7215">
            <v>0</v>
          </cell>
        </row>
        <row r="7216">
          <cell r="E7216" t="str">
            <v>D25017697</v>
          </cell>
          <cell r="AP7216">
            <v>0</v>
          </cell>
          <cell r="AQ7216">
            <v>0</v>
          </cell>
          <cell r="AV7216">
            <v>0</v>
          </cell>
        </row>
        <row r="7217">
          <cell r="E7217" t="str">
            <v>D26002415</v>
          </cell>
          <cell r="AP7217">
            <v>0</v>
          </cell>
          <cell r="AQ7217">
            <v>0</v>
          </cell>
          <cell r="AV7217">
            <v>0</v>
          </cell>
        </row>
        <row r="7218">
          <cell r="E7218" t="str">
            <v>D26002014</v>
          </cell>
          <cell r="AP7218">
            <v>0</v>
          </cell>
          <cell r="AQ7218">
            <v>0</v>
          </cell>
          <cell r="AV7218">
            <v>22800000</v>
          </cell>
        </row>
        <row r="7219">
          <cell r="E7219" t="str">
            <v>D26000941</v>
          </cell>
          <cell r="AP7219">
            <v>0</v>
          </cell>
          <cell r="AQ7219">
            <v>0</v>
          </cell>
          <cell r="AV7219">
            <v>0</v>
          </cell>
        </row>
        <row r="7220">
          <cell r="E7220" t="str">
            <v>D26001067</v>
          </cell>
          <cell r="AP7220">
            <v>0</v>
          </cell>
          <cell r="AQ7220">
            <v>0</v>
          </cell>
          <cell r="AV7220">
            <v>0</v>
          </cell>
        </row>
        <row r="7221">
          <cell r="E7221" t="str">
            <v>D26001771</v>
          </cell>
          <cell r="AP7221">
            <v>0</v>
          </cell>
          <cell r="AQ7221">
            <v>0</v>
          </cell>
          <cell r="AV7221">
            <v>385000</v>
          </cell>
        </row>
        <row r="7222">
          <cell r="E7222" t="str">
            <v>B26001566</v>
          </cell>
          <cell r="AP7222">
            <v>0</v>
          </cell>
          <cell r="AQ7222">
            <v>0</v>
          </cell>
          <cell r="AV7222">
            <v>6120000</v>
          </cell>
        </row>
        <row r="7224">
          <cell r="E7224" t="str">
            <v>x</v>
          </cell>
          <cell r="AP7224" t="str">
            <v>x</v>
          </cell>
          <cell r="AQ7224" t="str">
            <v>x</v>
          </cell>
          <cell r="AV7224" t="str">
            <v>x</v>
          </cell>
        </row>
        <row r="7225">
          <cell r="AP7225">
            <v>91746088</v>
          </cell>
          <cell r="AQ7225">
            <v>10900117250</v>
          </cell>
          <cell r="AV7225">
            <v>50080805360.509995</v>
          </cell>
        </row>
        <row r="7226">
          <cell r="AQ7226">
            <v>10825247500</v>
          </cell>
        </row>
        <row r="7227">
          <cell r="AQ7227">
            <v>74869750</v>
          </cell>
        </row>
        <row r="7228">
          <cell r="AQ7228">
            <v>74870000</v>
          </cell>
        </row>
        <row r="7230">
          <cell r="AP7230" t="str">
            <v>Jelita, UD</v>
          </cell>
          <cell r="AQ7230">
            <v>250</v>
          </cell>
        </row>
        <row r="7231">
          <cell r="AP7231" t="str">
            <v>Jelita, UD</v>
          </cell>
        </row>
        <row r="7232">
          <cell r="AP7232" t="str">
            <v>Sumber Berkat/Agus</v>
          </cell>
        </row>
        <row r="7233">
          <cell r="AP7233" t="str">
            <v>Subur Tani Agro Raya Sejahtera, CV (Asuransi MAG)</v>
          </cell>
        </row>
        <row r="7234">
          <cell r="AP7234" t="str">
            <v>Subur Tani Agro Raya Sejahtera, CV (Asuransi MAG)</v>
          </cell>
        </row>
        <row r="7235">
          <cell r="AP7235" t="str">
            <v>Subur Tani Agro Raya Sejahtera, CV (Asuransi MAG)</v>
          </cell>
        </row>
        <row r="7236">
          <cell r="AP7236" t="str">
            <v>Subur Tani Agro Raya Sejahtera, CV (Asuransi MAG)</v>
          </cell>
        </row>
      </sheetData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1"/>
    </sheetNames>
    <sheetDataSet>
      <sheetData sheetId="0">
        <row r="12">
          <cell r="E12" t="str">
            <v>Morodadi/Heru</v>
          </cell>
          <cell r="I12">
            <v>2432500</v>
          </cell>
        </row>
        <row r="13">
          <cell r="E13" t="str">
            <v>Morodadi/Heru</v>
          </cell>
          <cell r="I13">
            <v>4550000</v>
          </cell>
        </row>
        <row r="14">
          <cell r="E14" t="str">
            <v>Morodadi/Heru</v>
          </cell>
          <cell r="I14">
            <v>3300000</v>
          </cell>
        </row>
        <row r="15">
          <cell r="E15" t="str">
            <v>Morodadi/Heru</v>
          </cell>
          <cell r="I15">
            <v>3680000</v>
          </cell>
        </row>
        <row r="16">
          <cell r="E16" t="str">
            <v>Morodadi/Heru</v>
          </cell>
          <cell r="I16">
            <v>1725000</v>
          </cell>
        </row>
        <row r="17">
          <cell r="E17" t="str">
            <v>Morodadi/Heru</v>
          </cell>
          <cell r="I17">
            <v>1150000</v>
          </cell>
        </row>
        <row r="18">
          <cell r="E18" t="str">
            <v>Berkah Tani/Sugianto</v>
          </cell>
          <cell r="I18">
            <v>2324400</v>
          </cell>
        </row>
        <row r="19">
          <cell r="E19" t="str">
            <v>Rio Tani/Trio</v>
          </cell>
          <cell r="I19">
            <v>2400000</v>
          </cell>
        </row>
        <row r="20">
          <cell r="E20" t="str">
            <v>Sri Alfi Tani/Arya</v>
          </cell>
          <cell r="I20">
            <v>9820000</v>
          </cell>
        </row>
        <row r="21">
          <cell r="E21" t="str">
            <v>Handal Tani/Handal</v>
          </cell>
          <cell r="I21">
            <v>720000</v>
          </cell>
        </row>
        <row r="22">
          <cell r="E22" t="str">
            <v>Tani Harapan</v>
          </cell>
          <cell r="I22">
            <v>5970000</v>
          </cell>
        </row>
        <row r="23">
          <cell r="E23" t="str">
            <v>Rio Tani/Trio</v>
          </cell>
          <cell r="I23">
            <v>2775000</v>
          </cell>
        </row>
        <row r="24">
          <cell r="E24" t="str">
            <v>Berkah Tani/Eka Adimas</v>
          </cell>
          <cell r="I24">
            <v>3500000</v>
          </cell>
        </row>
        <row r="25">
          <cell r="E25" t="str">
            <v>Rio Tani/Trio</v>
          </cell>
          <cell r="I25">
            <v>7600000</v>
          </cell>
        </row>
        <row r="26">
          <cell r="E26" t="str">
            <v>Cahaya Tani/Rudi</v>
          </cell>
          <cell r="I26">
            <v>5380000</v>
          </cell>
        </row>
        <row r="27">
          <cell r="E27" t="str">
            <v>Permata, UD/Badar</v>
          </cell>
          <cell r="I27">
            <v>1137000</v>
          </cell>
        </row>
        <row r="28">
          <cell r="E28" t="str">
            <v>Permata, UD/Badar</v>
          </cell>
          <cell r="I28">
            <v>2102500</v>
          </cell>
        </row>
        <row r="29">
          <cell r="E29" t="str">
            <v>Rio Tani/Trio</v>
          </cell>
          <cell r="I29">
            <v>1840000</v>
          </cell>
        </row>
        <row r="30">
          <cell r="E30" t="str">
            <v>Han Cin</v>
          </cell>
          <cell r="I30">
            <v>80000</v>
          </cell>
        </row>
        <row r="31">
          <cell r="E31" t="str">
            <v>Tani Barokah/Muhdor</v>
          </cell>
          <cell r="I31">
            <v>2790000</v>
          </cell>
        </row>
        <row r="32">
          <cell r="E32" t="str">
            <v>Tani Jaya/Erna</v>
          </cell>
          <cell r="I32">
            <v>6000000</v>
          </cell>
        </row>
        <row r="33">
          <cell r="E33" t="str">
            <v>Permata, UD/Badar</v>
          </cell>
          <cell r="I33">
            <v>3037500</v>
          </cell>
        </row>
        <row r="34">
          <cell r="E34" t="str">
            <v>Tani Jaya/Mul</v>
          </cell>
          <cell r="I34">
            <v>4655000</v>
          </cell>
        </row>
        <row r="35">
          <cell r="E35" t="str">
            <v>Alam Tani</v>
          </cell>
          <cell r="I35">
            <v>41600000</v>
          </cell>
        </row>
        <row r="36">
          <cell r="E36" t="str">
            <v>Permata, UD/Badar</v>
          </cell>
          <cell r="I36">
            <v>6220000</v>
          </cell>
        </row>
        <row r="37">
          <cell r="E37" t="str">
            <v>Permata, UD/Badar</v>
          </cell>
          <cell r="I37">
            <v>1780000</v>
          </cell>
        </row>
        <row r="38">
          <cell r="E38" t="str">
            <v>Agro Mandiri/Nurlaela</v>
          </cell>
          <cell r="I38">
            <v>1200000</v>
          </cell>
        </row>
        <row r="39">
          <cell r="E39" t="str">
            <v>Permata, UD/Badar</v>
          </cell>
          <cell r="I39">
            <v>3577500</v>
          </cell>
        </row>
        <row r="40">
          <cell r="E40" t="str">
            <v>Permata, UD/Badar</v>
          </cell>
          <cell r="I40">
            <v>1824000</v>
          </cell>
        </row>
        <row r="41">
          <cell r="E41" t="str">
            <v>Sumber Rejeki/Sudarto</v>
          </cell>
          <cell r="I41">
            <v>10000000</v>
          </cell>
        </row>
        <row r="42">
          <cell r="E42" t="str">
            <v>Berkah Kayra/Nuyun</v>
          </cell>
          <cell r="I42">
            <v>803000</v>
          </cell>
        </row>
        <row r="43">
          <cell r="E43" t="str">
            <v>Bumi Jaya, UD/Farida</v>
          </cell>
          <cell r="I43">
            <v>6770000</v>
          </cell>
        </row>
        <row r="44">
          <cell r="E44" t="str">
            <v>Fajar Agro</v>
          </cell>
          <cell r="I44">
            <v>11400000</v>
          </cell>
        </row>
        <row r="45">
          <cell r="E45" t="str">
            <v>Tani Barokah/Muhdor</v>
          </cell>
          <cell r="I45">
            <v>937500</v>
          </cell>
        </row>
        <row r="46">
          <cell r="E46" t="str">
            <v>Permata, UD/Badar</v>
          </cell>
          <cell r="I46">
            <v>1380000</v>
          </cell>
        </row>
        <row r="47">
          <cell r="E47" t="str">
            <v>Cipta Jaya Multifarm</v>
          </cell>
          <cell r="I47">
            <v>51500000</v>
          </cell>
        </row>
        <row r="48">
          <cell r="E48" t="str">
            <v>Han Cin</v>
          </cell>
          <cell r="I48">
            <v>160000</v>
          </cell>
        </row>
        <row r="49">
          <cell r="E49" t="str">
            <v>Sumber Rejeki/Dhimas</v>
          </cell>
          <cell r="I49">
            <v>7000000</v>
          </cell>
        </row>
        <row r="50">
          <cell r="E50" t="str">
            <v>Tani Joss</v>
          </cell>
          <cell r="I50">
            <v>8709000</v>
          </cell>
        </row>
        <row r="51">
          <cell r="E51" t="str">
            <v>Tani Maju Jaya/Ivan</v>
          </cell>
          <cell r="I51">
            <v>2280000</v>
          </cell>
        </row>
        <row r="52">
          <cell r="E52" t="str">
            <v>Permata, UD/Badar</v>
          </cell>
          <cell r="I52">
            <v>888000</v>
          </cell>
        </row>
        <row r="53">
          <cell r="E53" t="str">
            <v>Riski Tani/Hadi</v>
          </cell>
          <cell r="I53">
            <v>6875000</v>
          </cell>
        </row>
        <row r="54">
          <cell r="E54" t="str">
            <v>Tani Joss</v>
          </cell>
          <cell r="I54">
            <v>888000</v>
          </cell>
        </row>
        <row r="55">
          <cell r="E55" t="str">
            <v>Tani Jaya/Mul</v>
          </cell>
          <cell r="I55">
            <v>7620000</v>
          </cell>
        </row>
        <row r="56">
          <cell r="E56" t="str">
            <v>Cipta Jaya Multifarm</v>
          </cell>
          <cell r="I56">
            <v>54400000</v>
          </cell>
        </row>
        <row r="57">
          <cell r="E57" t="str">
            <v>Cipta Jaya Multifarm</v>
          </cell>
          <cell r="I57">
            <v>106200000</v>
          </cell>
        </row>
        <row r="58">
          <cell r="E58" t="str">
            <v>Tani Lancar/Maskur</v>
          </cell>
          <cell r="I58">
            <v>6000000</v>
          </cell>
        </row>
        <row r="59">
          <cell r="E59" t="str">
            <v>Berkah Tani/Joko</v>
          </cell>
          <cell r="I59">
            <v>18525000</v>
          </cell>
        </row>
        <row r="60">
          <cell r="E60" t="str">
            <v>Saka Tani/Marsilah</v>
          </cell>
          <cell r="I60">
            <v>6000000</v>
          </cell>
        </row>
        <row r="61">
          <cell r="E61" t="str">
            <v>Sumber Rejeki/Dadang</v>
          </cell>
          <cell r="I61">
            <v>5500000</v>
          </cell>
        </row>
        <row r="62">
          <cell r="E62" t="str">
            <v>Tani Joss</v>
          </cell>
          <cell r="I62">
            <v>5800000</v>
          </cell>
        </row>
        <row r="63">
          <cell r="E63" t="str">
            <v>Damar Batur Nusantara</v>
          </cell>
          <cell r="I63">
            <v>3168000</v>
          </cell>
        </row>
        <row r="64">
          <cell r="E64" t="str">
            <v>Berkah, Kios/Wahyudi</v>
          </cell>
          <cell r="I64">
            <v>2320000</v>
          </cell>
        </row>
        <row r="65">
          <cell r="E65" t="str">
            <v>Nayunda/Edi</v>
          </cell>
          <cell r="I65">
            <v>6580000</v>
          </cell>
        </row>
        <row r="66">
          <cell r="E66" t="str">
            <v>Indra Tani/Nyoto</v>
          </cell>
          <cell r="I66">
            <v>6625000</v>
          </cell>
        </row>
        <row r="67">
          <cell r="E67" t="str">
            <v>Kampung Tani/Aguk</v>
          </cell>
          <cell r="I67">
            <v>512500</v>
          </cell>
        </row>
        <row r="68">
          <cell r="E68" t="str">
            <v>Andri Pristianto</v>
          </cell>
          <cell r="I68">
            <v>903500</v>
          </cell>
        </row>
        <row r="69">
          <cell r="E69" t="str">
            <v>Mitro Tani/Hadiyudin</v>
          </cell>
          <cell r="I69">
            <v>9060000</v>
          </cell>
        </row>
        <row r="70">
          <cell r="E70" t="str">
            <v>CV. Surya Agro Pradhana</v>
          </cell>
          <cell r="I70">
            <v>4950000</v>
          </cell>
        </row>
        <row r="71">
          <cell r="E71" t="str">
            <v>CV. Surya Agro Pradhana</v>
          </cell>
          <cell r="I71">
            <v>235272500</v>
          </cell>
        </row>
        <row r="72">
          <cell r="E72" t="str">
            <v>CV. Surya Agro Pradhana</v>
          </cell>
          <cell r="I72">
            <v>12300000</v>
          </cell>
        </row>
        <row r="73">
          <cell r="E73" t="str">
            <v>Damar Batur Nusantara</v>
          </cell>
          <cell r="I73">
            <v>59954125</v>
          </cell>
        </row>
        <row r="74">
          <cell r="E74" t="str">
            <v>Putro Tani/Supriyanto</v>
          </cell>
          <cell r="I74">
            <v>5930000</v>
          </cell>
        </row>
        <row r="75">
          <cell r="E75" t="str">
            <v>Sumber Agro/Suhadi</v>
          </cell>
          <cell r="I75">
            <v>9510000</v>
          </cell>
        </row>
        <row r="76">
          <cell r="E76" t="str">
            <v>Sumber Agung Tani/Atik</v>
          </cell>
          <cell r="I76">
            <v>2527500</v>
          </cell>
        </row>
        <row r="77">
          <cell r="E77" t="str">
            <v>Sumber Eka Tani/Alief</v>
          </cell>
          <cell r="I77">
            <v>4391500</v>
          </cell>
        </row>
        <row r="78">
          <cell r="E78" t="str">
            <v>Sumber Tani/Kudhori</v>
          </cell>
          <cell r="I78">
            <v>5400000</v>
          </cell>
        </row>
        <row r="79">
          <cell r="E79" t="str">
            <v>Kampung Tani/Aguk</v>
          </cell>
          <cell r="I79">
            <v>800000</v>
          </cell>
        </row>
        <row r="80">
          <cell r="E80" t="str">
            <v>Barokah Tani/Widianto</v>
          </cell>
          <cell r="I80">
            <v>14760000</v>
          </cell>
        </row>
        <row r="81">
          <cell r="E81" t="str">
            <v>Maju Tani/Dedi Kurniawan</v>
          </cell>
          <cell r="I81">
            <v>1980000</v>
          </cell>
        </row>
        <row r="82">
          <cell r="E82" t="str">
            <v>Sekar Tani/Matori</v>
          </cell>
          <cell r="I82">
            <v>5142600</v>
          </cell>
        </row>
        <row r="83">
          <cell r="E83" t="str">
            <v>Sekar Tani/Matori</v>
          </cell>
          <cell r="I83">
            <v>18000000</v>
          </cell>
        </row>
        <row r="84">
          <cell r="E84" t="str">
            <v>Sekar Tani/Matori</v>
          </cell>
          <cell r="I84">
            <v>2010000</v>
          </cell>
        </row>
        <row r="85">
          <cell r="E85" t="str">
            <v>Tani Jaya/Irawan</v>
          </cell>
          <cell r="I85">
            <v>1767500</v>
          </cell>
        </row>
        <row r="86">
          <cell r="E86" t="str">
            <v>Tani Mulyo, UD/Bastian</v>
          </cell>
          <cell r="I86">
            <v>5340000</v>
          </cell>
        </row>
        <row r="87">
          <cell r="E87" t="str">
            <v>Tani Mulyo, UD/Bastian</v>
          </cell>
          <cell r="I87">
            <v>1720000</v>
          </cell>
        </row>
        <row r="88">
          <cell r="E88" t="str">
            <v>Al Badar/Badar, H</v>
          </cell>
          <cell r="I88">
            <v>13429000</v>
          </cell>
        </row>
        <row r="89">
          <cell r="E89" t="str">
            <v>Al Badar/Badar, H</v>
          </cell>
          <cell r="I89">
            <v>3760000</v>
          </cell>
        </row>
        <row r="90">
          <cell r="E90" t="str">
            <v>Berkat Tani/Benny</v>
          </cell>
          <cell r="I90">
            <v>19125000</v>
          </cell>
        </row>
        <row r="91">
          <cell r="E91" t="str">
            <v>Bumi Jaya, UD/Farida</v>
          </cell>
          <cell r="I91">
            <v>4912500</v>
          </cell>
        </row>
        <row r="92">
          <cell r="E92" t="str">
            <v>Cipta Jaya Multifarm</v>
          </cell>
          <cell r="I92">
            <v>62500000</v>
          </cell>
        </row>
        <row r="93">
          <cell r="E93" t="str">
            <v>Damar Batur Nusantara</v>
          </cell>
          <cell r="I93">
            <v>129750000</v>
          </cell>
        </row>
        <row r="94">
          <cell r="E94" t="str">
            <v>Damar Batur Nusantara</v>
          </cell>
          <cell r="I94">
            <v>63405000</v>
          </cell>
        </row>
        <row r="95">
          <cell r="E95" t="str">
            <v>Djago Tani/Edi</v>
          </cell>
          <cell r="I95">
            <v>12335000</v>
          </cell>
        </row>
        <row r="96">
          <cell r="E96" t="str">
            <v>Istoni</v>
          </cell>
          <cell r="I96">
            <v>10900000</v>
          </cell>
        </row>
        <row r="97">
          <cell r="E97" t="str">
            <v>Riski Tani/Hadi</v>
          </cell>
          <cell r="I97">
            <v>7278300</v>
          </cell>
        </row>
        <row r="98">
          <cell r="E98" t="str">
            <v>Riski Tani/Hadi</v>
          </cell>
          <cell r="I98">
            <v>13000000</v>
          </cell>
        </row>
        <row r="99">
          <cell r="E99" t="str">
            <v>Sekar Tani/Matori</v>
          </cell>
          <cell r="I99">
            <v>5520000</v>
          </cell>
        </row>
        <row r="100">
          <cell r="E100" t="str">
            <v>Tani Maju Jaya/Ivan</v>
          </cell>
          <cell r="I100">
            <v>1165000</v>
          </cell>
        </row>
        <row r="101">
          <cell r="E101" t="str">
            <v>CV. Surya Agro Pradhana</v>
          </cell>
          <cell r="I101">
            <v>10400000</v>
          </cell>
        </row>
        <row r="102">
          <cell r="E102" t="str">
            <v>CV. Surya Agro Pradhana</v>
          </cell>
          <cell r="I102">
            <v>20625000</v>
          </cell>
        </row>
        <row r="103">
          <cell r="E103" t="str">
            <v>Damar Batur Nusantara</v>
          </cell>
          <cell r="I103">
            <v>5400000</v>
          </cell>
        </row>
        <row r="104">
          <cell r="E104" t="str">
            <v>Ira Tani/Dani, H</v>
          </cell>
          <cell r="I104">
            <v>1600000</v>
          </cell>
        </row>
        <row r="105">
          <cell r="E105" t="str">
            <v>Riski Tani/Hadi</v>
          </cell>
          <cell r="I105">
            <v>1360000</v>
          </cell>
        </row>
        <row r="106">
          <cell r="E106" t="str">
            <v>Sekar Tani/Matori</v>
          </cell>
          <cell r="I106">
            <v>11120000</v>
          </cell>
        </row>
        <row r="107">
          <cell r="E107" t="str">
            <v>Sekar Tani/Matori</v>
          </cell>
          <cell r="I107">
            <v>19500000</v>
          </cell>
        </row>
        <row r="108">
          <cell r="E108" t="str">
            <v>Slamet/Cin Ing</v>
          </cell>
          <cell r="I108">
            <v>6000000</v>
          </cell>
        </row>
        <row r="109">
          <cell r="E109" t="str">
            <v>Stasiun Tani, CV</v>
          </cell>
          <cell r="I109">
            <v>1688000</v>
          </cell>
        </row>
        <row r="110">
          <cell r="E110" t="str">
            <v>Tani Mulyo, UD/Bastian</v>
          </cell>
          <cell r="I110">
            <v>940000</v>
          </cell>
        </row>
        <row r="111">
          <cell r="E111" t="str">
            <v>Wira Tani, UD</v>
          </cell>
          <cell r="I111">
            <v>3020000</v>
          </cell>
        </row>
        <row r="112">
          <cell r="E112" t="str">
            <v>Al Badar/Badar, H</v>
          </cell>
          <cell r="I112">
            <v>1600000</v>
          </cell>
        </row>
        <row r="113">
          <cell r="E113" t="str">
            <v>Barokah Tani/Widianto</v>
          </cell>
          <cell r="I113">
            <v>3300000</v>
          </cell>
        </row>
        <row r="114">
          <cell r="E114" t="str">
            <v>Budi Karya Tani</v>
          </cell>
          <cell r="I114">
            <v>2530000</v>
          </cell>
        </row>
        <row r="115">
          <cell r="E115" t="str">
            <v>Budi Karya Tani</v>
          </cell>
          <cell r="I115">
            <v>5980000</v>
          </cell>
        </row>
        <row r="116">
          <cell r="E116" t="str">
            <v>Damar Batur Nusantara</v>
          </cell>
          <cell r="I116">
            <v>12487500</v>
          </cell>
        </row>
        <row r="117">
          <cell r="E117">
            <v>0</v>
          </cell>
          <cell r="I117">
            <v>0</v>
          </cell>
        </row>
        <row r="118">
          <cell r="E118" t="str">
            <v>Sekar Tani/Matori</v>
          </cell>
          <cell r="I118">
            <v>1125000</v>
          </cell>
        </row>
        <row r="119">
          <cell r="E119" t="str">
            <v>Sekar Tani/Matori</v>
          </cell>
          <cell r="I119">
            <v>4310000</v>
          </cell>
        </row>
        <row r="120">
          <cell r="E120" t="str">
            <v>Sumber Keluarga</v>
          </cell>
          <cell r="I120">
            <v>3950000</v>
          </cell>
        </row>
        <row r="121">
          <cell r="E121" t="str">
            <v>Tani WSM Sejahtera/Sulistiawan</v>
          </cell>
          <cell r="I121">
            <v>13500000</v>
          </cell>
        </row>
        <row r="122">
          <cell r="E122" t="str">
            <v>Al Badar/Badar, H</v>
          </cell>
          <cell r="I122">
            <v>12600000</v>
          </cell>
        </row>
        <row r="123">
          <cell r="E123" t="str">
            <v>Barokah Tani/Widianto</v>
          </cell>
          <cell r="I123">
            <v>4000000</v>
          </cell>
        </row>
        <row r="124">
          <cell r="E124" t="str">
            <v>Bumi Jaya, UD/Farida</v>
          </cell>
          <cell r="I124">
            <v>8800000</v>
          </cell>
        </row>
        <row r="125">
          <cell r="E125" t="str">
            <v>Kampung Tani/Aguk</v>
          </cell>
          <cell r="I125">
            <v>3237500</v>
          </cell>
        </row>
        <row r="126">
          <cell r="E126" t="str">
            <v>Kampung Tani/Aguk</v>
          </cell>
          <cell r="I126">
            <v>1696500</v>
          </cell>
        </row>
        <row r="127">
          <cell r="E127" t="str">
            <v>Riski Tani/Hadi</v>
          </cell>
          <cell r="I127">
            <v>3500000</v>
          </cell>
        </row>
        <row r="128">
          <cell r="E128" t="str">
            <v>D Live Tani</v>
          </cell>
          <cell r="I128">
            <v>8400000</v>
          </cell>
        </row>
        <row r="129">
          <cell r="E129" t="str">
            <v>Damar Batur Nusantara</v>
          </cell>
          <cell r="I129">
            <v>42000000</v>
          </cell>
        </row>
        <row r="130">
          <cell r="E130" t="str">
            <v>Tani Sejati/Ivan</v>
          </cell>
          <cell r="I130">
            <v>250000000</v>
          </cell>
        </row>
        <row r="131">
          <cell r="E131" t="str">
            <v>Tani Sejati/Ivan</v>
          </cell>
          <cell r="I131">
            <v>216300000</v>
          </cell>
        </row>
        <row r="132">
          <cell r="E132" t="str">
            <v>Agro Mandiri/Nurlaela</v>
          </cell>
          <cell r="I132">
            <v>4630000</v>
          </cell>
        </row>
        <row r="133">
          <cell r="E133" t="str">
            <v>Hasil Tani/Marmi</v>
          </cell>
          <cell r="I133">
            <v>1450000</v>
          </cell>
        </row>
        <row r="134">
          <cell r="E134" t="str">
            <v>Hasil Tani/Marmi</v>
          </cell>
          <cell r="I134">
            <v>730000</v>
          </cell>
        </row>
        <row r="135">
          <cell r="E135" t="str">
            <v>Kampung Tani/Aguk</v>
          </cell>
          <cell r="I135">
            <v>5450000</v>
          </cell>
        </row>
        <row r="136">
          <cell r="E136" t="str">
            <v>Roy Mandiri, UD/Faikul</v>
          </cell>
          <cell r="I136">
            <v>12530000</v>
          </cell>
        </row>
        <row r="137">
          <cell r="E137" t="str">
            <v>Saka Tani/Marsilah</v>
          </cell>
          <cell r="I137">
            <v>4760000</v>
          </cell>
        </row>
        <row r="138">
          <cell r="E138" t="str">
            <v>Sumber Tani/Kudhori</v>
          </cell>
          <cell r="I138">
            <v>4440000</v>
          </cell>
        </row>
        <row r="139">
          <cell r="E139" t="str">
            <v>Tani WSM Sejahtera/Sulistiawan</v>
          </cell>
          <cell r="I139">
            <v>3475000</v>
          </cell>
        </row>
        <row r="140">
          <cell r="E140" t="str">
            <v>Anggoro Makmur/Yayuk</v>
          </cell>
          <cell r="I140">
            <v>3960000</v>
          </cell>
        </row>
        <row r="141">
          <cell r="E141" t="str">
            <v>Anggoro Makmur/Yayuk</v>
          </cell>
          <cell r="I141">
            <v>2570000</v>
          </cell>
        </row>
        <row r="142">
          <cell r="E142" t="str">
            <v>Berkah, Kios/Wahyudi</v>
          </cell>
          <cell r="I142">
            <v>3540000</v>
          </cell>
        </row>
        <row r="143">
          <cell r="E143" t="str">
            <v>Berkah, Kios/Wahyudi</v>
          </cell>
          <cell r="I143">
            <v>650000</v>
          </cell>
        </row>
        <row r="144">
          <cell r="E144" t="str">
            <v>Bintang Berlian/Hairun</v>
          </cell>
          <cell r="I144">
            <v>4240000</v>
          </cell>
        </row>
        <row r="145">
          <cell r="E145" t="str">
            <v>Damar Batur Nusantara</v>
          </cell>
          <cell r="I145">
            <v>4920000</v>
          </cell>
        </row>
        <row r="146">
          <cell r="E146" t="str">
            <v>Djago Tani/Edi</v>
          </cell>
          <cell r="I146">
            <v>6150000</v>
          </cell>
        </row>
        <row r="147">
          <cell r="E147" t="str">
            <v>Moga Berkah/Robid</v>
          </cell>
          <cell r="I147">
            <v>11000000</v>
          </cell>
        </row>
        <row r="148">
          <cell r="E148" t="str">
            <v>Pelita Tani, CV/Budi</v>
          </cell>
          <cell r="I148">
            <v>180000000</v>
          </cell>
        </row>
        <row r="149">
          <cell r="E149" t="str">
            <v>Tani Barokah/Muhdor</v>
          </cell>
          <cell r="I149">
            <v>900000</v>
          </cell>
        </row>
        <row r="150">
          <cell r="E150" t="str">
            <v>Al Badar/Badar, H</v>
          </cell>
          <cell r="I150">
            <v>22400000</v>
          </cell>
        </row>
        <row r="151">
          <cell r="E151" t="str">
            <v>Bumi Jaya, UD/Farida</v>
          </cell>
          <cell r="I151">
            <v>35000000</v>
          </cell>
        </row>
        <row r="152">
          <cell r="E152" t="str">
            <v>Damar Batur Nusantara</v>
          </cell>
          <cell r="I152">
            <v>30720000</v>
          </cell>
        </row>
        <row r="153">
          <cell r="E153" t="str">
            <v>Djago Tani/Edi</v>
          </cell>
          <cell r="I153">
            <v>1600000</v>
          </cell>
        </row>
        <row r="154">
          <cell r="E154" t="str">
            <v>Indra Tani/Nyoto</v>
          </cell>
          <cell r="I154">
            <v>25060000</v>
          </cell>
        </row>
        <row r="155">
          <cell r="E155" t="str">
            <v>Indra Tani/Nyoto</v>
          </cell>
          <cell r="I155">
            <v>2499000</v>
          </cell>
        </row>
        <row r="156">
          <cell r="E156" t="str">
            <v>Maju Tani/Dedi Kurniawan</v>
          </cell>
          <cell r="I156">
            <v>780000</v>
          </cell>
        </row>
        <row r="157">
          <cell r="E157" t="str">
            <v>Riski Tani/Hadi</v>
          </cell>
          <cell r="I157">
            <v>6480000</v>
          </cell>
        </row>
        <row r="158">
          <cell r="E158" t="str">
            <v>Tani Jaya/Erna</v>
          </cell>
          <cell r="I158">
            <v>4800000</v>
          </cell>
        </row>
        <row r="159">
          <cell r="E159" t="str">
            <v>Tani Jaya/Erna</v>
          </cell>
          <cell r="I159">
            <v>2160000</v>
          </cell>
        </row>
        <row r="160">
          <cell r="E160" t="str">
            <v>Abdi Rahmat Tani/Lidya</v>
          </cell>
          <cell r="I160">
            <v>11440000</v>
          </cell>
        </row>
        <row r="161">
          <cell r="E161" t="str">
            <v>Al Badar/Badar, H</v>
          </cell>
          <cell r="I161">
            <v>3640000</v>
          </cell>
        </row>
        <row r="162">
          <cell r="E162" t="str">
            <v>Al Badar/Badar, H</v>
          </cell>
          <cell r="I162">
            <v>2460000</v>
          </cell>
        </row>
        <row r="163">
          <cell r="E163" t="str">
            <v>Berkah Tani/Intan Sri</v>
          </cell>
          <cell r="I163">
            <v>4300000</v>
          </cell>
        </row>
        <row r="164">
          <cell r="E164" t="str">
            <v>Damar Batur Nusantara</v>
          </cell>
          <cell r="I164">
            <v>5400000</v>
          </cell>
        </row>
        <row r="165">
          <cell r="E165" t="str">
            <v>Damar Batur Nusantara</v>
          </cell>
          <cell r="I165">
            <v>30550000</v>
          </cell>
        </row>
        <row r="166">
          <cell r="E166" t="str">
            <v>Damar Batur Nusantara</v>
          </cell>
          <cell r="I166">
            <v>28680000</v>
          </cell>
        </row>
        <row r="167">
          <cell r="E167" t="str">
            <v>Djago Tani/Edi</v>
          </cell>
          <cell r="I167">
            <v>375000</v>
          </cell>
        </row>
        <row r="168">
          <cell r="E168" t="str">
            <v>Hari Tani, UD/Amin</v>
          </cell>
          <cell r="I168">
            <v>2160000</v>
          </cell>
        </row>
        <row r="169">
          <cell r="E169" t="str">
            <v>Karya Tani, UD/Tomo</v>
          </cell>
          <cell r="I169">
            <v>920000</v>
          </cell>
        </row>
        <row r="170">
          <cell r="E170" t="str">
            <v>Karya Tani, UD/Tomo</v>
          </cell>
          <cell r="I170">
            <v>4400000</v>
          </cell>
        </row>
        <row r="171">
          <cell r="E171" t="str">
            <v>Tani Jaya/Mul</v>
          </cell>
          <cell r="I171">
            <v>7170000</v>
          </cell>
        </row>
        <row r="172">
          <cell r="E172" t="str">
            <v>Tani Makmur Sentosa</v>
          </cell>
          <cell r="I172">
            <v>980000</v>
          </cell>
        </row>
        <row r="173">
          <cell r="E173" t="str">
            <v>Agro Suci/Bety</v>
          </cell>
          <cell r="I173">
            <v>170000</v>
          </cell>
        </row>
        <row r="174">
          <cell r="E174" t="str">
            <v>Al Badar/Badar, H</v>
          </cell>
          <cell r="I174">
            <v>1730000</v>
          </cell>
        </row>
        <row r="175">
          <cell r="E175" t="str">
            <v>Berkah Tani/Intan Sri</v>
          </cell>
          <cell r="I175">
            <v>5126000</v>
          </cell>
        </row>
        <row r="176">
          <cell r="E176" t="str">
            <v>Bumi Jaya, UD/Farida</v>
          </cell>
          <cell r="I176">
            <v>1400000</v>
          </cell>
        </row>
        <row r="177">
          <cell r="E177" t="str">
            <v>Bumi Jaya, UD/Farida</v>
          </cell>
          <cell r="I177">
            <v>12910000</v>
          </cell>
        </row>
        <row r="178">
          <cell r="E178" t="str">
            <v>Bumi Jaya, UD/Farida</v>
          </cell>
          <cell r="I178">
            <v>29040000</v>
          </cell>
        </row>
        <row r="179">
          <cell r="E179" t="str">
            <v>D Live Tani</v>
          </cell>
          <cell r="I179">
            <v>10360000</v>
          </cell>
        </row>
        <row r="180">
          <cell r="E180" t="str">
            <v>Gemilang, Toko</v>
          </cell>
          <cell r="I180">
            <v>3485000</v>
          </cell>
        </row>
        <row r="181">
          <cell r="E181" t="str">
            <v>Hasil Usaha, UD</v>
          </cell>
          <cell r="I181">
            <v>9900000</v>
          </cell>
        </row>
        <row r="182">
          <cell r="E182" t="str">
            <v>Riski Tani/Hadi</v>
          </cell>
          <cell r="I182">
            <v>9600000</v>
          </cell>
        </row>
        <row r="183">
          <cell r="E183" t="str">
            <v>Tani Agung/Robert</v>
          </cell>
          <cell r="I183">
            <v>5688000</v>
          </cell>
        </row>
        <row r="184">
          <cell r="E184" t="str">
            <v>Saka Tani/Marsilah</v>
          </cell>
          <cell r="I184">
            <v>2000000</v>
          </cell>
        </row>
        <row r="185">
          <cell r="E185" t="str">
            <v>Sekar Tani/Matori</v>
          </cell>
          <cell r="I185">
            <v>247800000</v>
          </cell>
        </row>
        <row r="186">
          <cell r="E186" t="str">
            <v>Tani Maju Jaya/Ivan</v>
          </cell>
          <cell r="I186">
            <v>3960000</v>
          </cell>
        </row>
        <row r="187">
          <cell r="E187" t="str">
            <v>Al Badar/Badar, H</v>
          </cell>
          <cell r="I187">
            <v>6600000</v>
          </cell>
        </row>
        <row r="188">
          <cell r="E188" t="str">
            <v>Berkat Tani/Benny</v>
          </cell>
          <cell r="I188">
            <v>8104000</v>
          </cell>
        </row>
        <row r="189">
          <cell r="E189" t="str">
            <v>Bumi Jaya, UD/Farida</v>
          </cell>
          <cell r="I189">
            <v>5973600</v>
          </cell>
        </row>
        <row r="190">
          <cell r="E190" t="str">
            <v>Bumi Jaya, UD/Farida</v>
          </cell>
          <cell r="I190">
            <v>15200000</v>
          </cell>
        </row>
        <row r="191">
          <cell r="E191" t="str">
            <v>Bumi Jaya, UD/Farida</v>
          </cell>
          <cell r="I191">
            <v>3688000</v>
          </cell>
        </row>
        <row r="192">
          <cell r="E192" t="str">
            <v>Damar Batur Nusantara</v>
          </cell>
          <cell r="I192">
            <v>53080000</v>
          </cell>
        </row>
        <row r="193">
          <cell r="E193" t="str">
            <v>Hasil Usaha, UD</v>
          </cell>
          <cell r="I193">
            <v>8600000</v>
          </cell>
        </row>
        <row r="194">
          <cell r="E194" t="str">
            <v>Kampung Tani/Aguk</v>
          </cell>
          <cell r="I194">
            <v>6640000</v>
          </cell>
        </row>
        <row r="195">
          <cell r="E195" t="str">
            <v>Pelita Tani, CV/Budi</v>
          </cell>
          <cell r="I195">
            <v>72187500</v>
          </cell>
        </row>
        <row r="196">
          <cell r="E196" t="str">
            <v>Permata, UD/Badar</v>
          </cell>
          <cell r="I196">
            <v>7806600</v>
          </cell>
        </row>
        <row r="197">
          <cell r="E197" t="str">
            <v>Permata, UD/Badar</v>
          </cell>
          <cell r="I197">
            <v>3100000</v>
          </cell>
        </row>
        <row r="198">
          <cell r="E198" t="str">
            <v>Tani Agung/Robert</v>
          </cell>
          <cell r="I198">
            <v>5688000</v>
          </cell>
        </row>
        <row r="199">
          <cell r="E199" t="str">
            <v>Andalas Farm, UD</v>
          </cell>
          <cell r="I199">
            <v>1200000</v>
          </cell>
        </row>
        <row r="200">
          <cell r="E200" t="str">
            <v>Berkah Abadi Tani/Widodo</v>
          </cell>
          <cell r="I200">
            <v>320000000</v>
          </cell>
        </row>
        <row r="201">
          <cell r="E201" t="str">
            <v>Damar Batur Nusantara</v>
          </cell>
          <cell r="I201">
            <v>4275000</v>
          </cell>
        </row>
        <row r="202">
          <cell r="E202" t="str">
            <v>Damar Batur Nusantara</v>
          </cell>
          <cell r="I202">
            <v>2040000</v>
          </cell>
        </row>
        <row r="203">
          <cell r="E203" t="str">
            <v>Intani, Toko</v>
          </cell>
          <cell r="I203">
            <v>6084000</v>
          </cell>
        </row>
        <row r="204">
          <cell r="E204" t="str">
            <v>Permata, UD/Badar</v>
          </cell>
          <cell r="I204">
            <v>5505000</v>
          </cell>
        </row>
        <row r="205">
          <cell r="E205" t="str">
            <v>Sugeng Makmur, Toko</v>
          </cell>
          <cell r="I205">
            <v>14300000</v>
          </cell>
        </row>
        <row r="206">
          <cell r="E206" t="str">
            <v>Sumber Tani/Eko Wardono</v>
          </cell>
          <cell r="I206">
            <v>3427757</v>
          </cell>
        </row>
        <row r="207">
          <cell r="E207" t="str">
            <v>Sumber Tani/Eko Wardono</v>
          </cell>
          <cell r="I207">
            <v>9900000</v>
          </cell>
        </row>
        <row r="208">
          <cell r="E208" t="str">
            <v>Tani Agung/Robert</v>
          </cell>
          <cell r="I208">
            <v>47500000</v>
          </cell>
        </row>
        <row r="209">
          <cell r="E209" t="str">
            <v>Tani Barokah/Muhdor</v>
          </cell>
          <cell r="I209">
            <v>660000</v>
          </cell>
        </row>
        <row r="210">
          <cell r="E210" t="str">
            <v>Bima Tani Jaya/Kevin Pratama</v>
          </cell>
          <cell r="I210">
            <v>11688000</v>
          </cell>
        </row>
        <row r="211">
          <cell r="E211" t="str">
            <v>Bima Tani Jaya/Kevin Pratama</v>
          </cell>
          <cell r="I211">
            <v>10800000</v>
          </cell>
        </row>
        <row r="212">
          <cell r="E212" t="str">
            <v>Bima Tani Jaya/Kevin Pratama</v>
          </cell>
          <cell r="I212">
            <v>4359000</v>
          </cell>
        </row>
        <row r="213">
          <cell r="E213" t="str">
            <v>CV. Surya Agro Pradhana</v>
          </cell>
          <cell r="I213">
            <v>31316000</v>
          </cell>
        </row>
        <row r="214">
          <cell r="E214" t="str">
            <v>CV. Surya Agro Pradhana</v>
          </cell>
          <cell r="I214">
            <v>10000000</v>
          </cell>
        </row>
        <row r="215">
          <cell r="E215" t="str">
            <v>CV. Surya Agro Pradhana</v>
          </cell>
          <cell r="I215">
            <v>43000000</v>
          </cell>
        </row>
        <row r="216">
          <cell r="E216" t="str">
            <v>Damar Batur Nusantara</v>
          </cell>
          <cell r="I216">
            <v>3460000</v>
          </cell>
        </row>
        <row r="217">
          <cell r="E217" t="str">
            <v>Damar Batur Nusantara</v>
          </cell>
          <cell r="I217">
            <v>36000000</v>
          </cell>
        </row>
        <row r="218">
          <cell r="E218" t="str">
            <v>Damar Batur Nusantara</v>
          </cell>
          <cell r="I218">
            <v>30722500</v>
          </cell>
        </row>
        <row r="219">
          <cell r="E219" t="str">
            <v>Djago Tani/Edi</v>
          </cell>
          <cell r="I219">
            <v>1500000</v>
          </cell>
        </row>
        <row r="220">
          <cell r="E220" t="str">
            <v>Era Tani/Abdul Wakik</v>
          </cell>
          <cell r="I220">
            <v>3855000</v>
          </cell>
        </row>
        <row r="221">
          <cell r="E221" t="str">
            <v>Merdeka Tani/Sugiono</v>
          </cell>
          <cell r="I221">
            <v>141600000</v>
          </cell>
        </row>
        <row r="222">
          <cell r="E222" t="str">
            <v>Merdeka Tani/Sugiono</v>
          </cell>
          <cell r="I222">
            <v>36000000</v>
          </cell>
        </row>
        <row r="223">
          <cell r="E223" t="str">
            <v>Tani Sejati/Ivan</v>
          </cell>
          <cell r="I223">
            <v>69000000</v>
          </cell>
        </row>
        <row r="224">
          <cell r="E224" t="str">
            <v>Agro Suci/Bety</v>
          </cell>
          <cell r="I224">
            <v>1900000</v>
          </cell>
        </row>
        <row r="225">
          <cell r="E225" t="str">
            <v>Agro Suci/Bety</v>
          </cell>
          <cell r="I225">
            <v>14400000</v>
          </cell>
        </row>
        <row r="226">
          <cell r="E226" t="str">
            <v>Agro Suci/Bety</v>
          </cell>
          <cell r="I226">
            <v>1730000</v>
          </cell>
        </row>
        <row r="227">
          <cell r="E227" t="str">
            <v>Andalas Farm, UD</v>
          </cell>
          <cell r="I227">
            <v>1700000</v>
          </cell>
        </row>
        <row r="228">
          <cell r="E228" t="str">
            <v>Berkah Abadi Tani/Widodo</v>
          </cell>
          <cell r="I228">
            <v>23100000</v>
          </cell>
        </row>
        <row r="229">
          <cell r="E229" t="str">
            <v>Damar Batur Nusantara</v>
          </cell>
          <cell r="I229">
            <v>5400000</v>
          </cell>
        </row>
        <row r="230">
          <cell r="E230" t="str">
            <v>Merdeka Tani/Sugiono</v>
          </cell>
          <cell r="I230">
            <v>10000000</v>
          </cell>
        </row>
        <row r="231">
          <cell r="E231" t="str">
            <v>Merdeka Tani/Sugiono</v>
          </cell>
          <cell r="I231">
            <v>13000000</v>
          </cell>
        </row>
        <row r="232">
          <cell r="E232" t="str">
            <v>Pelita Tani, CV/Budi</v>
          </cell>
          <cell r="I232">
            <v>12500000</v>
          </cell>
        </row>
        <row r="233">
          <cell r="E233" t="str">
            <v>Roy Mandiri, UD/Faikul</v>
          </cell>
          <cell r="I233">
            <v>13900000</v>
          </cell>
        </row>
        <row r="234">
          <cell r="E234" t="str">
            <v>Sumber Tani 2, UD</v>
          </cell>
          <cell r="I234">
            <v>1000500</v>
          </cell>
        </row>
        <row r="235">
          <cell r="E235" t="str">
            <v>Tani Joss</v>
          </cell>
          <cell r="I235">
            <v>3800000</v>
          </cell>
        </row>
        <row r="236">
          <cell r="E236" t="str">
            <v>Tani Joss</v>
          </cell>
          <cell r="I236">
            <v>2452500</v>
          </cell>
        </row>
        <row r="237">
          <cell r="E237" t="str">
            <v>Tani Joss</v>
          </cell>
          <cell r="I237">
            <v>3420000</v>
          </cell>
        </row>
        <row r="238">
          <cell r="E238" t="str">
            <v>Tani Mulyo, UD/Bastian</v>
          </cell>
          <cell r="I238">
            <v>1720000</v>
          </cell>
        </row>
        <row r="239">
          <cell r="E239" t="str">
            <v>Tani Mulyo, UD/Bastian</v>
          </cell>
          <cell r="I239">
            <v>1240000</v>
          </cell>
        </row>
        <row r="240">
          <cell r="E240" t="str">
            <v>Tani Mulyo, UD/Bastian</v>
          </cell>
          <cell r="I240">
            <v>3440000</v>
          </cell>
        </row>
        <row r="241">
          <cell r="E241" t="str">
            <v>Wira Tani, UD</v>
          </cell>
          <cell r="I241">
            <v>2690000</v>
          </cell>
        </row>
        <row r="242">
          <cell r="E242" t="str">
            <v>Wira Tani, UD</v>
          </cell>
          <cell r="I242">
            <v>4160000</v>
          </cell>
        </row>
        <row r="243">
          <cell r="E243" t="str">
            <v>Agro Suci/Bety</v>
          </cell>
          <cell r="I243">
            <v>2300000</v>
          </cell>
        </row>
        <row r="244">
          <cell r="E244" t="str">
            <v>Agro Suci/Bety</v>
          </cell>
          <cell r="I244">
            <v>1860000</v>
          </cell>
        </row>
        <row r="245">
          <cell r="E245" t="str">
            <v>Al Badar/Badar, H</v>
          </cell>
          <cell r="I245">
            <v>3760000</v>
          </cell>
        </row>
        <row r="246">
          <cell r="E246" t="str">
            <v>Berkah Abadi Tani/Widodo</v>
          </cell>
          <cell r="I246">
            <v>118080000</v>
          </cell>
        </row>
        <row r="247">
          <cell r="E247" t="str">
            <v>Bima Tani Jaya/Kevin Pratama</v>
          </cell>
          <cell r="I247">
            <v>1900000</v>
          </cell>
        </row>
        <row r="248">
          <cell r="E248" t="str">
            <v>Bima Tani Jaya/Kevin Pratama</v>
          </cell>
          <cell r="I248">
            <v>1980000</v>
          </cell>
        </row>
        <row r="249">
          <cell r="E249" t="str">
            <v>Bintang Sejahtera</v>
          </cell>
          <cell r="I249">
            <v>18770000</v>
          </cell>
        </row>
        <row r="250">
          <cell r="E250" t="str">
            <v>Biso Tani/Supriadi</v>
          </cell>
          <cell r="I250">
            <v>3600000</v>
          </cell>
        </row>
        <row r="251">
          <cell r="E251" t="str">
            <v>Cahaya Tani/Rudi</v>
          </cell>
          <cell r="I251">
            <v>9771500</v>
          </cell>
        </row>
        <row r="252">
          <cell r="E252" t="str">
            <v>Cahaya Tani/Rudi</v>
          </cell>
          <cell r="I252">
            <v>1656000</v>
          </cell>
        </row>
        <row r="253">
          <cell r="E253" t="str">
            <v>Damar Batur Nusantara</v>
          </cell>
          <cell r="I253">
            <v>56880000</v>
          </cell>
        </row>
        <row r="254">
          <cell r="E254" t="str">
            <v>Damar Batur Nusantara</v>
          </cell>
          <cell r="I254">
            <v>1265000</v>
          </cell>
        </row>
        <row r="255">
          <cell r="E255" t="str">
            <v>Djago Tani/Edi</v>
          </cell>
          <cell r="I255">
            <v>4500000</v>
          </cell>
        </row>
        <row r="256">
          <cell r="E256" t="str">
            <v>Gajah Tani Makmur</v>
          </cell>
          <cell r="I256">
            <v>4500000</v>
          </cell>
        </row>
        <row r="257">
          <cell r="E257" t="str">
            <v>Ira Tani/Dani, H</v>
          </cell>
          <cell r="I257">
            <v>4200000</v>
          </cell>
        </row>
        <row r="258">
          <cell r="E258" t="str">
            <v>Merdeka Tani/Sugiono</v>
          </cell>
          <cell r="I258">
            <v>21000000</v>
          </cell>
        </row>
        <row r="259">
          <cell r="E259" t="str">
            <v>Merdeka Tani/Sugiono</v>
          </cell>
          <cell r="I259">
            <v>2400000</v>
          </cell>
        </row>
        <row r="260">
          <cell r="E260" t="str">
            <v>Mubarok, Toko</v>
          </cell>
          <cell r="I260">
            <v>5520000</v>
          </cell>
        </row>
        <row r="261">
          <cell r="E261" t="str">
            <v>Riski Tani/Hadi</v>
          </cell>
          <cell r="I261">
            <v>13411500</v>
          </cell>
        </row>
        <row r="262">
          <cell r="E262" t="str">
            <v>Sumber Brantas</v>
          </cell>
          <cell r="I262">
            <v>53650000</v>
          </cell>
        </row>
        <row r="263">
          <cell r="E263" t="str">
            <v>Sumber Makmur/Henry</v>
          </cell>
          <cell r="I263">
            <v>32160000</v>
          </cell>
        </row>
        <row r="264">
          <cell r="E264" t="str">
            <v>Sumber Tani/Eko Wardono</v>
          </cell>
          <cell r="I264">
            <v>2340000</v>
          </cell>
        </row>
        <row r="265">
          <cell r="E265" t="str">
            <v>Sumber Tani/Eko Wardono</v>
          </cell>
          <cell r="I265">
            <v>1920000</v>
          </cell>
        </row>
        <row r="266">
          <cell r="E266" t="str">
            <v>Agro Suci/Bety</v>
          </cell>
          <cell r="I266">
            <v>1137600</v>
          </cell>
        </row>
        <row r="267">
          <cell r="E267" t="str">
            <v>Bima Tani Jaya/Kevin Pratama</v>
          </cell>
          <cell r="I267">
            <v>2300000</v>
          </cell>
        </row>
        <row r="268">
          <cell r="E268" t="str">
            <v>Bima Tani Jaya/Kevin Pratama</v>
          </cell>
          <cell r="I268">
            <v>4560000</v>
          </cell>
        </row>
        <row r="269">
          <cell r="E269" t="str">
            <v>Bumi Jaya, UD/Farida</v>
          </cell>
          <cell r="I269">
            <v>1500000</v>
          </cell>
        </row>
        <row r="270">
          <cell r="E270" t="str">
            <v>Cahaya Tani/Damiyanto</v>
          </cell>
          <cell r="I270">
            <v>2652500</v>
          </cell>
        </row>
        <row r="271">
          <cell r="E271" t="str">
            <v>Cahaya Tani/Damiyanto</v>
          </cell>
          <cell r="I271">
            <v>9800000</v>
          </cell>
        </row>
        <row r="272">
          <cell r="E272" t="str">
            <v>CV. Surya Agro Pradhana</v>
          </cell>
          <cell r="I272">
            <v>135977500</v>
          </cell>
        </row>
        <row r="273">
          <cell r="E273" t="str">
            <v>CV. Surya Agro Pradhana</v>
          </cell>
          <cell r="I273">
            <v>10000000</v>
          </cell>
        </row>
        <row r="274">
          <cell r="E274" t="str">
            <v>Ghanesa Tani/Erviana</v>
          </cell>
          <cell r="I274">
            <v>1600000</v>
          </cell>
        </row>
        <row r="275">
          <cell r="E275" t="str">
            <v>Indah Tani/Endah</v>
          </cell>
          <cell r="I275">
            <v>3780000</v>
          </cell>
        </row>
        <row r="276">
          <cell r="E276" t="str">
            <v>Indah Tani/Endah</v>
          </cell>
          <cell r="I276">
            <v>1205000</v>
          </cell>
        </row>
        <row r="277">
          <cell r="E277" t="str">
            <v>Kharisma/Nanang</v>
          </cell>
          <cell r="I277">
            <v>3900000</v>
          </cell>
        </row>
        <row r="278">
          <cell r="E278" t="str">
            <v>Maju Tani/Dedi Kurniawan</v>
          </cell>
          <cell r="I278">
            <v>2468000</v>
          </cell>
        </row>
        <row r="279">
          <cell r="E279" t="str">
            <v>Maju Tani/Dedi Kurniawan</v>
          </cell>
          <cell r="I279">
            <v>1332000</v>
          </cell>
        </row>
        <row r="280">
          <cell r="E280" t="str">
            <v>Maju Tani/Dedi Kurniawan</v>
          </cell>
          <cell r="I280">
            <v>410000</v>
          </cell>
        </row>
        <row r="281">
          <cell r="E281">
            <v>0</v>
          </cell>
          <cell r="I281">
            <v>0</v>
          </cell>
        </row>
        <row r="282">
          <cell r="E282" t="str">
            <v>Merdeka Tani/Sugiono</v>
          </cell>
          <cell r="I282">
            <v>93000000</v>
          </cell>
        </row>
        <row r="283">
          <cell r="E283" t="str">
            <v>Pelita Tani, CV/Budi</v>
          </cell>
          <cell r="I283">
            <v>72187500</v>
          </cell>
        </row>
        <row r="284">
          <cell r="E284" t="str">
            <v>Riski Tani/Hadi</v>
          </cell>
          <cell r="I284">
            <v>4740000</v>
          </cell>
        </row>
        <row r="285">
          <cell r="E285" t="str">
            <v>Sadar Sari/Farid Firdaus</v>
          </cell>
          <cell r="I285">
            <v>1515000</v>
          </cell>
        </row>
        <row r="286">
          <cell r="E286" t="str">
            <v>Serba Hasil/Ansori</v>
          </cell>
          <cell r="I286">
            <v>49500000</v>
          </cell>
        </row>
        <row r="287">
          <cell r="E287" t="str">
            <v>Serba Hasil/Ansori</v>
          </cell>
          <cell r="I287">
            <v>7150000</v>
          </cell>
        </row>
        <row r="288">
          <cell r="E288" t="str">
            <v>Serba Hasil/Ansori</v>
          </cell>
          <cell r="I288">
            <v>3375000</v>
          </cell>
        </row>
        <row r="289">
          <cell r="E289" t="str">
            <v>Sugeng Makmur, Toko</v>
          </cell>
          <cell r="I289">
            <v>12660000</v>
          </cell>
        </row>
        <row r="290">
          <cell r="E290" t="str">
            <v>Sugeng Makmur, Toko</v>
          </cell>
          <cell r="I290">
            <v>19800000</v>
          </cell>
        </row>
        <row r="291">
          <cell r="E291" t="str">
            <v>Tulus Ayu</v>
          </cell>
          <cell r="I291">
            <v>5865000</v>
          </cell>
        </row>
        <row r="292">
          <cell r="E292" t="str">
            <v>Benih Jaya</v>
          </cell>
          <cell r="I292">
            <v>1365000</v>
          </cell>
        </row>
        <row r="293">
          <cell r="E293" t="str">
            <v>CV. Surya Agro Pradhana</v>
          </cell>
          <cell r="I293">
            <v>36325000</v>
          </cell>
        </row>
        <row r="294">
          <cell r="E294" t="str">
            <v>CV. Surya Agro Pradhana</v>
          </cell>
          <cell r="I294">
            <v>9900000</v>
          </cell>
        </row>
        <row r="295">
          <cell r="E295" t="str">
            <v>Hikmah Tani/Elma</v>
          </cell>
          <cell r="I295">
            <v>5865000</v>
          </cell>
        </row>
        <row r="296">
          <cell r="E296" t="str">
            <v>Nayunda/Edi</v>
          </cell>
          <cell r="I296">
            <v>3440000</v>
          </cell>
        </row>
        <row r="297">
          <cell r="E297" t="str">
            <v>Serba Hasil/Ansori</v>
          </cell>
          <cell r="I297">
            <v>8600000</v>
          </cell>
        </row>
        <row r="298">
          <cell r="E298" t="str">
            <v>Tani Bersatu</v>
          </cell>
          <cell r="I298">
            <v>18500000</v>
          </cell>
        </row>
        <row r="299">
          <cell r="E299" t="str">
            <v>Anugrah Tani Sejahtera/Siswoyo Adi P</v>
          </cell>
          <cell r="I299">
            <v>15770000</v>
          </cell>
        </row>
        <row r="300">
          <cell r="E300" t="str">
            <v>Bima Tani Jaya/Kevin Pratama</v>
          </cell>
          <cell r="I300">
            <v>4080000</v>
          </cell>
        </row>
        <row r="301">
          <cell r="E301" t="str">
            <v>Bina Mandiri, UD/Nurul</v>
          </cell>
          <cell r="I301">
            <v>2475000</v>
          </cell>
        </row>
        <row r="302">
          <cell r="E302" t="str">
            <v>Bintang Berkah Barokah, CV</v>
          </cell>
          <cell r="I302">
            <v>18500000</v>
          </cell>
        </row>
        <row r="303">
          <cell r="E303" t="str">
            <v>Bumi Tani 2/Hafid</v>
          </cell>
          <cell r="I303">
            <v>1350000</v>
          </cell>
        </row>
        <row r="304">
          <cell r="E304" t="str">
            <v>Bursa Tani/Brian</v>
          </cell>
          <cell r="I304">
            <v>10000000</v>
          </cell>
        </row>
        <row r="305">
          <cell r="E305" t="str">
            <v>Damar Batur Nusantara</v>
          </cell>
          <cell r="I305">
            <v>2460000</v>
          </cell>
        </row>
        <row r="306">
          <cell r="E306" t="str">
            <v>Damar Batur Nusantara</v>
          </cell>
          <cell r="I306">
            <v>48500000</v>
          </cell>
        </row>
        <row r="307">
          <cell r="E307" t="str">
            <v>Damar Batur Nusantara</v>
          </cell>
          <cell r="I307">
            <v>2700000</v>
          </cell>
        </row>
        <row r="308">
          <cell r="E308" t="str">
            <v>Merdeka Tani/Sugiono</v>
          </cell>
          <cell r="I308">
            <v>8700000</v>
          </cell>
        </row>
        <row r="309">
          <cell r="E309" t="str">
            <v>Merdeka Tani/Sugiono</v>
          </cell>
          <cell r="I309">
            <v>14000000</v>
          </cell>
        </row>
        <row r="310">
          <cell r="E310" t="str">
            <v>Purbaya</v>
          </cell>
          <cell r="I310">
            <v>129760000</v>
          </cell>
        </row>
        <row r="311">
          <cell r="E311" t="str">
            <v>Roy Mandiri, UD/Faikul</v>
          </cell>
          <cell r="I311">
            <v>6900000</v>
          </cell>
        </row>
        <row r="312">
          <cell r="E312" t="str">
            <v>Sadar Sari/Farid Firdaus</v>
          </cell>
          <cell r="I312">
            <v>2520000</v>
          </cell>
        </row>
        <row r="313">
          <cell r="E313" t="str">
            <v>Serba Hasil/Ansori</v>
          </cell>
          <cell r="I313">
            <v>20000000</v>
          </cell>
        </row>
        <row r="314">
          <cell r="E314" t="str">
            <v>Subur Makmur, UD</v>
          </cell>
          <cell r="I314">
            <v>75000000</v>
          </cell>
        </row>
        <row r="315">
          <cell r="E315" t="str">
            <v>Sumber Tani/Eko Wardono</v>
          </cell>
          <cell r="I315">
            <v>9800000</v>
          </cell>
        </row>
        <row r="316">
          <cell r="E316" t="str">
            <v>Sumber Tani/Eko Wardono</v>
          </cell>
          <cell r="I316">
            <v>2320000</v>
          </cell>
        </row>
        <row r="317">
          <cell r="E317" t="str">
            <v>Tani Subur/Saiful</v>
          </cell>
          <cell r="I317">
            <v>1125000</v>
          </cell>
        </row>
        <row r="318">
          <cell r="E318" t="str">
            <v>Tani Subur/Saiful</v>
          </cell>
          <cell r="I318">
            <v>4935000</v>
          </cell>
        </row>
        <row r="319">
          <cell r="E319" t="str">
            <v>Tani Subur/Saiful</v>
          </cell>
          <cell r="I319">
            <v>575000</v>
          </cell>
        </row>
        <row r="320">
          <cell r="E320" t="str">
            <v>Al Badar/Badar, H</v>
          </cell>
          <cell r="I320">
            <v>9175000</v>
          </cell>
        </row>
        <row r="321">
          <cell r="E321" t="str">
            <v>Al Badar/Badar, H</v>
          </cell>
          <cell r="I321">
            <v>470000</v>
          </cell>
        </row>
        <row r="322">
          <cell r="E322" t="str">
            <v>Al Badar/Badar, H</v>
          </cell>
          <cell r="I322">
            <v>2000000</v>
          </cell>
        </row>
        <row r="323">
          <cell r="E323" t="str">
            <v>Andalas Farm, UD</v>
          </cell>
          <cell r="I323">
            <v>1410000</v>
          </cell>
        </row>
        <row r="324">
          <cell r="E324" t="str">
            <v>Berkah Kayra/Nuyun</v>
          </cell>
          <cell r="I324">
            <v>705000</v>
          </cell>
        </row>
        <row r="325">
          <cell r="E325" t="str">
            <v>Bima Tani Jaya/Kevin Pratama</v>
          </cell>
          <cell r="I325">
            <v>4200000</v>
          </cell>
        </row>
        <row r="326">
          <cell r="E326" t="str">
            <v>Bina Mandiri, UD/Nurul</v>
          </cell>
          <cell r="I326">
            <v>1450000</v>
          </cell>
        </row>
        <row r="327">
          <cell r="E327" t="str">
            <v>Bursa Tani/Brian</v>
          </cell>
          <cell r="I327">
            <v>3350000</v>
          </cell>
        </row>
        <row r="328">
          <cell r="E328" t="str">
            <v>Djago Tani/Edi</v>
          </cell>
          <cell r="I328">
            <v>1175000</v>
          </cell>
        </row>
        <row r="329">
          <cell r="E329" t="str">
            <v>Era Tani/Abdul Wakik</v>
          </cell>
          <cell r="I329">
            <v>1917500</v>
          </cell>
        </row>
        <row r="330">
          <cell r="E330" t="str">
            <v>Era Tani/Abdul Wakik</v>
          </cell>
          <cell r="I330">
            <v>370000</v>
          </cell>
        </row>
        <row r="331">
          <cell r="E331" t="str">
            <v>Mahkota/Cik Cuan</v>
          </cell>
          <cell r="I331">
            <v>3000000</v>
          </cell>
        </row>
        <row r="332">
          <cell r="E332" t="str">
            <v>Merdeka Tani/Sugiono</v>
          </cell>
          <cell r="I332">
            <v>40680000</v>
          </cell>
        </row>
        <row r="333">
          <cell r="E333" t="str">
            <v>Moga Berkah/Robid</v>
          </cell>
          <cell r="I333">
            <v>5075000</v>
          </cell>
        </row>
        <row r="334">
          <cell r="E334" t="str">
            <v>Riski Tani/Hadi</v>
          </cell>
          <cell r="I334">
            <v>20204000</v>
          </cell>
        </row>
        <row r="335">
          <cell r="E335" t="str">
            <v>Riski Tani/Hadi</v>
          </cell>
          <cell r="I335">
            <v>7980000</v>
          </cell>
        </row>
        <row r="336">
          <cell r="E336" t="str">
            <v>Riski Tani/Hadi</v>
          </cell>
          <cell r="I336">
            <v>6420000</v>
          </cell>
        </row>
        <row r="337">
          <cell r="E337" t="str">
            <v>Roda Tani/Srinarsih</v>
          </cell>
          <cell r="I337">
            <v>1840000</v>
          </cell>
        </row>
        <row r="338">
          <cell r="E338">
            <v>0</v>
          </cell>
          <cell r="I338">
            <v>0</v>
          </cell>
        </row>
        <row r="339">
          <cell r="E339" t="str">
            <v>Sugeng Makmur, Toko</v>
          </cell>
          <cell r="I339">
            <v>11000000</v>
          </cell>
        </row>
        <row r="340">
          <cell r="E340" t="str">
            <v>Tani Bersatu</v>
          </cell>
          <cell r="I340">
            <v>7960000</v>
          </cell>
        </row>
        <row r="341">
          <cell r="E341" t="str">
            <v>Agro Suci/Bety</v>
          </cell>
          <cell r="I341">
            <v>5375000</v>
          </cell>
        </row>
        <row r="342">
          <cell r="E342" t="str">
            <v>Almeera Tani/Alif</v>
          </cell>
          <cell r="I342">
            <v>16170000</v>
          </cell>
        </row>
        <row r="343">
          <cell r="E343" t="str">
            <v>Anggoro Makmur/Yayuk</v>
          </cell>
          <cell r="I343">
            <v>390000</v>
          </cell>
        </row>
        <row r="344">
          <cell r="E344" t="str">
            <v>Anggoro Makmur/Yayuk</v>
          </cell>
          <cell r="I344">
            <v>2480000</v>
          </cell>
        </row>
        <row r="345">
          <cell r="E345" t="str">
            <v>Bima Tani Jaya/Kevin Pratama</v>
          </cell>
          <cell r="I345">
            <v>1030000</v>
          </cell>
        </row>
        <row r="346">
          <cell r="E346" t="str">
            <v>Damar Batur Nusantara</v>
          </cell>
          <cell r="I346">
            <v>16712500</v>
          </cell>
        </row>
        <row r="347">
          <cell r="E347" t="str">
            <v>Damar Batur Nusantara</v>
          </cell>
          <cell r="I347">
            <v>3460000</v>
          </cell>
        </row>
        <row r="348">
          <cell r="E348" t="str">
            <v>Griya Tani/Sri</v>
          </cell>
          <cell r="I348">
            <v>18828500</v>
          </cell>
        </row>
        <row r="349">
          <cell r="E349" t="str">
            <v>Hasil Usaha, UD</v>
          </cell>
          <cell r="I349">
            <v>38700000</v>
          </cell>
        </row>
        <row r="350">
          <cell r="E350" t="str">
            <v>Kharisma/Nanang</v>
          </cell>
          <cell r="I350">
            <v>1487500</v>
          </cell>
        </row>
        <row r="351">
          <cell r="E351" t="str">
            <v>Luhur Tani/M. Itqon</v>
          </cell>
          <cell r="I351">
            <v>6480000</v>
          </cell>
        </row>
        <row r="352">
          <cell r="E352" t="str">
            <v>Maju Jaya/Azwar</v>
          </cell>
          <cell r="I352">
            <v>11400000</v>
          </cell>
        </row>
        <row r="353">
          <cell r="E353" t="str">
            <v>Omah Tani/Agus</v>
          </cell>
          <cell r="I353">
            <v>4600000</v>
          </cell>
        </row>
        <row r="354">
          <cell r="E354" t="str">
            <v>Pasha Tani</v>
          </cell>
          <cell r="I354">
            <v>3040000</v>
          </cell>
        </row>
        <row r="355">
          <cell r="E355" t="str">
            <v>Serba Hasil/Ansori</v>
          </cell>
          <cell r="I355">
            <v>28300000</v>
          </cell>
        </row>
        <row r="356">
          <cell r="E356" t="str">
            <v>Serba Hasil/Ansori</v>
          </cell>
          <cell r="I356">
            <v>17200000</v>
          </cell>
        </row>
        <row r="357">
          <cell r="E357" t="str">
            <v>Wira Tani, UD</v>
          </cell>
          <cell r="I357">
            <v>3264000</v>
          </cell>
        </row>
        <row r="358">
          <cell r="E358" t="str">
            <v>Zifa Tani/Purwanto</v>
          </cell>
          <cell r="I358">
            <v>2110000</v>
          </cell>
        </row>
        <row r="359">
          <cell r="E359" t="str">
            <v>Bima Tani Jaya/Kevin Pratama</v>
          </cell>
          <cell r="I359">
            <v>1500000</v>
          </cell>
        </row>
        <row r="360">
          <cell r="E360" t="str">
            <v>Cipta Jaya Multifarm</v>
          </cell>
          <cell r="I360">
            <v>2112000</v>
          </cell>
        </row>
        <row r="361">
          <cell r="E361" t="str">
            <v>CV. Surya Agro Pradhana</v>
          </cell>
          <cell r="I361">
            <v>68125000</v>
          </cell>
        </row>
        <row r="362">
          <cell r="E362" t="str">
            <v>Rizki Tani/Ratna</v>
          </cell>
          <cell r="I362">
            <v>388890000</v>
          </cell>
        </row>
        <row r="363">
          <cell r="E363" t="str">
            <v>Rizki Tani/Ratna</v>
          </cell>
          <cell r="I363">
            <v>387996000</v>
          </cell>
        </row>
        <row r="364">
          <cell r="E364" t="str">
            <v>Serba Hasil/Ansori</v>
          </cell>
          <cell r="I364">
            <v>13320000</v>
          </cell>
        </row>
        <row r="365">
          <cell r="E365" t="str">
            <v>Sumber Hidup/Ugik</v>
          </cell>
          <cell r="I365">
            <v>5400000</v>
          </cell>
        </row>
        <row r="366">
          <cell r="E366">
            <v>0</v>
          </cell>
          <cell r="I366">
            <v>0</v>
          </cell>
        </row>
        <row r="367">
          <cell r="E367">
            <v>0</v>
          </cell>
          <cell r="I367">
            <v>0</v>
          </cell>
        </row>
        <row r="368">
          <cell r="E368">
            <v>0</v>
          </cell>
          <cell r="I368">
            <v>0</v>
          </cell>
        </row>
        <row r="369">
          <cell r="E369">
            <v>0</v>
          </cell>
          <cell r="I369">
            <v>0</v>
          </cell>
        </row>
        <row r="370">
          <cell r="E370">
            <v>0</v>
          </cell>
          <cell r="I370">
            <v>0</v>
          </cell>
        </row>
        <row r="371">
          <cell r="E371">
            <v>0</v>
          </cell>
          <cell r="I371">
            <v>0</v>
          </cell>
        </row>
        <row r="372">
          <cell r="E372">
            <v>0</v>
          </cell>
          <cell r="I372">
            <v>0</v>
          </cell>
        </row>
        <row r="373">
          <cell r="E373">
            <v>0</v>
          </cell>
          <cell r="I373">
            <v>0</v>
          </cell>
        </row>
        <row r="374">
          <cell r="E374">
            <v>0</v>
          </cell>
          <cell r="I374">
            <v>0</v>
          </cell>
        </row>
        <row r="375">
          <cell r="E375">
            <v>0</v>
          </cell>
          <cell r="I375">
            <v>0</v>
          </cell>
        </row>
        <row r="376">
          <cell r="E376">
            <v>0</v>
          </cell>
          <cell r="I376">
            <v>0</v>
          </cell>
        </row>
        <row r="377">
          <cell r="E377">
            <v>0</v>
          </cell>
          <cell r="I377">
            <v>0</v>
          </cell>
        </row>
        <row r="378">
          <cell r="E378">
            <v>0</v>
          </cell>
          <cell r="I378">
            <v>0</v>
          </cell>
        </row>
        <row r="379">
          <cell r="E379">
            <v>0</v>
          </cell>
          <cell r="I379">
            <v>0</v>
          </cell>
        </row>
        <row r="380">
          <cell r="E380">
            <v>0</v>
          </cell>
          <cell r="I380">
            <v>0</v>
          </cell>
        </row>
        <row r="381">
          <cell r="E381">
            <v>0</v>
          </cell>
          <cell r="I381">
            <v>0</v>
          </cell>
        </row>
        <row r="382">
          <cell r="E382">
            <v>0</v>
          </cell>
          <cell r="I382">
            <v>0</v>
          </cell>
        </row>
        <row r="383">
          <cell r="E383">
            <v>0</v>
          </cell>
          <cell r="I383">
            <v>0</v>
          </cell>
        </row>
        <row r="384">
          <cell r="E384">
            <v>0</v>
          </cell>
          <cell r="I384">
            <v>0</v>
          </cell>
        </row>
        <row r="385">
          <cell r="E385">
            <v>0</v>
          </cell>
          <cell r="I385">
            <v>0</v>
          </cell>
        </row>
        <row r="386">
          <cell r="E386">
            <v>0</v>
          </cell>
          <cell r="I386">
            <v>0</v>
          </cell>
        </row>
        <row r="387">
          <cell r="E387">
            <v>0</v>
          </cell>
          <cell r="I387">
            <v>0</v>
          </cell>
        </row>
        <row r="388">
          <cell r="E388">
            <v>0</v>
          </cell>
          <cell r="I388">
            <v>0</v>
          </cell>
        </row>
        <row r="389">
          <cell r="E389">
            <v>0</v>
          </cell>
          <cell r="I389">
            <v>0</v>
          </cell>
        </row>
        <row r="390">
          <cell r="E390">
            <v>0</v>
          </cell>
          <cell r="I390">
            <v>0</v>
          </cell>
        </row>
        <row r="391">
          <cell r="E391">
            <v>0</v>
          </cell>
          <cell r="I391">
            <v>0</v>
          </cell>
        </row>
        <row r="392">
          <cell r="E392">
            <v>0</v>
          </cell>
          <cell r="I392">
            <v>0</v>
          </cell>
        </row>
        <row r="393">
          <cell r="E393">
            <v>0</v>
          </cell>
          <cell r="I393">
            <v>0</v>
          </cell>
        </row>
        <row r="394">
          <cell r="E394">
            <v>0</v>
          </cell>
          <cell r="I394">
            <v>0</v>
          </cell>
        </row>
        <row r="395">
          <cell r="E395">
            <v>0</v>
          </cell>
          <cell r="I395">
            <v>0</v>
          </cell>
        </row>
        <row r="396">
          <cell r="E396">
            <v>0</v>
          </cell>
          <cell r="I396">
            <v>0</v>
          </cell>
        </row>
        <row r="397">
          <cell r="E397">
            <v>0</v>
          </cell>
          <cell r="I397">
            <v>0</v>
          </cell>
        </row>
        <row r="398">
          <cell r="E398">
            <v>0</v>
          </cell>
          <cell r="I398">
            <v>0</v>
          </cell>
        </row>
        <row r="399">
          <cell r="E399">
            <v>0</v>
          </cell>
          <cell r="I399">
            <v>0</v>
          </cell>
        </row>
        <row r="400">
          <cell r="E400">
            <v>0</v>
          </cell>
          <cell r="I400">
            <v>0</v>
          </cell>
        </row>
        <row r="401">
          <cell r="E401">
            <v>0</v>
          </cell>
          <cell r="I401">
            <v>0</v>
          </cell>
        </row>
        <row r="402">
          <cell r="E402">
            <v>0</v>
          </cell>
          <cell r="I402">
            <v>0</v>
          </cell>
        </row>
        <row r="403">
          <cell r="E403">
            <v>0</v>
          </cell>
          <cell r="I403">
            <v>0</v>
          </cell>
        </row>
        <row r="404">
          <cell r="E404">
            <v>0</v>
          </cell>
          <cell r="I404">
            <v>0</v>
          </cell>
        </row>
        <row r="405">
          <cell r="E405">
            <v>0</v>
          </cell>
          <cell r="I405">
            <v>0</v>
          </cell>
        </row>
        <row r="406">
          <cell r="E406">
            <v>0</v>
          </cell>
          <cell r="I406">
            <v>0</v>
          </cell>
        </row>
        <row r="407">
          <cell r="E407">
            <v>0</v>
          </cell>
          <cell r="I407">
            <v>0</v>
          </cell>
        </row>
        <row r="408">
          <cell r="E408">
            <v>0</v>
          </cell>
          <cell r="I408">
            <v>0</v>
          </cell>
        </row>
        <row r="409">
          <cell r="E409">
            <v>0</v>
          </cell>
          <cell r="I409">
            <v>0</v>
          </cell>
        </row>
        <row r="410">
          <cell r="E410">
            <v>0</v>
          </cell>
          <cell r="I410">
            <v>0</v>
          </cell>
        </row>
        <row r="411">
          <cell r="E411">
            <v>0</v>
          </cell>
          <cell r="I411">
            <v>0</v>
          </cell>
        </row>
        <row r="412">
          <cell r="E412">
            <v>0</v>
          </cell>
          <cell r="I412">
            <v>0</v>
          </cell>
        </row>
        <row r="413">
          <cell r="E413">
            <v>0</v>
          </cell>
          <cell r="I413">
            <v>0</v>
          </cell>
        </row>
        <row r="414">
          <cell r="E414">
            <v>0</v>
          </cell>
          <cell r="I414">
            <v>0</v>
          </cell>
        </row>
        <row r="415">
          <cell r="E415">
            <v>0</v>
          </cell>
          <cell r="I415">
            <v>0</v>
          </cell>
        </row>
        <row r="416">
          <cell r="E416">
            <v>0</v>
          </cell>
          <cell r="I416">
            <v>0</v>
          </cell>
        </row>
        <row r="417">
          <cell r="E417">
            <v>0</v>
          </cell>
          <cell r="I417">
            <v>0</v>
          </cell>
        </row>
        <row r="418">
          <cell r="E418">
            <v>0</v>
          </cell>
          <cell r="I418">
            <v>0</v>
          </cell>
        </row>
        <row r="419">
          <cell r="E419">
            <v>0</v>
          </cell>
          <cell r="I419">
            <v>0</v>
          </cell>
        </row>
        <row r="420">
          <cell r="E420">
            <v>0</v>
          </cell>
          <cell r="I420">
            <v>0</v>
          </cell>
        </row>
        <row r="421">
          <cell r="E421">
            <v>0</v>
          </cell>
          <cell r="I421">
            <v>0</v>
          </cell>
        </row>
        <row r="422">
          <cell r="E422">
            <v>0</v>
          </cell>
          <cell r="I422">
            <v>0</v>
          </cell>
        </row>
        <row r="423">
          <cell r="E423">
            <v>0</v>
          </cell>
          <cell r="I423">
            <v>0</v>
          </cell>
        </row>
        <row r="424">
          <cell r="E424">
            <v>0</v>
          </cell>
          <cell r="I424">
            <v>0</v>
          </cell>
        </row>
        <row r="425">
          <cell r="E425">
            <v>0</v>
          </cell>
          <cell r="I425">
            <v>0</v>
          </cell>
        </row>
        <row r="426">
          <cell r="E426">
            <v>0</v>
          </cell>
          <cell r="I426">
            <v>0</v>
          </cell>
        </row>
        <row r="427">
          <cell r="E427">
            <v>0</v>
          </cell>
          <cell r="I427">
            <v>0</v>
          </cell>
        </row>
        <row r="428">
          <cell r="E428">
            <v>0</v>
          </cell>
          <cell r="I428">
            <v>0</v>
          </cell>
        </row>
        <row r="429">
          <cell r="E429">
            <v>0</v>
          </cell>
          <cell r="I429">
            <v>0</v>
          </cell>
        </row>
        <row r="430">
          <cell r="E430">
            <v>0</v>
          </cell>
          <cell r="I430">
            <v>0</v>
          </cell>
        </row>
        <row r="431">
          <cell r="E431">
            <v>0</v>
          </cell>
          <cell r="I431">
            <v>0</v>
          </cell>
        </row>
        <row r="432">
          <cell r="E432">
            <v>0</v>
          </cell>
          <cell r="I432">
            <v>0</v>
          </cell>
        </row>
        <row r="433">
          <cell r="E433">
            <v>0</v>
          </cell>
          <cell r="I433">
            <v>0</v>
          </cell>
        </row>
        <row r="434">
          <cell r="E434">
            <v>0</v>
          </cell>
          <cell r="I434">
            <v>0</v>
          </cell>
        </row>
        <row r="435">
          <cell r="E435">
            <v>0</v>
          </cell>
          <cell r="I435">
            <v>0</v>
          </cell>
        </row>
        <row r="436">
          <cell r="E436">
            <v>0</v>
          </cell>
          <cell r="I436">
            <v>0</v>
          </cell>
        </row>
        <row r="437">
          <cell r="E437">
            <v>0</v>
          </cell>
          <cell r="I437">
            <v>0</v>
          </cell>
        </row>
        <row r="438">
          <cell r="E438">
            <v>0</v>
          </cell>
          <cell r="I438">
            <v>0</v>
          </cell>
        </row>
        <row r="439">
          <cell r="E439">
            <v>0</v>
          </cell>
          <cell r="I439">
            <v>0</v>
          </cell>
        </row>
        <row r="440">
          <cell r="E440">
            <v>0</v>
          </cell>
          <cell r="I440">
            <v>0</v>
          </cell>
        </row>
        <row r="441">
          <cell r="E441">
            <v>0</v>
          </cell>
          <cell r="I441">
            <v>0</v>
          </cell>
        </row>
        <row r="442">
          <cell r="E442">
            <v>0</v>
          </cell>
          <cell r="I442">
            <v>0</v>
          </cell>
        </row>
        <row r="443">
          <cell r="E443">
            <v>0</v>
          </cell>
          <cell r="I443">
            <v>0</v>
          </cell>
        </row>
        <row r="444">
          <cell r="E444">
            <v>0</v>
          </cell>
          <cell r="I444">
            <v>0</v>
          </cell>
        </row>
        <row r="445">
          <cell r="E445">
            <v>0</v>
          </cell>
          <cell r="I445">
            <v>0</v>
          </cell>
        </row>
        <row r="446">
          <cell r="E446">
            <v>0</v>
          </cell>
          <cell r="I446">
            <v>0</v>
          </cell>
        </row>
        <row r="447">
          <cell r="E447">
            <v>0</v>
          </cell>
          <cell r="I447">
            <v>0</v>
          </cell>
        </row>
        <row r="448">
          <cell r="E448">
            <v>0</v>
          </cell>
          <cell r="I448">
            <v>0</v>
          </cell>
        </row>
        <row r="449">
          <cell r="E449">
            <v>0</v>
          </cell>
          <cell r="I449">
            <v>0</v>
          </cell>
        </row>
        <row r="450">
          <cell r="E450">
            <v>0</v>
          </cell>
          <cell r="I450">
            <v>0</v>
          </cell>
        </row>
        <row r="451">
          <cell r="E451">
            <v>0</v>
          </cell>
          <cell r="I451">
            <v>0</v>
          </cell>
        </row>
        <row r="452">
          <cell r="E452">
            <v>0</v>
          </cell>
          <cell r="I452">
            <v>0</v>
          </cell>
        </row>
        <row r="453">
          <cell r="E453">
            <v>0</v>
          </cell>
          <cell r="I453">
            <v>0</v>
          </cell>
        </row>
        <row r="454">
          <cell r="E454">
            <v>0</v>
          </cell>
          <cell r="I454">
            <v>0</v>
          </cell>
        </row>
        <row r="455">
          <cell r="E455">
            <v>0</v>
          </cell>
          <cell r="I455">
            <v>0</v>
          </cell>
        </row>
        <row r="456">
          <cell r="E456">
            <v>0</v>
          </cell>
          <cell r="I456">
            <v>0</v>
          </cell>
        </row>
        <row r="457">
          <cell r="E457">
            <v>0</v>
          </cell>
          <cell r="I457">
            <v>0</v>
          </cell>
        </row>
        <row r="458">
          <cell r="E458">
            <v>0</v>
          </cell>
          <cell r="I458">
            <v>0</v>
          </cell>
        </row>
        <row r="459">
          <cell r="E459">
            <v>0</v>
          </cell>
          <cell r="I459">
            <v>0</v>
          </cell>
        </row>
        <row r="460">
          <cell r="E460">
            <v>0</v>
          </cell>
          <cell r="I460">
            <v>0</v>
          </cell>
        </row>
        <row r="461">
          <cell r="E461">
            <v>0</v>
          </cell>
          <cell r="I461">
            <v>0</v>
          </cell>
        </row>
        <row r="462">
          <cell r="E462">
            <v>0</v>
          </cell>
          <cell r="I462">
            <v>0</v>
          </cell>
        </row>
        <row r="463">
          <cell r="E463">
            <v>0</v>
          </cell>
          <cell r="I463">
            <v>0</v>
          </cell>
        </row>
        <row r="464">
          <cell r="E464">
            <v>0</v>
          </cell>
          <cell r="I464">
            <v>0</v>
          </cell>
        </row>
        <row r="465">
          <cell r="E465">
            <v>0</v>
          </cell>
          <cell r="I465">
            <v>0</v>
          </cell>
        </row>
        <row r="466">
          <cell r="E466">
            <v>0</v>
          </cell>
          <cell r="I466">
            <v>0</v>
          </cell>
        </row>
        <row r="467">
          <cell r="E467">
            <v>0</v>
          </cell>
          <cell r="I467">
            <v>0</v>
          </cell>
        </row>
        <row r="468">
          <cell r="E468">
            <v>0</v>
          </cell>
          <cell r="I468">
            <v>0</v>
          </cell>
        </row>
        <row r="469">
          <cell r="E469">
            <v>0</v>
          </cell>
          <cell r="I469">
            <v>0</v>
          </cell>
        </row>
        <row r="470">
          <cell r="E470">
            <v>0</v>
          </cell>
          <cell r="I470">
            <v>0</v>
          </cell>
        </row>
        <row r="471">
          <cell r="E471">
            <v>0</v>
          </cell>
          <cell r="I471">
            <v>0</v>
          </cell>
        </row>
        <row r="472">
          <cell r="E472">
            <v>0</v>
          </cell>
          <cell r="I472">
            <v>0</v>
          </cell>
        </row>
        <row r="473">
          <cell r="E473">
            <v>0</v>
          </cell>
          <cell r="I473">
            <v>0</v>
          </cell>
        </row>
        <row r="474">
          <cell r="E474">
            <v>0</v>
          </cell>
          <cell r="I474">
            <v>0</v>
          </cell>
        </row>
        <row r="475">
          <cell r="E475">
            <v>0</v>
          </cell>
          <cell r="I475">
            <v>0</v>
          </cell>
        </row>
        <row r="476">
          <cell r="E476">
            <v>0</v>
          </cell>
          <cell r="I476">
            <v>0</v>
          </cell>
        </row>
        <row r="477">
          <cell r="E477">
            <v>0</v>
          </cell>
          <cell r="I477">
            <v>0</v>
          </cell>
        </row>
        <row r="478">
          <cell r="E478">
            <v>0</v>
          </cell>
          <cell r="I478">
            <v>0</v>
          </cell>
        </row>
        <row r="479">
          <cell r="E479">
            <v>0</v>
          </cell>
          <cell r="I479">
            <v>0</v>
          </cell>
        </row>
        <row r="480">
          <cell r="E480">
            <v>0</v>
          </cell>
          <cell r="I480">
            <v>0</v>
          </cell>
        </row>
        <row r="481">
          <cell r="E481">
            <v>0</v>
          </cell>
          <cell r="I481">
            <v>0</v>
          </cell>
        </row>
        <row r="482">
          <cell r="E482">
            <v>0</v>
          </cell>
          <cell r="I482">
            <v>0</v>
          </cell>
        </row>
        <row r="483">
          <cell r="E483">
            <v>0</v>
          </cell>
          <cell r="I483">
            <v>0</v>
          </cell>
        </row>
        <row r="484">
          <cell r="E484">
            <v>0</v>
          </cell>
          <cell r="I484">
            <v>0</v>
          </cell>
        </row>
        <row r="485">
          <cell r="E485">
            <v>0</v>
          </cell>
          <cell r="I485">
            <v>0</v>
          </cell>
        </row>
        <row r="486">
          <cell r="E486">
            <v>0</v>
          </cell>
          <cell r="I486">
            <v>0</v>
          </cell>
        </row>
        <row r="487">
          <cell r="E487">
            <v>0</v>
          </cell>
          <cell r="I487">
            <v>0</v>
          </cell>
        </row>
        <row r="488">
          <cell r="E488">
            <v>0</v>
          </cell>
          <cell r="I488">
            <v>0</v>
          </cell>
        </row>
        <row r="489">
          <cell r="E489">
            <v>0</v>
          </cell>
          <cell r="I489">
            <v>0</v>
          </cell>
        </row>
        <row r="490">
          <cell r="E490">
            <v>0</v>
          </cell>
          <cell r="I490">
            <v>0</v>
          </cell>
        </row>
        <row r="491">
          <cell r="E491">
            <v>0</v>
          </cell>
          <cell r="I491">
            <v>0</v>
          </cell>
        </row>
        <row r="492">
          <cell r="E492">
            <v>0</v>
          </cell>
          <cell r="I492">
            <v>0</v>
          </cell>
        </row>
        <row r="493">
          <cell r="E493">
            <v>0</v>
          </cell>
          <cell r="I493">
            <v>0</v>
          </cell>
        </row>
        <row r="494">
          <cell r="E494">
            <v>0</v>
          </cell>
          <cell r="I494">
            <v>0</v>
          </cell>
        </row>
        <row r="495">
          <cell r="E495">
            <v>0</v>
          </cell>
          <cell r="I495">
            <v>0</v>
          </cell>
        </row>
        <row r="496">
          <cell r="E496">
            <v>0</v>
          </cell>
          <cell r="I496">
            <v>0</v>
          </cell>
        </row>
        <row r="497">
          <cell r="E497">
            <v>0</v>
          </cell>
          <cell r="I497">
            <v>0</v>
          </cell>
        </row>
        <row r="498">
          <cell r="E498">
            <v>0</v>
          </cell>
          <cell r="I498">
            <v>0</v>
          </cell>
        </row>
        <row r="499">
          <cell r="E499">
            <v>0</v>
          </cell>
          <cell r="I499">
            <v>0</v>
          </cell>
        </row>
        <row r="500">
          <cell r="E500">
            <v>0</v>
          </cell>
          <cell r="I500">
            <v>0</v>
          </cell>
        </row>
        <row r="501">
          <cell r="E501">
            <v>0</v>
          </cell>
          <cell r="I501">
            <v>0</v>
          </cell>
        </row>
        <row r="502">
          <cell r="E502">
            <v>0</v>
          </cell>
          <cell r="I502">
            <v>0</v>
          </cell>
        </row>
        <row r="503">
          <cell r="E503">
            <v>0</v>
          </cell>
          <cell r="I503">
            <v>0</v>
          </cell>
        </row>
        <row r="504">
          <cell r="E504">
            <v>0</v>
          </cell>
          <cell r="I504">
            <v>0</v>
          </cell>
        </row>
        <row r="505">
          <cell r="E505">
            <v>0</v>
          </cell>
          <cell r="I505">
            <v>0</v>
          </cell>
        </row>
        <row r="506">
          <cell r="E506">
            <v>0</v>
          </cell>
          <cell r="I506">
            <v>0</v>
          </cell>
        </row>
        <row r="507">
          <cell r="E507">
            <v>0</v>
          </cell>
          <cell r="I507">
            <v>0</v>
          </cell>
        </row>
        <row r="508">
          <cell r="E508">
            <v>0</v>
          </cell>
          <cell r="I508">
            <v>0</v>
          </cell>
        </row>
        <row r="509">
          <cell r="E509">
            <v>0</v>
          </cell>
          <cell r="I509">
            <v>0</v>
          </cell>
        </row>
        <row r="510">
          <cell r="E510">
            <v>0</v>
          </cell>
          <cell r="I510">
            <v>0</v>
          </cell>
        </row>
        <row r="511">
          <cell r="E511">
            <v>0</v>
          </cell>
          <cell r="I511">
            <v>0</v>
          </cell>
        </row>
        <row r="512">
          <cell r="E512">
            <v>0</v>
          </cell>
          <cell r="I512">
            <v>0</v>
          </cell>
        </row>
        <row r="513">
          <cell r="E513">
            <v>0</v>
          </cell>
          <cell r="I513">
            <v>0</v>
          </cell>
        </row>
        <row r="514">
          <cell r="E514">
            <v>0</v>
          </cell>
          <cell r="I514">
            <v>0</v>
          </cell>
        </row>
        <row r="515">
          <cell r="E515">
            <v>0</v>
          </cell>
          <cell r="I515">
            <v>0</v>
          </cell>
        </row>
        <row r="516">
          <cell r="E516">
            <v>0</v>
          </cell>
          <cell r="I516">
            <v>0</v>
          </cell>
        </row>
        <row r="517">
          <cell r="E517">
            <v>0</v>
          </cell>
          <cell r="I517">
            <v>0</v>
          </cell>
        </row>
        <row r="518">
          <cell r="E518">
            <v>0</v>
          </cell>
          <cell r="I518">
            <v>0</v>
          </cell>
        </row>
        <row r="519">
          <cell r="E519">
            <v>0</v>
          </cell>
          <cell r="I519">
            <v>0</v>
          </cell>
        </row>
        <row r="520">
          <cell r="E520">
            <v>0</v>
          </cell>
          <cell r="I520">
            <v>0</v>
          </cell>
        </row>
        <row r="521">
          <cell r="E521">
            <v>0</v>
          </cell>
          <cell r="I521">
            <v>0</v>
          </cell>
        </row>
        <row r="522">
          <cell r="E522">
            <v>0</v>
          </cell>
          <cell r="I522">
            <v>0</v>
          </cell>
        </row>
        <row r="523">
          <cell r="E523">
            <v>0</v>
          </cell>
          <cell r="I523">
            <v>0</v>
          </cell>
        </row>
        <row r="524">
          <cell r="E524">
            <v>0</v>
          </cell>
          <cell r="I524">
            <v>0</v>
          </cell>
        </row>
        <row r="525">
          <cell r="E525">
            <v>0</v>
          </cell>
          <cell r="I525">
            <v>0</v>
          </cell>
        </row>
        <row r="526">
          <cell r="E526">
            <v>0</v>
          </cell>
          <cell r="I526">
            <v>0</v>
          </cell>
        </row>
        <row r="527">
          <cell r="E527">
            <v>0</v>
          </cell>
          <cell r="I527">
            <v>0</v>
          </cell>
        </row>
        <row r="528">
          <cell r="E528">
            <v>0</v>
          </cell>
          <cell r="I528">
            <v>0</v>
          </cell>
        </row>
        <row r="529">
          <cell r="E529">
            <v>0</v>
          </cell>
          <cell r="I529">
            <v>0</v>
          </cell>
        </row>
        <row r="530">
          <cell r="E530">
            <v>0</v>
          </cell>
          <cell r="I530">
            <v>0</v>
          </cell>
        </row>
        <row r="531">
          <cell r="E531">
            <v>0</v>
          </cell>
          <cell r="I531">
            <v>0</v>
          </cell>
        </row>
        <row r="532">
          <cell r="E532">
            <v>0</v>
          </cell>
          <cell r="I532">
            <v>0</v>
          </cell>
        </row>
        <row r="533">
          <cell r="E533">
            <v>0</v>
          </cell>
          <cell r="I533">
            <v>0</v>
          </cell>
        </row>
        <row r="534">
          <cell r="E534">
            <v>0</v>
          </cell>
          <cell r="I534">
            <v>0</v>
          </cell>
        </row>
        <row r="535">
          <cell r="E535">
            <v>0</v>
          </cell>
          <cell r="I535">
            <v>0</v>
          </cell>
        </row>
        <row r="536">
          <cell r="E536">
            <v>0</v>
          </cell>
          <cell r="I536">
            <v>0</v>
          </cell>
        </row>
        <row r="537">
          <cell r="E537">
            <v>0</v>
          </cell>
          <cell r="I537">
            <v>0</v>
          </cell>
        </row>
        <row r="538">
          <cell r="E538">
            <v>0</v>
          </cell>
          <cell r="I538">
            <v>0</v>
          </cell>
        </row>
        <row r="539">
          <cell r="E539">
            <v>0</v>
          </cell>
          <cell r="I539">
            <v>0</v>
          </cell>
        </row>
        <row r="540">
          <cell r="E540">
            <v>0</v>
          </cell>
          <cell r="I540">
            <v>0</v>
          </cell>
        </row>
        <row r="541">
          <cell r="E541">
            <v>0</v>
          </cell>
          <cell r="I541">
            <v>0</v>
          </cell>
        </row>
        <row r="542">
          <cell r="E542">
            <v>0</v>
          </cell>
          <cell r="I542">
            <v>0</v>
          </cell>
        </row>
        <row r="543">
          <cell r="E543">
            <v>0</v>
          </cell>
          <cell r="I543">
            <v>0</v>
          </cell>
        </row>
        <row r="544">
          <cell r="E544">
            <v>0</v>
          </cell>
          <cell r="I544">
            <v>0</v>
          </cell>
        </row>
        <row r="545">
          <cell r="E545">
            <v>0</v>
          </cell>
          <cell r="I545">
            <v>0</v>
          </cell>
        </row>
        <row r="546">
          <cell r="E546">
            <v>0</v>
          </cell>
          <cell r="I546">
            <v>0</v>
          </cell>
        </row>
        <row r="547">
          <cell r="E547">
            <v>0</v>
          </cell>
          <cell r="I547">
            <v>0</v>
          </cell>
        </row>
        <row r="548">
          <cell r="E548">
            <v>0</v>
          </cell>
          <cell r="I548">
            <v>0</v>
          </cell>
        </row>
        <row r="549">
          <cell r="E549">
            <v>0</v>
          </cell>
          <cell r="I549">
            <v>0</v>
          </cell>
        </row>
        <row r="550">
          <cell r="E550">
            <v>0</v>
          </cell>
          <cell r="I550">
            <v>0</v>
          </cell>
        </row>
        <row r="551">
          <cell r="E551">
            <v>0</v>
          </cell>
          <cell r="I551">
            <v>0</v>
          </cell>
        </row>
        <row r="552">
          <cell r="E552">
            <v>0</v>
          </cell>
          <cell r="I552">
            <v>0</v>
          </cell>
        </row>
        <row r="553">
          <cell r="E553">
            <v>0</v>
          </cell>
          <cell r="I553">
            <v>0</v>
          </cell>
        </row>
        <row r="554">
          <cell r="E554">
            <v>0</v>
          </cell>
          <cell r="I554">
            <v>0</v>
          </cell>
        </row>
        <row r="555">
          <cell r="E555">
            <v>0</v>
          </cell>
          <cell r="I555">
            <v>0</v>
          </cell>
        </row>
        <row r="556">
          <cell r="E556">
            <v>0</v>
          </cell>
          <cell r="I556">
            <v>0</v>
          </cell>
        </row>
        <row r="557">
          <cell r="E557">
            <v>0</v>
          </cell>
          <cell r="I557">
            <v>0</v>
          </cell>
        </row>
        <row r="558">
          <cell r="E558">
            <v>0</v>
          </cell>
          <cell r="I558">
            <v>0</v>
          </cell>
        </row>
        <row r="559">
          <cell r="E559">
            <v>0</v>
          </cell>
          <cell r="I559">
            <v>0</v>
          </cell>
        </row>
        <row r="560">
          <cell r="E560">
            <v>0</v>
          </cell>
          <cell r="I560">
            <v>0</v>
          </cell>
        </row>
        <row r="561">
          <cell r="E561">
            <v>0</v>
          </cell>
          <cell r="I561">
            <v>0</v>
          </cell>
        </row>
        <row r="562">
          <cell r="E562">
            <v>0</v>
          </cell>
          <cell r="I562">
            <v>0</v>
          </cell>
        </row>
        <row r="563">
          <cell r="E563">
            <v>0</v>
          </cell>
          <cell r="I563">
            <v>0</v>
          </cell>
        </row>
        <row r="564">
          <cell r="E564">
            <v>0</v>
          </cell>
          <cell r="I564">
            <v>0</v>
          </cell>
        </row>
        <row r="565">
          <cell r="E565">
            <v>0</v>
          </cell>
          <cell r="I565">
            <v>0</v>
          </cell>
        </row>
        <row r="566">
          <cell r="E566">
            <v>0</v>
          </cell>
          <cell r="I566">
            <v>0</v>
          </cell>
        </row>
        <row r="567">
          <cell r="E567">
            <v>0</v>
          </cell>
          <cell r="I567">
            <v>0</v>
          </cell>
        </row>
        <row r="568">
          <cell r="E568">
            <v>0</v>
          </cell>
          <cell r="I568">
            <v>0</v>
          </cell>
        </row>
        <row r="569">
          <cell r="E569">
            <v>0</v>
          </cell>
          <cell r="I569">
            <v>0</v>
          </cell>
        </row>
        <row r="570">
          <cell r="E570">
            <v>0</v>
          </cell>
          <cell r="I570">
            <v>0</v>
          </cell>
        </row>
        <row r="571">
          <cell r="E571">
            <v>0</v>
          </cell>
          <cell r="I571">
            <v>0</v>
          </cell>
        </row>
        <row r="572">
          <cell r="E572">
            <v>0</v>
          </cell>
          <cell r="I572">
            <v>0</v>
          </cell>
        </row>
        <row r="573">
          <cell r="E573">
            <v>0</v>
          </cell>
          <cell r="I573">
            <v>0</v>
          </cell>
        </row>
        <row r="574">
          <cell r="E574">
            <v>0</v>
          </cell>
          <cell r="I574">
            <v>0</v>
          </cell>
        </row>
        <row r="575">
          <cell r="E575">
            <v>0</v>
          </cell>
          <cell r="I575">
            <v>0</v>
          </cell>
        </row>
        <row r="576">
          <cell r="E576">
            <v>0</v>
          </cell>
          <cell r="I576">
            <v>0</v>
          </cell>
        </row>
        <row r="577">
          <cell r="E577">
            <v>0</v>
          </cell>
          <cell r="I577">
            <v>0</v>
          </cell>
        </row>
        <row r="578">
          <cell r="E578">
            <v>0</v>
          </cell>
          <cell r="I578">
            <v>0</v>
          </cell>
        </row>
        <row r="579">
          <cell r="E579">
            <v>0</v>
          </cell>
          <cell r="I579">
            <v>0</v>
          </cell>
        </row>
        <row r="580">
          <cell r="E580">
            <v>0</v>
          </cell>
          <cell r="I580">
            <v>0</v>
          </cell>
        </row>
        <row r="581">
          <cell r="E581">
            <v>0</v>
          </cell>
          <cell r="I581">
            <v>0</v>
          </cell>
        </row>
        <row r="582">
          <cell r="E582">
            <v>0</v>
          </cell>
          <cell r="I582">
            <v>0</v>
          </cell>
        </row>
        <row r="583">
          <cell r="E583">
            <v>0</v>
          </cell>
          <cell r="I583">
            <v>0</v>
          </cell>
        </row>
        <row r="584">
          <cell r="E584">
            <v>0</v>
          </cell>
          <cell r="I584">
            <v>0</v>
          </cell>
        </row>
        <row r="585">
          <cell r="E585">
            <v>0</v>
          </cell>
          <cell r="I585">
            <v>0</v>
          </cell>
        </row>
        <row r="586">
          <cell r="E586">
            <v>0</v>
          </cell>
          <cell r="I586">
            <v>0</v>
          </cell>
        </row>
        <row r="587">
          <cell r="E587">
            <v>0</v>
          </cell>
          <cell r="I587">
            <v>0</v>
          </cell>
        </row>
        <row r="588">
          <cell r="E588">
            <v>0</v>
          </cell>
          <cell r="I588">
            <v>0</v>
          </cell>
        </row>
        <row r="589">
          <cell r="E589">
            <v>0</v>
          </cell>
          <cell r="I589">
            <v>0</v>
          </cell>
        </row>
        <row r="590">
          <cell r="E590">
            <v>0</v>
          </cell>
          <cell r="I590">
            <v>0</v>
          </cell>
        </row>
        <row r="591">
          <cell r="E591">
            <v>0</v>
          </cell>
          <cell r="I591">
            <v>0</v>
          </cell>
        </row>
        <row r="592">
          <cell r="E592">
            <v>0</v>
          </cell>
          <cell r="I592">
            <v>0</v>
          </cell>
        </row>
        <row r="593">
          <cell r="E593">
            <v>0</v>
          </cell>
          <cell r="I593">
            <v>0</v>
          </cell>
        </row>
        <row r="594">
          <cell r="E594">
            <v>0</v>
          </cell>
          <cell r="I594">
            <v>0</v>
          </cell>
        </row>
        <row r="595">
          <cell r="E595">
            <v>0</v>
          </cell>
          <cell r="I595">
            <v>0</v>
          </cell>
        </row>
        <row r="596">
          <cell r="E596">
            <v>0</v>
          </cell>
          <cell r="I596">
            <v>0</v>
          </cell>
        </row>
        <row r="597">
          <cell r="E597">
            <v>0</v>
          </cell>
          <cell r="I597">
            <v>0</v>
          </cell>
        </row>
        <row r="598">
          <cell r="E598">
            <v>0</v>
          </cell>
          <cell r="I598">
            <v>0</v>
          </cell>
        </row>
        <row r="599">
          <cell r="E599">
            <v>0</v>
          </cell>
          <cell r="I599">
            <v>0</v>
          </cell>
        </row>
        <row r="600">
          <cell r="E600">
            <v>0</v>
          </cell>
          <cell r="I600">
            <v>0</v>
          </cell>
        </row>
        <row r="601">
          <cell r="E601">
            <v>0</v>
          </cell>
          <cell r="I601">
            <v>0</v>
          </cell>
        </row>
        <row r="602">
          <cell r="E602">
            <v>0</v>
          </cell>
          <cell r="I602">
            <v>0</v>
          </cell>
        </row>
        <row r="603">
          <cell r="E603">
            <v>0</v>
          </cell>
          <cell r="I603">
            <v>0</v>
          </cell>
        </row>
        <row r="604">
          <cell r="E604">
            <v>0</v>
          </cell>
          <cell r="I604">
            <v>0</v>
          </cell>
        </row>
        <row r="605">
          <cell r="E605">
            <v>0</v>
          </cell>
          <cell r="I605">
            <v>0</v>
          </cell>
        </row>
        <row r="606">
          <cell r="E606">
            <v>0</v>
          </cell>
          <cell r="I606">
            <v>0</v>
          </cell>
        </row>
        <row r="607">
          <cell r="E607">
            <v>0</v>
          </cell>
          <cell r="I607">
            <v>0</v>
          </cell>
        </row>
        <row r="608">
          <cell r="E608">
            <v>0</v>
          </cell>
          <cell r="I608">
            <v>0</v>
          </cell>
        </row>
        <row r="609">
          <cell r="E609">
            <v>0</v>
          </cell>
          <cell r="I609">
            <v>0</v>
          </cell>
        </row>
        <row r="610">
          <cell r="E610">
            <v>0</v>
          </cell>
          <cell r="I610">
            <v>0</v>
          </cell>
        </row>
        <row r="611">
          <cell r="E611">
            <v>0</v>
          </cell>
          <cell r="I611">
            <v>0</v>
          </cell>
        </row>
        <row r="612">
          <cell r="E612">
            <v>0</v>
          </cell>
          <cell r="I612">
            <v>0</v>
          </cell>
        </row>
        <row r="613">
          <cell r="E613">
            <v>0</v>
          </cell>
          <cell r="I613">
            <v>0</v>
          </cell>
        </row>
        <row r="614">
          <cell r="E614">
            <v>0</v>
          </cell>
          <cell r="I614">
            <v>0</v>
          </cell>
        </row>
        <row r="615">
          <cell r="E615">
            <v>0</v>
          </cell>
          <cell r="I615">
            <v>0</v>
          </cell>
        </row>
        <row r="616">
          <cell r="E616">
            <v>0</v>
          </cell>
          <cell r="I616">
            <v>0</v>
          </cell>
        </row>
        <row r="617">
          <cell r="E617">
            <v>0</v>
          </cell>
          <cell r="I617">
            <v>0</v>
          </cell>
        </row>
        <row r="618">
          <cell r="E618">
            <v>0</v>
          </cell>
          <cell r="I618">
            <v>0</v>
          </cell>
        </row>
        <row r="619">
          <cell r="E619">
            <v>0</v>
          </cell>
          <cell r="I619">
            <v>0</v>
          </cell>
        </row>
        <row r="620">
          <cell r="E620">
            <v>0</v>
          </cell>
          <cell r="I620">
            <v>0</v>
          </cell>
        </row>
        <row r="621">
          <cell r="E621">
            <v>0</v>
          </cell>
          <cell r="I621">
            <v>0</v>
          </cell>
        </row>
        <row r="622">
          <cell r="E622">
            <v>0</v>
          </cell>
          <cell r="I622">
            <v>0</v>
          </cell>
        </row>
        <row r="623">
          <cell r="E623">
            <v>0</v>
          </cell>
          <cell r="I623">
            <v>0</v>
          </cell>
        </row>
        <row r="624">
          <cell r="E624">
            <v>0</v>
          </cell>
          <cell r="I624">
            <v>0</v>
          </cell>
        </row>
        <row r="625">
          <cell r="E625">
            <v>0</v>
          </cell>
          <cell r="I625">
            <v>0</v>
          </cell>
        </row>
        <row r="626">
          <cell r="E626">
            <v>0</v>
          </cell>
          <cell r="I626">
            <v>0</v>
          </cell>
        </row>
        <row r="627">
          <cell r="E627">
            <v>0</v>
          </cell>
          <cell r="I627">
            <v>0</v>
          </cell>
        </row>
        <row r="628">
          <cell r="E628">
            <v>0</v>
          </cell>
          <cell r="I628">
            <v>0</v>
          </cell>
        </row>
        <row r="629">
          <cell r="E629">
            <v>0</v>
          </cell>
          <cell r="I629">
            <v>0</v>
          </cell>
        </row>
        <row r="630">
          <cell r="E630">
            <v>0</v>
          </cell>
          <cell r="I630">
            <v>0</v>
          </cell>
        </row>
        <row r="631">
          <cell r="E631">
            <v>0</v>
          </cell>
          <cell r="I631">
            <v>0</v>
          </cell>
        </row>
        <row r="632">
          <cell r="E632">
            <v>0</v>
          </cell>
          <cell r="I632">
            <v>0</v>
          </cell>
        </row>
        <row r="633">
          <cell r="E633">
            <v>0</v>
          </cell>
          <cell r="I633">
            <v>0</v>
          </cell>
        </row>
        <row r="634">
          <cell r="E634">
            <v>0</v>
          </cell>
          <cell r="I634">
            <v>0</v>
          </cell>
        </row>
        <row r="635">
          <cell r="E635">
            <v>0</v>
          </cell>
          <cell r="I635">
            <v>0</v>
          </cell>
        </row>
        <row r="636">
          <cell r="E636">
            <v>0</v>
          </cell>
          <cell r="I636">
            <v>0</v>
          </cell>
        </row>
        <row r="637">
          <cell r="E637">
            <v>0</v>
          </cell>
          <cell r="I637">
            <v>0</v>
          </cell>
        </row>
        <row r="638">
          <cell r="E638">
            <v>0</v>
          </cell>
          <cell r="I638">
            <v>0</v>
          </cell>
        </row>
        <row r="639">
          <cell r="E639">
            <v>0</v>
          </cell>
          <cell r="I639">
            <v>0</v>
          </cell>
        </row>
        <row r="640">
          <cell r="E640">
            <v>0</v>
          </cell>
          <cell r="I640">
            <v>0</v>
          </cell>
        </row>
        <row r="641">
          <cell r="E641">
            <v>0</v>
          </cell>
          <cell r="I641">
            <v>0</v>
          </cell>
        </row>
        <row r="642">
          <cell r="E642">
            <v>0</v>
          </cell>
          <cell r="I642">
            <v>0</v>
          </cell>
        </row>
        <row r="643">
          <cell r="E643">
            <v>0</v>
          </cell>
          <cell r="I643">
            <v>0</v>
          </cell>
        </row>
        <row r="644">
          <cell r="E644">
            <v>0</v>
          </cell>
          <cell r="I644">
            <v>0</v>
          </cell>
        </row>
        <row r="645">
          <cell r="E645">
            <v>0</v>
          </cell>
          <cell r="I645">
            <v>0</v>
          </cell>
        </row>
        <row r="646">
          <cell r="E646">
            <v>0</v>
          </cell>
          <cell r="I646">
            <v>0</v>
          </cell>
        </row>
        <row r="647">
          <cell r="E647">
            <v>0</v>
          </cell>
          <cell r="I647">
            <v>0</v>
          </cell>
        </row>
        <row r="648">
          <cell r="E648">
            <v>0</v>
          </cell>
          <cell r="I648">
            <v>0</v>
          </cell>
        </row>
        <row r="649">
          <cell r="E649">
            <v>0</v>
          </cell>
          <cell r="I649">
            <v>0</v>
          </cell>
        </row>
        <row r="650">
          <cell r="E650">
            <v>0</v>
          </cell>
          <cell r="I650">
            <v>0</v>
          </cell>
        </row>
        <row r="651">
          <cell r="E651">
            <v>0</v>
          </cell>
          <cell r="I651">
            <v>0</v>
          </cell>
        </row>
        <row r="652">
          <cell r="E652">
            <v>0</v>
          </cell>
          <cell r="I652">
            <v>0</v>
          </cell>
        </row>
        <row r="653">
          <cell r="E653">
            <v>0</v>
          </cell>
          <cell r="I653">
            <v>0</v>
          </cell>
        </row>
        <row r="654">
          <cell r="E654">
            <v>0</v>
          </cell>
          <cell r="I654">
            <v>0</v>
          </cell>
        </row>
        <row r="655">
          <cell r="E655">
            <v>0</v>
          </cell>
          <cell r="I655">
            <v>0</v>
          </cell>
        </row>
        <row r="656">
          <cell r="E656">
            <v>0</v>
          </cell>
          <cell r="I656">
            <v>0</v>
          </cell>
        </row>
        <row r="657">
          <cell r="E657">
            <v>0</v>
          </cell>
          <cell r="I657">
            <v>0</v>
          </cell>
        </row>
        <row r="658">
          <cell r="E658">
            <v>0</v>
          </cell>
          <cell r="I658">
            <v>0</v>
          </cell>
        </row>
        <row r="659">
          <cell r="E659">
            <v>0</v>
          </cell>
          <cell r="I659">
            <v>0</v>
          </cell>
        </row>
        <row r="660">
          <cell r="E660">
            <v>0</v>
          </cell>
          <cell r="I660">
            <v>0</v>
          </cell>
        </row>
        <row r="661">
          <cell r="E661">
            <v>0</v>
          </cell>
          <cell r="I661">
            <v>0</v>
          </cell>
        </row>
        <row r="662">
          <cell r="E662">
            <v>0</v>
          </cell>
          <cell r="I662">
            <v>0</v>
          </cell>
        </row>
        <row r="663">
          <cell r="E663">
            <v>0</v>
          </cell>
          <cell r="I663">
            <v>0</v>
          </cell>
        </row>
        <row r="664">
          <cell r="E664">
            <v>0</v>
          </cell>
          <cell r="I664">
            <v>0</v>
          </cell>
        </row>
        <row r="665">
          <cell r="E665">
            <v>0</v>
          </cell>
          <cell r="I665">
            <v>0</v>
          </cell>
        </row>
        <row r="666">
          <cell r="E666">
            <v>0</v>
          </cell>
          <cell r="I666">
            <v>0</v>
          </cell>
        </row>
        <row r="667">
          <cell r="E667">
            <v>0</v>
          </cell>
          <cell r="I667">
            <v>0</v>
          </cell>
        </row>
        <row r="668">
          <cell r="E668">
            <v>0</v>
          </cell>
          <cell r="I668">
            <v>0</v>
          </cell>
        </row>
        <row r="669">
          <cell r="E669">
            <v>0</v>
          </cell>
          <cell r="I669">
            <v>0</v>
          </cell>
        </row>
        <row r="670">
          <cell r="E670">
            <v>0</v>
          </cell>
          <cell r="I670">
            <v>0</v>
          </cell>
        </row>
        <row r="671">
          <cell r="E671">
            <v>0</v>
          </cell>
          <cell r="I671">
            <v>0</v>
          </cell>
        </row>
        <row r="672">
          <cell r="E672">
            <v>0</v>
          </cell>
          <cell r="I672">
            <v>0</v>
          </cell>
        </row>
        <row r="673">
          <cell r="E673">
            <v>0</v>
          </cell>
          <cell r="I673">
            <v>0</v>
          </cell>
        </row>
        <row r="674">
          <cell r="E674">
            <v>0</v>
          </cell>
          <cell r="I674">
            <v>0</v>
          </cell>
        </row>
        <row r="675">
          <cell r="E675">
            <v>0</v>
          </cell>
          <cell r="I675">
            <v>0</v>
          </cell>
        </row>
        <row r="676">
          <cell r="E676">
            <v>0</v>
          </cell>
          <cell r="I676">
            <v>0</v>
          </cell>
        </row>
        <row r="677">
          <cell r="E677">
            <v>0</v>
          </cell>
          <cell r="I677">
            <v>0</v>
          </cell>
        </row>
        <row r="678">
          <cell r="E678">
            <v>0</v>
          </cell>
          <cell r="I678">
            <v>0</v>
          </cell>
        </row>
        <row r="679">
          <cell r="E679">
            <v>0</v>
          </cell>
          <cell r="I679">
            <v>0</v>
          </cell>
        </row>
        <row r="680">
          <cell r="E680">
            <v>0</v>
          </cell>
          <cell r="I680">
            <v>0</v>
          </cell>
        </row>
        <row r="681">
          <cell r="E681">
            <v>0</v>
          </cell>
          <cell r="I681">
            <v>0</v>
          </cell>
        </row>
        <row r="682">
          <cell r="E682">
            <v>0</v>
          </cell>
          <cell r="I682">
            <v>0</v>
          </cell>
        </row>
        <row r="683">
          <cell r="E683">
            <v>0</v>
          </cell>
          <cell r="I683">
            <v>0</v>
          </cell>
        </row>
        <row r="684">
          <cell r="E684">
            <v>0</v>
          </cell>
          <cell r="I684">
            <v>0</v>
          </cell>
        </row>
        <row r="685">
          <cell r="E685">
            <v>0</v>
          </cell>
          <cell r="I685">
            <v>0</v>
          </cell>
        </row>
        <row r="686">
          <cell r="E686">
            <v>0</v>
          </cell>
          <cell r="I686">
            <v>0</v>
          </cell>
        </row>
        <row r="687">
          <cell r="E687">
            <v>0</v>
          </cell>
          <cell r="I687">
            <v>0</v>
          </cell>
        </row>
        <row r="688">
          <cell r="E688">
            <v>0</v>
          </cell>
          <cell r="I688">
            <v>0</v>
          </cell>
        </row>
        <row r="689">
          <cell r="E689">
            <v>0</v>
          </cell>
          <cell r="I689">
            <v>0</v>
          </cell>
        </row>
        <row r="690">
          <cell r="E690">
            <v>0</v>
          </cell>
          <cell r="I690">
            <v>0</v>
          </cell>
        </row>
        <row r="691">
          <cell r="E691">
            <v>0</v>
          </cell>
          <cell r="I691">
            <v>0</v>
          </cell>
        </row>
        <row r="692">
          <cell r="E692">
            <v>0</v>
          </cell>
          <cell r="I692">
            <v>0</v>
          </cell>
        </row>
        <row r="693">
          <cell r="E693">
            <v>0</v>
          </cell>
          <cell r="I693">
            <v>0</v>
          </cell>
        </row>
        <row r="694">
          <cell r="E694">
            <v>0</v>
          </cell>
          <cell r="I694">
            <v>0</v>
          </cell>
        </row>
        <row r="695">
          <cell r="E695">
            <v>0</v>
          </cell>
          <cell r="I695">
            <v>0</v>
          </cell>
        </row>
        <row r="696">
          <cell r="E696">
            <v>0</v>
          </cell>
          <cell r="I696">
            <v>0</v>
          </cell>
        </row>
        <row r="697">
          <cell r="E697">
            <v>0</v>
          </cell>
          <cell r="I697">
            <v>0</v>
          </cell>
        </row>
        <row r="698">
          <cell r="E698">
            <v>0</v>
          </cell>
          <cell r="I698">
            <v>0</v>
          </cell>
        </row>
        <row r="699">
          <cell r="E699">
            <v>0</v>
          </cell>
          <cell r="I699">
            <v>0</v>
          </cell>
        </row>
        <row r="700">
          <cell r="E700">
            <v>0</v>
          </cell>
          <cell r="I700">
            <v>0</v>
          </cell>
        </row>
        <row r="701">
          <cell r="E701">
            <v>0</v>
          </cell>
          <cell r="I701">
            <v>0</v>
          </cell>
        </row>
        <row r="702">
          <cell r="E702">
            <v>0</v>
          </cell>
          <cell r="I702">
            <v>0</v>
          </cell>
        </row>
        <row r="703">
          <cell r="E703">
            <v>0</v>
          </cell>
          <cell r="I703">
            <v>0</v>
          </cell>
        </row>
        <row r="704">
          <cell r="E704">
            <v>0</v>
          </cell>
          <cell r="I704">
            <v>0</v>
          </cell>
        </row>
        <row r="705">
          <cell r="E705">
            <v>0</v>
          </cell>
          <cell r="I705">
            <v>0</v>
          </cell>
        </row>
        <row r="706">
          <cell r="E706">
            <v>0</v>
          </cell>
          <cell r="I706">
            <v>0</v>
          </cell>
        </row>
        <row r="707">
          <cell r="E707">
            <v>0</v>
          </cell>
          <cell r="I707">
            <v>0</v>
          </cell>
        </row>
        <row r="708">
          <cell r="E708">
            <v>0</v>
          </cell>
          <cell r="I708">
            <v>0</v>
          </cell>
        </row>
        <row r="709">
          <cell r="E709">
            <v>0</v>
          </cell>
          <cell r="I709">
            <v>0</v>
          </cell>
        </row>
        <row r="710">
          <cell r="E710">
            <v>0</v>
          </cell>
          <cell r="I710">
            <v>0</v>
          </cell>
        </row>
        <row r="711">
          <cell r="E711">
            <v>0</v>
          </cell>
          <cell r="I711">
            <v>0</v>
          </cell>
        </row>
        <row r="712">
          <cell r="E712">
            <v>0</v>
          </cell>
          <cell r="I712">
            <v>0</v>
          </cell>
        </row>
        <row r="713">
          <cell r="E713">
            <v>0</v>
          </cell>
          <cell r="I713">
            <v>0</v>
          </cell>
        </row>
        <row r="714">
          <cell r="E714">
            <v>0</v>
          </cell>
          <cell r="I714">
            <v>0</v>
          </cell>
        </row>
        <row r="715">
          <cell r="E715">
            <v>0</v>
          </cell>
          <cell r="I715">
            <v>0</v>
          </cell>
        </row>
        <row r="716">
          <cell r="E716">
            <v>0</v>
          </cell>
          <cell r="I716">
            <v>0</v>
          </cell>
        </row>
        <row r="717">
          <cell r="E717">
            <v>0</v>
          </cell>
          <cell r="I717">
            <v>0</v>
          </cell>
        </row>
        <row r="718">
          <cell r="E718">
            <v>0</v>
          </cell>
          <cell r="I718">
            <v>0</v>
          </cell>
        </row>
        <row r="719">
          <cell r="E719">
            <v>0</v>
          </cell>
          <cell r="I719">
            <v>0</v>
          </cell>
        </row>
        <row r="720">
          <cell r="E720">
            <v>0</v>
          </cell>
          <cell r="I720">
            <v>0</v>
          </cell>
        </row>
        <row r="721">
          <cell r="E721">
            <v>0</v>
          </cell>
          <cell r="I721">
            <v>0</v>
          </cell>
        </row>
        <row r="722">
          <cell r="E722">
            <v>0</v>
          </cell>
          <cell r="I722">
            <v>0</v>
          </cell>
        </row>
        <row r="723">
          <cell r="E723">
            <v>0</v>
          </cell>
          <cell r="I723">
            <v>0</v>
          </cell>
        </row>
        <row r="724">
          <cell r="E724">
            <v>0</v>
          </cell>
          <cell r="I724">
            <v>0</v>
          </cell>
        </row>
        <row r="725">
          <cell r="E725">
            <v>0</v>
          </cell>
          <cell r="I725">
            <v>0</v>
          </cell>
        </row>
        <row r="726">
          <cell r="E726">
            <v>0</v>
          </cell>
          <cell r="I726">
            <v>0</v>
          </cell>
        </row>
        <row r="727">
          <cell r="E727">
            <v>0</v>
          </cell>
          <cell r="I727">
            <v>0</v>
          </cell>
        </row>
        <row r="728">
          <cell r="E728">
            <v>0</v>
          </cell>
          <cell r="I728">
            <v>0</v>
          </cell>
        </row>
        <row r="729">
          <cell r="E729">
            <v>0</v>
          </cell>
          <cell r="I729">
            <v>0</v>
          </cell>
        </row>
        <row r="730">
          <cell r="E730">
            <v>0</v>
          </cell>
          <cell r="I730">
            <v>0</v>
          </cell>
        </row>
        <row r="731">
          <cell r="E731">
            <v>0</v>
          </cell>
          <cell r="I731">
            <v>0</v>
          </cell>
        </row>
        <row r="732">
          <cell r="E732">
            <v>0</v>
          </cell>
          <cell r="I732">
            <v>0</v>
          </cell>
        </row>
        <row r="733">
          <cell r="E733">
            <v>0</v>
          </cell>
          <cell r="I733">
            <v>0</v>
          </cell>
        </row>
        <row r="734">
          <cell r="E734">
            <v>0</v>
          </cell>
          <cell r="I734">
            <v>0</v>
          </cell>
        </row>
        <row r="735">
          <cell r="E735">
            <v>0</v>
          </cell>
          <cell r="I735">
            <v>0</v>
          </cell>
        </row>
        <row r="736">
          <cell r="E736">
            <v>0</v>
          </cell>
          <cell r="I736">
            <v>0</v>
          </cell>
        </row>
        <row r="737">
          <cell r="E737">
            <v>0</v>
          </cell>
          <cell r="I737">
            <v>0</v>
          </cell>
        </row>
        <row r="738">
          <cell r="E738">
            <v>0</v>
          </cell>
          <cell r="I738">
            <v>0</v>
          </cell>
        </row>
        <row r="739">
          <cell r="E739">
            <v>0</v>
          </cell>
          <cell r="I739">
            <v>0</v>
          </cell>
        </row>
        <row r="740">
          <cell r="E740">
            <v>0</v>
          </cell>
          <cell r="I740">
            <v>0</v>
          </cell>
        </row>
        <row r="741">
          <cell r="E741">
            <v>0</v>
          </cell>
          <cell r="I741">
            <v>0</v>
          </cell>
        </row>
        <row r="742">
          <cell r="E742">
            <v>0</v>
          </cell>
          <cell r="I742">
            <v>0</v>
          </cell>
        </row>
        <row r="743">
          <cell r="E743">
            <v>0</v>
          </cell>
          <cell r="I743">
            <v>0</v>
          </cell>
        </row>
        <row r="744">
          <cell r="E744">
            <v>0</v>
          </cell>
          <cell r="I744">
            <v>0</v>
          </cell>
        </row>
        <row r="745">
          <cell r="E745">
            <v>0</v>
          </cell>
          <cell r="I745">
            <v>0</v>
          </cell>
        </row>
        <row r="746">
          <cell r="E746">
            <v>0</v>
          </cell>
          <cell r="I746">
            <v>0</v>
          </cell>
        </row>
        <row r="747">
          <cell r="E747">
            <v>0</v>
          </cell>
          <cell r="I747">
            <v>0</v>
          </cell>
        </row>
        <row r="748">
          <cell r="E748">
            <v>0</v>
          </cell>
          <cell r="I748">
            <v>0</v>
          </cell>
        </row>
        <row r="749">
          <cell r="E749">
            <v>0</v>
          </cell>
          <cell r="I749">
            <v>0</v>
          </cell>
        </row>
        <row r="750">
          <cell r="E750">
            <v>0</v>
          </cell>
          <cell r="I750">
            <v>0</v>
          </cell>
        </row>
        <row r="751">
          <cell r="E751">
            <v>0</v>
          </cell>
          <cell r="I751">
            <v>0</v>
          </cell>
        </row>
        <row r="752">
          <cell r="E752">
            <v>0</v>
          </cell>
          <cell r="I752">
            <v>0</v>
          </cell>
        </row>
        <row r="753">
          <cell r="E753">
            <v>0</v>
          </cell>
          <cell r="I753">
            <v>0</v>
          </cell>
        </row>
        <row r="754">
          <cell r="E754">
            <v>0</v>
          </cell>
          <cell r="I754">
            <v>0</v>
          </cell>
        </row>
        <row r="755">
          <cell r="E755">
            <v>0</v>
          </cell>
          <cell r="I755">
            <v>0</v>
          </cell>
        </row>
        <row r="756">
          <cell r="E756">
            <v>0</v>
          </cell>
          <cell r="I756">
            <v>0</v>
          </cell>
        </row>
        <row r="757">
          <cell r="E757">
            <v>0</v>
          </cell>
          <cell r="I757">
            <v>0</v>
          </cell>
        </row>
        <row r="758">
          <cell r="E758">
            <v>0</v>
          </cell>
          <cell r="I758">
            <v>0</v>
          </cell>
        </row>
        <row r="759">
          <cell r="E759">
            <v>0</v>
          </cell>
          <cell r="I759">
            <v>0</v>
          </cell>
        </row>
        <row r="760">
          <cell r="E760">
            <v>0</v>
          </cell>
          <cell r="I760">
            <v>0</v>
          </cell>
        </row>
        <row r="761">
          <cell r="E761">
            <v>0</v>
          </cell>
          <cell r="I761">
            <v>0</v>
          </cell>
        </row>
        <row r="762">
          <cell r="E762">
            <v>0</v>
          </cell>
          <cell r="I762">
            <v>0</v>
          </cell>
        </row>
        <row r="763">
          <cell r="E763">
            <v>0</v>
          </cell>
          <cell r="I763">
            <v>0</v>
          </cell>
        </row>
        <row r="764">
          <cell r="E764">
            <v>0</v>
          </cell>
          <cell r="I764">
            <v>0</v>
          </cell>
        </row>
        <row r="765">
          <cell r="E765">
            <v>0</v>
          </cell>
          <cell r="I765">
            <v>0</v>
          </cell>
        </row>
        <row r="766">
          <cell r="E766">
            <v>0</v>
          </cell>
          <cell r="I766">
            <v>0</v>
          </cell>
        </row>
        <row r="767">
          <cell r="E767">
            <v>0</v>
          </cell>
          <cell r="I767">
            <v>0</v>
          </cell>
        </row>
        <row r="768">
          <cell r="E768">
            <v>0</v>
          </cell>
          <cell r="I768">
            <v>0</v>
          </cell>
        </row>
        <row r="769">
          <cell r="E769">
            <v>0</v>
          </cell>
          <cell r="I769">
            <v>0</v>
          </cell>
        </row>
        <row r="770">
          <cell r="E770">
            <v>0</v>
          </cell>
          <cell r="I770">
            <v>0</v>
          </cell>
        </row>
        <row r="771">
          <cell r="E771">
            <v>0</v>
          </cell>
          <cell r="I771">
            <v>0</v>
          </cell>
        </row>
        <row r="772">
          <cell r="E772">
            <v>0</v>
          </cell>
          <cell r="I772">
            <v>0</v>
          </cell>
        </row>
        <row r="773">
          <cell r="E773">
            <v>0</v>
          </cell>
          <cell r="I773">
            <v>0</v>
          </cell>
        </row>
        <row r="774">
          <cell r="E774">
            <v>0</v>
          </cell>
          <cell r="I774">
            <v>0</v>
          </cell>
        </row>
        <row r="775">
          <cell r="E775">
            <v>0</v>
          </cell>
          <cell r="I775">
            <v>0</v>
          </cell>
        </row>
        <row r="776">
          <cell r="E776">
            <v>0</v>
          </cell>
          <cell r="I776">
            <v>0</v>
          </cell>
        </row>
        <row r="777">
          <cell r="E777">
            <v>0</v>
          </cell>
          <cell r="I777">
            <v>0</v>
          </cell>
        </row>
        <row r="778">
          <cell r="E778">
            <v>0</v>
          </cell>
          <cell r="I778">
            <v>0</v>
          </cell>
        </row>
        <row r="779">
          <cell r="E779">
            <v>0</v>
          </cell>
          <cell r="I779">
            <v>0</v>
          </cell>
        </row>
        <row r="780">
          <cell r="E780">
            <v>0</v>
          </cell>
          <cell r="I780">
            <v>0</v>
          </cell>
        </row>
        <row r="781">
          <cell r="E781">
            <v>0</v>
          </cell>
          <cell r="I781">
            <v>0</v>
          </cell>
        </row>
        <row r="782">
          <cell r="E782">
            <v>0</v>
          </cell>
          <cell r="I782">
            <v>0</v>
          </cell>
        </row>
        <row r="783">
          <cell r="E783">
            <v>0</v>
          </cell>
          <cell r="I783">
            <v>0</v>
          </cell>
        </row>
        <row r="784">
          <cell r="E784">
            <v>0</v>
          </cell>
          <cell r="I784">
            <v>0</v>
          </cell>
        </row>
        <row r="785">
          <cell r="E785">
            <v>0</v>
          </cell>
          <cell r="I785">
            <v>0</v>
          </cell>
        </row>
        <row r="786">
          <cell r="E786">
            <v>0</v>
          </cell>
          <cell r="I786">
            <v>0</v>
          </cell>
        </row>
        <row r="787">
          <cell r="E787">
            <v>0</v>
          </cell>
          <cell r="I787">
            <v>0</v>
          </cell>
        </row>
        <row r="788">
          <cell r="E788">
            <v>0</v>
          </cell>
          <cell r="I788">
            <v>0</v>
          </cell>
        </row>
        <row r="789">
          <cell r="E789">
            <v>0</v>
          </cell>
          <cell r="I789">
            <v>0</v>
          </cell>
        </row>
        <row r="790">
          <cell r="E790">
            <v>0</v>
          </cell>
          <cell r="I790">
            <v>0</v>
          </cell>
        </row>
        <row r="791">
          <cell r="E791">
            <v>0</v>
          </cell>
          <cell r="I791">
            <v>0</v>
          </cell>
        </row>
        <row r="792">
          <cell r="E792">
            <v>0</v>
          </cell>
          <cell r="I792">
            <v>0</v>
          </cell>
        </row>
        <row r="793">
          <cell r="E793">
            <v>0</v>
          </cell>
          <cell r="I793">
            <v>0</v>
          </cell>
        </row>
        <row r="794">
          <cell r="E794">
            <v>0</v>
          </cell>
          <cell r="I794">
            <v>0</v>
          </cell>
        </row>
        <row r="795">
          <cell r="E795">
            <v>0</v>
          </cell>
          <cell r="I795">
            <v>0</v>
          </cell>
        </row>
        <row r="796">
          <cell r="E796">
            <v>0</v>
          </cell>
          <cell r="I796">
            <v>0</v>
          </cell>
        </row>
        <row r="797">
          <cell r="E797">
            <v>0</v>
          </cell>
          <cell r="I797">
            <v>0</v>
          </cell>
        </row>
        <row r="798">
          <cell r="E798">
            <v>0</v>
          </cell>
          <cell r="I798">
            <v>0</v>
          </cell>
        </row>
        <row r="799">
          <cell r="E799">
            <v>0</v>
          </cell>
          <cell r="I799">
            <v>0</v>
          </cell>
        </row>
        <row r="800">
          <cell r="E800">
            <v>0</v>
          </cell>
          <cell r="I800">
            <v>0</v>
          </cell>
        </row>
        <row r="801">
          <cell r="E801">
            <v>0</v>
          </cell>
          <cell r="I801">
            <v>0</v>
          </cell>
        </row>
        <row r="802">
          <cell r="E802">
            <v>0</v>
          </cell>
          <cell r="I802">
            <v>0</v>
          </cell>
        </row>
        <row r="803">
          <cell r="E803">
            <v>0</v>
          </cell>
          <cell r="I803">
            <v>0</v>
          </cell>
        </row>
        <row r="804">
          <cell r="E804">
            <v>0</v>
          </cell>
          <cell r="I804">
            <v>0</v>
          </cell>
        </row>
        <row r="805">
          <cell r="E805">
            <v>0</v>
          </cell>
          <cell r="I805">
            <v>0</v>
          </cell>
        </row>
        <row r="806">
          <cell r="E806">
            <v>0</v>
          </cell>
          <cell r="I806">
            <v>0</v>
          </cell>
        </row>
        <row r="807">
          <cell r="E807">
            <v>0</v>
          </cell>
          <cell r="I807">
            <v>0</v>
          </cell>
        </row>
        <row r="808">
          <cell r="E808">
            <v>0</v>
          </cell>
          <cell r="I808">
            <v>0</v>
          </cell>
        </row>
        <row r="809">
          <cell r="E809">
            <v>0</v>
          </cell>
          <cell r="I809">
            <v>0</v>
          </cell>
        </row>
        <row r="810">
          <cell r="E810">
            <v>0</v>
          </cell>
          <cell r="I810">
            <v>0</v>
          </cell>
        </row>
        <row r="811">
          <cell r="E811">
            <v>0</v>
          </cell>
          <cell r="I811">
            <v>0</v>
          </cell>
        </row>
        <row r="812">
          <cell r="E812">
            <v>0</v>
          </cell>
          <cell r="I812">
            <v>0</v>
          </cell>
        </row>
        <row r="813">
          <cell r="E813">
            <v>0</v>
          </cell>
          <cell r="I813">
            <v>0</v>
          </cell>
        </row>
        <row r="814">
          <cell r="E814">
            <v>0</v>
          </cell>
          <cell r="I814">
            <v>0</v>
          </cell>
        </row>
        <row r="815">
          <cell r="E815">
            <v>0</v>
          </cell>
          <cell r="I815">
            <v>0</v>
          </cell>
        </row>
        <row r="816">
          <cell r="E816">
            <v>0</v>
          </cell>
          <cell r="I816">
            <v>0</v>
          </cell>
        </row>
        <row r="817">
          <cell r="E817">
            <v>0</v>
          </cell>
          <cell r="I817">
            <v>0</v>
          </cell>
        </row>
        <row r="818">
          <cell r="E818">
            <v>0</v>
          </cell>
          <cell r="I818">
            <v>0</v>
          </cell>
        </row>
        <row r="819">
          <cell r="E819">
            <v>0</v>
          </cell>
          <cell r="I819">
            <v>0</v>
          </cell>
        </row>
        <row r="820">
          <cell r="E820">
            <v>0</v>
          </cell>
          <cell r="I820">
            <v>0</v>
          </cell>
        </row>
        <row r="821">
          <cell r="E821">
            <v>0</v>
          </cell>
          <cell r="I821">
            <v>0</v>
          </cell>
        </row>
        <row r="822">
          <cell r="E822">
            <v>0</v>
          </cell>
          <cell r="I822">
            <v>0</v>
          </cell>
        </row>
        <row r="823">
          <cell r="E823">
            <v>0</v>
          </cell>
          <cell r="I823">
            <v>0</v>
          </cell>
        </row>
        <row r="824">
          <cell r="E824">
            <v>0</v>
          </cell>
          <cell r="I824">
            <v>0</v>
          </cell>
        </row>
        <row r="825">
          <cell r="E825">
            <v>0</v>
          </cell>
          <cell r="I825">
            <v>0</v>
          </cell>
        </row>
        <row r="826">
          <cell r="E826">
            <v>0</v>
          </cell>
          <cell r="I826">
            <v>0</v>
          </cell>
        </row>
        <row r="827">
          <cell r="E827">
            <v>0</v>
          </cell>
          <cell r="I827">
            <v>0</v>
          </cell>
        </row>
        <row r="828">
          <cell r="E828">
            <v>0</v>
          </cell>
          <cell r="I828">
            <v>0</v>
          </cell>
        </row>
        <row r="829">
          <cell r="E829">
            <v>0</v>
          </cell>
          <cell r="I829">
            <v>0</v>
          </cell>
        </row>
        <row r="830">
          <cell r="E830">
            <v>0</v>
          </cell>
          <cell r="I830">
            <v>0</v>
          </cell>
        </row>
        <row r="831">
          <cell r="E831">
            <v>0</v>
          </cell>
          <cell r="I831">
            <v>0</v>
          </cell>
        </row>
        <row r="832">
          <cell r="E832">
            <v>0</v>
          </cell>
          <cell r="I832">
            <v>0</v>
          </cell>
        </row>
        <row r="833">
          <cell r="E833">
            <v>0</v>
          </cell>
          <cell r="I833">
            <v>0</v>
          </cell>
        </row>
        <row r="834">
          <cell r="E834">
            <v>0</v>
          </cell>
          <cell r="I834">
            <v>0</v>
          </cell>
        </row>
        <row r="835">
          <cell r="E835">
            <v>0</v>
          </cell>
          <cell r="I835">
            <v>0</v>
          </cell>
        </row>
        <row r="836">
          <cell r="E836">
            <v>0</v>
          </cell>
          <cell r="I836">
            <v>0</v>
          </cell>
        </row>
        <row r="837">
          <cell r="E837">
            <v>0</v>
          </cell>
          <cell r="I837">
            <v>0</v>
          </cell>
        </row>
        <row r="838">
          <cell r="E838">
            <v>0</v>
          </cell>
          <cell r="I838">
            <v>0</v>
          </cell>
        </row>
        <row r="839">
          <cell r="E839">
            <v>0</v>
          </cell>
          <cell r="I839">
            <v>0</v>
          </cell>
        </row>
        <row r="840">
          <cell r="E840">
            <v>0</v>
          </cell>
          <cell r="I840">
            <v>0</v>
          </cell>
        </row>
        <row r="841">
          <cell r="E841">
            <v>0</v>
          </cell>
          <cell r="I841">
            <v>0</v>
          </cell>
        </row>
        <row r="842">
          <cell r="E842">
            <v>0</v>
          </cell>
          <cell r="I842">
            <v>0</v>
          </cell>
        </row>
        <row r="843">
          <cell r="E843">
            <v>0</v>
          </cell>
          <cell r="I843">
            <v>0</v>
          </cell>
        </row>
        <row r="844">
          <cell r="E844">
            <v>0</v>
          </cell>
          <cell r="I844">
            <v>0</v>
          </cell>
        </row>
        <row r="845">
          <cell r="E845">
            <v>0</v>
          </cell>
          <cell r="I845">
            <v>0</v>
          </cell>
        </row>
        <row r="846">
          <cell r="E846">
            <v>0</v>
          </cell>
          <cell r="I846">
            <v>0</v>
          </cell>
        </row>
        <row r="847">
          <cell r="E847">
            <v>0</v>
          </cell>
          <cell r="I847">
            <v>0</v>
          </cell>
        </row>
        <row r="848">
          <cell r="E848">
            <v>0</v>
          </cell>
          <cell r="I848">
            <v>0</v>
          </cell>
        </row>
        <row r="849">
          <cell r="E849">
            <v>0</v>
          </cell>
          <cell r="I849">
            <v>0</v>
          </cell>
        </row>
        <row r="850">
          <cell r="E850">
            <v>0</v>
          </cell>
          <cell r="I850">
            <v>0</v>
          </cell>
        </row>
        <row r="851">
          <cell r="E851">
            <v>0</v>
          </cell>
          <cell r="I851">
            <v>0</v>
          </cell>
        </row>
        <row r="852">
          <cell r="E852">
            <v>0</v>
          </cell>
          <cell r="I852">
            <v>0</v>
          </cell>
        </row>
        <row r="853">
          <cell r="E853">
            <v>0</v>
          </cell>
          <cell r="I853">
            <v>0</v>
          </cell>
        </row>
        <row r="854">
          <cell r="E854">
            <v>0</v>
          </cell>
          <cell r="I854">
            <v>0</v>
          </cell>
        </row>
        <row r="855">
          <cell r="E855">
            <v>0</v>
          </cell>
          <cell r="I855">
            <v>0</v>
          </cell>
        </row>
        <row r="856">
          <cell r="E856">
            <v>0</v>
          </cell>
          <cell r="I856">
            <v>0</v>
          </cell>
        </row>
        <row r="857">
          <cell r="E857">
            <v>0</v>
          </cell>
          <cell r="I857">
            <v>0</v>
          </cell>
        </row>
        <row r="858">
          <cell r="E858">
            <v>0</v>
          </cell>
          <cell r="I858">
            <v>0</v>
          </cell>
        </row>
        <row r="859">
          <cell r="E859">
            <v>0</v>
          </cell>
          <cell r="I859">
            <v>0</v>
          </cell>
        </row>
        <row r="860">
          <cell r="E860">
            <v>0</v>
          </cell>
          <cell r="I860">
            <v>0</v>
          </cell>
        </row>
        <row r="861">
          <cell r="E861">
            <v>0</v>
          </cell>
          <cell r="I861">
            <v>0</v>
          </cell>
        </row>
        <row r="862">
          <cell r="E862">
            <v>0</v>
          </cell>
          <cell r="I862">
            <v>0</v>
          </cell>
        </row>
        <row r="863">
          <cell r="E863">
            <v>0</v>
          </cell>
          <cell r="I863">
            <v>0</v>
          </cell>
        </row>
        <row r="864">
          <cell r="E864">
            <v>0</v>
          </cell>
          <cell r="I864">
            <v>0</v>
          </cell>
        </row>
        <row r="865">
          <cell r="E865">
            <v>0</v>
          </cell>
          <cell r="I865">
            <v>0</v>
          </cell>
        </row>
        <row r="866">
          <cell r="E866">
            <v>0</v>
          </cell>
          <cell r="I866">
            <v>0</v>
          </cell>
        </row>
        <row r="867">
          <cell r="E867">
            <v>0</v>
          </cell>
          <cell r="I867">
            <v>0</v>
          </cell>
        </row>
        <row r="868">
          <cell r="E868">
            <v>0</v>
          </cell>
          <cell r="I868">
            <v>0</v>
          </cell>
        </row>
        <row r="869">
          <cell r="E869">
            <v>0</v>
          </cell>
          <cell r="I869">
            <v>0</v>
          </cell>
        </row>
        <row r="870">
          <cell r="E870">
            <v>0</v>
          </cell>
          <cell r="I870">
            <v>0</v>
          </cell>
        </row>
        <row r="871">
          <cell r="E871">
            <v>0</v>
          </cell>
          <cell r="I871">
            <v>0</v>
          </cell>
        </row>
        <row r="872">
          <cell r="E872">
            <v>0</v>
          </cell>
          <cell r="I872">
            <v>0</v>
          </cell>
        </row>
        <row r="873">
          <cell r="E873">
            <v>0</v>
          </cell>
          <cell r="I873">
            <v>0</v>
          </cell>
        </row>
        <row r="874">
          <cell r="E874">
            <v>0</v>
          </cell>
          <cell r="I874">
            <v>0</v>
          </cell>
        </row>
        <row r="875">
          <cell r="E875">
            <v>0</v>
          </cell>
          <cell r="I875">
            <v>0</v>
          </cell>
        </row>
        <row r="876">
          <cell r="E876">
            <v>0</v>
          </cell>
          <cell r="I876">
            <v>0</v>
          </cell>
        </row>
        <row r="877">
          <cell r="E877">
            <v>0</v>
          </cell>
          <cell r="I877">
            <v>0</v>
          </cell>
        </row>
        <row r="878">
          <cell r="E878">
            <v>0</v>
          </cell>
          <cell r="I878">
            <v>0</v>
          </cell>
        </row>
        <row r="879">
          <cell r="E879">
            <v>0</v>
          </cell>
          <cell r="I879">
            <v>0</v>
          </cell>
        </row>
        <row r="880">
          <cell r="E880">
            <v>0</v>
          </cell>
          <cell r="I880">
            <v>0</v>
          </cell>
        </row>
        <row r="881">
          <cell r="E881">
            <v>0</v>
          </cell>
          <cell r="I881">
            <v>0</v>
          </cell>
        </row>
        <row r="882">
          <cell r="E882">
            <v>0</v>
          </cell>
          <cell r="I882">
            <v>0</v>
          </cell>
        </row>
        <row r="883">
          <cell r="E883">
            <v>0</v>
          </cell>
          <cell r="I883">
            <v>0</v>
          </cell>
        </row>
        <row r="884">
          <cell r="E884">
            <v>0</v>
          </cell>
          <cell r="I884">
            <v>0</v>
          </cell>
        </row>
        <row r="885">
          <cell r="E885">
            <v>0</v>
          </cell>
          <cell r="I885">
            <v>0</v>
          </cell>
        </row>
        <row r="886">
          <cell r="E886">
            <v>0</v>
          </cell>
          <cell r="I886">
            <v>0</v>
          </cell>
        </row>
        <row r="887">
          <cell r="E887">
            <v>0</v>
          </cell>
          <cell r="I887">
            <v>0</v>
          </cell>
        </row>
        <row r="888">
          <cell r="E888">
            <v>0</v>
          </cell>
          <cell r="I888">
            <v>0</v>
          </cell>
        </row>
        <row r="889">
          <cell r="E889">
            <v>0</v>
          </cell>
          <cell r="I889">
            <v>0</v>
          </cell>
        </row>
        <row r="890">
          <cell r="E890">
            <v>0</v>
          </cell>
          <cell r="I890">
            <v>0</v>
          </cell>
        </row>
        <row r="891">
          <cell r="E891">
            <v>0</v>
          </cell>
          <cell r="I891">
            <v>0</v>
          </cell>
        </row>
        <row r="892">
          <cell r="E892">
            <v>0</v>
          </cell>
          <cell r="I892">
            <v>0</v>
          </cell>
        </row>
        <row r="893">
          <cell r="E893">
            <v>0</v>
          </cell>
          <cell r="I893">
            <v>0</v>
          </cell>
        </row>
        <row r="894">
          <cell r="E894">
            <v>0</v>
          </cell>
          <cell r="I894">
            <v>0</v>
          </cell>
        </row>
        <row r="895">
          <cell r="E895">
            <v>0</v>
          </cell>
          <cell r="I895">
            <v>0</v>
          </cell>
        </row>
        <row r="896">
          <cell r="E896">
            <v>0</v>
          </cell>
          <cell r="I896">
            <v>0</v>
          </cell>
        </row>
        <row r="897">
          <cell r="E897">
            <v>0</v>
          </cell>
          <cell r="I897">
            <v>0</v>
          </cell>
        </row>
        <row r="898">
          <cell r="E898">
            <v>0</v>
          </cell>
          <cell r="I898">
            <v>0</v>
          </cell>
        </row>
        <row r="899">
          <cell r="E899">
            <v>0</v>
          </cell>
          <cell r="I899">
            <v>0</v>
          </cell>
        </row>
        <row r="900">
          <cell r="E900">
            <v>0</v>
          </cell>
          <cell r="I900">
            <v>0</v>
          </cell>
        </row>
        <row r="901">
          <cell r="E901">
            <v>0</v>
          </cell>
          <cell r="I901">
            <v>0</v>
          </cell>
        </row>
        <row r="902">
          <cell r="E902">
            <v>0</v>
          </cell>
          <cell r="I902">
            <v>0</v>
          </cell>
        </row>
        <row r="903">
          <cell r="E903">
            <v>0</v>
          </cell>
          <cell r="I903">
            <v>0</v>
          </cell>
        </row>
        <row r="904">
          <cell r="E904">
            <v>0</v>
          </cell>
          <cell r="I904">
            <v>0</v>
          </cell>
        </row>
        <row r="905">
          <cell r="E905">
            <v>0</v>
          </cell>
          <cell r="I905">
            <v>0</v>
          </cell>
        </row>
        <row r="906">
          <cell r="E906">
            <v>0</v>
          </cell>
          <cell r="I906">
            <v>0</v>
          </cell>
        </row>
        <row r="907">
          <cell r="E907">
            <v>0</v>
          </cell>
          <cell r="I907">
            <v>0</v>
          </cell>
        </row>
        <row r="908">
          <cell r="E908">
            <v>0</v>
          </cell>
          <cell r="I908">
            <v>0</v>
          </cell>
        </row>
        <row r="909">
          <cell r="E909">
            <v>0</v>
          </cell>
          <cell r="I909">
            <v>0</v>
          </cell>
        </row>
        <row r="910">
          <cell r="E910">
            <v>0</v>
          </cell>
          <cell r="I910">
            <v>0</v>
          </cell>
        </row>
        <row r="911">
          <cell r="E911">
            <v>0</v>
          </cell>
          <cell r="I911">
            <v>0</v>
          </cell>
        </row>
        <row r="912">
          <cell r="E912">
            <v>0</v>
          </cell>
          <cell r="I912">
            <v>0</v>
          </cell>
        </row>
        <row r="913">
          <cell r="E913">
            <v>0</v>
          </cell>
          <cell r="I913">
            <v>0</v>
          </cell>
        </row>
        <row r="914">
          <cell r="E914">
            <v>0</v>
          </cell>
          <cell r="I914">
            <v>0</v>
          </cell>
        </row>
        <row r="915">
          <cell r="E915">
            <v>0</v>
          </cell>
          <cell r="I915">
            <v>0</v>
          </cell>
        </row>
        <row r="916">
          <cell r="E916">
            <v>0</v>
          </cell>
          <cell r="I916">
            <v>0</v>
          </cell>
        </row>
        <row r="917">
          <cell r="E917">
            <v>0</v>
          </cell>
          <cell r="I917">
            <v>0</v>
          </cell>
        </row>
        <row r="918">
          <cell r="E918">
            <v>0</v>
          </cell>
          <cell r="I918">
            <v>0</v>
          </cell>
        </row>
        <row r="919">
          <cell r="E919">
            <v>0</v>
          </cell>
          <cell r="I919">
            <v>0</v>
          </cell>
        </row>
        <row r="920">
          <cell r="E920">
            <v>0</v>
          </cell>
          <cell r="I920">
            <v>0</v>
          </cell>
        </row>
        <row r="921">
          <cell r="E921">
            <v>0</v>
          </cell>
          <cell r="I921">
            <v>0</v>
          </cell>
        </row>
        <row r="922">
          <cell r="E922">
            <v>0</v>
          </cell>
          <cell r="I922">
            <v>0</v>
          </cell>
        </row>
        <row r="923">
          <cell r="E923">
            <v>0</v>
          </cell>
          <cell r="I923">
            <v>0</v>
          </cell>
        </row>
        <row r="924">
          <cell r="E924">
            <v>0</v>
          </cell>
          <cell r="I924">
            <v>0</v>
          </cell>
        </row>
        <row r="925">
          <cell r="E925">
            <v>0</v>
          </cell>
          <cell r="I925">
            <v>0</v>
          </cell>
        </row>
        <row r="926">
          <cell r="E926">
            <v>0</v>
          </cell>
          <cell r="I926">
            <v>0</v>
          </cell>
        </row>
        <row r="927">
          <cell r="E927">
            <v>0</v>
          </cell>
          <cell r="I927">
            <v>0</v>
          </cell>
        </row>
        <row r="928">
          <cell r="E928">
            <v>0</v>
          </cell>
          <cell r="I928">
            <v>0</v>
          </cell>
        </row>
        <row r="929">
          <cell r="E929">
            <v>0</v>
          </cell>
          <cell r="I929">
            <v>0</v>
          </cell>
        </row>
        <row r="930">
          <cell r="E930">
            <v>0</v>
          </cell>
          <cell r="I930">
            <v>0</v>
          </cell>
        </row>
        <row r="931">
          <cell r="E931">
            <v>0</v>
          </cell>
          <cell r="I931">
            <v>0</v>
          </cell>
        </row>
        <row r="932">
          <cell r="E932">
            <v>0</v>
          </cell>
          <cell r="I932">
            <v>0</v>
          </cell>
        </row>
        <row r="933">
          <cell r="E933">
            <v>0</v>
          </cell>
          <cell r="I933">
            <v>0</v>
          </cell>
        </row>
        <row r="934">
          <cell r="E934">
            <v>0</v>
          </cell>
          <cell r="I934">
            <v>0</v>
          </cell>
        </row>
        <row r="935">
          <cell r="E935">
            <v>0</v>
          </cell>
          <cell r="I935">
            <v>0</v>
          </cell>
        </row>
        <row r="936">
          <cell r="E936">
            <v>0</v>
          </cell>
          <cell r="I936">
            <v>0</v>
          </cell>
        </row>
        <row r="937">
          <cell r="E937">
            <v>0</v>
          </cell>
          <cell r="I937">
            <v>0</v>
          </cell>
        </row>
        <row r="938">
          <cell r="E938">
            <v>0</v>
          </cell>
          <cell r="I938">
            <v>0</v>
          </cell>
        </row>
        <row r="939">
          <cell r="E939">
            <v>0</v>
          </cell>
          <cell r="I939">
            <v>0</v>
          </cell>
        </row>
        <row r="940">
          <cell r="E940">
            <v>0</v>
          </cell>
          <cell r="I940">
            <v>0</v>
          </cell>
        </row>
        <row r="941">
          <cell r="E941">
            <v>0</v>
          </cell>
          <cell r="I941">
            <v>0</v>
          </cell>
        </row>
        <row r="942">
          <cell r="E942">
            <v>0</v>
          </cell>
          <cell r="I942">
            <v>0</v>
          </cell>
        </row>
        <row r="943">
          <cell r="E943">
            <v>0</v>
          </cell>
          <cell r="I943">
            <v>0</v>
          </cell>
        </row>
        <row r="944">
          <cell r="E944">
            <v>0</v>
          </cell>
          <cell r="I944">
            <v>0</v>
          </cell>
        </row>
        <row r="945">
          <cell r="E945">
            <v>0</v>
          </cell>
          <cell r="I945">
            <v>0</v>
          </cell>
        </row>
        <row r="946">
          <cell r="E946">
            <v>0</v>
          </cell>
          <cell r="I946">
            <v>0</v>
          </cell>
        </row>
        <row r="947">
          <cell r="E947">
            <v>0</v>
          </cell>
          <cell r="I947">
            <v>0</v>
          </cell>
        </row>
        <row r="948">
          <cell r="E948">
            <v>0</v>
          </cell>
          <cell r="I948">
            <v>0</v>
          </cell>
        </row>
        <row r="949">
          <cell r="E949">
            <v>0</v>
          </cell>
          <cell r="I949">
            <v>0</v>
          </cell>
        </row>
        <row r="950">
          <cell r="E950">
            <v>0</v>
          </cell>
          <cell r="I950">
            <v>0</v>
          </cell>
        </row>
        <row r="951">
          <cell r="E951">
            <v>0</v>
          </cell>
          <cell r="I951">
            <v>0</v>
          </cell>
        </row>
        <row r="952">
          <cell r="E952">
            <v>0</v>
          </cell>
          <cell r="I952">
            <v>0</v>
          </cell>
        </row>
        <row r="953">
          <cell r="E953">
            <v>0</v>
          </cell>
          <cell r="I953">
            <v>0</v>
          </cell>
        </row>
        <row r="954">
          <cell r="E954">
            <v>0</v>
          </cell>
          <cell r="I954">
            <v>0</v>
          </cell>
        </row>
        <row r="955">
          <cell r="E955">
            <v>0</v>
          </cell>
          <cell r="I955">
            <v>0</v>
          </cell>
        </row>
        <row r="956">
          <cell r="E956">
            <v>0</v>
          </cell>
          <cell r="I956">
            <v>0</v>
          </cell>
        </row>
        <row r="957">
          <cell r="E957">
            <v>0</v>
          </cell>
          <cell r="I957">
            <v>0</v>
          </cell>
        </row>
        <row r="958">
          <cell r="E958">
            <v>0</v>
          </cell>
          <cell r="I958">
            <v>0</v>
          </cell>
        </row>
        <row r="959">
          <cell r="E959">
            <v>0</v>
          </cell>
          <cell r="I959">
            <v>0</v>
          </cell>
        </row>
        <row r="960">
          <cell r="E960">
            <v>0</v>
          </cell>
          <cell r="I960">
            <v>0</v>
          </cell>
        </row>
        <row r="961">
          <cell r="E961">
            <v>0</v>
          </cell>
          <cell r="I961">
            <v>0</v>
          </cell>
        </row>
        <row r="962">
          <cell r="E962">
            <v>0</v>
          </cell>
          <cell r="I962">
            <v>0</v>
          </cell>
        </row>
        <row r="963">
          <cell r="E963">
            <v>0</v>
          </cell>
          <cell r="I963">
            <v>0</v>
          </cell>
        </row>
        <row r="964">
          <cell r="E964">
            <v>0</v>
          </cell>
          <cell r="I964">
            <v>0</v>
          </cell>
        </row>
        <row r="965">
          <cell r="E965">
            <v>0</v>
          </cell>
          <cell r="I965">
            <v>0</v>
          </cell>
        </row>
        <row r="966">
          <cell r="E966">
            <v>0</v>
          </cell>
          <cell r="I966">
            <v>0</v>
          </cell>
        </row>
        <row r="967">
          <cell r="E967">
            <v>0</v>
          </cell>
          <cell r="I967">
            <v>0</v>
          </cell>
        </row>
        <row r="968">
          <cell r="E968">
            <v>0</v>
          </cell>
          <cell r="I968">
            <v>0</v>
          </cell>
        </row>
        <row r="969">
          <cell r="E969">
            <v>0</v>
          </cell>
          <cell r="I969">
            <v>0</v>
          </cell>
        </row>
        <row r="970">
          <cell r="E970">
            <v>0</v>
          </cell>
          <cell r="I970">
            <v>0</v>
          </cell>
        </row>
        <row r="971">
          <cell r="E971">
            <v>0</v>
          </cell>
          <cell r="I971">
            <v>0</v>
          </cell>
        </row>
        <row r="972">
          <cell r="E972">
            <v>0</v>
          </cell>
          <cell r="I972">
            <v>0</v>
          </cell>
        </row>
        <row r="973">
          <cell r="E973">
            <v>0</v>
          </cell>
          <cell r="I973">
            <v>0</v>
          </cell>
        </row>
        <row r="974">
          <cell r="E974">
            <v>0</v>
          </cell>
          <cell r="I974">
            <v>0</v>
          </cell>
        </row>
        <row r="975">
          <cell r="E975">
            <v>0</v>
          </cell>
          <cell r="I975">
            <v>0</v>
          </cell>
        </row>
        <row r="976">
          <cell r="E976">
            <v>0</v>
          </cell>
          <cell r="I976">
            <v>0</v>
          </cell>
        </row>
        <row r="977">
          <cell r="E977">
            <v>0</v>
          </cell>
          <cell r="I977">
            <v>0</v>
          </cell>
        </row>
        <row r="978">
          <cell r="E978">
            <v>0</v>
          </cell>
          <cell r="I978">
            <v>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opLeftCell="A10" workbookViewId="0">
      <selection activeCell="A15" sqref="A15:H27"/>
    </sheetView>
  </sheetViews>
  <sheetFormatPr defaultRowHeight="15" x14ac:dyDescent="0.25"/>
  <cols>
    <col min="2" max="2" width="14.7109375" customWidth="1"/>
    <col min="5" max="5" width="10.140625" customWidth="1"/>
    <col min="14" max="16" width="0" hidden="1" customWidth="1"/>
  </cols>
  <sheetData>
    <row r="1" spans="1:20" ht="25.5" x14ac:dyDescent="0.2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" t="s">
        <v>1</v>
      </c>
      <c r="M1" s="2" t="s">
        <v>2</v>
      </c>
      <c r="N1" s="3" t="s">
        <v>3</v>
      </c>
      <c r="O1" s="1" t="s">
        <v>4</v>
      </c>
      <c r="P1" s="1" t="s">
        <v>4</v>
      </c>
      <c r="Q1" s="126" t="s">
        <v>5</v>
      </c>
      <c r="R1" s="126"/>
      <c r="S1" s="126"/>
      <c r="T1" s="3" t="s">
        <v>4</v>
      </c>
    </row>
    <row r="2" spans="1:20" ht="36" x14ac:dyDescent="0.25">
      <c r="A2" s="4" t="s">
        <v>6</v>
      </c>
      <c r="B2" s="5" t="s">
        <v>7</v>
      </c>
      <c r="C2" s="6" t="s">
        <v>8</v>
      </c>
      <c r="D2" s="7" t="s">
        <v>9</v>
      </c>
      <c r="E2" s="127" t="s">
        <v>10</v>
      </c>
      <c r="F2" s="127"/>
      <c r="G2" s="8" t="s">
        <v>11</v>
      </c>
      <c r="H2" s="9" t="s">
        <v>12</v>
      </c>
      <c r="I2" s="10" t="s">
        <v>13</v>
      </c>
      <c r="J2" s="128" t="s">
        <v>14</v>
      </c>
      <c r="K2" s="128"/>
      <c r="L2" s="11" t="s">
        <v>33</v>
      </c>
      <c r="M2" s="12" t="s">
        <v>15</v>
      </c>
      <c r="N2" s="13" t="s">
        <v>16</v>
      </c>
      <c r="O2" s="11" t="s">
        <v>17</v>
      </c>
      <c r="P2" s="11" t="s">
        <v>18</v>
      </c>
      <c r="Q2" s="14" t="s">
        <v>19</v>
      </c>
      <c r="R2" s="14" t="s">
        <v>20</v>
      </c>
      <c r="S2" s="14" t="s">
        <v>2</v>
      </c>
      <c r="T2" s="13" t="s">
        <v>21</v>
      </c>
    </row>
    <row r="3" spans="1:20" x14ac:dyDescent="0.25">
      <c r="A3" s="15" t="s">
        <v>22</v>
      </c>
      <c r="B3" s="16">
        <v>23000.646325000002</v>
      </c>
      <c r="C3" s="17">
        <v>0.96</v>
      </c>
      <c r="D3" s="33">
        <v>0.99427407394822409</v>
      </c>
      <c r="E3" s="16">
        <v>22868.946325000001</v>
      </c>
      <c r="F3" s="18">
        <v>0.99427407394822409</v>
      </c>
      <c r="G3" s="16">
        <v>70.739999999999995</v>
      </c>
      <c r="H3" s="16">
        <v>60.96</v>
      </c>
      <c r="I3" s="18">
        <v>5.7259260517758511E-3</v>
      </c>
      <c r="J3" s="16">
        <v>0</v>
      </c>
      <c r="K3" s="18">
        <v>0</v>
      </c>
      <c r="L3" s="103">
        <v>0.125</v>
      </c>
      <c r="M3" s="103">
        <v>0.86428775225108878</v>
      </c>
      <c r="N3" s="19"/>
      <c r="O3" s="19">
        <v>9</v>
      </c>
      <c r="P3" s="19"/>
      <c r="Q3" s="35"/>
      <c r="R3" s="35"/>
      <c r="S3" s="18">
        <v>1</v>
      </c>
      <c r="T3" s="20">
        <v>0</v>
      </c>
    </row>
    <row r="4" spans="1:20" x14ac:dyDescent="0.25">
      <c r="A4" s="15" t="s">
        <v>23</v>
      </c>
      <c r="B4" s="16">
        <v>23909.696275000002</v>
      </c>
      <c r="C4" s="17">
        <v>0.96</v>
      </c>
      <c r="D4" s="104">
        <v>0.97735926587400623</v>
      </c>
      <c r="E4" s="16">
        <v>22963.935275</v>
      </c>
      <c r="F4" s="17">
        <v>0.96044445779978849</v>
      </c>
      <c r="G4" s="16">
        <v>892.62350000000004</v>
      </c>
      <c r="H4" s="16">
        <v>53.137500000000003</v>
      </c>
      <c r="I4" s="18">
        <v>3.9555542200211409E-2</v>
      </c>
      <c r="J4" s="16">
        <v>0</v>
      </c>
      <c r="K4" s="17">
        <v>0</v>
      </c>
      <c r="L4" s="105">
        <v>0.54545454545454541</v>
      </c>
      <c r="M4" s="34">
        <v>0.84073871030468028</v>
      </c>
      <c r="N4" s="19"/>
      <c r="O4" s="19"/>
      <c r="P4" s="19"/>
      <c r="Q4" s="35"/>
      <c r="R4" s="35"/>
      <c r="S4" s="18">
        <v>1</v>
      </c>
      <c r="T4" s="20">
        <v>0</v>
      </c>
    </row>
    <row r="5" spans="1:20" x14ac:dyDescent="0.25">
      <c r="A5" s="15" t="s">
        <v>133</v>
      </c>
      <c r="B5" s="16">
        <v>20241.176950000001</v>
      </c>
      <c r="C5" s="17">
        <v>0.96</v>
      </c>
      <c r="D5" s="33">
        <v>0.9193552823518002</v>
      </c>
      <c r="E5" s="16">
        <v>18608.83295</v>
      </c>
      <c r="F5" s="18">
        <v>0.9193552823518002</v>
      </c>
      <c r="G5" s="16">
        <v>1563.5450000000001</v>
      </c>
      <c r="H5" s="16">
        <v>46.798999999999999</v>
      </c>
      <c r="I5" s="18">
        <v>7.9557824328984977E-2</v>
      </c>
      <c r="J5" s="16">
        <v>22</v>
      </c>
      <c r="K5" s="18">
        <v>1.0868933192148195E-3</v>
      </c>
      <c r="L5" s="109">
        <v>0</v>
      </c>
      <c r="M5" s="34">
        <v>0.83916788932715902</v>
      </c>
      <c r="N5" s="19"/>
      <c r="O5" s="19"/>
      <c r="P5" s="19"/>
      <c r="Q5" s="35"/>
      <c r="R5" s="35"/>
      <c r="S5" s="18">
        <v>1</v>
      </c>
      <c r="T5" s="20">
        <v>1</v>
      </c>
    </row>
    <row r="7" spans="1:20" x14ac:dyDescent="0.25">
      <c r="A7" s="131" t="s">
        <v>0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</row>
    <row r="8" spans="1:20" x14ac:dyDescent="0.25">
      <c r="A8" s="133" t="s">
        <v>6</v>
      </c>
      <c r="B8" s="134" t="s">
        <v>24</v>
      </c>
      <c r="C8" s="135"/>
      <c r="D8" s="135"/>
      <c r="E8" s="135"/>
      <c r="F8" s="135"/>
      <c r="G8" s="135"/>
      <c r="H8" s="136"/>
      <c r="I8" s="117" t="s">
        <v>8</v>
      </c>
      <c r="J8" s="118"/>
      <c r="K8" s="21" t="s">
        <v>25</v>
      </c>
      <c r="L8" s="21" t="s">
        <v>34</v>
      </c>
    </row>
    <row r="9" spans="1:20" x14ac:dyDescent="0.25">
      <c r="A9" s="133"/>
      <c r="B9" s="119" t="s">
        <v>26</v>
      </c>
      <c r="C9" s="120"/>
      <c r="D9" s="120"/>
      <c r="E9" s="121"/>
      <c r="F9" s="122" t="s">
        <v>27</v>
      </c>
      <c r="G9" s="123"/>
      <c r="H9" s="124"/>
      <c r="I9" s="129" t="s">
        <v>28</v>
      </c>
      <c r="J9" s="130"/>
      <c r="K9" s="22" t="s">
        <v>29</v>
      </c>
      <c r="L9" s="22" t="s">
        <v>35</v>
      </c>
    </row>
    <row r="10" spans="1:20" x14ac:dyDescent="0.25">
      <c r="A10" s="133"/>
      <c r="B10" s="23" t="s">
        <v>8</v>
      </c>
      <c r="C10" s="24" t="s">
        <v>2</v>
      </c>
      <c r="D10" s="24" t="s">
        <v>30</v>
      </c>
      <c r="E10" s="25" t="s">
        <v>31</v>
      </c>
      <c r="F10" s="24" t="s">
        <v>2</v>
      </c>
      <c r="G10" s="24" t="s">
        <v>30</v>
      </c>
      <c r="H10" s="25" t="s">
        <v>31</v>
      </c>
      <c r="I10" s="26" t="s">
        <v>30</v>
      </c>
      <c r="J10" s="26" t="s">
        <v>31</v>
      </c>
      <c r="K10" s="27" t="s">
        <v>32</v>
      </c>
      <c r="L10" s="27" t="s">
        <v>32</v>
      </c>
    </row>
    <row r="11" spans="1:20" x14ac:dyDescent="0.25">
      <c r="A11" s="28" t="s">
        <v>22</v>
      </c>
      <c r="B11" s="29">
        <v>0.99</v>
      </c>
      <c r="C11" s="29">
        <v>0.99450936597018702</v>
      </c>
      <c r="D11" s="30">
        <v>22081.807387000012</v>
      </c>
      <c r="E11" s="30">
        <v>121.91249999999998</v>
      </c>
      <c r="F11" s="36">
        <v>0.99450936597018702</v>
      </c>
      <c r="G11" s="31">
        <v>22081.807387000012</v>
      </c>
      <c r="H11" s="31">
        <v>121.91249999999998</v>
      </c>
      <c r="I11" s="37" t="s">
        <v>36</v>
      </c>
      <c r="J11" s="37" t="s">
        <v>134</v>
      </c>
      <c r="K11" s="32">
        <v>0</v>
      </c>
      <c r="L11" s="38">
        <v>0.34970760976740572</v>
      </c>
    </row>
    <row r="12" spans="1:20" x14ac:dyDescent="0.25">
      <c r="A12" s="28" t="s">
        <v>23</v>
      </c>
      <c r="B12" s="29">
        <v>0.99</v>
      </c>
      <c r="C12" s="29">
        <v>0.9971421744238258</v>
      </c>
      <c r="D12" s="30">
        <v>27312.825850000005</v>
      </c>
      <c r="E12" s="30">
        <v>78.278999999999996</v>
      </c>
      <c r="F12" s="36">
        <v>0.9971421744238258</v>
      </c>
      <c r="G12" s="31">
        <v>27312.825850000005</v>
      </c>
      <c r="H12" s="31">
        <v>78.278999999999996</v>
      </c>
      <c r="I12" s="37" t="s">
        <v>36</v>
      </c>
      <c r="J12" s="37" t="s">
        <v>134</v>
      </c>
      <c r="K12" s="32">
        <v>0</v>
      </c>
      <c r="L12" s="38">
        <v>0.57497700091996318</v>
      </c>
    </row>
    <row r="13" spans="1:20" x14ac:dyDescent="0.25">
      <c r="A13" s="28" t="s">
        <v>133</v>
      </c>
      <c r="B13" s="29">
        <v>0.99</v>
      </c>
      <c r="C13" s="110">
        <v>0.99676734336609729</v>
      </c>
      <c r="D13" s="30">
        <v>22163.084800000001</v>
      </c>
      <c r="E13" s="30">
        <v>71.878</v>
      </c>
      <c r="F13" s="36">
        <v>0.99676734336609729</v>
      </c>
      <c r="G13" s="31">
        <v>22163.084800000001</v>
      </c>
      <c r="H13" s="31">
        <v>71.878</v>
      </c>
      <c r="I13" s="37" t="s">
        <v>36</v>
      </c>
      <c r="J13" s="37" t="s">
        <v>134</v>
      </c>
      <c r="K13" s="32">
        <v>0</v>
      </c>
      <c r="L13" s="38">
        <v>0.51366668258592418</v>
      </c>
    </row>
    <row r="15" spans="1:20" x14ac:dyDescent="0.25">
      <c r="A15" s="39" t="s">
        <v>37</v>
      </c>
      <c r="B15" s="39" t="s">
        <v>38</v>
      </c>
      <c r="C15" s="39" t="s">
        <v>39</v>
      </c>
      <c r="D15" s="39" t="s">
        <v>40</v>
      </c>
      <c r="E15" s="39" t="s">
        <v>41</v>
      </c>
      <c r="F15" s="39" t="s">
        <v>42</v>
      </c>
      <c r="G15" s="39" t="s">
        <v>43</v>
      </c>
      <c r="H15" s="39" t="s">
        <v>44</v>
      </c>
    </row>
    <row r="16" spans="1:20" x14ac:dyDescent="0.25">
      <c r="A16" s="116">
        <v>1</v>
      </c>
      <c r="B16" s="40" t="s">
        <v>45</v>
      </c>
      <c r="C16" s="101">
        <v>387</v>
      </c>
      <c r="D16" s="41">
        <v>468</v>
      </c>
      <c r="E16" s="41">
        <v>609</v>
      </c>
      <c r="F16" s="41">
        <v>453</v>
      </c>
      <c r="G16" s="41">
        <v>438</v>
      </c>
      <c r="H16" s="41">
        <v>889</v>
      </c>
    </row>
    <row r="17" spans="1:8" x14ac:dyDescent="0.25">
      <c r="A17" s="116"/>
      <c r="B17" s="40" t="s">
        <v>46</v>
      </c>
      <c r="C17" s="101">
        <v>357</v>
      </c>
      <c r="D17" s="41">
        <v>455</v>
      </c>
      <c r="E17" s="101">
        <v>562</v>
      </c>
      <c r="F17" s="41">
        <v>415</v>
      </c>
      <c r="G17" s="41">
        <v>415</v>
      </c>
      <c r="H17" s="41">
        <v>861</v>
      </c>
    </row>
    <row r="18" spans="1:8" x14ac:dyDescent="0.25">
      <c r="A18" s="116"/>
      <c r="B18" s="40" t="s">
        <v>8</v>
      </c>
      <c r="C18" s="101">
        <v>30</v>
      </c>
      <c r="D18" s="101">
        <v>13</v>
      </c>
      <c r="E18" s="101">
        <v>47</v>
      </c>
      <c r="F18" s="41">
        <v>38</v>
      </c>
      <c r="G18" s="101">
        <v>23</v>
      </c>
      <c r="H18" s="101">
        <v>28</v>
      </c>
    </row>
    <row r="19" spans="1:8" x14ac:dyDescent="0.25">
      <c r="A19" s="116"/>
      <c r="B19" s="111" t="s">
        <v>2</v>
      </c>
      <c r="C19" s="106">
        <v>0.92248062015503873</v>
      </c>
      <c r="D19" s="106">
        <v>0.97222222222222221</v>
      </c>
      <c r="E19" s="106">
        <v>0.92282430213464695</v>
      </c>
      <c r="F19" s="106">
        <v>0.91611479028697573</v>
      </c>
      <c r="G19" s="106">
        <v>0.94748858447488582</v>
      </c>
      <c r="H19" s="106">
        <v>0.96850393700787396</v>
      </c>
    </row>
    <row r="20" spans="1:8" x14ac:dyDescent="0.25">
      <c r="A20" s="116">
        <v>2</v>
      </c>
      <c r="B20" s="40" t="s">
        <v>45</v>
      </c>
      <c r="C20" s="101">
        <v>387</v>
      </c>
      <c r="D20" s="41">
        <v>468</v>
      </c>
      <c r="E20" s="41">
        <v>609</v>
      </c>
      <c r="F20" s="41">
        <v>453</v>
      </c>
      <c r="G20" s="41">
        <v>440</v>
      </c>
      <c r="H20" s="41">
        <v>889</v>
      </c>
    </row>
    <row r="21" spans="1:8" x14ac:dyDescent="0.25">
      <c r="A21" s="116"/>
      <c r="B21" s="40" t="s">
        <v>46</v>
      </c>
      <c r="C21" s="101">
        <v>363</v>
      </c>
      <c r="D21" s="41">
        <v>457</v>
      </c>
      <c r="E21" s="101">
        <v>564</v>
      </c>
      <c r="F21" s="41">
        <v>425</v>
      </c>
      <c r="G21" s="41">
        <v>408</v>
      </c>
      <c r="H21" s="41">
        <v>863</v>
      </c>
    </row>
    <row r="22" spans="1:8" x14ac:dyDescent="0.25">
      <c r="A22" s="116"/>
      <c r="B22" s="40" t="s">
        <v>8</v>
      </c>
      <c r="C22" s="101">
        <v>24</v>
      </c>
      <c r="D22" s="101">
        <v>11</v>
      </c>
      <c r="E22" s="101">
        <v>45</v>
      </c>
      <c r="F22" s="101">
        <v>28</v>
      </c>
      <c r="G22" s="101">
        <v>32</v>
      </c>
      <c r="H22" s="101">
        <v>26</v>
      </c>
    </row>
    <row r="23" spans="1:8" x14ac:dyDescent="0.25">
      <c r="A23" s="116"/>
      <c r="B23" s="107" t="s">
        <v>2</v>
      </c>
      <c r="C23" s="108">
        <v>0.93798449612403101</v>
      </c>
      <c r="D23" s="108">
        <v>0.97649572649572647</v>
      </c>
      <c r="E23" s="108">
        <v>0.92610837438423643</v>
      </c>
      <c r="F23" s="108">
        <v>0.9381898454746137</v>
      </c>
      <c r="G23" s="108">
        <v>0.92727272727272725</v>
      </c>
      <c r="H23" s="108">
        <v>0.97075365579302586</v>
      </c>
    </row>
    <row r="24" spans="1:8" x14ac:dyDescent="0.25">
      <c r="A24" s="116">
        <v>3</v>
      </c>
      <c r="B24" s="40" t="s">
        <v>45</v>
      </c>
      <c r="C24" s="101">
        <v>610</v>
      </c>
      <c r="D24" s="41">
        <v>468</v>
      </c>
      <c r="E24" s="41">
        <v>387</v>
      </c>
      <c r="F24" s="41">
        <v>453</v>
      </c>
      <c r="G24" s="41">
        <v>440</v>
      </c>
      <c r="H24" s="41">
        <v>889</v>
      </c>
    </row>
    <row r="25" spans="1:8" x14ac:dyDescent="0.25">
      <c r="A25" s="116"/>
      <c r="B25" s="40" t="s">
        <v>46</v>
      </c>
      <c r="C25" s="101">
        <v>581</v>
      </c>
      <c r="D25" s="41">
        <v>454</v>
      </c>
      <c r="E25" s="101">
        <v>362</v>
      </c>
      <c r="F25" s="41">
        <v>427</v>
      </c>
      <c r="G25" s="41">
        <v>416</v>
      </c>
      <c r="H25" s="41">
        <v>861</v>
      </c>
    </row>
    <row r="26" spans="1:8" x14ac:dyDescent="0.25">
      <c r="A26" s="116"/>
      <c r="B26" s="40" t="s">
        <v>8</v>
      </c>
      <c r="C26" s="112">
        <v>29</v>
      </c>
      <c r="D26" s="113">
        <v>14</v>
      </c>
      <c r="E26" s="113">
        <v>25</v>
      </c>
      <c r="F26" s="114">
        <v>26</v>
      </c>
      <c r="G26" s="114">
        <v>24</v>
      </c>
      <c r="H26" s="113">
        <v>28</v>
      </c>
    </row>
    <row r="27" spans="1:8" x14ac:dyDescent="0.25">
      <c r="A27" s="116"/>
      <c r="B27" s="107" t="s">
        <v>2</v>
      </c>
      <c r="C27" s="108">
        <v>0.95245901639344266</v>
      </c>
      <c r="D27" s="108">
        <v>0.97008547008547008</v>
      </c>
      <c r="E27" s="108">
        <v>0.93540051679586567</v>
      </c>
      <c r="F27" s="108">
        <v>0.94260485651214132</v>
      </c>
      <c r="G27" s="108">
        <v>0.94545454545454544</v>
      </c>
      <c r="H27" s="108">
        <v>0.96850393700787396</v>
      </c>
    </row>
  </sheetData>
  <mergeCells count="14">
    <mergeCell ref="A1:K1"/>
    <mergeCell ref="Q1:S1"/>
    <mergeCell ref="E2:F2"/>
    <mergeCell ref="J2:K2"/>
    <mergeCell ref="I9:J9"/>
    <mergeCell ref="A7:L7"/>
    <mergeCell ref="A8:A10"/>
    <mergeCell ref="B8:H8"/>
    <mergeCell ref="A24:A27"/>
    <mergeCell ref="I8:J8"/>
    <mergeCell ref="B9:E9"/>
    <mergeCell ref="F9:H9"/>
    <mergeCell ref="A16:A19"/>
    <mergeCell ref="A20:A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24"/>
  <sheetViews>
    <sheetView showGridLines="0"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13" sqref="H13"/>
    </sheetView>
  </sheetViews>
  <sheetFormatPr defaultRowHeight="15" x14ac:dyDescent="0.25"/>
  <cols>
    <col min="1" max="1" width="4.7109375" customWidth="1"/>
    <col min="2" max="2" width="25.7109375" bestFit="1" customWidth="1"/>
    <col min="3" max="3" width="20.5703125" bestFit="1" customWidth="1"/>
    <col min="4" max="4" width="18.85546875" customWidth="1"/>
    <col min="5" max="5" width="19.5703125" customWidth="1"/>
    <col min="6" max="6" width="34.28515625" customWidth="1"/>
    <col min="7" max="7" width="15.28515625" bestFit="1" customWidth="1"/>
    <col min="8" max="8" width="15" bestFit="1" customWidth="1"/>
  </cols>
  <sheetData>
    <row r="1" spans="1:13" ht="20.25" thickTop="1" thickBot="1" x14ac:dyDescent="0.35">
      <c r="A1" s="141" t="s">
        <v>63</v>
      </c>
      <c r="B1" s="141"/>
      <c r="C1" s="141"/>
      <c r="D1" s="141"/>
      <c r="E1" s="141"/>
      <c r="F1" s="141"/>
      <c r="G1" s="141"/>
      <c r="H1" s="141"/>
      <c r="I1" s="141"/>
      <c r="J1" s="65"/>
      <c r="K1" s="65"/>
      <c r="L1" s="65"/>
      <c r="M1" s="65"/>
    </row>
    <row r="2" spans="1:13" ht="20.25" thickTop="1" thickBot="1" x14ac:dyDescent="0.35">
      <c r="A2" s="141" t="s">
        <v>64</v>
      </c>
      <c r="B2" s="141"/>
      <c r="C2" s="141"/>
      <c r="D2" s="141"/>
      <c r="E2" s="141"/>
      <c r="F2" s="141"/>
      <c r="G2" s="141"/>
      <c r="H2" s="141"/>
      <c r="I2" s="141"/>
      <c r="J2" s="65"/>
      <c r="K2" s="65"/>
      <c r="L2" s="65"/>
      <c r="M2" s="65"/>
    </row>
    <row r="3" spans="1:13" ht="16.5" thickTop="1" thickBot="1" x14ac:dyDescent="0.3">
      <c r="A3" s="66" t="s">
        <v>54</v>
      </c>
      <c r="B3" s="66" t="s">
        <v>55</v>
      </c>
      <c r="C3" s="66" t="s">
        <v>65</v>
      </c>
      <c r="D3" s="66" t="s">
        <v>66</v>
      </c>
      <c r="E3" s="66" t="s">
        <v>67</v>
      </c>
      <c r="F3" s="66" t="s">
        <v>68</v>
      </c>
      <c r="G3" s="66" t="s">
        <v>69</v>
      </c>
      <c r="H3" s="66" t="s">
        <v>70</v>
      </c>
      <c r="I3" s="66" t="s">
        <v>71</v>
      </c>
      <c r="J3" s="65"/>
      <c r="K3" s="65"/>
      <c r="L3" s="65"/>
      <c r="M3" s="65"/>
    </row>
    <row r="4" spans="1:13" ht="15.75" thickTop="1" x14ac:dyDescent="0.25">
      <c r="A4" s="67">
        <v>1</v>
      </c>
      <c r="B4" s="62" t="s">
        <v>81</v>
      </c>
      <c r="C4" s="68">
        <v>1605156325</v>
      </c>
      <c r="D4" s="68">
        <v>1605156325</v>
      </c>
      <c r="E4" s="69">
        <f>C4-D4</f>
        <v>0</v>
      </c>
      <c r="F4" s="70"/>
      <c r="G4" s="69"/>
      <c r="H4" s="69">
        <f t="shared" ref="H4:H49" si="0">E4-G4</f>
        <v>0</v>
      </c>
      <c r="I4" s="71"/>
      <c r="J4" s="65"/>
      <c r="K4" s="65"/>
      <c r="L4" s="65"/>
      <c r="M4" s="65"/>
    </row>
    <row r="5" spans="1:13" x14ac:dyDescent="0.25">
      <c r="A5" s="41">
        <f>1+A4</f>
        <v>2</v>
      </c>
      <c r="B5" s="62" t="s">
        <v>82</v>
      </c>
      <c r="C5" s="68">
        <v>1510960000</v>
      </c>
      <c r="D5" s="68">
        <v>1000000000</v>
      </c>
      <c r="E5" s="69">
        <f t="shared" ref="E5:E68" si="1">C5-D5</f>
        <v>510960000</v>
      </c>
      <c r="F5" s="72"/>
      <c r="G5" s="69"/>
      <c r="H5" s="69">
        <f>E5-G5</f>
        <v>510960000</v>
      </c>
      <c r="I5" s="73"/>
      <c r="J5" s="65"/>
      <c r="K5" s="65"/>
      <c r="L5" s="65"/>
      <c r="M5" s="65"/>
    </row>
    <row r="6" spans="1:13" x14ac:dyDescent="0.25">
      <c r="A6" s="41">
        <f t="shared" ref="A6:A69" si="2">1+A5</f>
        <v>3</v>
      </c>
      <c r="B6" s="62" t="s">
        <v>84</v>
      </c>
      <c r="C6" s="68">
        <v>627066000</v>
      </c>
      <c r="D6" s="68">
        <v>627066000</v>
      </c>
      <c r="E6" s="69">
        <f t="shared" si="1"/>
        <v>0</v>
      </c>
      <c r="F6" s="72"/>
      <c r="G6" s="69"/>
      <c r="H6" s="69">
        <f t="shared" si="0"/>
        <v>0</v>
      </c>
      <c r="I6" s="73"/>
      <c r="J6" s="65"/>
      <c r="K6" s="65" t="s">
        <v>83</v>
      </c>
      <c r="L6" s="65"/>
      <c r="M6" s="65"/>
    </row>
    <row r="7" spans="1:13" x14ac:dyDescent="0.25">
      <c r="A7" s="41">
        <f t="shared" si="2"/>
        <v>4</v>
      </c>
      <c r="B7" s="62" t="s">
        <v>89</v>
      </c>
      <c r="C7" s="68">
        <v>514430000</v>
      </c>
      <c r="D7" s="68">
        <v>514430000</v>
      </c>
      <c r="E7" s="69">
        <f t="shared" si="1"/>
        <v>0</v>
      </c>
      <c r="F7" s="72"/>
      <c r="G7" s="69"/>
      <c r="H7" s="69">
        <f t="shared" si="0"/>
        <v>0</v>
      </c>
      <c r="I7" s="73"/>
      <c r="J7" s="65"/>
      <c r="K7" s="65"/>
      <c r="L7" s="65"/>
      <c r="M7" s="65"/>
    </row>
    <row r="8" spans="1:13" x14ac:dyDescent="0.25">
      <c r="A8" s="41">
        <f t="shared" si="2"/>
        <v>5</v>
      </c>
      <c r="B8" s="62" t="s">
        <v>85</v>
      </c>
      <c r="C8" s="68">
        <v>458000000</v>
      </c>
      <c r="D8" s="68">
        <v>458000000</v>
      </c>
      <c r="E8" s="69">
        <f t="shared" si="1"/>
        <v>0</v>
      </c>
      <c r="F8" s="72"/>
      <c r="G8" s="69"/>
      <c r="H8" s="69">
        <f t="shared" si="0"/>
        <v>0</v>
      </c>
      <c r="I8" s="73"/>
      <c r="J8" s="65"/>
      <c r="K8" s="65"/>
      <c r="L8" s="65"/>
      <c r="M8" s="65"/>
    </row>
    <row r="9" spans="1:13" x14ac:dyDescent="0.25">
      <c r="A9" s="41">
        <f t="shared" si="2"/>
        <v>6</v>
      </c>
      <c r="B9" s="62" t="s">
        <v>96</v>
      </c>
      <c r="C9" s="68">
        <v>319925000</v>
      </c>
      <c r="D9" s="68">
        <v>319925000</v>
      </c>
      <c r="E9" s="69">
        <f t="shared" si="1"/>
        <v>0</v>
      </c>
      <c r="F9" s="72"/>
      <c r="G9" s="69"/>
      <c r="H9" s="69">
        <f t="shared" si="0"/>
        <v>0</v>
      </c>
      <c r="I9" s="73"/>
      <c r="J9" s="65"/>
      <c r="K9" s="65"/>
      <c r="L9" s="65"/>
      <c r="M9" s="65"/>
    </row>
    <row r="10" spans="1:13" x14ac:dyDescent="0.25">
      <c r="A10" s="41">
        <f t="shared" si="2"/>
        <v>7</v>
      </c>
      <c r="B10" s="62" t="s">
        <v>91</v>
      </c>
      <c r="C10" s="68">
        <v>91584000</v>
      </c>
      <c r="D10" s="68">
        <v>50000000</v>
      </c>
      <c r="E10" s="69">
        <f t="shared" si="1"/>
        <v>41584000</v>
      </c>
      <c r="F10" s="72"/>
      <c r="G10" s="69"/>
      <c r="H10" s="69">
        <f t="shared" si="0"/>
        <v>41584000</v>
      </c>
      <c r="I10" s="73"/>
      <c r="J10" s="65"/>
      <c r="K10" s="65"/>
      <c r="L10" s="65"/>
      <c r="M10" s="65"/>
    </row>
    <row r="11" spans="1:13" x14ac:dyDescent="0.25">
      <c r="A11" s="41">
        <f t="shared" si="2"/>
        <v>8</v>
      </c>
      <c r="B11" s="62" t="s">
        <v>88</v>
      </c>
      <c r="C11" s="68">
        <v>296440000</v>
      </c>
      <c r="D11" s="68">
        <v>296440000</v>
      </c>
      <c r="E11" s="69">
        <f t="shared" si="1"/>
        <v>0</v>
      </c>
      <c r="F11" s="74"/>
      <c r="G11" s="75"/>
      <c r="H11" s="75">
        <f t="shared" si="0"/>
        <v>0</v>
      </c>
      <c r="I11" s="73"/>
      <c r="J11" s="65"/>
      <c r="K11" s="65"/>
      <c r="L11" s="65"/>
      <c r="M11" s="65"/>
    </row>
    <row r="12" spans="1:13" x14ac:dyDescent="0.25">
      <c r="A12" s="41">
        <f t="shared" si="2"/>
        <v>9</v>
      </c>
      <c r="B12" s="62" t="s">
        <v>86</v>
      </c>
      <c r="C12" s="68">
        <v>237200000</v>
      </c>
      <c r="D12" s="68">
        <v>237200000</v>
      </c>
      <c r="E12" s="69">
        <f t="shared" si="1"/>
        <v>0</v>
      </c>
      <c r="F12" s="74"/>
      <c r="G12" s="75"/>
      <c r="H12" s="75">
        <f t="shared" si="0"/>
        <v>0</v>
      </c>
      <c r="I12" s="73"/>
      <c r="J12" s="65"/>
      <c r="K12" s="65"/>
      <c r="L12" s="65"/>
      <c r="M12" s="65"/>
    </row>
    <row r="13" spans="1:13" x14ac:dyDescent="0.25">
      <c r="A13" s="41">
        <f t="shared" si="2"/>
        <v>10</v>
      </c>
      <c r="B13" s="62" t="s">
        <v>80</v>
      </c>
      <c r="C13" s="68">
        <v>119950000</v>
      </c>
      <c r="D13" s="68">
        <v>119950000</v>
      </c>
      <c r="E13" s="69">
        <f t="shared" si="1"/>
        <v>0</v>
      </c>
      <c r="F13" s="72"/>
      <c r="G13" s="75"/>
      <c r="H13" s="75">
        <f t="shared" si="0"/>
        <v>0</v>
      </c>
      <c r="I13" s="73"/>
      <c r="J13" s="65"/>
      <c r="K13" s="65"/>
      <c r="L13" s="65"/>
      <c r="M13" s="65"/>
    </row>
    <row r="14" spans="1:13" x14ac:dyDescent="0.25">
      <c r="A14" s="41">
        <f t="shared" si="2"/>
        <v>11</v>
      </c>
      <c r="B14" s="62" t="s">
        <v>94</v>
      </c>
      <c r="C14" s="68">
        <v>109743000</v>
      </c>
      <c r="D14" s="68">
        <v>50000000</v>
      </c>
      <c r="E14" s="69">
        <f t="shared" si="1"/>
        <v>59743000</v>
      </c>
      <c r="F14" s="74"/>
      <c r="G14" s="75"/>
      <c r="H14" s="75">
        <f t="shared" si="0"/>
        <v>59743000</v>
      </c>
      <c r="I14" s="73"/>
      <c r="J14" s="65"/>
      <c r="K14" s="65"/>
      <c r="L14" s="65"/>
      <c r="M14" s="65"/>
    </row>
    <row r="15" spans="1:13" x14ac:dyDescent="0.25">
      <c r="A15" s="41">
        <f t="shared" si="2"/>
        <v>12</v>
      </c>
      <c r="B15" s="62" t="s">
        <v>162</v>
      </c>
      <c r="C15" s="68">
        <v>80080000</v>
      </c>
      <c r="D15" s="68">
        <v>80080000</v>
      </c>
      <c r="E15" s="69">
        <f t="shared" si="1"/>
        <v>0</v>
      </c>
      <c r="F15" s="74"/>
      <c r="G15" s="75"/>
      <c r="H15" s="75">
        <f t="shared" si="0"/>
        <v>0</v>
      </c>
      <c r="I15" s="73"/>
      <c r="J15" s="65"/>
      <c r="K15" s="65"/>
      <c r="L15" s="65"/>
      <c r="M15" s="65"/>
    </row>
    <row r="16" spans="1:13" x14ac:dyDescent="0.25">
      <c r="A16" s="41">
        <f t="shared" si="2"/>
        <v>13</v>
      </c>
      <c r="B16" s="62" t="s">
        <v>90</v>
      </c>
      <c r="C16" s="68">
        <v>70395000</v>
      </c>
      <c r="D16" s="68">
        <v>40000000</v>
      </c>
      <c r="E16" s="69">
        <f t="shared" si="1"/>
        <v>30395000</v>
      </c>
      <c r="F16" s="74"/>
      <c r="G16" s="75"/>
      <c r="H16" s="75">
        <f t="shared" si="0"/>
        <v>30395000</v>
      </c>
      <c r="I16" s="73"/>
      <c r="J16" s="65"/>
      <c r="K16" s="65"/>
      <c r="L16" s="65"/>
      <c r="M16" s="65"/>
    </row>
    <row r="17" spans="1:13" x14ac:dyDescent="0.25">
      <c r="A17" s="41">
        <f t="shared" si="2"/>
        <v>14</v>
      </c>
      <c r="B17" s="62" t="s">
        <v>156</v>
      </c>
      <c r="C17" s="68">
        <v>42627500</v>
      </c>
      <c r="D17" s="68">
        <v>42627500</v>
      </c>
      <c r="E17" s="69">
        <f t="shared" si="1"/>
        <v>0</v>
      </c>
      <c r="F17" s="74"/>
      <c r="G17" s="75"/>
      <c r="H17" s="75">
        <f t="shared" si="0"/>
        <v>0</v>
      </c>
      <c r="I17" s="73"/>
      <c r="J17" s="65"/>
      <c r="K17" s="65"/>
      <c r="L17" s="65"/>
      <c r="M17" s="65"/>
    </row>
    <row r="18" spans="1:13" x14ac:dyDescent="0.25">
      <c r="A18" s="41">
        <f t="shared" si="2"/>
        <v>15</v>
      </c>
      <c r="B18" s="62" t="s">
        <v>103</v>
      </c>
      <c r="C18" s="68">
        <v>41865000</v>
      </c>
      <c r="D18" s="68">
        <v>41865000</v>
      </c>
      <c r="E18" s="69">
        <f t="shared" si="1"/>
        <v>0</v>
      </c>
      <c r="F18" s="74"/>
      <c r="G18" s="75"/>
      <c r="H18" s="75">
        <f t="shared" si="0"/>
        <v>0</v>
      </c>
      <c r="I18" s="73"/>
      <c r="J18" s="65"/>
      <c r="K18" s="65"/>
      <c r="L18" s="65"/>
      <c r="M18" s="65"/>
    </row>
    <row r="19" spans="1:13" x14ac:dyDescent="0.25">
      <c r="A19" s="41">
        <f t="shared" si="2"/>
        <v>16</v>
      </c>
      <c r="B19" s="62" t="s">
        <v>151</v>
      </c>
      <c r="C19" s="68">
        <v>39000000</v>
      </c>
      <c r="D19" s="68">
        <v>39000000</v>
      </c>
      <c r="E19" s="69">
        <f t="shared" si="1"/>
        <v>0</v>
      </c>
      <c r="F19" s="74"/>
      <c r="G19" s="75"/>
      <c r="H19" s="75">
        <f t="shared" si="0"/>
        <v>0</v>
      </c>
      <c r="I19" s="73"/>
      <c r="J19" s="65"/>
      <c r="K19" s="65"/>
      <c r="L19" s="65"/>
      <c r="M19" s="65"/>
    </row>
    <row r="20" spans="1:13" x14ac:dyDescent="0.25">
      <c r="A20" s="41">
        <f t="shared" si="2"/>
        <v>17</v>
      </c>
      <c r="B20" s="62" t="s">
        <v>163</v>
      </c>
      <c r="C20" s="76">
        <v>35112000</v>
      </c>
      <c r="D20" s="76">
        <v>35112000</v>
      </c>
      <c r="E20" s="69">
        <f t="shared" si="1"/>
        <v>0</v>
      </c>
      <c r="F20" s="74"/>
      <c r="G20" s="75"/>
      <c r="H20" s="75">
        <f t="shared" si="0"/>
        <v>0</v>
      </c>
      <c r="I20" s="73"/>
      <c r="J20" s="65"/>
      <c r="K20" s="65"/>
      <c r="L20" s="65"/>
      <c r="M20" s="65"/>
    </row>
    <row r="21" spans="1:13" x14ac:dyDescent="0.25">
      <c r="A21" s="41">
        <f t="shared" si="2"/>
        <v>18</v>
      </c>
      <c r="B21" s="62" t="s">
        <v>164</v>
      </c>
      <c r="C21" s="68">
        <v>33955000</v>
      </c>
      <c r="D21" s="68">
        <v>33955000</v>
      </c>
      <c r="E21" s="69">
        <f t="shared" si="1"/>
        <v>0</v>
      </c>
      <c r="F21" s="74"/>
      <c r="G21" s="75"/>
      <c r="H21" s="75">
        <f t="shared" si="0"/>
        <v>0</v>
      </c>
      <c r="I21" s="73"/>
      <c r="J21" s="65"/>
      <c r="K21" s="65"/>
      <c r="L21" s="65"/>
      <c r="M21" s="65"/>
    </row>
    <row r="22" spans="1:13" x14ac:dyDescent="0.25">
      <c r="A22" s="41">
        <f t="shared" si="2"/>
        <v>19</v>
      </c>
      <c r="B22" s="62" t="s">
        <v>147</v>
      </c>
      <c r="C22" s="76">
        <v>31520000</v>
      </c>
      <c r="D22" s="76">
        <v>31520000</v>
      </c>
      <c r="E22" s="69">
        <f t="shared" si="1"/>
        <v>0</v>
      </c>
      <c r="F22" s="74"/>
      <c r="G22" s="75"/>
      <c r="H22" s="75">
        <f t="shared" si="0"/>
        <v>0</v>
      </c>
      <c r="I22" s="73"/>
      <c r="J22" s="65"/>
      <c r="K22" s="65"/>
      <c r="L22" s="65"/>
      <c r="M22" s="65"/>
    </row>
    <row r="23" spans="1:13" x14ac:dyDescent="0.25">
      <c r="A23" s="41">
        <f t="shared" si="2"/>
        <v>20</v>
      </c>
      <c r="B23" s="62" t="s">
        <v>150</v>
      </c>
      <c r="C23" s="68">
        <v>28965000</v>
      </c>
      <c r="D23" s="68">
        <v>28965000</v>
      </c>
      <c r="E23" s="69">
        <f t="shared" si="1"/>
        <v>0</v>
      </c>
      <c r="F23" s="74"/>
      <c r="G23" s="75"/>
      <c r="H23" s="75">
        <f t="shared" si="0"/>
        <v>0</v>
      </c>
      <c r="I23" s="73"/>
      <c r="J23" s="65"/>
      <c r="K23" s="65"/>
      <c r="L23" s="65"/>
      <c r="M23" s="65"/>
    </row>
    <row r="24" spans="1:13" x14ac:dyDescent="0.25">
      <c r="A24" s="41">
        <f t="shared" si="2"/>
        <v>21</v>
      </c>
      <c r="B24" s="62" t="s">
        <v>107</v>
      </c>
      <c r="C24" s="68">
        <v>27984700</v>
      </c>
      <c r="D24" s="68">
        <v>27984700</v>
      </c>
      <c r="E24" s="69">
        <f t="shared" si="1"/>
        <v>0</v>
      </c>
      <c r="F24" s="74"/>
      <c r="G24" s="75"/>
      <c r="H24" s="75">
        <f t="shared" si="0"/>
        <v>0</v>
      </c>
      <c r="I24" s="73"/>
      <c r="J24" s="65"/>
      <c r="K24" s="65"/>
      <c r="L24" s="65"/>
      <c r="M24" s="65"/>
    </row>
    <row r="25" spans="1:13" x14ac:dyDescent="0.25">
      <c r="A25" s="41">
        <f t="shared" si="2"/>
        <v>22</v>
      </c>
      <c r="B25" s="62" t="s">
        <v>161</v>
      </c>
      <c r="C25" s="76">
        <v>27625000</v>
      </c>
      <c r="D25" s="76">
        <v>27625000</v>
      </c>
      <c r="E25" s="69">
        <f t="shared" si="1"/>
        <v>0</v>
      </c>
      <c r="F25" s="74"/>
      <c r="G25" s="75"/>
      <c r="H25" s="75">
        <f t="shared" si="0"/>
        <v>0</v>
      </c>
      <c r="I25" s="73"/>
      <c r="J25" s="65"/>
      <c r="K25" s="65"/>
      <c r="L25" s="65"/>
      <c r="M25" s="65"/>
    </row>
    <row r="26" spans="1:13" x14ac:dyDescent="0.25">
      <c r="A26" s="41">
        <f t="shared" si="2"/>
        <v>23</v>
      </c>
      <c r="B26" s="62" t="s">
        <v>148</v>
      </c>
      <c r="C26" s="68">
        <v>26955000</v>
      </c>
      <c r="D26" s="68">
        <v>26955000</v>
      </c>
      <c r="E26" s="69">
        <f t="shared" si="1"/>
        <v>0</v>
      </c>
      <c r="F26" s="74"/>
      <c r="G26" s="75"/>
      <c r="H26" s="75">
        <f t="shared" si="0"/>
        <v>0</v>
      </c>
      <c r="I26" s="73"/>
      <c r="J26" s="65"/>
      <c r="K26" s="65"/>
      <c r="L26" s="65"/>
      <c r="M26" s="65"/>
    </row>
    <row r="27" spans="1:13" x14ac:dyDescent="0.25">
      <c r="A27" s="41">
        <f t="shared" si="2"/>
        <v>24</v>
      </c>
      <c r="B27" s="62" t="s">
        <v>97</v>
      </c>
      <c r="C27" s="68">
        <v>24800000</v>
      </c>
      <c r="D27" s="68">
        <v>24800000</v>
      </c>
      <c r="E27" s="69">
        <f t="shared" si="1"/>
        <v>0</v>
      </c>
      <c r="F27" s="74"/>
      <c r="G27" s="75"/>
      <c r="H27" s="75">
        <f t="shared" si="0"/>
        <v>0</v>
      </c>
      <c r="I27" s="73"/>
      <c r="J27" s="65"/>
      <c r="K27" s="65"/>
      <c r="L27" s="65"/>
      <c r="M27" s="65"/>
    </row>
    <row r="28" spans="1:13" x14ac:dyDescent="0.25">
      <c r="A28" s="41">
        <f t="shared" si="2"/>
        <v>25</v>
      </c>
      <c r="B28" s="62" t="s">
        <v>92</v>
      </c>
      <c r="C28" s="68">
        <v>23750000</v>
      </c>
      <c r="D28" s="68">
        <v>23750000</v>
      </c>
      <c r="E28" s="69">
        <f t="shared" si="1"/>
        <v>0</v>
      </c>
      <c r="F28" s="74"/>
      <c r="G28" s="75"/>
      <c r="H28" s="75">
        <f t="shared" si="0"/>
        <v>0</v>
      </c>
      <c r="I28" s="73"/>
      <c r="J28" s="65"/>
      <c r="K28" s="65"/>
      <c r="L28" s="65"/>
      <c r="M28" s="65"/>
    </row>
    <row r="29" spans="1:13" x14ac:dyDescent="0.25">
      <c r="A29" s="41">
        <f t="shared" si="2"/>
        <v>26</v>
      </c>
      <c r="B29" s="62" t="s">
        <v>146</v>
      </c>
      <c r="C29" s="68">
        <v>23000000</v>
      </c>
      <c r="D29" s="68">
        <v>23000000</v>
      </c>
      <c r="E29" s="69">
        <f t="shared" si="1"/>
        <v>0</v>
      </c>
      <c r="F29" s="74"/>
      <c r="G29" s="75"/>
      <c r="H29" s="75">
        <f t="shared" si="0"/>
        <v>0</v>
      </c>
      <c r="I29" s="73"/>
      <c r="J29" s="65"/>
      <c r="K29" s="65"/>
      <c r="L29" s="65"/>
      <c r="M29" s="65"/>
    </row>
    <row r="30" spans="1:13" x14ac:dyDescent="0.25">
      <c r="A30" s="41">
        <f t="shared" si="2"/>
        <v>27</v>
      </c>
      <c r="B30" s="62" t="s">
        <v>95</v>
      </c>
      <c r="C30" s="68">
        <v>22000000</v>
      </c>
      <c r="D30" s="68">
        <v>9000000</v>
      </c>
      <c r="E30" s="69">
        <f t="shared" si="1"/>
        <v>13000000</v>
      </c>
      <c r="F30" s="74"/>
      <c r="G30" s="75"/>
      <c r="H30" s="75">
        <f t="shared" si="0"/>
        <v>13000000</v>
      </c>
      <c r="I30" s="73"/>
      <c r="J30" s="65"/>
      <c r="K30" s="65"/>
      <c r="L30" s="65"/>
      <c r="M30" s="65"/>
    </row>
    <row r="31" spans="1:13" x14ac:dyDescent="0.25">
      <c r="A31" s="41">
        <f t="shared" si="2"/>
        <v>28</v>
      </c>
      <c r="B31" s="62" t="s">
        <v>160</v>
      </c>
      <c r="C31" s="68">
        <v>15300000</v>
      </c>
      <c r="D31" s="68">
        <v>15300000</v>
      </c>
      <c r="E31" s="69">
        <f t="shared" si="1"/>
        <v>0</v>
      </c>
      <c r="F31" s="74"/>
      <c r="G31" s="75"/>
      <c r="H31" s="75">
        <f t="shared" si="0"/>
        <v>0</v>
      </c>
      <c r="I31" s="73"/>
      <c r="J31" s="65"/>
      <c r="K31" s="65"/>
      <c r="L31" s="65"/>
      <c r="M31" s="65"/>
    </row>
    <row r="32" spans="1:13" x14ac:dyDescent="0.25">
      <c r="A32" s="41">
        <f t="shared" si="2"/>
        <v>29</v>
      </c>
      <c r="B32" s="62" t="s">
        <v>137</v>
      </c>
      <c r="C32" s="68">
        <v>15040000</v>
      </c>
      <c r="D32" s="68">
        <v>15040000</v>
      </c>
      <c r="E32" s="69">
        <f t="shared" si="1"/>
        <v>0</v>
      </c>
      <c r="F32" s="74"/>
      <c r="G32" s="75"/>
      <c r="H32" s="75">
        <f t="shared" si="0"/>
        <v>0</v>
      </c>
      <c r="I32" s="73"/>
      <c r="J32" s="65"/>
      <c r="K32" s="65"/>
      <c r="L32" s="65"/>
      <c r="M32" s="65"/>
    </row>
    <row r="33" spans="1:13" x14ac:dyDescent="0.25">
      <c r="A33" s="41">
        <f t="shared" si="2"/>
        <v>30</v>
      </c>
      <c r="B33" s="62" t="s">
        <v>98</v>
      </c>
      <c r="C33" s="76">
        <v>14560000</v>
      </c>
      <c r="D33" s="68">
        <v>10000000</v>
      </c>
      <c r="E33" s="69">
        <f t="shared" si="1"/>
        <v>4560000</v>
      </c>
      <c r="F33" s="74"/>
      <c r="G33" s="75"/>
      <c r="H33" s="75">
        <f t="shared" si="0"/>
        <v>4560000</v>
      </c>
      <c r="I33" s="73"/>
      <c r="J33" s="65"/>
      <c r="K33" s="65"/>
      <c r="L33" s="65"/>
      <c r="M33" s="65"/>
    </row>
    <row r="34" spans="1:13" x14ac:dyDescent="0.25">
      <c r="A34" s="41">
        <f t="shared" si="2"/>
        <v>31</v>
      </c>
      <c r="B34" s="62" t="s">
        <v>165</v>
      </c>
      <c r="C34" s="68">
        <v>13270000</v>
      </c>
      <c r="D34" s="68">
        <v>13270000</v>
      </c>
      <c r="E34" s="69">
        <f t="shared" si="1"/>
        <v>0</v>
      </c>
      <c r="F34" s="40"/>
      <c r="G34" s="75"/>
      <c r="H34" s="75">
        <f t="shared" si="0"/>
        <v>0</v>
      </c>
      <c r="I34" s="73"/>
      <c r="J34" s="65"/>
      <c r="K34" s="65"/>
      <c r="L34" s="65"/>
      <c r="M34" s="65"/>
    </row>
    <row r="35" spans="1:13" x14ac:dyDescent="0.25">
      <c r="A35" s="41">
        <f t="shared" si="2"/>
        <v>32</v>
      </c>
      <c r="B35" s="62" t="s">
        <v>145</v>
      </c>
      <c r="C35" s="76">
        <v>12670000</v>
      </c>
      <c r="D35" s="76">
        <v>12670000</v>
      </c>
      <c r="E35" s="69">
        <f t="shared" si="1"/>
        <v>0</v>
      </c>
      <c r="F35" s="40"/>
      <c r="G35" s="75"/>
      <c r="H35" s="75">
        <f t="shared" si="0"/>
        <v>0</v>
      </c>
      <c r="I35" s="73"/>
      <c r="J35" s="65"/>
      <c r="K35" s="65"/>
      <c r="L35" s="65"/>
      <c r="M35" s="65"/>
    </row>
    <row r="36" spans="1:13" x14ac:dyDescent="0.25">
      <c r="A36" s="41">
        <f t="shared" si="2"/>
        <v>33</v>
      </c>
      <c r="B36" s="62" t="s">
        <v>159</v>
      </c>
      <c r="C36" s="68">
        <v>12320000</v>
      </c>
      <c r="D36" s="68">
        <v>12320000</v>
      </c>
      <c r="E36" s="69">
        <f t="shared" si="1"/>
        <v>0</v>
      </c>
      <c r="F36" s="40"/>
      <c r="G36" s="75"/>
      <c r="H36" s="75">
        <f t="shared" si="0"/>
        <v>0</v>
      </c>
      <c r="I36" s="73"/>
      <c r="J36" s="65"/>
      <c r="K36" s="65"/>
      <c r="L36" s="65"/>
      <c r="M36" s="65"/>
    </row>
    <row r="37" spans="1:13" x14ac:dyDescent="0.25">
      <c r="A37" s="41">
        <f t="shared" si="2"/>
        <v>34</v>
      </c>
      <c r="B37" s="62" t="s">
        <v>104</v>
      </c>
      <c r="C37" s="68">
        <v>12200000</v>
      </c>
      <c r="D37" s="68"/>
      <c r="E37" s="69">
        <f t="shared" si="1"/>
        <v>12200000</v>
      </c>
      <c r="F37" s="40"/>
      <c r="G37" s="75"/>
      <c r="H37" s="75">
        <f t="shared" si="0"/>
        <v>12200000</v>
      </c>
      <c r="I37" s="73"/>
      <c r="J37" s="65"/>
      <c r="K37" s="65"/>
      <c r="L37" s="65"/>
      <c r="M37" s="65"/>
    </row>
    <row r="38" spans="1:13" x14ac:dyDescent="0.25">
      <c r="A38" s="41">
        <f t="shared" si="2"/>
        <v>35</v>
      </c>
      <c r="B38" s="62" t="s">
        <v>114</v>
      </c>
      <c r="C38" s="68">
        <v>10677500</v>
      </c>
      <c r="D38" s="68">
        <v>10677500</v>
      </c>
      <c r="E38" s="69">
        <f t="shared" si="1"/>
        <v>0</v>
      </c>
      <c r="F38" s="40"/>
      <c r="G38" s="75"/>
      <c r="H38" s="75">
        <f t="shared" si="0"/>
        <v>0</v>
      </c>
      <c r="I38" s="73"/>
      <c r="J38" s="65"/>
      <c r="K38" s="65"/>
      <c r="L38" s="65"/>
      <c r="M38" s="65"/>
    </row>
    <row r="39" spans="1:13" x14ac:dyDescent="0.25">
      <c r="A39" s="41">
        <f t="shared" si="2"/>
        <v>36</v>
      </c>
      <c r="B39" s="62" t="s">
        <v>102</v>
      </c>
      <c r="C39" s="68">
        <v>10224000</v>
      </c>
      <c r="D39" s="68">
        <v>5000000</v>
      </c>
      <c r="E39" s="69">
        <f t="shared" si="1"/>
        <v>5224000</v>
      </c>
      <c r="F39" s="40"/>
      <c r="G39" s="75"/>
      <c r="H39" s="75">
        <f t="shared" si="0"/>
        <v>5224000</v>
      </c>
      <c r="I39" s="73"/>
      <c r="J39" s="65"/>
      <c r="K39" s="65"/>
      <c r="L39" s="65"/>
      <c r="M39" s="65"/>
    </row>
    <row r="40" spans="1:13" x14ac:dyDescent="0.25">
      <c r="A40" s="41">
        <f t="shared" si="2"/>
        <v>37</v>
      </c>
      <c r="B40" s="62" t="s">
        <v>166</v>
      </c>
      <c r="C40" s="68">
        <v>10000000</v>
      </c>
      <c r="D40" s="68">
        <v>10000000</v>
      </c>
      <c r="E40" s="69">
        <f t="shared" si="1"/>
        <v>0</v>
      </c>
      <c r="F40" s="40"/>
      <c r="G40" s="75"/>
      <c r="H40" s="75">
        <f t="shared" si="0"/>
        <v>0</v>
      </c>
      <c r="I40" s="73"/>
      <c r="J40" s="65"/>
      <c r="K40" s="65"/>
      <c r="L40" s="65"/>
      <c r="M40" s="65"/>
    </row>
    <row r="41" spans="1:13" x14ac:dyDescent="0.25">
      <c r="A41" s="41">
        <f t="shared" si="2"/>
        <v>38</v>
      </c>
      <c r="B41" s="62" t="s">
        <v>167</v>
      </c>
      <c r="C41" s="68">
        <v>9600000</v>
      </c>
      <c r="D41" s="68">
        <v>9600000</v>
      </c>
      <c r="E41" s="69">
        <f t="shared" si="1"/>
        <v>0</v>
      </c>
      <c r="F41" s="40"/>
      <c r="G41" s="75"/>
      <c r="H41" s="75">
        <f t="shared" si="0"/>
        <v>0</v>
      </c>
      <c r="I41" s="73"/>
      <c r="J41" s="65"/>
      <c r="K41" s="65"/>
      <c r="L41" s="65"/>
      <c r="M41" s="65"/>
    </row>
    <row r="42" spans="1:13" x14ac:dyDescent="0.25">
      <c r="A42" s="41">
        <f t="shared" si="2"/>
        <v>39</v>
      </c>
      <c r="B42" s="62" t="s">
        <v>168</v>
      </c>
      <c r="C42" s="76">
        <v>9475000</v>
      </c>
      <c r="D42" s="76">
        <v>9475000</v>
      </c>
      <c r="E42" s="69">
        <f t="shared" si="1"/>
        <v>0</v>
      </c>
      <c r="F42" s="40"/>
      <c r="G42" s="75"/>
      <c r="H42" s="75">
        <f t="shared" si="0"/>
        <v>0</v>
      </c>
      <c r="I42" s="73"/>
      <c r="J42" s="65"/>
      <c r="K42" s="65"/>
      <c r="L42" s="65"/>
      <c r="M42" s="65"/>
    </row>
    <row r="43" spans="1:13" x14ac:dyDescent="0.25">
      <c r="A43" s="41">
        <f t="shared" si="2"/>
        <v>40</v>
      </c>
      <c r="B43" s="62" t="s">
        <v>105</v>
      </c>
      <c r="C43" s="76">
        <v>8800000</v>
      </c>
      <c r="D43" s="68"/>
      <c r="E43" s="69">
        <f t="shared" si="1"/>
        <v>8800000</v>
      </c>
      <c r="F43" s="40"/>
      <c r="G43" s="75"/>
      <c r="H43" s="75">
        <f t="shared" si="0"/>
        <v>8800000</v>
      </c>
      <c r="I43" s="73"/>
      <c r="J43" s="65"/>
      <c r="K43" s="65"/>
      <c r="L43" s="65"/>
      <c r="M43" s="65"/>
    </row>
    <row r="44" spans="1:13" x14ac:dyDescent="0.25">
      <c r="A44" s="41">
        <f t="shared" si="2"/>
        <v>41</v>
      </c>
      <c r="B44" s="62" t="s">
        <v>169</v>
      </c>
      <c r="C44" s="68">
        <v>8600000</v>
      </c>
      <c r="D44" s="68">
        <v>8600000</v>
      </c>
      <c r="E44" s="69">
        <f t="shared" si="1"/>
        <v>0</v>
      </c>
      <c r="F44" s="40"/>
      <c r="G44" s="75"/>
      <c r="H44" s="75">
        <f t="shared" si="0"/>
        <v>0</v>
      </c>
      <c r="I44" s="73"/>
      <c r="J44" s="65"/>
      <c r="K44" s="65"/>
      <c r="L44" s="65"/>
      <c r="M44" s="65"/>
    </row>
    <row r="45" spans="1:13" x14ac:dyDescent="0.25">
      <c r="A45" s="41">
        <f t="shared" si="2"/>
        <v>42</v>
      </c>
      <c r="B45" s="62" t="s">
        <v>87</v>
      </c>
      <c r="C45" s="68">
        <v>8400000</v>
      </c>
      <c r="D45" s="68"/>
      <c r="E45" s="69">
        <f t="shared" si="1"/>
        <v>8400000</v>
      </c>
      <c r="F45" s="40"/>
      <c r="G45" s="75"/>
      <c r="H45" s="75">
        <f t="shared" si="0"/>
        <v>8400000</v>
      </c>
      <c r="I45" s="73"/>
      <c r="J45" s="65"/>
      <c r="K45" s="65"/>
      <c r="L45" s="65"/>
      <c r="M45" s="65"/>
    </row>
    <row r="46" spans="1:13" x14ac:dyDescent="0.25">
      <c r="A46" s="41">
        <f t="shared" si="2"/>
        <v>43</v>
      </c>
      <c r="B46" s="62" t="s">
        <v>170</v>
      </c>
      <c r="C46" s="68">
        <v>8394800</v>
      </c>
      <c r="D46" s="68">
        <v>8394800</v>
      </c>
      <c r="E46" s="69">
        <f t="shared" si="1"/>
        <v>0</v>
      </c>
      <c r="F46" s="40"/>
      <c r="G46" s="75"/>
      <c r="H46" s="75">
        <f t="shared" si="0"/>
        <v>0</v>
      </c>
      <c r="I46" s="73"/>
      <c r="J46" s="65"/>
      <c r="K46" s="65"/>
      <c r="L46" s="65"/>
      <c r="M46" s="65"/>
    </row>
    <row r="47" spans="1:13" x14ac:dyDescent="0.25">
      <c r="A47" s="41">
        <f t="shared" si="2"/>
        <v>44</v>
      </c>
      <c r="B47" s="62" t="s">
        <v>171</v>
      </c>
      <c r="C47" s="68">
        <v>8300000</v>
      </c>
      <c r="D47" s="68"/>
      <c r="E47" s="69">
        <f t="shared" si="1"/>
        <v>8300000</v>
      </c>
      <c r="F47" s="40"/>
      <c r="G47" s="75"/>
      <c r="H47" s="75">
        <f t="shared" si="0"/>
        <v>8300000</v>
      </c>
      <c r="I47" s="73"/>
      <c r="J47" s="65"/>
      <c r="K47" s="65"/>
      <c r="L47" s="65"/>
      <c r="M47" s="65"/>
    </row>
    <row r="48" spans="1:13" x14ac:dyDescent="0.25">
      <c r="A48" s="41">
        <f t="shared" si="2"/>
        <v>45</v>
      </c>
      <c r="B48" s="62" t="s">
        <v>172</v>
      </c>
      <c r="C48" s="76">
        <v>8190000</v>
      </c>
      <c r="D48" s="76">
        <v>8190000</v>
      </c>
      <c r="E48" s="69">
        <f t="shared" si="1"/>
        <v>0</v>
      </c>
      <c r="F48" s="40"/>
      <c r="G48" s="75"/>
      <c r="H48" s="75">
        <f t="shared" si="0"/>
        <v>0</v>
      </c>
      <c r="I48" s="73"/>
      <c r="J48" s="65"/>
      <c r="K48" s="65"/>
      <c r="L48" s="65"/>
      <c r="M48" s="65"/>
    </row>
    <row r="49" spans="1:13" x14ac:dyDescent="0.25">
      <c r="A49" s="41">
        <f t="shared" si="2"/>
        <v>46</v>
      </c>
      <c r="B49" s="62" t="s">
        <v>113</v>
      </c>
      <c r="C49" s="68">
        <v>8000000</v>
      </c>
      <c r="D49" s="68">
        <v>8000000</v>
      </c>
      <c r="E49" s="69">
        <f t="shared" si="1"/>
        <v>0</v>
      </c>
      <c r="F49" s="40"/>
      <c r="G49" s="75"/>
      <c r="H49" s="75">
        <f t="shared" si="0"/>
        <v>0</v>
      </c>
      <c r="I49" s="73"/>
      <c r="J49" s="65"/>
      <c r="K49" s="65"/>
      <c r="L49" s="65"/>
      <c r="M49" s="65"/>
    </row>
    <row r="50" spans="1:13" x14ac:dyDescent="0.25">
      <c r="A50" s="41">
        <f t="shared" si="2"/>
        <v>47</v>
      </c>
      <c r="B50" s="62" t="s">
        <v>106</v>
      </c>
      <c r="C50" s="68">
        <v>6955000</v>
      </c>
      <c r="D50" s="68">
        <v>6955000</v>
      </c>
      <c r="E50" s="69">
        <f t="shared" si="1"/>
        <v>0</v>
      </c>
      <c r="F50" s="40"/>
      <c r="G50" s="75"/>
      <c r="H50" s="75">
        <f t="shared" ref="H50:H84" si="3">G50-D50</f>
        <v>-6955000</v>
      </c>
      <c r="I50" s="40"/>
      <c r="J50" s="65"/>
      <c r="K50" s="65"/>
      <c r="L50" s="65"/>
      <c r="M50" s="65"/>
    </row>
    <row r="51" spans="1:13" x14ac:dyDescent="0.25">
      <c r="A51" s="41">
        <f t="shared" si="2"/>
        <v>48</v>
      </c>
      <c r="B51" s="62" t="s">
        <v>173</v>
      </c>
      <c r="C51" s="76">
        <v>6700000</v>
      </c>
      <c r="D51" s="76">
        <v>6700000</v>
      </c>
      <c r="E51" s="69">
        <f t="shared" si="1"/>
        <v>0</v>
      </c>
      <c r="F51" s="40"/>
      <c r="G51" s="75"/>
      <c r="H51" s="75">
        <f t="shared" si="3"/>
        <v>-6700000</v>
      </c>
      <c r="I51" s="40"/>
      <c r="J51" s="65"/>
      <c r="K51" s="65"/>
      <c r="L51" s="65"/>
      <c r="M51" s="65"/>
    </row>
    <row r="52" spans="1:13" x14ac:dyDescent="0.25">
      <c r="A52" s="41">
        <f t="shared" si="2"/>
        <v>49</v>
      </c>
      <c r="B52" s="62" t="s">
        <v>174</v>
      </c>
      <c r="C52" s="68">
        <v>6664000</v>
      </c>
      <c r="D52" s="68">
        <v>6664000</v>
      </c>
      <c r="E52" s="69">
        <f t="shared" si="1"/>
        <v>0</v>
      </c>
      <c r="F52" s="40"/>
      <c r="G52" s="75"/>
      <c r="H52" s="75">
        <f t="shared" si="3"/>
        <v>-6664000</v>
      </c>
      <c r="I52" s="40"/>
      <c r="J52" s="65"/>
      <c r="K52" s="65"/>
      <c r="L52" s="65"/>
      <c r="M52" s="65"/>
    </row>
    <row r="53" spans="1:13" x14ac:dyDescent="0.25">
      <c r="A53" s="41">
        <f t="shared" si="2"/>
        <v>50</v>
      </c>
      <c r="B53" s="62" t="s">
        <v>155</v>
      </c>
      <c r="C53" s="68">
        <v>6652500</v>
      </c>
      <c r="D53" s="68">
        <v>6652500</v>
      </c>
      <c r="E53" s="69">
        <f t="shared" si="1"/>
        <v>0</v>
      </c>
      <c r="F53" s="40"/>
      <c r="G53" s="75"/>
      <c r="H53" s="75">
        <f t="shared" si="3"/>
        <v>-6652500</v>
      </c>
      <c r="I53" s="40"/>
      <c r="J53" s="65"/>
      <c r="K53" s="65"/>
      <c r="L53" s="65"/>
      <c r="M53" s="65"/>
    </row>
    <row r="54" spans="1:13" x14ac:dyDescent="0.25">
      <c r="A54" s="41">
        <f t="shared" si="2"/>
        <v>51</v>
      </c>
      <c r="B54" s="62" t="s">
        <v>175</v>
      </c>
      <c r="C54" s="68">
        <v>6400000</v>
      </c>
      <c r="D54" s="68"/>
      <c r="E54" s="69">
        <f t="shared" si="1"/>
        <v>6400000</v>
      </c>
      <c r="F54" s="40"/>
      <c r="G54" s="75"/>
      <c r="H54" s="75">
        <f t="shared" si="3"/>
        <v>0</v>
      </c>
      <c r="I54" s="40"/>
      <c r="J54" s="65"/>
      <c r="K54" s="65"/>
      <c r="L54" s="65"/>
      <c r="M54" s="65"/>
    </row>
    <row r="55" spans="1:13" x14ac:dyDescent="0.25">
      <c r="A55" s="41">
        <f t="shared" si="2"/>
        <v>52</v>
      </c>
      <c r="B55" s="62" t="s">
        <v>126</v>
      </c>
      <c r="C55" s="68">
        <v>5980000</v>
      </c>
      <c r="D55" s="68">
        <v>5980000</v>
      </c>
      <c r="E55" s="69">
        <f t="shared" si="1"/>
        <v>0</v>
      </c>
      <c r="F55" s="40"/>
      <c r="G55" s="75"/>
      <c r="H55" s="75">
        <f t="shared" si="3"/>
        <v>-5980000</v>
      </c>
      <c r="I55" s="40"/>
      <c r="J55" s="65"/>
      <c r="K55" s="65"/>
      <c r="L55" s="65"/>
      <c r="M55" s="65"/>
    </row>
    <row r="56" spans="1:13" x14ac:dyDescent="0.25">
      <c r="A56" s="41">
        <f t="shared" si="2"/>
        <v>53</v>
      </c>
      <c r="B56" s="62" t="s">
        <v>176</v>
      </c>
      <c r="C56" s="76">
        <v>4900000</v>
      </c>
      <c r="D56" s="76">
        <v>4900000</v>
      </c>
      <c r="E56" s="69">
        <f t="shared" si="1"/>
        <v>0</v>
      </c>
      <c r="F56" s="40"/>
      <c r="G56" s="75"/>
      <c r="H56" s="75">
        <f t="shared" si="3"/>
        <v>-4900000</v>
      </c>
      <c r="I56" s="40"/>
      <c r="J56" s="65"/>
      <c r="K56" s="65"/>
      <c r="L56" s="65"/>
      <c r="M56" s="65"/>
    </row>
    <row r="57" spans="1:13" x14ac:dyDescent="0.25">
      <c r="A57" s="41">
        <f t="shared" si="2"/>
        <v>54</v>
      </c>
      <c r="B57" s="62" t="s">
        <v>177</v>
      </c>
      <c r="C57" s="68">
        <v>4500000</v>
      </c>
      <c r="D57" s="68">
        <v>4500000</v>
      </c>
      <c r="E57" s="69">
        <f t="shared" si="1"/>
        <v>0</v>
      </c>
      <c r="F57" s="40"/>
      <c r="G57" s="75"/>
      <c r="H57" s="75">
        <f t="shared" si="3"/>
        <v>-4500000</v>
      </c>
      <c r="I57" s="40"/>
      <c r="J57" s="65"/>
      <c r="K57" s="65"/>
      <c r="L57" s="65"/>
      <c r="M57" s="65"/>
    </row>
    <row r="58" spans="1:13" x14ac:dyDescent="0.25">
      <c r="A58" s="41">
        <f t="shared" si="2"/>
        <v>55</v>
      </c>
      <c r="B58" s="62" t="s">
        <v>178</v>
      </c>
      <c r="C58" s="68">
        <v>4200000</v>
      </c>
      <c r="D58" s="68">
        <v>4200000</v>
      </c>
      <c r="E58" s="69">
        <f t="shared" si="1"/>
        <v>0</v>
      </c>
      <c r="F58" s="40"/>
      <c r="G58" s="75"/>
      <c r="H58" s="75">
        <f t="shared" si="3"/>
        <v>-4200000</v>
      </c>
      <c r="I58" s="40"/>
      <c r="J58" s="65"/>
      <c r="K58" s="65"/>
      <c r="L58" s="65"/>
      <c r="M58" s="65"/>
    </row>
    <row r="59" spans="1:13" x14ac:dyDescent="0.25">
      <c r="A59" s="41">
        <f t="shared" si="2"/>
        <v>56</v>
      </c>
      <c r="B59" s="62" t="s">
        <v>157</v>
      </c>
      <c r="C59" s="68">
        <v>4140000</v>
      </c>
      <c r="D59" s="68">
        <v>4140000</v>
      </c>
      <c r="E59" s="69">
        <f t="shared" si="1"/>
        <v>0</v>
      </c>
      <c r="F59" s="40"/>
      <c r="G59" s="75"/>
      <c r="H59" s="75">
        <f t="shared" si="3"/>
        <v>-4140000</v>
      </c>
      <c r="I59" s="40"/>
      <c r="J59" s="65"/>
      <c r="K59" s="65"/>
      <c r="L59" s="65"/>
      <c r="M59" s="65"/>
    </row>
    <row r="60" spans="1:13" x14ac:dyDescent="0.25">
      <c r="A60" s="41">
        <f t="shared" si="2"/>
        <v>57</v>
      </c>
      <c r="B60" s="62" t="s">
        <v>179</v>
      </c>
      <c r="C60" s="68">
        <v>3610000</v>
      </c>
      <c r="D60" s="68">
        <v>3610000</v>
      </c>
      <c r="E60" s="69">
        <f t="shared" si="1"/>
        <v>0</v>
      </c>
      <c r="F60" s="40"/>
      <c r="G60" s="75"/>
      <c r="H60" s="75">
        <f t="shared" si="3"/>
        <v>-3610000</v>
      </c>
      <c r="I60" s="40"/>
      <c r="J60" s="65"/>
      <c r="K60" s="65"/>
      <c r="L60" s="65"/>
      <c r="M60" s="65"/>
    </row>
    <row r="61" spans="1:13" x14ac:dyDescent="0.25">
      <c r="A61" s="41">
        <f t="shared" si="2"/>
        <v>58</v>
      </c>
      <c r="B61" s="62" t="s">
        <v>180</v>
      </c>
      <c r="C61" s="68">
        <v>3235000</v>
      </c>
      <c r="D61" s="68">
        <v>3235000</v>
      </c>
      <c r="E61" s="69">
        <f t="shared" si="1"/>
        <v>0</v>
      </c>
      <c r="F61" s="40"/>
      <c r="G61" s="75"/>
      <c r="H61" s="75">
        <f t="shared" si="3"/>
        <v>-3235000</v>
      </c>
      <c r="I61" s="40"/>
      <c r="J61" s="65"/>
      <c r="K61" s="65"/>
      <c r="L61" s="65"/>
      <c r="M61" s="65"/>
    </row>
    <row r="62" spans="1:13" x14ac:dyDescent="0.25">
      <c r="A62" s="41">
        <f t="shared" si="2"/>
        <v>59</v>
      </c>
      <c r="B62" s="62" t="s">
        <v>181</v>
      </c>
      <c r="C62" s="68">
        <v>3000000</v>
      </c>
      <c r="D62" s="68">
        <v>3000000</v>
      </c>
      <c r="E62" s="69">
        <f t="shared" si="1"/>
        <v>0</v>
      </c>
      <c r="F62" s="40"/>
      <c r="G62" s="75"/>
      <c r="H62" s="75">
        <f t="shared" si="3"/>
        <v>-3000000</v>
      </c>
      <c r="I62" s="40"/>
      <c r="J62" s="65"/>
      <c r="K62" s="65"/>
      <c r="L62" s="65"/>
      <c r="M62" s="65"/>
    </row>
    <row r="63" spans="1:13" x14ac:dyDescent="0.25">
      <c r="A63" s="41">
        <f t="shared" si="2"/>
        <v>60</v>
      </c>
      <c r="B63" s="62" t="s">
        <v>124</v>
      </c>
      <c r="C63" s="68">
        <v>2877400</v>
      </c>
      <c r="D63" s="68">
        <v>2877400</v>
      </c>
      <c r="E63" s="69">
        <f t="shared" si="1"/>
        <v>0</v>
      </c>
      <c r="F63" s="40"/>
      <c r="G63" s="75"/>
      <c r="H63" s="75">
        <f t="shared" si="3"/>
        <v>-2877400</v>
      </c>
      <c r="I63" s="40"/>
      <c r="J63" s="65"/>
      <c r="K63" s="65"/>
      <c r="L63" s="65"/>
      <c r="M63" s="65"/>
    </row>
    <row r="64" spans="1:13" x14ac:dyDescent="0.25">
      <c r="A64" s="41">
        <f t="shared" si="2"/>
        <v>61</v>
      </c>
      <c r="B64" s="62" t="s">
        <v>182</v>
      </c>
      <c r="C64" s="68">
        <v>2680000</v>
      </c>
      <c r="D64" s="68">
        <v>2680000</v>
      </c>
      <c r="E64" s="69">
        <f t="shared" si="1"/>
        <v>0</v>
      </c>
      <c r="F64" s="40"/>
      <c r="G64" s="75"/>
      <c r="H64" s="75">
        <f t="shared" si="3"/>
        <v>-2680000</v>
      </c>
      <c r="I64" s="40"/>
      <c r="J64" s="65"/>
      <c r="K64" s="65"/>
      <c r="L64" s="65"/>
      <c r="M64" s="65"/>
    </row>
    <row r="65" spans="1:13" x14ac:dyDescent="0.25">
      <c r="A65" s="41">
        <f t="shared" si="2"/>
        <v>62</v>
      </c>
      <c r="B65" s="62" t="s">
        <v>152</v>
      </c>
      <c r="C65" s="76">
        <v>2427500</v>
      </c>
      <c r="D65" s="76">
        <v>2427500</v>
      </c>
      <c r="E65" s="69">
        <f t="shared" si="1"/>
        <v>0</v>
      </c>
      <c r="F65" s="40"/>
      <c r="G65" s="75"/>
      <c r="H65" s="75">
        <f t="shared" si="3"/>
        <v>-2427500</v>
      </c>
      <c r="I65" s="40"/>
      <c r="J65" s="65"/>
      <c r="K65" s="65"/>
      <c r="L65" s="65"/>
      <c r="M65" s="65"/>
    </row>
    <row r="66" spans="1:13" x14ac:dyDescent="0.25">
      <c r="A66" s="41">
        <f t="shared" si="2"/>
        <v>63</v>
      </c>
      <c r="B66" s="62" t="s">
        <v>128</v>
      </c>
      <c r="C66" s="68">
        <v>2250000</v>
      </c>
      <c r="D66" s="68">
        <v>2250000</v>
      </c>
      <c r="E66" s="69">
        <f t="shared" si="1"/>
        <v>0</v>
      </c>
      <c r="F66" s="40"/>
      <c r="G66" s="75"/>
      <c r="H66" s="75">
        <f t="shared" si="3"/>
        <v>-2250000</v>
      </c>
      <c r="I66" s="40"/>
      <c r="J66" s="65"/>
      <c r="K66" s="65"/>
      <c r="L66" s="65"/>
      <c r="M66" s="65"/>
    </row>
    <row r="67" spans="1:13" x14ac:dyDescent="0.25">
      <c r="A67" s="41">
        <f t="shared" si="2"/>
        <v>64</v>
      </c>
      <c r="B67" s="62" t="s">
        <v>127</v>
      </c>
      <c r="C67" s="68">
        <v>2200000</v>
      </c>
      <c r="D67" s="68">
        <v>2200000</v>
      </c>
      <c r="E67" s="69">
        <f t="shared" si="1"/>
        <v>0</v>
      </c>
      <c r="F67" s="40"/>
      <c r="G67" s="75"/>
      <c r="H67" s="75">
        <f t="shared" si="3"/>
        <v>-2200000</v>
      </c>
      <c r="I67" s="40"/>
      <c r="J67" s="65"/>
      <c r="K67" s="65"/>
      <c r="L67" s="65"/>
      <c r="M67" s="65"/>
    </row>
    <row r="68" spans="1:13" x14ac:dyDescent="0.25">
      <c r="A68" s="41">
        <f t="shared" si="2"/>
        <v>65</v>
      </c>
      <c r="B68" s="62" t="s">
        <v>183</v>
      </c>
      <c r="C68" s="76">
        <v>2000000</v>
      </c>
      <c r="D68" s="76">
        <v>2000000</v>
      </c>
      <c r="E68" s="69">
        <f t="shared" si="1"/>
        <v>0</v>
      </c>
      <c r="F68" s="40"/>
      <c r="G68" s="75"/>
      <c r="H68" s="75">
        <f t="shared" si="3"/>
        <v>-2000000</v>
      </c>
      <c r="I68" s="40"/>
      <c r="J68" s="65"/>
      <c r="K68" s="65"/>
      <c r="L68" s="65"/>
      <c r="M68" s="65"/>
    </row>
    <row r="69" spans="1:13" x14ac:dyDescent="0.25">
      <c r="A69" s="41">
        <f t="shared" si="2"/>
        <v>66</v>
      </c>
      <c r="B69" s="62" t="s">
        <v>99</v>
      </c>
      <c r="C69" s="68">
        <v>5000000</v>
      </c>
      <c r="D69" s="68">
        <v>5000000</v>
      </c>
      <c r="E69" s="69">
        <f t="shared" ref="E69:E75" si="4">C69-D69</f>
        <v>0</v>
      </c>
      <c r="F69" s="40"/>
      <c r="G69" s="75"/>
      <c r="H69" s="75">
        <f t="shared" si="3"/>
        <v>-5000000</v>
      </c>
      <c r="I69" s="40"/>
      <c r="J69" s="65"/>
      <c r="K69" s="65"/>
      <c r="L69" s="65"/>
      <c r="M69" s="65"/>
    </row>
    <row r="70" spans="1:13" x14ac:dyDescent="0.25">
      <c r="A70" s="41">
        <f t="shared" ref="A70:A133" si="5">1+A69</f>
        <v>67</v>
      </c>
      <c r="B70" s="62" t="s">
        <v>184</v>
      </c>
      <c r="C70" s="68">
        <v>1608750</v>
      </c>
      <c r="D70" s="68">
        <v>1608750</v>
      </c>
      <c r="E70" s="69">
        <f t="shared" si="4"/>
        <v>0</v>
      </c>
      <c r="F70" s="40"/>
      <c r="G70" s="75"/>
      <c r="H70" s="75">
        <f t="shared" si="3"/>
        <v>-1608750</v>
      </c>
      <c r="I70" s="40"/>
      <c r="J70" s="65"/>
      <c r="K70" s="65"/>
      <c r="L70" s="65"/>
      <c r="M70" s="65"/>
    </row>
    <row r="71" spans="1:13" x14ac:dyDescent="0.25">
      <c r="A71" s="41">
        <f t="shared" si="5"/>
        <v>68</v>
      </c>
      <c r="B71" s="62" t="s">
        <v>185</v>
      </c>
      <c r="C71" s="68">
        <v>1375000</v>
      </c>
      <c r="D71" s="68">
        <v>1375000</v>
      </c>
      <c r="E71" s="69">
        <f t="shared" si="4"/>
        <v>0</v>
      </c>
      <c r="F71" s="40"/>
      <c r="G71" s="75"/>
      <c r="H71" s="75">
        <f t="shared" si="3"/>
        <v>-1375000</v>
      </c>
      <c r="I71" s="40"/>
      <c r="J71" s="65"/>
      <c r="K71" s="65"/>
      <c r="L71" s="65"/>
      <c r="M71" s="65"/>
    </row>
    <row r="72" spans="1:13" x14ac:dyDescent="0.25">
      <c r="A72" s="41">
        <f t="shared" si="5"/>
        <v>69</v>
      </c>
      <c r="B72" s="62" t="s">
        <v>186</v>
      </c>
      <c r="C72" s="68">
        <v>1350000</v>
      </c>
      <c r="D72" s="68">
        <v>1350000</v>
      </c>
      <c r="E72" s="69">
        <f t="shared" si="4"/>
        <v>0</v>
      </c>
      <c r="F72" s="40"/>
      <c r="G72" s="75"/>
      <c r="H72" s="75">
        <f t="shared" si="3"/>
        <v>-1350000</v>
      </c>
      <c r="I72" s="40"/>
      <c r="J72" s="65"/>
      <c r="K72" s="65"/>
      <c r="L72" s="65"/>
      <c r="M72" s="65"/>
    </row>
    <row r="73" spans="1:13" x14ac:dyDescent="0.25">
      <c r="A73" s="41">
        <f t="shared" si="5"/>
        <v>70</v>
      </c>
      <c r="B73" s="62" t="s">
        <v>129</v>
      </c>
      <c r="C73" s="68">
        <v>1240000</v>
      </c>
      <c r="D73" s="68">
        <v>1240000</v>
      </c>
      <c r="E73" s="69">
        <f t="shared" si="4"/>
        <v>0</v>
      </c>
      <c r="F73" s="40"/>
      <c r="G73" s="75"/>
      <c r="H73" s="75">
        <f t="shared" si="3"/>
        <v>-1240000</v>
      </c>
      <c r="I73" s="40"/>
      <c r="J73" s="65"/>
      <c r="K73" s="65"/>
      <c r="L73" s="65"/>
      <c r="M73" s="65"/>
    </row>
    <row r="74" spans="1:13" x14ac:dyDescent="0.25">
      <c r="A74" s="41">
        <f t="shared" si="5"/>
        <v>71</v>
      </c>
      <c r="B74" s="62" t="s">
        <v>187</v>
      </c>
      <c r="C74" s="68">
        <v>1090000</v>
      </c>
      <c r="D74" s="68">
        <v>1090000</v>
      </c>
      <c r="E74" s="69">
        <f t="shared" si="4"/>
        <v>0</v>
      </c>
      <c r="F74" s="40"/>
      <c r="G74" s="75"/>
      <c r="H74" s="75">
        <f t="shared" si="3"/>
        <v>-1090000</v>
      </c>
      <c r="I74" s="40"/>
      <c r="J74" s="65"/>
      <c r="K74" s="65"/>
      <c r="L74" s="65"/>
      <c r="M74" s="65"/>
    </row>
    <row r="75" spans="1:13" x14ac:dyDescent="0.25">
      <c r="A75" s="41">
        <f t="shared" si="5"/>
        <v>72</v>
      </c>
      <c r="B75" s="62" t="s">
        <v>188</v>
      </c>
      <c r="C75" s="68">
        <v>3900000</v>
      </c>
      <c r="D75" s="68">
        <v>3900000</v>
      </c>
      <c r="E75" s="69">
        <f t="shared" si="4"/>
        <v>0</v>
      </c>
      <c r="F75" s="40"/>
      <c r="G75" s="75"/>
      <c r="H75" s="75">
        <f t="shared" si="3"/>
        <v>-3900000</v>
      </c>
      <c r="I75" s="40"/>
      <c r="J75" s="65"/>
      <c r="K75" s="65"/>
      <c r="L75" s="65"/>
      <c r="M75" s="65"/>
    </row>
    <row r="76" spans="1:13" hidden="1" x14ac:dyDescent="0.25">
      <c r="A76" s="41">
        <f t="shared" si="5"/>
        <v>73</v>
      </c>
      <c r="B76" s="62"/>
      <c r="C76" s="76"/>
      <c r="D76" s="76"/>
      <c r="E76" s="69"/>
      <c r="F76" s="40"/>
      <c r="G76" s="75"/>
      <c r="H76" s="75">
        <f t="shared" si="3"/>
        <v>0</v>
      </c>
      <c r="I76" s="40"/>
      <c r="J76" s="65"/>
      <c r="K76" s="65"/>
      <c r="L76" s="65"/>
      <c r="M76" s="65"/>
    </row>
    <row r="77" spans="1:13" hidden="1" x14ac:dyDescent="0.25">
      <c r="A77" s="41">
        <f t="shared" si="5"/>
        <v>74</v>
      </c>
      <c r="B77" s="62"/>
      <c r="C77" s="68"/>
      <c r="D77" s="76"/>
      <c r="E77" s="69"/>
      <c r="F77" s="40"/>
      <c r="G77" s="75"/>
      <c r="H77" s="75">
        <f t="shared" si="3"/>
        <v>0</v>
      </c>
      <c r="I77" s="40"/>
      <c r="J77" s="65"/>
      <c r="K77" s="65"/>
      <c r="L77" s="65"/>
      <c r="M77" s="65"/>
    </row>
    <row r="78" spans="1:13" hidden="1" x14ac:dyDescent="0.25">
      <c r="A78" s="41">
        <f t="shared" si="5"/>
        <v>75</v>
      </c>
      <c r="B78" s="62"/>
      <c r="C78" s="68"/>
      <c r="D78" s="76"/>
      <c r="E78" s="69"/>
      <c r="F78" s="40"/>
      <c r="G78" s="75"/>
      <c r="H78" s="75">
        <f t="shared" si="3"/>
        <v>0</v>
      </c>
      <c r="I78" s="40"/>
      <c r="J78" s="65"/>
      <c r="K78" s="65"/>
      <c r="L78" s="65"/>
      <c r="M78" s="65"/>
    </row>
    <row r="79" spans="1:13" hidden="1" x14ac:dyDescent="0.25">
      <c r="A79" s="41">
        <f t="shared" si="5"/>
        <v>76</v>
      </c>
      <c r="B79" s="62"/>
      <c r="C79" s="68"/>
      <c r="D79" s="76"/>
      <c r="E79" s="69"/>
      <c r="F79" s="40"/>
      <c r="G79" s="75"/>
      <c r="H79" s="75">
        <f t="shared" si="3"/>
        <v>0</v>
      </c>
      <c r="I79" s="40"/>
      <c r="J79" s="65"/>
      <c r="K79" s="65"/>
      <c r="L79" s="65"/>
      <c r="M79" s="65"/>
    </row>
    <row r="80" spans="1:13" hidden="1" x14ac:dyDescent="0.25">
      <c r="A80" s="41">
        <f t="shared" si="5"/>
        <v>77</v>
      </c>
      <c r="B80" s="62"/>
      <c r="C80" s="68"/>
      <c r="D80" s="76"/>
      <c r="E80" s="69"/>
      <c r="F80" s="40"/>
      <c r="G80" s="75"/>
      <c r="H80" s="75">
        <f t="shared" si="3"/>
        <v>0</v>
      </c>
      <c r="I80" s="40"/>
      <c r="J80" s="65"/>
      <c r="K80" s="65"/>
      <c r="L80" s="65"/>
      <c r="M80" s="65"/>
    </row>
    <row r="81" spans="1:13" hidden="1" x14ac:dyDescent="0.25">
      <c r="A81" s="41">
        <f t="shared" si="5"/>
        <v>78</v>
      </c>
      <c r="B81" s="62"/>
      <c r="C81" s="68"/>
      <c r="D81" s="76"/>
      <c r="E81" s="69"/>
      <c r="F81" s="40"/>
      <c r="G81" s="75"/>
      <c r="H81" s="75">
        <f t="shared" si="3"/>
        <v>0</v>
      </c>
      <c r="I81" s="40"/>
      <c r="J81" s="65"/>
      <c r="K81" s="65"/>
      <c r="L81" s="65"/>
      <c r="M81" s="65"/>
    </row>
    <row r="82" spans="1:13" hidden="1" x14ac:dyDescent="0.25">
      <c r="A82" s="41">
        <f t="shared" si="5"/>
        <v>79</v>
      </c>
      <c r="B82" s="62"/>
      <c r="C82" s="68"/>
      <c r="D82" s="76"/>
      <c r="E82" s="69"/>
      <c r="F82" s="40"/>
      <c r="G82" s="75"/>
      <c r="H82" s="75">
        <f t="shared" si="3"/>
        <v>0</v>
      </c>
      <c r="I82" s="40"/>
      <c r="J82" s="65"/>
      <c r="K82" s="65"/>
      <c r="L82" s="65"/>
      <c r="M82" s="65"/>
    </row>
    <row r="83" spans="1:13" hidden="1" x14ac:dyDescent="0.25">
      <c r="A83" s="41">
        <f t="shared" si="5"/>
        <v>80</v>
      </c>
      <c r="B83" s="62"/>
      <c r="C83" s="76"/>
      <c r="D83" s="76"/>
      <c r="E83" s="69"/>
      <c r="F83" s="40"/>
      <c r="G83" s="75"/>
      <c r="H83" s="75">
        <f t="shared" si="3"/>
        <v>0</v>
      </c>
      <c r="I83" s="40"/>
      <c r="J83" s="65"/>
      <c r="K83" s="65"/>
      <c r="L83" s="65"/>
      <c r="M83" s="65"/>
    </row>
    <row r="84" spans="1:13" hidden="1" x14ac:dyDescent="0.25">
      <c r="A84" s="41">
        <f t="shared" si="5"/>
        <v>81</v>
      </c>
      <c r="B84" s="62"/>
      <c r="C84" s="68"/>
      <c r="D84" s="76"/>
      <c r="E84" s="69"/>
      <c r="F84" s="40"/>
      <c r="G84" s="75"/>
      <c r="H84" s="75">
        <f t="shared" si="3"/>
        <v>0</v>
      </c>
      <c r="I84" s="40"/>
      <c r="J84" s="65"/>
      <c r="K84" s="65"/>
      <c r="L84" s="65"/>
      <c r="M84" s="65"/>
    </row>
    <row r="85" spans="1:13" hidden="1" x14ac:dyDescent="0.25">
      <c r="A85" s="41">
        <f t="shared" si="5"/>
        <v>82</v>
      </c>
      <c r="B85" s="62"/>
      <c r="C85" s="68"/>
      <c r="D85" s="76"/>
      <c r="E85" s="69"/>
      <c r="F85" s="40"/>
      <c r="G85" s="75"/>
      <c r="H85" s="75">
        <f>E85-G85</f>
        <v>0</v>
      </c>
      <c r="I85" s="73"/>
      <c r="J85" s="65"/>
      <c r="K85" s="65"/>
      <c r="L85" s="65"/>
      <c r="M85" s="65"/>
    </row>
    <row r="86" spans="1:13" hidden="1" x14ac:dyDescent="0.25">
      <c r="A86" s="41">
        <f t="shared" si="5"/>
        <v>83</v>
      </c>
      <c r="B86" s="62"/>
      <c r="C86" s="68"/>
      <c r="D86" s="76"/>
      <c r="E86" s="69"/>
      <c r="F86" s="40"/>
      <c r="G86" s="75"/>
      <c r="H86" s="75">
        <f>E86-G86</f>
        <v>0</v>
      </c>
      <c r="I86" s="73"/>
      <c r="J86" s="65"/>
      <c r="K86" s="65"/>
      <c r="L86" s="65"/>
      <c r="M86" s="65"/>
    </row>
    <row r="87" spans="1:13" hidden="1" x14ac:dyDescent="0.25">
      <c r="A87" s="41">
        <f t="shared" si="5"/>
        <v>84</v>
      </c>
      <c r="B87" s="62"/>
      <c r="C87" s="68"/>
      <c r="D87" s="76"/>
      <c r="E87" s="69"/>
      <c r="F87" s="40"/>
      <c r="G87" s="75"/>
      <c r="H87" s="75">
        <f t="shared" ref="H87:H108" si="6">G87-D87</f>
        <v>0</v>
      </c>
      <c r="I87" s="40"/>
      <c r="J87" s="65"/>
      <c r="K87" s="65"/>
      <c r="L87" s="65"/>
      <c r="M87" s="65"/>
    </row>
    <row r="88" spans="1:13" hidden="1" x14ac:dyDescent="0.25">
      <c r="A88" s="41">
        <f t="shared" si="5"/>
        <v>85</v>
      </c>
      <c r="B88" s="62"/>
      <c r="C88" s="68"/>
      <c r="D88" s="76"/>
      <c r="E88" s="69"/>
      <c r="F88" s="40"/>
      <c r="G88" s="75"/>
      <c r="H88" s="75">
        <f t="shared" si="6"/>
        <v>0</v>
      </c>
      <c r="I88" s="40"/>
      <c r="J88" s="65"/>
      <c r="K88" s="65"/>
      <c r="L88" s="65"/>
      <c r="M88" s="65"/>
    </row>
    <row r="89" spans="1:13" hidden="1" x14ac:dyDescent="0.25">
      <c r="A89" s="41">
        <f t="shared" si="5"/>
        <v>86</v>
      </c>
      <c r="B89" s="62"/>
      <c r="C89" s="68"/>
      <c r="D89" s="76"/>
      <c r="E89" s="69"/>
      <c r="F89" s="40"/>
      <c r="G89" s="75"/>
      <c r="H89" s="75">
        <f t="shared" si="6"/>
        <v>0</v>
      </c>
      <c r="I89" s="40"/>
      <c r="J89" s="65"/>
      <c r="K89" s="65"/>
      <c r="L89" s="65"/>
      <c r="M89" s="65"/>
    </row>
    <row r="90" spans="1:13" hidden="1" x14ac:dyDescent="0.25">
      <c r="A90" s="41">
        <f t="shared" si="5"/>
        <v>87</v>
      </c>
      <c r="B90" s="62"/>
      <c r="C90" s="68"/>
      <c r="D90" s="76"/>
      <c r="E90" s="69"/>
      <c r="F90" s="40"/>
      <c r="G90" s="75"/>
      <c r="H90" s="75">
        <f t="shared" si="6"/>
        <v>0</v>
      </c>
      <c r="I90" s="40"/>
      <c r="J90" s="65"/>
      <c r="K90" s="65"/>
      <c r="L90" s="65"/>
      <c r="M90" s="65"/>
    </row>
    <row r="91" spans="1:13" hidden="1" x14ac:dyDescent="0.25">
      <c r="A91" s="41">
        <f t="shared" si="5"/>
        <v>88</v>
      </c>
      <c r="B91" s="62"/>
      <c r="C91" s="68"/>
      <c r="D91" s="76"/>
      <c r="E91" s="69"/>
      <c r="F91" s="40"/>
      <c r="G91" s="75"/>
      <c r="H91" s="75">
        <f t="shared" si="6"/>
        <v>0</v>
      </c>
      <c r="I91" s="40"/>
      <c r="J91" s="65"/>
      <c r="K91" s="65"/>
      <c r="L91" s="65"/>
      <c r="M91" s="65"/>
    </row>
    <row r="92" spans="1:13" hidden="1" x14ac:dyDescent="0.25">
      <c r="A92" s="41">
        <f t="shared" si="5"/>
        <v>89</v>
      </c>
      <c r="B92" s="62"/>
      <c r="C92" s="68"/>
      <c r="D92" s="76"/>
      <c r="E92" s="69"/>
      <c r="F92" s="40"/>
      <c r="G92" s="75"/>
      <c r="H92" s="75">
        <f t="shared" si="6"/>
        <v>0</v>
      </c>
      <c r="I92" s="40"/>
      <c r="J92" s="65"/>
      <c r="K92" s="65"/>
      <c r="L92" s="65"/>
      <c r="M92" s="65"/>
    </row>
    <row r="93" spans="1:13" hidden="1" x14ac:dyDescent="0.25">
      <c r="A93" s="41">
        <f t="shared" si="5"/>
        <v>90</v>
      </c>
      <c r="B93" s="62"/>
      <c r="C93" s="68"/>
      <c r="D93" s="76"/>
      <c r="E93" s="69"/>
      <c r="F93" s="40"/>
      <c r="G93" s="75"/>
      <c r="H93" s="75">
        <f t="shared" si="6"/>
        <v>0</v>
      </c>
      <c r="I93" s="40"/>
      <c r="J93" s="65"/>
      <c r="K93" s="65"/>
      <c r="L93" s="65"/>
      <c r="M93" s="65"/>
    </row>
    <row r="94" spans="1:13" hidden="1" x14ac:dyDescent="0.25">
      <c r="A94" s="41">
        <f t="shared" si="5"/>
        <v>91</v>
      </c>
      <c r="B94" s="62"/>
      <c r="C94" s="68"/>
      <c r="D94" s="68"/>
      <c r="E94" s="69"/>
      <c r="F94" s="40"/>
      <c r="G94" s="75"/>
      <c r="H94" s="75">
        <f t="shared" si="6"/>
        <v>0</v>
      </c>
      <c r="I94" s="40"/>
      <c r="J94" s="65"/>
      <c r="K94" s="65"/>
      <c r="L94" s="65"/>
      <c r="M94" s="65"/>
    </row>
    <row r="95" spans="1:13" hidden="1" x14ac:dyDescent="0.25">
      <c r="A95" s="41">
        <f t="shared" si="5"/>
        <v>92</v>
      </c>
      <c r="B95" s="62"/>
      <c r="C95" s="68"/>
      <c r="D95" s="76"/>
      <c r="E95" s="69"/>
      <c r="F95" s="40"/>
      <c r="G95" s="75"/>
      <c r="H95" s="75">
        <f t="shared" si="6"/>
        <v>0</v>
      </c>
      <c r="I95" s="40"/>
      <c r="J95" s="65"/>
      <c r="K95" s="65"/>
      <c r="L95" s="65"/>
      <c r="M95" s="65"/>
    </row>
    <row r="96" spans="1:13" hidden="1" x14ac:dyDescent="0.25">
      <c r="A96" s="41">
        <f t="shared" si="5"/>
        <v>93</v>
      </c>
      <c r="B96" s="62"/>
      <c r="C96" s="68"/>
      <c r="D96" s="76"/>
      <c r="E96" s="69"/>
      <c r="F96" s="40"/>
      <c r="G96" s="75"/>
      <c r="H96" s="75">
        <f t="shared" si="6"/>
        <v>0</v>
      </c>
      <c r="I96" s="40"/>
      <c r="J96" s="65"/>
      <c r="K96" s="65"/>
      <c r="L96" s="65"/>
      <c r="M96" s="65"/>
    </row>
    <row r="97" spans="1:13" hidden="1" x14ac:dyDescent="0.25">
      <c r="A97" s="41">
        <f t="shared" si="5"/>
        <v>94</v>
      </c>
      <c r="B97" s="62"/>
      <c r="C97" s="68"/>
      <c r="D97" s="76"/>
      <c r="E97" s="69"/>
      <c r="F97" s="40"/>
      <c r="G97" s="75"/>
      <c r="H97" s="75">
        <f t="shared" si="6"/>
        <v>0</v>
      </c>
      <c r="I97" s="40"/>
      <c r="J97" s="65"/>
      <c r="K97" s="65"/>
      <c r="L97" s="65"/>
      <c r="M97" s="65"/>
    </row>
    <row r="98" spans="1:13" hidden="1" x14ac:dyDescent="0.25">
      <c r="A98" s="41">
        <f t="shared" si="5"/>
        <v>95</v>
      </c>
      <c r="B98" s="62"/>
      <c r="C98" s="68"/>
      <c r="D98" s="76"/>
      <c r="E98" s="69"/>
      <c r="F98" s="40"/>
      <c r="G98" s="75"/>
      <c r="H98" s="75">
        <f t="shared" si="6"/>
        <v>0</v>
      </c>
      <c r="I98" s="40"/>
      <c r="J98" s="65"/>
      <c r="K98" s="65"/>
      <c r="L98" s="65"/>
      <c r="M98" s="65"/>
    </row>
    <row r="99" spans="1:13" hidden="1" x14ac:dyDescent="0.25">
      <c r="A99" s="41">
        <f t="shared" si="5"/>
        <v>96</v>
      </c>
      <c r="B99" s="62"/>
      <c r="C99" s="68"/>
      <c r="D99" s="76"/>
      <c r="E99" s="69"/>
      <c r="F99" s="40"/>
      <c r="G99" s="75"/>
      <c r="H99" s="75">
        <f t="shared" si="6"/>
        <v>0</v>
      </c>
      <c r="I99" s="40"/>
      <c r="J99" s="65"/>
      <c r="K99" s="65"/>
      <c r="L99" s="65"/>
      <c r="M99" s="65"/>
    </row>
    <row r="100" spans="1:13" hidden="1" x14ac:dyDescent="0.25">
      <c r="A100" s="41">
        <f t="shared" si="5"/>
        <v>97</v>
      </c>
      <c r="B100" s="62"/>
      <c r="C100" s="76"/>
      <c r="D100" s="76"/>
      <c r="E100" s="69"/>
      <c r="F100" s="40"/>
      <c r="G100" s="75"/>
      <c r="H100" s="75">
        <f t="shared" si="6"/>
        <v>0</v>
      </c>
      <c r="I100" s="40"/>
      <c r="J100" s="65"/>
      <c r="K100" s="65"/>
      <c r="L100" s="65"/>
      <c r="M100" s="65"/>
    </row>
    <row r="101" spans="1:13" hidden="1" x14ac:dyDescent="0.25">
      <c r="A101" s="41">
        <f t="shared" si="5"/>
        <v>98</v>
      </c>
      <c r="B101" s="62"/>
      <c r="C101" s="68"/>
      <c r="D101" s="76"/>
      <c r="E101" s="69"/>
      <c r="F101" s="40"/>
      <c r="G101" s="75"/>
      <c r="H101" s="75">
        <f t="shared" si="6"/>
        <v>0</v>
      </c>
      <c r="I101" s="40"/>
      <c r="J101" s="65"/>
      <c r="K101" s="65"/>
      <c r="L101" s="65"/>
      <c r="M101" s="65"/>
    </row>
    <row r="102" spans="1:13" hidden="1" x14ac:dyDescent="0.25">
      <c r="A102" s="41">
        <f t="shared" si="5"/>
        <v>99</v>
      </c>
      <c r="B102" s="62"/>
      <c r="C102" s="76"/>
      <c r="D102" s="76"/>
      <c r="E102" s="69"/>
      <c r="F102" s="40"/>
      <c r="G102" s="75"/>
      <c r="H102" s="75">
        <f t="shared" si="6"/>
        <v>0</v>
      </c>
      <c r="I102" s="40"/>
      <c r="J102" s="65"/>
      <c r="K102" s="65"/>
      <c r="L102" s="65"/>
      <c r="M102" s="65"/>
    </row>
    <row r="103" spans="1:13" hidden="1" x14ac:dyDescent="0.25">
      <c r="A103" s="41">
        <f t="shared" si="5"/>
        <v>100</v>
      </c>
      <c r="B103" s="62"/>
      <c r="C103" s="76"/>
      <c r="D103" s="76"/>
      <c r="E103" s="69"/>
      <c r="F103" s="40"/>
      <c r="G103" s="75"/>
      <c r="H103" s="75">
        <f t="shared" si="6"/>
        <v>0</v>
      </c>
      <c r="I103" s="40"/>
      <c r="J103" s="65"/>
      <c r="K103" s="65"/>
      <c r="L103" s="65"/>
      <c r="M103" s="65"/>
    </row>
    <row r="104" spans="1:13" hidden="1" x14ac:dyDescent="0.25">
      <c r="A104" s="41">
        <f t="shared" si="5"/>
        <v>101</v>
      </c>
      <c r="B104" s="62"/>
      <c r="C104" s="76"/>
      <c r="D104" s="76"/>
      <c r="E104" s="69"/>
      <c r="F104" s="40"/>
      <c r="G104" s="75"/>
      <c r="H104" s="75">
        <f t="shared" si="6"/>
        <v>0</v>
      </c>
      <c r="I104" s="40"/>
      <c r="J104" s="65"/>
      <c r="K104" s="65"/>
      <c r="L104" s="65"/>
      <c r="M104" s="65"/>
    </row>
    <row r="105" spans="1:13" hidden="1" x14ac:dyDescent="0.25">
      <c r="A105" s="41">
        <f t="shared" si="5"/>
        <v>102</v>
      </c>
      <c r="B105" s="62"/>
      <c r="C105" s="68"/>
      <c r="D105" s="76"/>
      <c r="E105" s="69"/>
      <c r="F105" s="40"/>
      <c r="G105" s="75"/>
      <c r="H105" s="75">
        <f t="shared" si="6"/>
        <v>0</v>
      </c>
      <c r="I105" s="40"/>
      <c r="J105" s="65"/>
      <c r="K105" s="65"/>
      <c r="L105" s="65"/>
      <c r="M105" s="65"/>
    </row>
    <row r="106" spans="1:13" hidden="1" x14ac:dyDescent="0.25">
      <c r="A106" s="41">
        <f t="shared" si="5"/>
        <v>103</v>
      </c>
      <c r="B106" s="62"/>
      <c r="C106" s="76"/>
      <c r="D106" s="76"/>
      <c r="E106" s="69"/>
      <c r="F106" s="40"/>
      <c r="G106" s="75"/>
      <c r="H106" s="75">
        <f t="shared" si="6"/>
        <v>0</v>
      </c>
      <c r="I106" s="40"/>
      <c r="J106" s="65"/>
      <c r="K106" s="65"/>
      <c r="L106" s="65"/>
      <c r="M106" s="65"/>
    </row>
    <row r="107" spans="1:13" hidden="1" x14ac:dyDescent="0.25">
      <c r="A107" s="41">
        <f t="shared" si="5"/>
        <v>104</v>
      </c>
      <c r="B107" s="62"/>
      <c r="C107" s="68"/>
      <c r="D107" s="76"/>
      <c r="E107" s="69"/>
      <c r="F107" s="40"/>
      <c r="G107" s="75"/>
      <c r="H107" s="75">
        <f t="shared" si="6"/>
        <v>0</v>
      </c>
      <c r="I107" s="40"/>
      <c r="J107" s="65"/>
      <c r="K107" s="65"/>
      <c r="L107" s="65"/>
      <c r="M107" s="65"/>
    </row>
    <row r="108" spans="1:13" hidden="1" x14ac:dyDescent="0.25">
      <c r="A108" s="41">
        <f t="shared" si="5"/>
        <v>105</v>
      </c>
      <c r="B108" s="62"/>
      <c r="C108" s="68"/>
      <c r="D108" s="76"/>
      <c r="E108" s="69"/>
      <c r="F108" s="40"/>
      <c r="G108" s="75"/>
      <c r="H108" s="75">
        <f t="shared" si="6"/>
        <v>0</v>
      </c>
      <c r="I108" s="40"/>
      <c r="J108" s="65"/>
      <c r="K108" s="65"/>
      <c r="L108" s="65"/>
      <c r="M108" s="65"/>
    </row>
    <row r="109" spans="1:13" hidden="1" x14ac:dyDescent="0.25">
      <c r="A109" s="41">
        <f t="shared" si="5"/>
        <v>106</v>
      </c>
      <c r="B109" s="62"/>
      <c r="C109" s="68"/>
      <c r="D109" s="76"/>
      <c r="E109" s="69"/>
      <c r="F109" s="40"/>
      <c r="G109" s="75"/>
      <c r="H109" s="75">
        <f>E109-G109</f>
        <v>0</v>
      </c>
      <c r="I109" s="73"/>
      <c r="J109" s="65"/>
      <c r="K109" s="65"/>
      <c r="L109" s="65"/>
      <c r="M109" s="65"/>
    </row>
    <row r="110" spans="1:13" hidden="1" x14ac:dyDescent="0.25">
      <c r="A110" s="41">
        <f t="shared" si="5"/>
        <v>107</v>
      </c>
      <c r="B110" s="62"/>
      <c r="C110" s="76"/>
      <c r="D110" s="76"/>
      <c r="E110" s="69"/>
      <c r="F110" s="40"/>
      <c r="G110" s="75"/>
      <c r="H110" s="75">
        <f>E110-G110</f>
        <v>0</v>
      </c>
      <c r="I110" s="73"/>
      <c r="J110" s="65"/>
      <c r="K110" s="65"/>
      <c r="L110" s="65"/>
      <c r="M110" s="65"/>
    </row>
    <row r="111" spans="1:13" hidden="1" x14ac:dyDescent="0.25">
      <c r="A111" s="41">
        <f t="shared" si="5"/>
        <v>108</v>
      </c>
      <c r="B111" s="62"/>
      <c r="C111" s="76"/>
      <c r="D111" s="76"/>
      <c r="E111" s="69"/>
      <c r="F111" s="40"/>
      <c r="G111" s="75"/>
      <c r="H111" s="75">
        <f t="shared" ref="H111:H174" si="7">G111-D111</f>
        <v>0</v>
      </c>
      <c r="I111" s="40"/>
      <c r="J111" s="65"/>
      <c r="K111" s="65"/>
      <c r="L111" s="65"/>
      <c r="M111" s="65"/>
    </row>
    <row r="112" spans="1:13" hidden="1" x14ac:dyDescent="0.25">
      <c r="A112" s="41">
        <f t="shared" si="5"/>
        <v>109</v>
      </c>
      <c r="B112" s="62"/>
      <c r="C112" s="76"/>
      <c r="D112" s="76"/>
      <c r="E112" s="69"/>
      <c r="F112" s="40"/>
      <c r="G112" s="75"/>
      <c r="H112" s="75">
        <f t="shared" si="7"/>
        <v>0</v>
      </c>
      <c r="I112" s="40"/>
      <c r="J112" s="65"/>
      <c r="K112" s="65"/>
      <c r="L112" s="65"/>
      <c r="M112" s="65"/>
    </row>
    <row r="113" spans="1:13" hidden="1" x14ac:dyDescent="0.25">
      <c r="A113" s="41">
        <f t="shared" si="5"/>
        <v>110</v>
      </c>
      <c r="B113" s="62"/>
      <c r="C113" s="76"/>
      <c r="D113" s="76"/>
      <c r="E113" s="69"/>
      <c r="F113" s="40"/>
      <c r="G113" s="75"/>
      <c r="H113" s="75">
        <f t="shared" si="7"/>
        <v>0</v>
      </c>
      <c r="I113" s="40"/>
      <c r="J113" s="65"/>
      <c r="K113" s="65"/>
      <c r="L113" s="65"/>
      <c r="M113" s="65"/>
    </row>
    <row r="114" spans="1:13" hidden="1" x14ac:dyDescent="0.25">
      <c r="A114" s="41">
        <f t="shared" si="5"/>
        <v>111</v>
      </c>
      <c r="B114" s="62"/>
      <c r="C114" s="76"/>
      <c r="D114" s="76"/>
      <c r="E114" s="69"/>
      <c r="F114" s="40"/>
      <c r="G114" s="75"/>
      <c r="H114" s="75">
        <f t="shared" si="7"/>
        <v>0</v>
      </c>
      <c r="I114" s="40"/>
      <c r="J114" s="65"/>
      <c r="K114" s="65"/>
      <c r="L114" s="65"/>
      <c r="M114" s="65"/>
    </row>
    <row r="115" spans="1:13" hidden="1" x14ac:dyDescent="0.25">
      <c r="A115" s="41">
        <f t="shared" si="5"/>
        <v>112</v>
      </c>
      <c r="B115" s="62"/>
      <c r="C115" s="77"/>
      <c r="D115" s="68"/>
      <c r="E115" s="69"/>
      <c r="F115" s="40"/>
      <c r="G115" s="75"/>
      <c r="H115" s="75">
        <f t="shared" si="7"/>
        <v>0</v>
      </c>
      <c r="I115" s="40"/>
      <c r="J115" s="65"/>
      <c r="K115" s="65"/>
      <c r="L115" s="65"/>
      <c r="M115" s="65"/>
    </row>
    <row r="116" spans="1:13" hidden="1" x14ac:dyDescent="0.25">
      <c r="A116" s="41">
        <f t="shared" si="5"/>
        <v>113</v>
      </c>
      <c r="B116" s="78"/>
      <c r="C116" s="76"/>
      <c r="D116" s="68"/>
      <c r="E116" s="69"/>
      <c r="F116" s="40"/>
      <c r="G116" s="75"/>
      <c r="H116" s="75">
        <f t="shared" si="7"/>
        <v>0</v>
      </c>
      <c r="I116" s="40"/>
      <c r="J116" s="65"/>
      <c r="K116" s="65"/>
      <c r="L116" s="65"/>
      <c r="M116" s="65"/>
    </row>
    <row r="117" spans="1:13" hidden="1" x14ac:dyDescent="0.25">
      <c r="A117" s="41">
        <f t="shared" si="5"/>
        <v>114</v>
      </c>
      <c r="B117" s="78"/>
      <c r="C117" s="76"/>
      <c r="D117" s="68"/>
      <c r="E117" s="69"/>
      <c r="F117" s="40"/>
      <c r="G117" s="75"/>
      <c r="H117" s="75">
        <f t="shared" si="7"/>
        <v>0</v>
      </c>
      <c r="I117" s="40"/>
      <c r="J117" s="65"/>
      <c r="K117" s="65"/>
      <c r="L117" s="65"/>
      <c r="M117" s="65"/>
    </row>
    <row r="118" spans="1:13" hidden="1" x14ac:dyDescent="0.25">
      <c r="A118" s="41">
        <f t="shared" si="5"/>
        <v>115</v>
      </c>
      <c r="B118" s="62"/>
      <c r="C118" s="76"/>
      <c r="D118" s="68"/>
      <c r="E118" s="69"/>
      <c r="F118" s="40"/>
      <c r="G118" s="75"/>
      <c r="H118" s="75">
        <f t="shared" si="7"/>
        <v>0</v>
      </c>
      <c r="I118" s="40"/>
      <c r="J118" s="65"/>
      <c r="K118" s="65"/>
      <c r="L118" s="65"/>
      <c r="M118" s="65"/>
    </row>
    <row r="119" spans="1:13" hidden="1" x14ac:dyDescent="0.25">
      <c r="A119" s="41">
        <f t="shared" si="5"/>
        <v>116</v>
      </c>
      <c r="B119" s="62"/>
      <c r="C119" s="68"/>
      <c r="D119" s="68"/>
      <c r="E119" s="69"/>
      <c r="F119" s="40"/>
      <c r="G119" s="75"/>
      <c r="H119" s="75">
        <f t="shared" si="7"/>
        <v>0</v>
      </c>
      <c r="I119" s="40"/>
      <c r="J119" s="65"/>
      <c r="K119" s="65"/>
      <c r="L119" s="65"/>
      <c r="M119" s="65"/>
    </row>
    <row r="120" spans="1:13" hidden="1" x14ac:dyDescent="0.25">
      <c r="A120" s="41">
        <f t="shared" si="5"/>
        <v>117</v>
      </c>
      <c r="B120" s="62"/>
      <c r="C120" s="68"/>
      <c r="D120" s="68"/>
      <c r="E120" s="69"/>
      <c r="F120" s="40"/>
      <c r="G120" s="75"/>
      <c r="H120" s="75">
        <f t="shared" si="7"/>
        <v>0</v>
      </c>
      <c r="I120" s="40"/>
      <c r="J120" s="65"/>
      <c r="K120" s="65"/>
      <c r="L120" s="65"/>
      <c r="M120" s="65"/>
    </row>
    <row r="121" spans="1:13" hidden="1" x14ac:dyDescent="0.25">
      <c r="A121" s="41">
        <f t="shared" si="5"/>
        <v>118</v>
      </c>
      <c r="B121" s="62"/>
      <c r="C121" s="68"/>
      <c r="D121" s="68"/>
      <c r="E121" s="69"/>
      <c r="F121" s="40"/>
      <c r="G121" s="75"/>
      <c r="H121" s="75">
        <f t="shared" si="7"/>
        <v>0</v>
      </c>
      <c r="I121" s="40"/>
      <c r="J121" s="65"/>
      <c r="K121" s="65"/>
      <c r="L121" s="65"/>
      <c r="M121" s="65"/>
    </row>
    <row r="122" spans="1:13" hidden="1" x14ac:dyDescent="0.25">
      <c r="A122" s="41">
        <f t="shared" si="5"/>
        <v>119</v>
      </c>
      <c r="B122" s="62"/>
      <c r="C122" s="68"/>
      <c r="D122" s="68"/>
      <c r="E122" s="69"/>
      <c r="F122" s="40"/>
      <c r="G122" s="75"/>
      <c r="H122" s="75">
        <f t="shared" si="7"/>
        <v>0</v>
      </c>
      <c r="I122" s="40"/>
      <c r="J122" s="65"/>
      <c r="K122" s="65"/>
      <c r="L122" s="65"/>
      <c r="M122" s="65"/>
    </row>
    <row r="123" spans="1:13" hidden="1" x14ac:dyDescent="0.25">
      <c r="A123" s="41">
        <f t="shared" si="5"/>
        <v>120</v>
      </c>
      <c r="B123" s="62"/>
      <c r="C123" s="68"/>
      <c r="D123" s="68"/>
      <c r="E123" s="69"/>
      <c r="F123" s="40"/>
      <c r="G123" s="75"/>
      <c r="H123" s="75">
        <f t="shared" si="7"/>
        <v>0</v>
      </c>
      <c r="I123" s="40"/>
      <c r="J123" s="65"/>
      <c r="K123" s="65"/>
      <c r="L123" s="65"/>
      <c r="M123" s="65"/>
    </row>
    <row r="124" spans="1:13" hidden="1" x14ac:dyDescent="0.25">
      <c r="A124" s="41">
        <f t="shared" si="5"/>
        <v>121</v>
      </c>
      <c r="B124" s="62"/>
      <c r="C124" s="68"/>
      <c r="D124" s="68"/>
      <c r="E124" s="69"/>
      <c r="F124" s="40"/>
      <c r="G124" s="75"/>
      <c r="H124" s="75">
        <f t="shared" si="7"/>
        <v>0</v>
      </c>
      <c r="I124" s="40"/>
      <c r="J124" s="65"/>
      <c r="K124" s="65"/>
      <c r="L124" s="65"/>
      <c r="M124" s="65"/>
    </row>
    <row r="125" spans="1:13" hidden="1" x14ac:dyDescent="0.25">
      <c r="A125" s="41">
        <f t="shared" si="5"/>
        <v>122</v>
      </c>
      <c r="B125" s="62"/>
      <c r="C125" s="68"/>
      <c r="D125" s="68"/>
      <c r="E125" s="69"/>
      <c r="F125" s="40"/>
      <c r="G125" s="75"/>
      <c r="H125" s="75">
        <f t="shared" si="7"/>
        <v>0</v>
      </c>
      <c r="I125" s="40"/>
      <c r="J125" s="65"/>
      <c r="K125" s="65"/>
      <c r="L125" s="65"/>
      <c r="M125" s="65"/>
    </row>
    <row r="126" spans="1:13" hidden="1" x14ac:dyDescent="0.25">
      <c r="A126" s="41">
        <f t="shared" si="5"/>
        <v>123</v>
      </c>
      <c r="B126" s="62"/>
      <c r="C126" s="68"/>
      <c r="D126" s="68"/>
      <c r="E126" s="69"/>
      <c r="F126" s="40"/>
      <c r="G126" s="75"/>
      <c r="H126" s="75">
        <f t="shared" si="7"/>
        <v>0</v>
      </c>
      <c r="I126" s="40"/>
      <c r="J126" s="65"/>
      <c r="K126" s="65"/>
      <c r="L126" s="65"/>
      <c r="M126" s="65"/>
    </row>
    <row r="127" spans="1:13" hidden="1" x14ac:dyDescent="0.25">
      <c r="A127" s="41">
        <f t="shared" si="5"/>
        <v>124</v>
      </c>
      <c r="B127" s="62"/>
      <c r="C127" s="68"/>
      <c r="D127" s="68"/>
      <c r="E127" s="69"/>
      <c r="F127" s="40"/>
      <c r="G127" s="75"/>
      <c r="H127" s="75">
        <f t="shared" si="7"/>
        <v>0</v>
      </c>
      <c r="I127" s="40"/>
      <c r="J127" s="65"/>
      <c r="K127" s="65"/>
      <c r="L127" s="65"/>
      <c r="M127" s="65"/>
    </row>
    <row r="128" spans="1:13" hidden="1" x14ac:dyDescent="0.25">
      <c r="A128" s="41">
        <f t="shared" si="5"/>
        <v>125</v>
      </c>
      <c r="B128" s="62"/>
      <c r="C128" s="68"/>
      <c r="D128" s="68"/>
      <c r="E128" s="69"/>
      <c r="F128" s="40"/>
      <c r="G128" s="75"/>
      <c r="H128" s="75">
        <f t="shared" si="7"/>
        <v>0</v>
      </c>
      <c r="I128" s="40"/>
      <c r="J128" s="65"/>
      <c r="K128" s="65"/>
      <c r="L128" s="65"/>
      <c r="M128" s="65"/>
    </row>
    <row r="129" spans="1:13" hidden="1" x14ac:dyDescent="0.25">
      <c r="A129" s="41">
        <f t="shared" si="5"/>
        <v>126</v>
      </c>
      <c r="B129" s="62"/>
      <c r="C129" s="68"/>
      <c r="D129" s="68"/>
      <c r="E129" s="69"/>
      <c r="F129" s="40"/>
      <c r="G129" s="75"/>
      <c r="H129" s="75">
        <f t="shared" si="7"/>
        <v>0</v>
      </c>
      <c r="I129" s="40"/>
      <c r="J129" s="65"/>
      <c r="K129" s="65"/>
      <c r="L129" s="65"/>
      <c r="M129" s="65"/>
    </row>
    <row r="130" spans="1:13" hidden="1" x14ac:dyDescent="0.25">
      <c r="A130" s="41">
        <f t="shared" si="5"/>
        <v>127</v>
      </c>
      <c r="B130" s="62"/>
      <c r="C130" s="68"/>
      <c r="D130" s="68"/>
      <c r="E130" s="69"/>
      <c r="F130" s="40"/>
      <c r="G130" s="75"/>
      <c r="H130" s="75">
        <f t="shared" si="7"/>
        <v>0</v>
      </c>
      <c r="I130" s="40"/>
      <c r="J130" s="65"/>
      <c r="K130" s="65"/>
      <c r="L130" s="65"/>
      <c r="M130" s="65"/>
    </row>
    <row r="131" spans="1:13" hidden="1" x14ac:dyDescent="0.25">
      <c r="A131" s="41">
        <f t="shared" si="5"/>
        <v>128</v>
      </c>
      <c r="B131" s="62"/>
      <c r="C131" s="68"/>
      <c r="D131" s="68"/>
      <c r="E131" s="69"/>
      <c r="F131" s="40"/>
      <c r="G131" s="75"/>
      <c r="H131" s="75">
        <f t="shared" si="7"/>
        <v>0</v>
      </c>
      <c r="I131" s="40"/>
      <c r="J131" s="65"/>
      <c r="K131" s="65"/>
      <c r="L131" s="65"/>
      <c r="M131" s="65"/>
    </row>
    <row r="132" spans="1:13" hidden="1" x14ac:dyDescent="0.25">
      <c r="A132" s="41">
        <f t="shared" si="5"/>
        <v>129</v>
      </c>
      <c r="B132" s="62"/>
      <c r="C132" s="68"/>
      <c r="D132" s="68"/>
      <c r="E132" s="69"/>
      <c r="F132" s="40"/>
      <c r="G132" s="75"/>
      <c r="H132" s="75">
        <f t="shared" si="7"/>
        <v>0</v>
      </c>
      <c r="I132" s="40"/>
      <c r="J132" s="65"/>
      <c r="K132" s="65"/>
      <c r="L132" s="65"/>
      <c r="M132" s="65"/>
    </row>
    <row r="133" spans="1:13" hidden="1" x14ac:dyDescent="0.25">
      <c r="A133" s="41">
        <f t="shared" si="5"/>
        <v>130</v>
      </c>
      <c r="B133" s="62"/>
      <c r="C133" s="68"/>
      <c r="D133" s="68"/>
      <c r="E133" s="69"/>
      <c r="F133" s="40"/>
      <c r="G133" s="75"/>
      <c r="H133" s="75">
        <f t="shared" si="7"/>
        <v>0</v>
      </c>
      <c r="I133" s="40"/>
      <c r="J133" s="65"/>
      <c r="K133" s="65"/>
      <c r="L133" s="65"/>
      <c r="M133" s="65"/>
    </row>
    <row r="134" spans="1:13" hidden="1" x14ac:dyDescent="0.25">
      <c r="A134" s="41">
        <f t="shared" ref="A134:A197" si="8">1+A133</f>
        <v>131</v>
      </c>
      <c r="B134" s="62"/>
      <c r="C134" s="68"/>
      <c r="D134" s="68"/>
      <c r="E134" s="69"/>
      <c r="F134" s="40"/>
      <c r="G134" s="75"/>
      <c r="H134" s="75">
        <f t="shared" si="7"/>
        <v>0</v>
      </c>
      <c r="I134" s="40"/>
      <c r="J134" s="65"/>
      <c r="K134" s="65"/>
      <c r="L134" s="65"/>
      <c r="M134" s="65"/>
    </row>
    <row r="135" spans="1:13" hidden="1" x14ac:dyDescent="0.25">
      <c r="A135" s="41">
        <f t="shared" si="8"/>
        <v>132</v>
      </c>
      <c r="B135" s="62"/>
      <c r="C135" s="68"/>
      <c r="D135" s="68"/>
      <c r="E135" s="69"/>
      <c r="F135" s="40"/>
      <c r="G135" s="75"/>
      <c r="H135" s="75">
        <f t="shared" si="7"/>
        <v>0</v>
      </c>
      <c r="I135" s="40"/>
      <c r="J135" s="65"/>
      <c r="K135" s="65"/>
      <c r="L135" s="65"/>
      <c r="M135" s="65"/>
    </row>
    <row r="136" spans="1:13" hidden="1" x14ac:dyDescent="0.25">
      <c r="A136" s="41">
        <f t="shared" si="8"/>
        <v>133</v>
      </c>
      <c r="B136" s="62"/>
      <c r="C136" s="68"/>
      <c r="D136" s="68"/>
      <c r="E136" s="69"/>
      <c r="F136" s="40"/>
      <c r="G136" s="75"/>
      <c r="H136" s="75">
        <f t="shared" si="7"/>
        <v>0</v>
      </c>
      <c r="I136" s="40"/>
      <c r="J136" s="65"/>
      <c r="K136" s="65"/>
      <c r="L136" s="65"/>
      <c r="M136" s="65"/>
    </row>
    <row r="137" spans="1:13" hidden="1" x14ac:dyDescent="0.25">
      <c r="A137" s="41">
        <f t="shared" si="8"/>
        <v>134</v>
      </c>
      <c r="B137" s="62"/>
      <c r="C137" s="68"/>
      <c r="D137" s="68"/>
      <c r="E137" s="69"/>
      <c r="F137" s="40"/>
      <c r="G137" s="75"/>
      <c r="H137" s="75">
        <f t="shared" si="7"/>
        <v>0</v>
      </c>
      <c r="I137" s="40"/>
      <c r="J137" s="65"/>
      <c r="K137" s="65"/>
      <c r="L137" s="65"/>
      <c r="M137" s="65"/>
    </row>
    <row r="138" spans="1:13" hidden="1" x14ac:dyDescent="0.25">
      <c r="A138" s="41">
        <f t="shared" si="8"/>
        <v>135</v>
      </c>
      <c r="B138" s="62"/>
      <c r="C138" s="68"/>
      <c r="D138" s="68"/>
      <c r="E138" s="69"/>
      <c r="F138" s="40"/>
      <c r="G138" s="75"/>
      <c r="H138" s="75">
        <f t="shared" si="7"/>
        <v>0</v>
      </c>
      <c r="I138" s="40"/>
      <c r="J138" s="65"/>
      <c r="K138" s="65"/>
      <c r="L138" s="65"/>
      <c r="M138" s="65"/>
    </row>
    <row r="139" spans="1:13" hidden="1" x14ac:dyDescent="0.25">
      <c r="A139" s="41">
        <f t="shared" si="8"/>
        <v>136</v>
      </c>
      <c r="B139" s="62"/>
      <c r="C139" s="68"/>
      <c r="D139" s="68"/>
      <c r="E139" s="69"/>
      <c r="F139" s="40"/>
      <c r="G139" s="75"/>
      <c r="H139" s="75">
        <f t="shared" si="7"/>
        <v>0</v>
      </c>
      <c r="I139" s="40"/>
      <c r="J139" s="65"/>
      <c r="K139" s="65"/>
      <c r="L139" s="65"/>
      <c r="M139" s="65"/>
    </row>
    <row r="140" spans="1:13" hidden="1" x14ac:dyDescent="0.25">
      <c r="A140" s="41">
        <f t="shared" si="8"/>
        <v>137</v>
      </c>
      <c r="B140" s="62"/>
      <c r="C140" s="68"/>
      <c r="D140" s="68"/>
      <c r="E140" s="69"/>
      <c r="F140" s="40"/>
      <c r="G140" s="75"/>
      <c r="H140" s="75">
        <f t="shared" si="7"/>
        <v>0</v>
      </c>
      <c r="I140" s="40"/>
      <c r="J140" s="65"/>
      <c r="K140" s="65"/>
      <c r="L140" s="65"/>
      <c r="M140" s="65"/>
    </row>
    <row r="141" spans="1:13" hidden="1" x14ac:dyDescent="0.25">
      <c r="A141" s="41">
        <f t="shared" si="8"/>
        <v>138</v>
      </c>
      <c r="B141" s="62"/>
      <c r="C141" s="68"/>
      <c r="D141" s="68"/>
      <c r="E141" s="69"/>
      <c r="F141" s="40"/>
      <c r="G141" s="75"/>
      <c r="H141" s="75">
        <f t="shared" si="7"/>
        <v>0</v>
      </c>
      <c r="I141" s="40"/>
      <c r="J141" s="65"/>
      <c r="K141" s="65"/>
      <c r="L141" s="65"/>
      <c r="M141" s="65"/>
    </row>
    <row r="142" spans="1:13" hidden="1" x14ac:dyDescent="0.25">
      <c r="A142" s="41">
        <f t="shared" si="8"/>
        <v>139</v>
      </c>
      <c r="B142" s="62"/>
      <c r="C142" s="68"/>
      <c r="D142" s="68"/>
      <c r="E142" s="69"/>
      <c r="F142" s="40"/>
      <c r="G142" s="75"/>
      <c r="H142" s="75">
        <f t="shared" si="7"/>
        <v>0</v>
      </c>
      <c r="I142" s="40"/>
      <c r="J142" s="65"/>
      <c r="K142" s="65"/>
      <c r="L142" s="65"/>
      <c r="M142" s="65"/>
    </row>
    <row r="143" spans="1:13" hidden="1" x14ac:dyDescent="0.25">
      <c r="A143" s="41">
        <f t="shared" si="8"/>
        <v>140</v>
      </c>
      <c r="B143" s="62"/>
      <c r="C143" s="68"/>
      <c r="D143" s="68"/>
      <c r="E143" s="69"/>
      <c r="F143" s="40"/>
      <c r="G143" s="75"/>
      <c r="H143" s="75">
        <f t="shared" si="7"/>
        <v>0</v>
      </c>
      <c r="I143" s="40"/>
      <c r="J143" s="65"/>
      <c r="K143" s="65"/>
      <c r="L143" s="65"/>
      <c r="M143" s="65"/>
    </row>
    <row r="144" spans="1:13" hidden="1" x14ac:dyDescent="0.25">
      <c r="A144" s="41">
        <f t="shared" si="8"/>
        <v>141</v>
      </c>
      <c r="B144" s="62"/>
      <c r="C144" s="68"/>
      <c r="D144" s="68"/>
      <c r="E144" s="69"/>
      <c r="F144" s="40"/>
      <c r="G144" s="75"/>
      <c r="H144" s="75">
        <f t="shared" si="7"/>
        <v>0</v>
      </c>
      <c r="I144" s="40"/>
      <c r="J144" s="65"/>
      <c r="K144" s="65"/>
      <c r="L144" s="65"/>
      <c r="M144" s="65"/>
    </row>
    <row r="145" spans="1:13" hidden="1" x14ac:dyDescent="0.25">
      <c r="A145" s="41">
        <f t="shared" si="8"/>
        <v>142</v>
      </c>
      <c r="B145" s="62"/>
      <c r="C145" s="68"/>
      <c r="D145" s="68"/>
      <c r="E145" s="69"/>
      <c r="F145" s="40"/>
      <c r="G145" s="75"/>
      <c r="H145" s="75">
        <f t="shared" si="7"/>
        <v>0</v>
      </c>
      <c r="I145" s="40"/>
      <c r="J145" s="65"/>
      <c r="K145" s="65"/>
      <c r="L145" s="65"/>
      <c r="M145" s="65"/>
    </row>
    <row r="146" spans="1:13" hidden="1" x14ac:dyDescent="0.25">
      <c r="A146" s="41">
        <f t="shared" si="8"/>
        <v>143</v>
      </c>
      <c r="B146" s="62"/>
      <c r="C146" s="68"/>
      <c r="D146" s="68"/>
      <c r="E146" s="69"/>
      <c r="F146" s="40"/>
      <c r="G146" s="75"/>
      <c r="H146" s="75">
        <f t="shared" si="7"/>
        <v>0</v>
      </c>
      <c r="I146" s="40"/>
      <c r="J146" s="65"/>
      <c r="K146" s="65"/>
      <c r="L146" s="65"/>
      <c r="M146" s="65"/>
    </row>
    <row r="147" spans="1:13" hidden="1" x14ac:dyDescent="0.25">
      <c r="A147" s="41">
        <f t="shared" si="8"/>
        <v>144</v>
      </c>
      <c r="B147" s="62"/>
      <c r="C147" s="68"/>
      <c r="D147" s="68"/>
      <c r="E147" s="69"/>
      <c r="F147" s="40"/>
      <c r="G147" s="75">
        <f t="shared" ref="G147:G161" si="9">C147-D147</f>
        <v>0</v>
      </c>
      <c r="H147" s="75">
        <f t="shared" si="7"/>
        <v>0</v>
      </c>
      <c r="I147" s="40"/>
      <c r="J147" s="65"/>
      <c r="K147" s="65"/>
      <c r="L147" s="65"/>
      <c r="M147" s="65"/>
    </row>
    <row r="148" spans="1:13" hidden="1" x14ac:dyDescent="0.25">
      <c r="A148" s="41">
        <f t="shared" si="8"/>
        <v>145</v>
      </c>
      <c r="B148" s="62"/>
      <c r="C148" s="68"/>
      <c r="D148" s="68"/>
      <c r="E148" s="69"/>
      <c r="F148" s="40"/>
      <c r="G148" s="75">
        <f t="shared" si="9"/>
        <v>0</v>
      </c>
      <c r="H148" s="75">
        <f t="shared" si="7"/>
        <v>0</v>
      </c>
      <c r="I148" s="40"/>
      <c r="J148" s="65"/>
      <c r="K148" s="65"/>
      <c r="L148" s="65"/>
      <c r="M148" s="65"/>
    </row>
    <row r="149" spans="1:13" hidden="1" x14ac:dyDescent="0.25">
      <c r="A149" s="41">
        <f t="shared" si="8"/>
        <v>146</v>
      </c>
      <c r="B149" s="62"/>
      <c r="C149" s="68"/>
      <c r="D149" s="75"/>
      <c r="E149" s="69"/>
      <c r="F149" s="40"/>
      <c r="G149" s="75">
        <f t="shared" si="9"/>
        <v>0</v>
      </c>
      <c r="H149" s="75">
        <f t="shared" si="7"/>
        <v>0</v>
      </c>
      <c r="I149" s="40"/>
      <c r="J149" s="65"/>
      <c r="K149" s="65"/>
      <c r="L149" s="65"/>
      <c r="M149" s="65"/>
    </row>
    <row r="150" spans="1:13" hidden="1" x14ac:dyDescent="0.25">
      <c r="A150" s="41">
        <f t="shared" si="8"/>
        <v>147</v>
      </c>
      <c r="B150" s="62"/>
      <c r="C150" s="68"/>
      <c r="D150" s="75"/>
      <c r="E150" s="69"/>
      <c r="F150" s="40"/>
      <c r="G150" s="75">
        <f t="shared" si="9"/>
        <v>0</v>
      </c>
      <c r="H150" s="75">
        <f t="shared" si="7"/>
        <v>0</v>
      </c>
      <c r="I150" s="40"/>
      <c r="J150" s="65"/>
      <c r="K150" s="65"/>
      <c r="L150" s="65"/>
      <c r="M150" s="65"/>
    </row>
    <row r="151" spans="1:13" hidden="1" x14ac:dyDescent="0.25">
      <c r="A151" s="41">
        <f t="shared" si="8"/>
        <v>148</v>
      </c>
      <c r="B151" s="62"/>
      <c r="C151" s="68"/>
      <c r="D151" s="75"/>
      <c r="E151" s="69"/>
      <c r="F151" s="40"/>
      <c r="G151" s="75">
        <f t="shared" si="9"/>
        <v>0</v>
      </c>
      <c r="H151" s="75">
        <f t="shared" si="7"/>
        <v>0</v>
      </c>
      <c r="I151" s="40"/>
      <c r="J151" s="65"/>
      <c r="K151" s="65"/>
      <c r="L151" s="65"/>
      <c r="M151" s="65"/>
    </row>
    <row r="152" spans="1:13" hidden="1" x14ac:dyDescent="0.25">
      <c r="A152" s="41">
        <f t="shared" si="8"/>
        <v>149</v>
      </c>
      <c r="B152" s="62"/>
      <c r="C152" s="68"/>
      <c r="D152" s="75"/>
      <c r="E152" s="69"/>
      <c r="F152" s="40"/>
      <c r="G152" s="75">
        <f t="shared" si="9"/>
        <v>0</v>
      </c>
      <c r="H152" s="75">
        <f t="shared" si="7"/>
        <v>0</v>
      </c>
      <c r="I152" s="40"/>
      <c r="J152" s="65"/>
      <c r="K152" s="65"/>
      <c r="L152" s="65"/>
      <c r="M152" s="65"/>
    </row>
    <row r="153" spans="1:13" hidden="1" x14ac:dyDescent="0.25">
      <c r="A153" s="41">
        <f t="shared" si="8"/>
        <v>150</v>
      </c>
      <c r="B153" s="62"/>
      <c r="C153" s="68"/>
      <c r="D153" s="68"/>
      <c r="E153" s="69"/>
      <c r="F153" s="40"/>
      <c r="G153" s="75">
        <f t="shared" si="9"/>
        <v>0</v>
      </c>
      <c r="H153" s="75">
        <f t="shared" si="7"/>
        <v>0</v>
      </c>
      <c r="I153" s="40"/>
      <c r="J153" s="65"/>
      <c r="K153" s="65"/>
      <c r="L153" s="65"/>
      <c r="M153" s="65"/>
    </row>
    <row r="154" spans="1:13" hidden="1" x14ac:dyDescent="0.25">
      <c r="A154" s="41">
        <f t="shared" si="8"/>
        <v>151</v>
      </c>
      <c r="B154" s="62"/>
      <c r="C154" s="68"/>
      <c r="D154" s="75"/>
      <c r="E154" s="69"/>
      <c r="F154" s="40"/>
      <c r="G154" s="75">
        <f t="shared" si="9"/>
        <v>0</v>
      </c>
      <c r="H154" s="75">
        <f t="shared" si="7"/>
        <v>0</v>
      </c>
      <c r="I154" s="40"/>
      <c r="J154" s="65"/>
      <c r="K154" s="65"/>
      <c r="L154" s="65"/>
      <c r="M154" s="65"/>
    </row>
    <row r="155" spans="1:13" hidden="1" x14ac:dyDescent="0.25">
      <c r="A155" s="41">
        <f t="shared" si="8"/>
        <v>152</v>
      </c>
      <c r="B155" s="62"/>
      <c r="C155" s="68"/>
      <c r="D155" s="75"/>
      <c r="E155" s="69"/>
      <c r="F155" s="40"/>
      <c r="G155" s="75">
        <f t="shared" si="9"/>
        <v>0</v>
      </c>
      <c r="H155" s="75">
        <f t="shared" si="7"/>
        <v>0</v>
      </c>
      <c r="I155" s="40"/>
      <c r="J155" s="65"/>
      <c r="K155" s="65"/>
      <c r="L155" s="65"/>
      <c r="M155" s="65"/>
    </row>
    <row r="156" spans="1:13" hidden="1" x14ac:dyDescent="0.25">
      <c r="A156" s="41">
        <f t="shared" si="8"/>
        <v>153</v>
      </c>
      <c r="B156" s="62"/>
      <c r="C156" s="68"/>
      <c r="D156" s="75"/>
      <c r="E156" s="69"/>
      <c r="F156" s="40"/>
      <c r="G156" s="75">
        <f t="shared" si="9"/>
        <v>0</v>
      </c>
      <c r="H156" s="75">
        <f t="shared" si="7"/>
        <v>0</v>
      </c>
      <c r="I156" s="40"/>
      <c r="J156" s="65"/>
      <c r="K156" s="65"/>
      <c r="L156" s="65"/>
      <c r="M156" s="65"/>
    </row>
    <row r="157" spans="1:13" hidden="1" x14ac:dyDescent="0.25">
      <c r="A157" s="41">
        <f t="shared" si="8"/>
        <v>154</v>
      </c>
      <c r="B157" s="62"/>
      <c r="C157" s="68"/>
      <c r="D157" s="75"/>
      <c r="E157" s="69"/>
      <c r="F157" s="40"/>
      <c r="G157" s="75">
        <f t="shared" si="9"/>
        <v>0</v>
      </c>
      <c r="H157" s="75">
        <f t="shared" si="7"/>
        <v>0</v>
      </c>
      <c r="I157" s="40"/>
      <c r="J157" s="65"/>
      <c r="K157" s="65"/>
      <c r="L157" s="65"/>
      <c r="M157" s="65"/>
    </row>
    <row r="158" spans="1:13" hidden="1" x14ac:dyDescent="0.25">
      <c r="A158" s="41">
        <f t="shared" si="8"/>
        <v>155</v>
      </c>
      <c r="B158" s="62"/>
      <c r="C158" s="68"/>
      <c r="D158" s="75"/>
      <c r="E158" s="69"/>
      <c r="F158" s="40"/>
      <c r="G158" s="75">
        <f t="shared" si="9"/>
        <v>0</v>
      </c>
      <c r="H158" s="75">
        <f t="shared" si="7"/>
        <v>0</v>
      </c>
      <c r="I158" s="40"/>
      <c r="J158" s="65"/>
      <c r="K158" s="65"/>
      <c r="L158" s="65"/>
      <c r="M158" s="65"/>
    </row>
    <row r="159" spans="1:13" hidden="1" x14ac:dyDescent="0.25">
      <c r="A159" s="41">
        <f t="shared" si="8"/>
        <v>156</v>
      </c>
      <c r="B159" s="62"/>
      <c r="C159" s="68"/>
      <c r="D159" s="75"/>
      <c r="E159" s="69"/>
      <c r="F159" s="40"/>
      <c r="G159" s="75">
        <f t="shared" si="9"/>
        <v>0</v>
      </c>
      <c r="H159" s="75">
        <f t="shared" si="7"/>
        <v>0</v>
      </c>
      <c r="I159" s="40"/>
      <c r="J159" s="65"/>
      <c r="K159" s="65"/>
      <c r="L159" s="65"/>
      <c r="M159" s="65"/>
    </row>
    <row r="160" spans="1:13" hidden="1" x14ac:dyDescent="0.25">
      <c r="A160" s="41">
        <f t="shared" si="8"/>
        <v>157</v>
      </c>
      <c r="B160" s="62"/>
      <c r="C160" s="68"/>
      <c r="D160" s="75"/>
      <c r="E160" s="69"/>
      <c r="F160" s="40"/>
      <c r="G160" s="75">
        <f t="shared" si="9"/>
        <v>0</v>
      </c>
      <c r="H160" s="75">
        <f t="shared" si="7"/>
        <v>0</v>
      </c>
      <c r="I160" s="40"/>
      <c r="J160" s="65"/>
      <c r="K160" s="65"/>
      <c r="L160" s="65"/>
      <c r="M160" s="65"/>
    </row>
    <row r="161" spans="1:13" hidden="1" x14ac:dyDescent="0.25">
      <c r="A161" s="41">
        <f t="shared" si="8"/>
        <v>158</v>
      </c>
      <c r="B161" s="62"/>
      <c r="C161" s="68"/>
      <c r="D161" s="75"/>
      <c r="E161" s="69"/>
      <c r="F161" s="40"/>
      <c r="G161" s="75">
        <f t="shared" si="9"/>
        <v>0</v>
      </c>
      <c r="H161" s="75">
        <f t="shared" si="7"/>
        <v>0</v>
      </c>
      <c r="I161" s="40"/>
      <c r="J161" s="65"/>
      <c r="K161" s="65"/>
      <c r="L161" s="65"/>
      <c r="M161" s="65"/>
    </row>
    <row r="162" spans="1:13" hidden="1" x14ac:dyDescent="0.25">
      <c r="A162" s="41">
        <f t="shared" si="8"/>
        <v>159</v>
      </c>
      <c r="B162" s="62"/>
      <c r="C162" s="68"/>
      <c r="D162" s="75"/>
      <c r="E162" s="69"/>
      <c r="F162" s="40"/>
      <c r="G162" s="75"/>
      <c r="H162" s="75">
        <f t="shared" si="7"/>
        <v>0</v>
      </c>
      <c r="I162" s="40"/>
      <c r="J162" s="65"/>
      <c r="K162" s="65"/>
      <c r="L162" s="65"/>
      <c r="M162" s="65"/>
    </row>
    <row r="163" spans="1:13" hidden="1" x14ac:dyDescent="0.25">
      <c r="A163" s="41">
        <f t="shared" si="8"/>
        <v>160</v>
      </c>
      <c r="B163" s="62"/>
      <c r="C163" s="68"/>
      <c r="D163" s="75"/>
      <c r="E163" s="69"/>
      <c r="F163" s="40"/>
      <c r="G163" s="75"/>
      <c r="H163" s="75">
        <f t="shared" si="7"/>
        <v>0</v>
      </c>
      <c r="I163" s="40"/>
      <c r="J163" s="65"/>
      <c r="K163" s="65"/>
      <c r="L163" s="65"/>
      <c r="M163" s="65"/>
    </row>
    <row r="164" spans="1:13" hidden="1" x14ac:dyDescent="0.25">
      <c r="A164" s="41">
        <f t="shared" si="8"/>
        <v>161</v>
      </c>
      <c r="B164" s="62"/>
      <c r="C164" s="68"/>
      <c r="D164" s="75"/>
      <c r="E164" s="69"/>
      <c r="F164" s="40"/>
      <c r="G164" s="75"/>
      <c r="H164" s="75">
        <f t="shared" si="7"/>
        <v>0</v>
      </c>
      <c r="I164" s="40"/>
      <c r="J164" s="65"/>
      <c r="K164" s="65"/>
      <c r="L164" s="65"/>
      <c r="M164" s="65"/>
    </row>
    <row r="165" spans="1:13" hidden="1" x14ac:dyDescent="0.25">
      <c r="A165" s="41">
        <f t="shared" si="8"/>
        <v>162</v>
      </c>
      <c r="B165" s="62"/>
      <c r="C165" s="68"/>
      <c r="D165" s="75"/>
      <c r="E165" s="69"/>
      <c r="F165" s="40"/>
      <c r="G165" s="75"/>
      <c r="H165" s="75">
        <f t="shared" si="7"/>
        <v>0</v>
      </c>
      <c r="I165" s="40"/>
      <c r="J165" s="65"/>
      <c r="K165" s="65"/>
      <c r="L165" s="65"/>
      <c r="M165" s="65"/>
    </row>
    <row r="166" spans="1:13" hidden="1" x14ac:dyDescent="0.25">
      <c r="A166" s="41">
        <f t="shared" si="8"/>
        <v>163</v>
      </c>
      <c r="B166" s="62"/>
      <c r="C166" s="68"/>
      <c r="D166" s="75"/>
      <c r="E166" s="69"/>
      <c r="F166" s="40"/>
      <c r="G166" s="75"/>
      <c r="H166" s="75">
        <f t="shared" si="7"/>
        <v>0</v>
      </c>
      <c r="I166" s="40"/>
      <c r="J166" s="65"/>
      <c r="K166" s="65"/>
      <c r="L166" s="65"/>
      <c r="M166" s="65"/>
    </row>
    <row r="167" spans="1:13" hidden="1" x14ac:dyDescent="0.25">
      <c r="A167" s="41">
        <f t="shared" si="8"/>
        <v>164</v>
      </c>
      <c r="B167" s="62"/>
      <c r="C167" s="68"/>
      <c r="D167" s="75"/>
      <c r="E167" s="69"/>
      <c r="F167" s="40"/>
      <c r="G167" s="75"/>
      <c r="H167" s="75">
        <f t="shared" si="7"/>
        <v>0</v>
      </c>
      <c r="I167" s="40"/>
      <c r="J167" s="65"/>
      <c r="K167" s="65"/>
      <c r="L167" s="65"/>
      <c r="M167" s="65"/>
    </row>
    <row r="168" spans="1:13" hidden="1" x14ac:dyDescent="0.25">
      <c r="A168" s="41">
        <f t="shared" si="8"/>
        <v>165</v>
      </c>
      <c r="B168" s="62"/>
      <c r="C168" s="68"/>
      <c r="D168" s="75"/>
      <c r="E168" s="69"/>
      <c r="F168" s="40"/>
      <c r="G168" s="75"/>
      <c r="H168" s="75">
        <f t="shared" si="7"/>
        <v>0</v>
      </c>
      <c r="I168" s="40"/>
      <c r="J168" s="65"/>
      <c r="K168" s="65"/>
      <c r="L168" s="65"/>
      <c r="M168" s="65"/>
    </row>
    <row r="169" spans="1:13" hidden="1" x14ac:dyDescent="0.25">
      <c r="A169" s="41">
        <f t="shared" si="8"/>
        <v>166</v>
      </c>
      <c r="B169" s="62"/>
      <c r="C169" s="68"/>
      <c r="D169" s="75"/>
      <c r="E169" s="69"/>
      <c r="F169" s="40"/>
      <c r="G169" s="75"/>
      <c r="H169" s="75">
        <f t="shared" si="7"/>
        <v>0</v>
      </c>
      <c r="I169" s="40"/>
      <c r="J169" s="65"/>
      <c r="K169" s="65"/>
      <c r="L169" s="65"/>
      <c r="M169" s="65"/>
    </row>
    <row r="170" spans="1:13" hidden="1" x14ac:dyDescent="0.25">
      <c r="A170" s="41">
        <f t="shared" si="8"/>
        <v>167</v>
      </c>
      <c r="B170" s="62"/>
      <c r="C170" s="68"/>
      <c r="D170" s="75"/>
      <c r="E170" s="69"/>
      <c r="F170" s="40"/>
      <c r="G170" s="75"/>
      <c r="H170" s="75">
        <f t="shared" si="7"/>
        <v>0</v>
      </c>
      <c r="I170" s="40"/>
      <c r="J170" s="65"/>
      <c r="K170" s="65"/>
      <c r="L170" s="65"/>
      <c r="M170" s="65"/>
    </row>
    <row r="171" spans="1:13" hidden="1" x14ac:dyDescent="0.25">
      <c r="A171" s="41">
        <f t="shared" si="8"/>
        <v>168</v>
      </c>
      <c r="B171" s="62"/>
      <c r="C171" s="68"/>
      <c r="D171" s="75"/>
      <c r="E171" s="69"/>
      <c r="F171" s="40"/>
      <c r="G171" s="75"/>
      <c r="H171" s="75">
        <f t="shared" si="7"/>
        <v>0</v>
      </c>
      <c r="I171" s="40"/>
      <c r="J171" s="65"/>
      <c r="K171" s="65"/>
      <c r="L171" s="65"/>
      <c r="M171" s="65"/>
    </row>
    <row r="172" spans="1:13" hidden="1" x14ac:dyDescent="0.25">
      <c r="A172" s="41">
        <f t="shared" si="8"/>
        <v>169</v>
      </c>
      <c r="B172" s="62"/>
      <c r="C172" s="68"/>
      <c r="D172" s="68"/>
      <c r="E172" s="69"/>
      <c r="F172" s="40"/>
      <c r="G172" s="75"/>
      <c r="H172" s="75">
        <f t="shared" si="7"/>
        <v>0</v>
      </c>
      <c r="I172" s="40"/>
      <c r="J172" s="65"/>
      <c r="K172" s="65"/>
      <c r="L172" s="65"/>
      <c r="M172" s="65"/>
    </row>
    <row r="173" spans="1:13" hidden="1" x14ac:dyDescent="0.25">
      <c r="A173" s="41">
        <f t="shared" si="8"/>
        <v>170</v>
      </c>
      <c r="B173" s="62"/>
      <c r="C173" s="68"/>
      <c r="D173" s="68"/>
      <c r="E173" s="69"/>
      <c r="F173" s="40"/>
      <c r="G173" s="75"/>
      <c r="H173" s="75">
        <f t="shared" si="7"/>
        <v>0</v>
      </c>
      <c r="I173" s="40"/>
      <c r="J173" s="65"/>
      <c r="K173" s="65"/>
      <c r="L173" s="65"/>
      <c r="M173" s="65"/>
    </row>
    <row r="174" spans="1:13" hidden="1" x14ac:dyDescent="0.25">
      <c r="A174" s="41">
        <f t="shared" si="8"/>
        <v>171</v>
      </c>
      <c r="B174" s="62"/>
      <c r="C174" s="68"/>
      <c r="D174" s="75"/>
      <c r="E174" s="69"/>
      <c r="F174" s="40"/>
      <c r="G174" s="75"/>
      <c r="H174" s="75">
        <f t="shared" si="7"/>
        <v>0</v>
      </c>
      <c r="I174" s="40"/>
      <c r="J174" s="65"/>
      <c r="K174" s="65"/>
      <c r="L174" s="65"/>
      <c r="M174" s="65"/>
    </row>
    <row r="175" spans="1:13" hidden="1" x14ac:dyDescent="0.25">
      <c r="A175" s="41">
        <f t="shared" si="8"/>
        <v>172</v>
      </c>
      <c r="B175" s="62"/>
      <c r="C175" s="68"/>
      <c r="D175" s="75"/>
      <c r="E175" s="69"/>
      <c r="F175" s="40"/>
      <c r="G175" s="75"/>
      <c r="H175" s="75">
        <f t="shared" ref="H175" si="10">G175-D175</f>
        <v>0</v>
      </c>
      <c r="I175" s="40"/>
      <c r="J175" s="65"/>
      <c r="K175" s="65"/>
      <c r="L175" s="65"/>
      <c r="M175" s="65"/>
    </row>
    <row r="176" spans="1:13" hidden="1" x14ac:dyDescent="0.25">
      <c r="A176" s="41">
        <f t="shared" si="8"/>
        <v>173</v>
      </c>
      <c r="B176" s="62"/>
      <c r="C176" s="68"/>
      <c r="D176" s="68"/>
      <c r="E176" s="69"/>
      <c r="F176" s="40"/>
      <c r="G176" s="75"/>
      <c r="H176" s="75">
        <f>E176-G176</f>
        <v>0</v>
      </c>
      <c r="I176" s="73"/>
      <c r="J176" s="65"/>
      <c r="K176" s="65"/>
      <c r="L176" s="65"/>
      <c r="M176" s="65"/>
    </row>
    <row r="177" spans="1:13" hidden="1" x14ac:dyDescent="0.25">
      <c r="A177" s="41">
        <f t="shared" si="8"/>
        <v>174</v>
      </c>
      <c r="B177" s="62"/>
      <c r="C177" s="68"/>
      <c r="D177" s="68"/>
      <c r="E177" s="69"/>
      <c r="F177" s="40"/>
      <c r="G177" s="75"/>
      <c r="H177" s="75">
        <f>E177-G177</f>
        <v>0</v>
      </c>
      <c r="I177" s="73"/>
      <c r="J177" s="65"/>
      <c r="K177" s="65"/>
      <c r="L177" s="65"/>
      <c r="M177" s="65"/>
    </row>
    <row r="178" spans="1:13" hidden="1" x14ac:dyDescent="0.25">
      <c r="A178" s="41">
        <f t="shared" si="8"/>
        <v>175</v>
      </c>
      <c r="B178" s="62"/>
      <c r="C178" s="68"/>
      <c r="D178" s="75"/>
      <c r="E178" s="69"/>
      <c r="F178" s="40"/>
      <c r="G178" s="75"/>
      <c r="H178" s="75">
        <f t="shared" ref="H178:H211" si="11">G178-D178</f>
        <v>0</v>
      </c>
      <c r="I178" s="40"/>
      <c r="J178" s="65"/>
      <c r="K178" s="65"/>
      <c r="L178" s="65"/>
      <c r="M178" s="65"/>
    </row>
    <row r="179" spans="1:13" hidden="1" x14ac:dyDescent="0.25">
      <c r="A179" s="41">
        <f t="shared" si="8"/>
        <v>176</v>
      </c>
      <c r="B179" s="62"/>
      <c r="C179" s="68"/>
      <c r="D179" s="68"/>
      <c r="E179" s="69"/>
      <c r="F179" s="40"/>
      <c r="G179" s="75"/>
      <c r="H179" s="75">
        <f t="shared" si="11"/>
        <v>0</v>
      </c>
      <c r="I179" s="40"/>
      <c r="J179" s="65"/>
      <c r="K179" s="65"/>
      <c r="L179" s="65"/>
      <c r="M179" s="65"/>
    </row>
    <row r="180" spans="1:13" hidden="1" x14ac:dyDescent="0.25">
      <c r="A180" s="41">
        <f t="shared" si="8"/>
        <v>177</v>
      </c>
      <c r="B180" s="62"/>
      <c r="C180" s="68"/>
      <c r="D180" s="75"/>
      <c r="E180" s="69"/>
      <c r="F180" s="40"/>
      <c r="G180" s="75"/>
      <c r="H180" s="75">
        <f t="shared" si="11"/>
        <v>0</v>
      </c>
      <c r="I180" s="40"/>
      <c r="J180" s="65"/>
      <c r="K180" s="65"/>
      <c r="L180" s="65"/>
      <c r="M180" s="65"/>
    </row>
    <row r="181" spans="1:13" hidden="1" x14ac:dyDescent="0.25">
      <c r="A181" s="41">
        <f t="shared" si="8"/>
        <v>178</v>
      </c>
      <c r="B181" s="62"/>
      <c r="C181" s="68"/>
      <c r="D181" s="75"/>
      <c r="E181" s="69"/>
      <c r="F181" s="40"/>
      <c r="G181" s="75"/>
      <c r="H181" s="75">
        <f t="shared" si="11"/>
        <v>0</v>
      </c>
      <c r="I181" s="40"/>
      <c r="J181" s="65"/>
      <c r="K181" s="65"/>
      <c r="L181" s="65"/>
      <c r="M181" s="65"/>
    </row>
    <row r="182" spans="1:13" hidden="1" x14ac:dyDescent="0.25">
      <c r="A182" s="41">
        <f t="shared" si="8"/>
        <v>179</v>
      </c>
      <c r="B182" s="62"/>
      <c r="C182" s="68"/>
      <c r="D182" s="75"/>
      <c r="E182" s="69"/>
      <c r="F182" s="40"/>
      <c r="G182" s="75"/>
      <c r="H182" s="75">
        <f t="shared" si="11"/>
        <v>0</v>
      </c>
      <c r="I182" s="40"/>
      <c r="J182" s="65"/>
      <c r="K182" s="65"/>
      <c r="L182" s="65"/>
      <c r="M182" s="65"/>
    </row>
    <row r="183" spans="1:13" hidden="1" x14ac:dyDescent="0.25">
      <c r="A183" s="41">
        <f t="shared" si="8"/>
        <v>180</v>
      </c>
      <c r="B183" s="62"/>
      <c r="C183" s="68"/>
      <c r="D183" s="75"/>
      <c r="E183" s="69"/>
      <c r="F183" s="40"/>
      <c r="G183" s="75"/>
      <c r="H183" s="75">
        <f t="shared" si="11"/>
        <v>0</v>
      </c>
      <c r="I183" s="40"/>
      <c r="J183" s="65"/>
      <c r="K183" s="65"/>
      <c r="L183" s="65"/>
      <c r="M183" s="65"/>
    </row>
    <row r="184" spans="1:13" hidden="1" x14ac:dyDescent="0.25">
      <c r="A184" s="41">
        <f t="shared" si="8"/>
        <v>181</v>
      </c>
      <c r="B184" s="62"/>
      <c r="C184" s="68"/>
      <c r="D184" s="75"/>
      <c r="E184" s="69"/>
      <c r="F184" s="40"/>
      <c r="G184" s="75"/>
      <c r="H184" s="75">
        <f t="shared" si="11"/>
        <v>0</v>
      </c>
      <c r="I184" s="40"/>
      <c r="J184" s="65"/>
      <c r="K184" s="65"/>
      <c r="L184" s="65"/>
      <c r="M184" s="65"/>
    </row>
    <row r="185" spans="1:13" hidden="1" x14ac:dyDescent="0.25">
      <c r="A185" s="41">
        <f t="shared" si="8"/>
        <v>182</v>
      </c>
      <c r="B185" s="62"/>
      <c r="C185" s="68"/>
      <c r="D185" s="68"/>
      <c r="E185" s="69"/>
      <c r="F185" s="40"/>
      <c r="G185" s="75"/>
      <c r="H185" s="75">
        <f t="shared" si="11"/>
        <v>0</v>
      </c>
      <c r="I185" s="40"/>
      <c r="J185" s="65"/>
      <c r="K185" s="65"/>
      <c r="L185" s="65"/>
      <c r="M185" s="65"/>
    </row>
    <row r="186" spans="1:13" hidden="1" x14ac:dyDescent="0.25">
      <c r="A186" s="41">
        <f t="shared" si="8"/>
        <v>183</v>
      </c>
      <c r="B186" s="62"/>
      <c r="C186" s="68"/>
      <c r="D186" s="75"/>
      <c r="E186" s="69"/>
      <c r="F186" s="40"/>
      <c r="G186" s="75"/>
      <c r="H186" s="75">
        <f t="shared" si="11"/>
        <v>0</v>
      </c>
      <c r="I186" s="40"/>
      <c r="J186" s="65"/>
      <c r="K186" s="65"/>
      <c r="L186" s="65"/>
      <c r="M186" s="65"/>
    </row>
    <row r="187" spans="1:13" hidden="1" x14ac:dyDescent="0.25">
      <c r="A187" s="41">
        <f t="shared" si="8"/>
        <v>184</v>
      </c>
      <c r="B187" s="62"/>
      <c r="C187" s="68"/>
      <c r="D187" s="75"/>
      <c r="E187" s="69"/>
      <c r="F187" s="40"/>
      <c r="G187" s="75"/>
      <c r="H187" s="75">
        <f t="shared" si="11"/>
        <v>0</v>
      </c>
      <c r="I187" s="40"/>
      <c r="J187" s="65"/>
      <c r="K187" s="65"/>
      <c r="L187" s="65"/>
      <c r="M187" s="65"/>
    </row>
    <row r="188" spans="1:13" hidden="1" x14ac:dyDescent="0.25">
      <c r="A188" s="41">
        <f t="shared" si="8"/>
        <v>185</v>
      </c>
      <c r="B188" s="62"/>
      <c r="C188" s="68"/>
      <c r="D188" s="75"/>
      <c r="E188" s="69"/>
      <c r="F188" s="40"/>
      <c r="G188" s="75"/>
      <c r="H188" s="75">
        <f t="shared" si="11"/>
        <v>0</v>
      </c>
      <c r="I188" s="40"/>
      <c r="J188" s="65"/>
      <c r="K188" s="65"/>
      <c r="L188" s="65"/>
      <c r="M188" s="65"/>
    </row>
    <row r="189" spans="1:13" hidden="1" x14ac:dyDescent="0.25">
      <c r="A189" s="41">
        <f t="shared" si="8"/>
        <v>186</v>
      </c>
      <c r="B189" s="62"/>
      <c r="C189" s="68"/>
      <c r="D189" s="75"/>
      <c r="E189" s="69"/>
      <c r="F189" s="40"/>
      <c r="G189" s="75"/>
      <c r="H189" s="75">
        <f t="shared" si="11"/>
        <v>0</v>
      </c>
      <c r="I189" s="40"/>
      <c r="J189" s="65"/>
      <c r="K189" s="65"/>
      <c r="L189" s="65"/>
      <c r="M189" s="65"/>
    </row>
    <row r="190" spans="1:13" hidden="1" x14ac:dyDescent="0.25">
      <c r="A190" s="41">
        <f t="shared" si="8"/>
        <v>187</v>
      </c>
      <c r="B190" s="62"/>
      <c r="C190" s="68"/>
      <c r="D190" s="75"/>
      <c r="E190" s="69"/>
      <c r="F190" s="40"/>
      <c r="G190" s="75"/>
      <c r="H190" s="75">
        <f t="shared" si="11"/>
        <v>0</v>
      </c>
      <c r="I190" s="40"/>
      <c r="J190" s="65"/>
      <c r="K190" s="65"/>
      <c r="L190" s="65"/>
      <c r="M190" s="65"/>
    </row>
    <row r="191" spans="1:13" hidden="1" x14ac:dyDescent="0.25">
      <c r="A191" s="41">
        <f t="shared" si="8"/>
        <v>188</v>
      </c>
      <c r="B191" s="62"/>
      <c r="C191" s="68"/>
      <c r="D191" s="68"/>
      <c r="E191" s="69"/>
      <c r="F191" s="40"/>
      <c r="G191" s="75"/>
      <c r="H191" s="75">
        <f t="shared" si="11"/>
        <v>0</v>
      </c>
      <c r="I191" s="40"/>
      <c r="J191" s="65"/>
      <c r="K191" s="65"/>
      <c r="L191" s="65"/>
      <c r="M191" s="65"/>
    </row>
    <row r="192" spans="1:13" hidden="1" x14ac:dyDescent="0.25">
      <c r="A192" s="41">
        <f t="shared" si="8"/>
        <v>189</v>
      </c>
      <c r="B192" s="62"/>
      <c r="C192" s="68"/>
      <c r="D192" s="68"/>
      <c r="E192" s="69"/>
      <c r="F192" s="40"/>
      <c r="G192" s="75"/>
      <c r="H192" s="75">
        <f t="shared" si="11"/>
        <v>0</v>
      </c>
      <c r="I192" s="40"/>
      <c r="J192" s="65"/>
      <c r="K192" s="65"/>
      <c r="L192" s="65"/>
      <c r="M192" s="65"/>
    </row>
    <row r="193" spans="1:13" hidden="1" x14ac:dyDescent="0.25">
      <c r="A193" s="41">
        <f t="shared" si="8"/>
        <v>190</v>
      </c>
      <c r="B193" s="62"/>
      <c r="C193" s="68"/>
      <c r="D193" s="68"/>
      <c r="E193" s="69"/>
      <c r="F193" s="40"/>
      <c r="G193" s="75"/>
      <c r="H193" s="75">
        <f t="shared" si="11"/>
        <v>0</v>
      </c>
      <c r="I193" s="40"/>
      <c r="J193" s="65"/>
      <c r="K193" s="65"/>
      <c r="L193" s="65"/>
      <c r="M193" s="65"/>
    </row>
    <row r="194" spans="1:13" hidden="1" x14ac:dyDescent="0.25">
      <c r="A194" s="41">
        <f t="shared" si="8"/>
        <v>191</v>
      </c>
      <c r="B194" s="62"/>
      <c r="C194" s="68"/>
      <c r="D194" s="68"/>
      <c r="E194" s="69"/>
      <c r="F194" s="40"/>
      <c r="G194" s="75"/>
      <c r="H194" s="75">
        <f t="shared" si="11"/>
        <v>0</v>
      </c>
      <c r="I194" s="40"/>
      <c r="J194" s="65"/>
      <c r="K194" s="65"/>
      <c r="L194" s="65"/>
      <c r="M194" s="65"/>
    </row>
    <row r="195" spans="1:13" hidden="1" x14ac:dyDescent="0.25">
      <c r="A195" s="41">
        <f t="shared" si="8"/>
        <v>192</v>
      </c>
      <c r="B195" s="62"/>
      <c r="C195" s="68"/>
      <c r="D195" s="68"/>
      <c r="E195" s="69"/>
      <c r="F195" s="40"/>
      <c r="G195" s="75"/>
      <c r="H195" s="75">
        <f t="shared" si="11"/>
        <v>0</v>
      </c>
      <c r="I195" s="40"/>
      <c r="J195" s="65"/>
      <c r="K195" s="65"/>
      <c r="L195" s="65"/>
      <c r="M195" s="65"/>
    </row>
    <row r="196" spans="1:13" hidden="1" x14ac:dyDescent="0.25">
      <c r="A196" s="41">
        <f t="shared" si="8"/>
        <v>193</v>
      </c>
      <c r="B196" s="62"/>
      <c r="C196" s="68"/>
      <c r="D196" s="75"/>
      <c r="E196" s="69"/>
      <c r="F196" s="40"/>
      <c r="G196" s="75"/>
      <c r="H196" s="75">
        <f t="shared" si="11"/>
        <v>0</v>
      </c>
      <c r="I196" s="40"/>
      <c r="J196" s="65"/>
      <c r="K196" s="65"/>
      <c r="L196" s="65"/>
      <c r="M196" s="65"/>
    </row>
    <row r="197" spans="1:13" hidden="1" x14ac:dyDescent="0.25">
      <c r="A197" s="41">
        <f t="shared" si="8"/>
        <v>194</v>
      </c>
      <c r="B197" s="62"/>
      <c r="C197" s="68"/>
      <c r="D197" s="75"/>
      <c r="E197" s="69"/>
      <c r="F197" s="40"/>
      <c r="G197" s="75"/>
      <c r="H197" s="75">
        <f t="shared" si="11"/>
        <v>0</v>
      </c>
      <c r="I197" s="40"/>
      <c r="J197" s="65"/>
      <c r="K197" s="65"/>
      <c r="L197" s="65"/>
      <c r="M197" s="65"/>
    </row>
    <row r="198" spans="1:13" hidden="1" x14ac:dyDescent="0.25">
      <c r="A198" s="41">
        <f t="shared" ref="A198:A210" si="12">1+A197</f>
        <v>195</v>
      </c>
      <c r="B198" s="62"/>
      <c r="C198" s="68"/>
      <c r="D198" s="68"/>
      <c r="E198" s="69"/>
      <c r="F198" s="40"/>
      <c r="G198" s="75"/>
      <c r="H198" s="75">
        <f t="shared" si="11"/>
        <v>0</v>
      </c>
      <c r="I198" s="40"/>
      <c r="J198" s="65"/>
      <c r="K198" s="65"/>
      <c r="L198" s="65"/>
      <c r="M198" s="65"/>
    </row>
    <row r="199" spans="1:13" hidden="1" x14ac:dyDescent="0.25">
      <c r="A199" s="41">
        <f t="shared" si="12"/>
        <v>196</v>
      </c>
      <c r="B199" s="62"/>
      <c r="C199" s="68"/>
      <c r="D199" s="68"/>
      <c r="E199" s="69"/>
      <c r="F199" s="40"/>
      <c r="G199" s="75"/>
      <c r="H199" s="75">
        <f t="shared" si="11"/>
        <v>0</v>
      </c>
      <c r="I199" s="40"/>
      <c r="J199" s="65"/>
      <c r="K199" s="65"/>
      <c r="L199" s="65"/>
      <c r="M199" s="65"/>
    </row>
    <row r="200" spans="1:13" hidden="1" x14ac:dyDescent="0.25">
      <c r="A200" s="41">
        <f t="shared" si="12"/>
        <v>197</v>
      </c>
      <c r="B200" s="62"/>
      <c r="C200" s="68"/>
      <c r="D200" s="75"/>
      <c r="E200" s="69"/>
      <c r="F200" s="40"/>
      <c r="G200" s="75"/>
      <c r="H200" s="75">
        <f t="shared" si="11"/>
        <v>0</v>
      </c>
      <c r="I200" s="40"/>
      <c r="J200" s="65"/>
      <c r="K200" s="65"/>
      <c r="L200" s="65"/>
      <c r="M200" s="65"/>
    </row>
    <row r="201" spans="1:13" hidden="1" x14ac:dyDescent="0.25">
      <c r="A201" s="41">
        <f t="shared" si="12"/>
        <v>198</v>
      </c>
      <c r="B201" s="62"/>
      <c r="C201" s="68"/>
      <c r="D201" s="75"/>
      <c r="E201" s="69"/>
      <c r="F201" s="40"/>
      <c r="G201" s="75"/>
      <c r="H201" s="75">
        <f t="shared" si="11"/>
        <v>0</v>
      </c>
      <c r="I201" s="40"/>
      <c r="J201" s="65"/>
      <c r="K201" s="65"/>
      <c r="L201" s="65"/>
      <c r="M201" s="65"/>
    </row>
    <row r="202" spans="1:13" hidden="1" x14ac:dyDescent="0.25">
      <c r="A202" s="41">
        <f t="shared" si="12"/>
        <v>199</v>
      </c>
      <c r="B202" s="62"/>
      <c r="C202" s="68"/>
      <c r="D202" s="75"/>
      <c r="E202" s="69"/>
      <c r="F202" s="40"/>
      <c r="G202" s="75"/>
      <c r="H202" s="75">
        <f t="shared" si="11"/>
        <v>0</v>
      </c>
      <c r="I202" s="40"/>
      <c r="J202" s="65"/>
      <c r="K202" s="65"/>
      <c r="L202" s="65"/>
      <c r="M202" s="65"/>
    </row>
    <row r="203" spans="1:13" hidden="1" x14ac:dyDescent="0.25">
      <c r="A203" s="41">
        <f t="shared" si="12"/>
        <v>200</v>
      </c>
      <c r="B203" s="62"/>
      <c r="C203" s="68"/>
      <c r="D203" s="75"/>
      <c r="E203" s="69"/>
      <c r="F203" s="40"/>
      <c r="G203" s="75"/>
      <c r="H203" s="75">
        <f t="shared" si="11"/>
        <v>0</v>
      </c>
      <c r="I203" s="40"/>
      <c r="J203" s="65"/>
      <c r="K203" s="65"/>
      <c r="L203" s="65"/>
      <c r="M203" s="65"/>
    </row>
    <row r="204" spans="1:13" hidden="1" x14ac:dyDescent="0.25">
      <c r="A204" s="41">
        <f t="shared" si="12"/>
        <v>201</v>
      </c>
      <c r="B204" s="62"/>
      <c r="C204" s="68"/>
      <c r="D204" s="75"/>
      <c r="E204" s="69"/>
      <c r="F204" s="40"/>
      <c r="G204" s="75"/>
      <c r="H204" s="75">
        <f t="shared" si="11"/>
        <v>0</v>
      </c>
      <c r="I204" s="40"/>
      <c r="J204" s="65"/>
      <c r="K204" s="65"/>
      <c r="L204" s="65"/>
      <c r="M204" s="65"/>
    </row>
    <row r="205" spans="1:13" hidden="1" x14ac:dyDescent="0.25">
      <c r="A205" s="41">
        <f t="shared" si="12"/>
        <v>202</v>
      </c>
      <c r="B205" s="62"/>
      <c r="C205" s="68"/>
      <c r="D205" s="75"/>
      <c r="E205" s="69"/>
      <c r="F205" s="40"/>
      <c r="G205" s="75"/>
      <c r="H205" s="75">
        <f t="shared" si="11"/>
        <v>0</v>
      </c>
      <c r="I205" s="40"/>
      <c r="J205" s="65"/>
      <c r="K205" s="65"/>
      <c r="L205" s="65"/>
      <c r="M205" s="65"/>
    </row>
    <row r="206" spans="1:13" hidden="1" x14ac:dyDescent="0.25">
      <c r="A206" s="41">
        <f t="shared" si="12"/>
        <v>203</v>
      </c>
      <c r="B206" s="62"/>
      <c r="C206" s="68"/>
      <c r="D206" s="75"/>
      <c r="E206" s="69"/>
      <c r="F206" s="40"/>
      <c r="G206" s="75"/>
      <c r="H206" s="75">
        <f t="shared" si="11"/>
        <v>0</v>
      </c>
      <c r="I206" s="40"/>
      <c r="J206" s="65"/>
      <c r="K206" s="65"/>
      <c r="L206" s="65"/>
      <c r="M206" s="65"/>
    </row>
    <row r="207" spans="1:13" hidden="1" x14ac:dyDescent="0.25">
      <c r="A207" s="41">
        <f t="shared" si="12"/>
        <v>204</v>
      </c>
      <c r="B207" s="62"/>
      <c r="C207" s="68"/>
      <c r="D207" s="75"/>
      <c r="E207" s="69"/>
      <c r="F207" s="40"/>
      <c r="G207" s="75"/>
      <c r="H207" s="75">
        <f t="shared" si="11"/>
        <v>0</v>
      </c>
      <c r="I207" s="40"/>
      <c r="J207" s="65"/>
      <c r="K207" s="65"/>
      <c r="L207" s="65"/>
      <c r="M207" s="65"/>
    </row>
    <row r="208" spans="1:13" hidden="1" x14ac:dyDescent="0.25">
      <c r="A208" s="41">
        <f t="shared" si="12"/>
        <v>205</v>
      </c>
      <c r="B208" s="62"/>
      <c r="C208" s="68"/>
      <c r="D208" s="75"/>
      <c r="E208" s="69"/>
      <c r="F208" s="40"/>
      <c r="G208" s="75"/>
      <c r="H208" s="75">
        <f t="shared" si="11"/>
        <v>0</v>
      </c>
      <c r="I208" s="40"/>
      <c r="J208" s="65"/>
      <c r="K208" s="65"/>
      <c r="L208" s="65"/>
      <c r="M208" s="65"/>
    </row>
    <row r="209" spans="1:13" hidden="1" x14ac:dyDescent="0.25">
      <c r="A209" s="41">
        <f t="shared" si="12"/>
        <v>206</v>
      </c>
      <c r="B209" s="62"/>
      <c r="C209" s="68"/>
      <c r="D209" s="75"/>
      <c r="E209" s="69"/>
      <c r="F209" s="40"/>
      <c r="G209" s="75"/>
      <c r="H209" s="75">
        <f t="shared" si="11"/>
        <v>0</v>
      </c>
      <c r="I209" s="40"/>
      <c r="J209" s="65"/>
      <c r="K209" s="65"/>
      <c r="L209" s="65"/>
      <c r="M209" s="65"/>
    </row>
    <row r="210" spans="1:13" x14ac:dyDescent="0.25">
      <c r="A210" s="41">
        <f t="shared" si="12"/>
        <v>207</v>
      </c>
      <c r="B210" s="62"/>
      <c r="C210" s="68"/>
      <c r="D210" s="68"/>
      <c r="E210" s="75"/>
      <c r="F210" s="40"/>
      <c r="G210" s="75"/>
      <c r="H210" s="75">
        <f t="shared" si="11"/>
        <v>0</v>
      </c>
      <c r="I210" s="40"/>
      <c r="J210" s="65"/>
      <c r="K210" s="65"/>
      <c r="L210" s="65"/>
      <c r="M210" s="65"/>
    </row>
    <row r="211" spans="1:13" x14ac:dyDescent="0.25">
      <c r="A211" s="79"/>
      <c r="B211" s="80" t="s">
        <v>72</v>
      </c>
      <c r="C211" s="81">
        <f>SUM(C4:C210)</f>
        <v>6771044975</v>
      </c>
      <c r="D211" s="81">
        <f>SUM(D4:D210)</f>
        <v>6061478975</v>
      </c>
      <c r="E211" s="81">
        <f>SUM(E4:E210)</f>
        <v>709566000</v>
      </c>
      <c r="F211" s="82"/>
      <c r="G211" s="81">
        <f>SUM(G4:G210)</f>
        <v>0</v>
      </c>
      <c r="H211" s="83">
        <f t="shared" si="11"/>
        <v>-6061478975</v>
      </c>
      <c r="I211" s="79"/>
      <c r="J211" s="65"/>
      <c r="K211" s="65"/>
      <c r="L211" s="65"/>
      <c r="M211" s="65"/>
    </row>
    <row r="212" spans="1:13" ht="15.75" thickBot="1" x14ac:dyDescent="0.3"/>
    <row r="213" spans="1:13" x14ac:dyDescent="0.25">
      <c r="C213" s="84">
        <f>+C211</f>
        <v>6771044975</v>
      </c>
      <c r="D213" s="85">
        <v>1000000000</v>
      </c>
      <c r="E213" s="85">
        <f>C213-D213</f>
        <v>5771044975</v>
      </c>
      <c r="F213" s="86" t="s">
        <v>73</v>
      </c>
      <c r="G213" s="87" t="s">
        <v>74</v>
      </c>
    </row>
    <row r="214" spans="1:13" ht="15.75" thickBot="1" x14ac:dyDescent="0.3">
      <c r="C214" s="88"/>
      <c r="D214" s="89"/>
      <c r="E214" s="90">
        <f>E213/C213</f>
        <v>0.85231230870682562</v>
      </c>
      <c r="F214" s="91"/>
    </row>
    <row r="215" spans="1:13" ht="12" customHeight="1" thickBot="1" x14ac:dyDescent="0.3">
      <c r="C215" s="92"/>
      <c r="D215" s="92"/>
      <c r="E215" s="92"/>
    </row>
    <row r="216" spans="1:13" x14ac:dyDescent="0.25">
      <c r="C216" s="84">
        <v>20000000000</v>
      </c>
      <c r="D216" s="85">
        <f>+E211</f>
        <v>709566000</v>
      </c>
      <c r="E216" s="85">
        <f>C216-D216</f>
        <v>19290434000</v>
      </c>
      <c r="F216" s="86" t="s">
        <v>132</v>
      </c>
    </row>
    <row r="217" spans="1:13" ht="15.75" thickBot="1" x14ac:dyDescent="0.3">
      <c r="C217" s="93" t="s">
        <v>75</v>
      </c>
      <c r="D217" s="94" t="s">
        <v>76</v>
      </c>
      <c r="E217" s="90">
        <f>E216/C216</f>
        <v>0.96452170000000004</v>
      </c>
      <c r="F217" s="91"/>
    </row>
    <row r="219" spans="1:13" ht="15.75" thickBot="1" x14ac:dyDescent="0.3">
      <c r="E219" s="90">
        <f>D211/C211</f>
        <v>0.89520583563986744</v>
      </c>
      <c r="F219" s="95" t="s">
        <v>77</v>
      </c>
    </row>
    <row r="221" spans="1:13" x14ac:dyDescent="0.25">
      <c r="C221" s="96">
        <v>13000000000</v>
      </c>
      <c r="D221" s="97">
        <f>C221-E221-F221-G221</f>
        <v>12290434000</v>
      </c>
      <c r="E221" s="96">
        <f>E211-F221-G221</f>
        <v>613132550</v>
      </c>
      <c r="F221" s="96">
        <v>52391050</v>
      </c>
      <c r="G221" s="96">
        <v>44042400</v>
      </c>
    </row>
    <row r="222" spans="1:13" x14ac:dyDescent="0.25">
      <c r="C222" s="98" t="s">
        <v>78</v>
      </c>
      <c r="D222" s="99"/>
      <c r="E222" s="142">
        <f>(E221+F221)/C221</f>
        <v>5.119412307692308E-2</v>
      </c>
      <c r="F222" s="142"/>
    </row>
    <row r="224" spans="1:13" x14ac:dyDescent="0.25">
      <c r="C224" s="98" t="s">
        <v>79</v>
      </c>
      <c r="D224" s="98" t="s">
        <v>62</v>
      </c>
      <c r="E224" s="100">
        <v>30</v>
      </c>
      <c r="F224" s="100">
        <v>60</v>
      </c>
      <c r="G224" s="98">
        <v>90</v>
      </c>
    </row>
  </sheetData>
  <autoFilter ref="A3:M211"/>
  <mergeCells count="3">
    <mergeCell ref="A1:I1"/>
    <mergeCell ref="A2:I2"/>
    <mergeCell ref="E222:F222"/>
  </mergeCells>
  <conditionalFormatting sqref="B206:B211">
    <cfRule type="expression" dxfId="189" priority="189">
      <formula>AND($Z206&gt;0,$L206&gt;89)</formula>
    </cfRule>
    <cfRule type="expression" dxfId="188" priority="190">
      <formula>AND($Z206&gt;0,$L206&gt;59)</formula>
    </cfRule>
  </conditionalFormatting>
  <conditionalFormatting sqref="G34:G48 G176:G177 C210:E211 H207:H210 G193:G211 G49:H49 H4:H48 G51:H58 C206:D209 E4:E209">
    <cfRule type="expression" dxfId="187" priority="187">
      <formula>AND(#REF!&gt;0,$H4&gt;89)</formula>
    </cfRule>
    <cfRule type="expression" dxfId="186" priority="188">
      <formula>AND(#REF!&gt;0,$H4&gt;59)</formula>
    </cfRule>
  </conditionalFormatting>
  <conditionalFormatting sqref="H176:H177">
    <cfRule type="expression" dxfId="185" priority="185">
      <formula>AND(#REF!&gt;0,$H176&gt;89)</formula>
    </cfRule>
    <cfRule type="expression" dxfId="184" priority="186">
      <formula>AND(#REF!&gt;0,$H176&gt;59)</formula>
    </cfRule>
  </conditionalFormatting>
  <conditionalFormatting sqref="H206 H176:H177">
    <cfRule type="expression" dxfId="183" priority="183">
      <formula>AND(#REF!&gt;0,$H176&gt;89)</formula>
    </cfRule>
    <cfRule type="expression" dxfId="182" priority="184">
      <formula>AND(#REF!&gt;0,$H176&gt;59)</formula>
    </cfRule>
  </conditionalFormatting>
  <conditionalFormatting sqref="D213">
    <cfRule type="expression" dxfId="181" priority="181">
      <formula>AND(#REF!&gt;0,$H213&gt;89)</formula>
    </cfRule>
    <cfRule type="expression" dxfId="180" priority="182">
      <formula>AND(#REF!&gt;0,$H213&gt;59)</formula>
    </cfRule>
  </conditionalFormatting>
  <conditionalFormatting sqref="E213">
    <cfRule type="expression" dxfId="179" priority="179">
      <formula>AND(#REF!&gt;0,$H213&gt;89)</formula>
    </cfRule>
    <cfRule type="expression" dxfId="178" priority="180">
      <formula>AND(#REF!&gt;0,$H213&gt;59)</formula>
    </cfRule>
  </conditionalFormatting>
  <conditionalFormatting sqref="H211">
    <cfRule type="expression" dxfId="177" priority="177">
      <formula>AND(#REF!&gt;0,$H211&gt;89)</formula>
    </cfRule>
    <cfRule type="expression" dxfId="176" priority="178">
      <formula>AND(#REF!&gt;0,$H211&gt;59)</formula>
    </cfRule>
  </conditionalFormatting>
  <conditionalFormatting sqref="F4:G33">
    <cfRule type="expression" dxfId="175" priority="175">
      <formula>AND(#REF!&gt;0,$M4&gt;89)</formula>
    </cfRule>
    <cfRule type="expression" dxfId="174" priority="176">
      <formula>AND(#REF!&gt;0,$M4&gt;59)</formula>
    </cfRule>
  </conditionalFormatting>
  <conditionalFormatting sqref="C216">
    <cfRule type="expression" dxfId="173" priority="173">
      <formula>AND(#REF!&gt;0,$H216&gt;89)</formula>
    </cfRule>
    <cfRule type="expression" dxfId="172" priority="174">
      <formula>AND(#REF!&gt;0,$H216&gt;59)</formula>
    </cfRule>
  </conditionalFormatting>
  <conditionalFormatting sqref="D216">
    <cfRule type="expression" dxfId="171" priority="171">
      <formula>AND(#REF!&gt;0,$H216&gt;89)</formula>
    </cfRule>
    <cfRule type="expression" dxfId="170" priority="172">
      <formula>AND(#REF!&gt;0,$H216&gt;59)</formula>
    </cfRule>
  </conditionalFormatting>
  <conditionalFormatting sqref="E216">
    <cfRule type="expression" dxfId="169" priority="169">
      <formula>AND(#REF!&gt;0,$H216&gt;89)</formula>
    </cfRule>
    <cfRule type="expression" dxfId="168" priority="170">
      <formula>AND(#REF!&gt;0,$H216&gt;59)</formula>
    </cfRule>
  </conditionalFormatting>
  <conditionalFormatting sqref="B176:B177 I4:I49">
    <cfRule type="expression" dxfId="167" priority="167">
      <formula>AND($AD4&gt;0,$P4&gt;89)</formula>
    </cfRule>
    <cfRule type="expression" dxfId="166" priority="168">
      <formula>AND($AD4&gt;0,$P4&gt;59)</formula>
    </cfRule>
  </conditionalFormatting>
  <conditionalFormatting sqref="C176:C177">
    <cfRule type="expression" dxfId="165" priority="165">
      <formula>AND(#REF!&gt;0,$L176&gt;89)</formula>
    </cfRule>
    <cfRule type="expression" dxfId="164" priority="166">
      <formula>AND(#REF!&gt;0,$L176&gt;59)</formula>
    </cfRule>
  </conditionalFormatting>
  <conditionalFormatting sqref="I176:I177">
    <cfRule type="expression" dxfId="163" priority="163">
      <formula>AND($AD176&gt;0,$P176&gt;89)</formula>
    </cfRule>
    <cfRule type="expression" dxfId="162" priority="164">
      <formula>AND($AD176&gt;0,$P176&gt;59)</formula>
    </cfRule>
  </conditionalFormatting>
  <conditionalFormatting sqref="B192 B202:B205">
    <cfRule type="expression" dxfId="161" priority="161">
      <formula>AND($Z192&gt;0,$L192&gt;89)</formula>
    </cfRule>
    <cfRule type="expression" dxfId="160" priority="162">
      <formula>AND($Z192&gt;0,$L192&gt;59)</formula>
    </cfRule>
  </conditionalFormatting>
  <conditionalFormatting sqref="C192 C202:D205 G192">
    <cfRule type="expression" dxfId="159" priority="159">
      <formula>AND(#REF!&gt;0,$H192&gt;89)</formula>
    </cfRule>
    <cfRule type="expression" dxfId="158" priority="160">
      <formula>AND(#REF!&gt;0,$H192&gt;59)</formula>
    </cfRule>
  </conditionalFormatting>
  <conditionalFormatting sqref="H202:H205 H192">
    <cfRule type="expression" dxfId="157" priority="157">
      <formula>AND(#REF!&gt;0,$H192&gt;89)</formula>
    </cfRule>
    <cfRule type="expression" dxfId="156" priority="158">
      <formula>AND(#REF!&gt;0,$H192&gt;59)</formula>
    </cfRule>
  </conditionalFormatting>
  <conditionalFormatting sqref="B193:B201">
    <cfRule type="expression" dxfId="155" priority="155">
      <formula>AND($Z193&gt;0,$L193&gt;89)</formula>
    </cfRule>
    <cfRule type="expression" dxfId="154" priority="156">
      <formula>AND($Z193&gt;0,$L193&gt;59)</formula>
    </cfRule>
  </conditionalFormatting>
  <conditionalFormatting sqref="C193 C194:D201">
    <cfRule type="expression" dxfId="153" priority="153">
      <formula>AND(#REF!&gt;0,$H193&gt;89)</formula>
    </cfRule>
    <cfRule type="expression" dxfId="152" priority="154">
      <formula>AND(#REF!&gt;0,$H193&gt;59)</formula>
    </cfRule>
  </conditionalFormatting>
  <conditionalFormatting sqref="H193:H201">
    <cfRule type="expression" dxfId="151" priority="151">
      <formula>AND(#REF!&gt;0,$H193&gt;89)</formula>
    </cfRule>
    <cfRule type="expression" dxfId="150" priority="152">
      <formula>AND(#REF!&gt;0,$H193&gt;59)</formula>
    </cfRule>
  </conditionalFormatting>
  <conditionalFormatting sqref="B178 B188:B191">
    <cfRule type="expression" dxfId="149" priority="149">
      <formula>AND($Z178&gt;0,$L178&gt;89)</formula>
    </cfRule>
    <cfRule type="expression" dxfId="148" priority="150">
      <formula>AND($Z178&gt;0,$L178&gt;59)</formula>
    </cfRule>
  </conditionalFormatting>
  <conditionalFormatting sqref="C178:D178 G188:G191 C188:D190 G178 C191">
    <cfRule type="expression" dxfId="147" priority="147">
      <formula>AND(#REF!&gt;0,$H178&gt;89)</formula>
    </cfRule>
    <cfRule type="expression" dxfId="146" priority="148">
      <formula>AND(#REF!&gt;0,$H178&gt;59)</formula>
    </cfRule>
  </conditionalFormatting>
  <conditionalFormatting sqref="H188:H191 H178">
    <cfRule type="expression" dxfId="145" priority="145">
      <formula>AND(#REF!&gt;0,$H178&gt;89)</formula>
    </cfRule>
    <cfRule type="expression" dxfId="144" priority="146">
      <formula>AND(#REF!&gt;0,$H178&gt;59)</formula>
    </cfRule>
  </conditionalFormatting>
  <conditionalFormatting sqref="B179:B187">
    <cfRule type="expression" dxfId="143" priority="143">
      <formula>AND($Z179&gt;0,$L179&gt;89)</formula>
    </cfRule>
    <cfRule type="expression" dxfId="142" priority="144">
      <formula>AND($Z179&gt;0,$L179&gt;59)</formula>
    </cfRule>
  </conditionalFormatting>
  <conditionalFormatting sqref="G179:G187 C179:D187">
    <cfRule type="expression" dxfId="141" priority="141">
      <formula>AND(#REF!&gt;0,$H179&gt;89)</formula>
    </cfRule>
    <cfRule type="expression" dxfId="140" priority="142">
      <formula>AND(#REF!&gt;0,$H179&gt;59)</formula>
    </cfRule>
  </conditionalFormatting>
  <conditionalFormatting sqref="H179:H187">
    <cfRule type="expression" dxfId="139" priority="139">
      <formula>AND(#REF!&gt;0,$H179&gt;89)</formula>
    </cfRule>
    <cfRule type="expression" dxfId="138" priority="140">
      <formula>AND(#REF!&gt;0,$H179&gt;59)</formula>
    </cfRule>
  </conditionalFormatting>
  <conditionalFormatting sqref="D176:D177">
    <cfRule type="expression" dxfId="137" priority="137">
      <formula>AND(#REF!&gt;0,$L176&gt;89)</formula>
    </cfRule>
    <cfRule type="expression" dxfId="136" priority="138">
      <formula>AND(#REF!&gt;0,$L176&gt;59)</formula>
    </cfRule>
  </conditionalFormatting>
  <conditionalFormatting sqref="D192">
    <cfRule type="expression" dxfId="135" priority="135">
      <formula>AND(#REF!&gt;0,$H192&gt;89)</formula>
    </cfRule>
    <cfRule type="expression" dxfId="134" priority="136">
      <formula>AND(#REF!&gt;0,$H192&gt;59)</formula>
    </cfRule>
  </conditionalFormatting>
  <conditionalFormatting sqref="D193">
    <cfRule type="expression" dxfId="133" priority="133">
      <formula>AND(#REF!&gt;0,$H193&gt;89)</formula>
    </cfRule>
    <cfRule type="expression" dxfId="132" priority="134">
      <formula>AND(#REF!&gt;0,$H193&gt;59)</formula>
    </cfRule>
  </conditionalFormatting>
  <conditionalFormatting sqref="D191">
    <cfRule type="expression" dxfId="131" priority="131">
      <formula>AND(#REF!&gt;0,$H191&gt;89)</formula>
    </cfRule>
    <cfRule type="expression" dxfId="130" priority="132">
      <formula>AND(#REF!&gt;0,$H191&gt;59)</formula>
    </cfRule>
  </conditionalFormatting>
  <conditionalFormatting sqref="B168">
    <cfRule type="expression" dxfId="129" priority="129">
      <formula>AND($Z168&gt;0,$L168&gt;89)</formula>
    </cfRule>
    <cfRule type="expression" dxfId="128" priority="130">
      <formula>AND($Z168&gt;0,$L168&gt;59)</formula>
    </cfRule>
  </conditionalFormatting>
  <conditionalFormatting sqref="C168:D168">
    <cfRule type="expression" dxfId="127" priority="127">
      <formula>AND(#REF!&gt;0,$H168&gt;89)</formula>
    </cfRule>
    <cfRule type="expression" dxfId="126" priority="128">
      <formula>AND(#REF!&gt;0,$H168&gt;59)</formula>
    </cfRule>
  </conditionalFormatting>
  <conditionalFormatting sqref="H168">
    <cfRule type="expression" dxfId="125" priority="125">
      <formula>AND(#REF!&gt;0,$H168&gt;89)</formula>
    </cfRule>
    <cfRule type="expression" dxfId="124" priority="126">
      <formula>AND(#REF!&gt;0,$H168&gt;59)</formula>
    </cfRule>
  </conditionalFormatting>
  <conditionalFormatting sqref="B169:B175">
    <cfRule type="expression" dxfId="123" priority="123">
      <formula>AND($Z169&gt;0,$L169&gt;89)</formula>
    </cfRule>
    <cfRule type="expression" dxfId="122" priority="124">
      <formula>AND($Z169&gt;0,$L169&gt;59)</formula>
    </cfRule>
  </conditionalFormatting>
  <conditionalFormatting sqref="C169:D175">
    <cfRule type="expression" dxfId="121" priority="121">
      <formula>AND(#REF!&gt;0,$H169&gt;89)</formula>
    </cfRule>
    <cfRule type="expression" dxfId="120" priority="122">
      <formula>AND(#REF!&gt;0,$H169&gt;59)</formula>
    </cfRule>
  </conditionalFormatting>
  <conditionalFormatting sqref="H169:H175">
    <cfRule type="expression" dxfId="119" priority="119">
      <formula>AND(#REF!&gt;0,$H169&gt;89)</formula>
    </cfRule>
    <cfRule type="expression" dxfId="118" priority="120">
      <formula>AND(#REF!&gt;0,$H169&gt;59)</formula>
    </cfRule>
  </conditionalFormatting>
  <conditionalFormatting sqref="G63">
    <cfRule type="expression" dxfId="117" priority="117">
      <formula>AND(#REF!&gt;0,$H63&gt;89)</formula>
    </cfRule>
    <cfRule type="expression" dxfId="116" priority="118">
      <formula>AND(#REF!&gt;0,$H63&gt;59)</formula>
    </cfRule>
  </conditionalFormatting>
  <conditionalFormatting sqref="H73:H74 H63 H99:H100">
    <cfRule type="expression" dxfId="115" priority="115">
      <formula>AND(#REF!&gt;0,$H63&gt;89)</formula>
    </cfRule>
    <cfRule type="expression" dxfId="114" priority="116">
      <formula>AND(#REF!&gt;0,$H63&gt;59)</formula>
    </cfRule>
  </conditionalFormatting>
  <conditionalFormatting sqref="G64:G74 G99:G100 G168:G175">
    <cfRule type="expression" dxfId="113" priority="113">
      <formula>AND(#REF!&gt;0,$H64&gt;89)</formula>
    </cfRule>
    <cfRule type="expression" dxfId="112" priority="114">
      <formula>AND(#REF!&gt;0,$H64&gt;59)</formula>
    </cfRule>
  </conditionalFormatting>
  <conditionalFormatting sqref="H64:H72">
    <cfRule type="expression" dxfId="111" priority="111">
      <formula>AND(#REF!&gt;0,$H64&gt;89)</formula>
    </cfRule>
    <cfRule type="expression" dxfId="110" priority="112">
      <formula>AND(#REF!&gt;0,$H64&gt;59)</formula>
    </cfRule>
  </conditionalFormatting>
  <conditionalFormatting sqref="G59:G62 G50">
    <cfRule type="expression" dxfId="109" priority="109">
      <formula>AND(#REF!&gt;0,$H50&gt;89)</formula>
    </cfRule>
    <cfRule type="expression" dxfId="108" priority="110">
      <formula>AND(#REF!&gt;0,$H50&gt;59)</formula>
    </cfRule>
  </conditionalFormatting>
  <conditionalFormatting sqref="H59:H62 H50">
    <cfRule type="expression" dxfId="107" priority="107">
      <formula>AND(#REF!&gt;0,$H50&gt;89)</formula>
    </cfRule>
    <cfRule type="expression" dxfId="106" priority="108">
      <formula>AND(#REF!&gt;0,$H50&gt;59)</formula>
    </cfRule>
  </conditionalFormatting>
  <conditionalFormatting sqref="G85:G86">
    <cfRule type="expression" dxfId="105" priority="105">
      <formula>AND(#REF!&gt;0,$H85&gt;89)</formula>
    </cfRule>
    <cfRule type="expression" dxfId="104" priority="106">
      <formula>AND(#REF!&gt;0,$H85&gt;59)</formula>
    </cfRule>
  </conditionalFormatting>
  <conditionalFormatting sqref="H85:H86">
    <cfRule type="expression" dxfId="103" priority="103">
      <formula>AND(#REF!&gt;0,$H85&gt;89)</formula>
    </cfRule>
    <cfRule type="expression" dxfId="102" priority="104">
      <formula>AND(#REF!&gt;0,$H85&gt;59)</formula>
    </cfRule>
  </conditionalFormatting>
  <conditionalFormatting sqref="H85:H86">
    <cfRule type="expression" dxfId="101" priority="101">
      <formula>AND(#REF!&gt;0,$H85&gt;89)</formula>
    </cfRule>
    <cfRule type="expression" dxfId="100" priority="102">
      <formula>AND(#REF!&gt;0,$H85&gt;59)</formula>
    </cfRule>
  </conditionalFormatting>
  <conditionalFormatting sqref="I85:I86">
    <cfRule type="expression" dxfId="99" priority="99">
      <formula>AND($AD85&gt;0,$P85&gt;89)</formula>
    </cfRule>
    <cfRule type="expression" dxfId="98" priority="100">
      <formula>AND($AD85&gt;0,$P85&gt;59)</formula>
    </cfRule>
  </conditionalFormatting>
  <conditionalFormatting sqref="G97:G98 G87">
    <cfRule type="expression" dxfId="97" priority="97">
      <formula>AND(#REF!&gt;0,$H87&gt;89)</formula>
    </cfRule>
    <cfRule type="expression" dxfId="96" priority="98">
      <formula>AND(#REF!&gt;0,$H87&gt;59)</formula>
    </cfRule>
  </conditionalFormatting>
  <conditionalFormatting sqref="H97:H98 H87">
    <cfRule type="expression" dxfId="95" priority="95">
      <formula>AND(#REF!&gt;0,$H87&gt;89)</formula>
    </cfRule>
    <cfRule type="expression" dxfId="94" priority="96">
      <formula>AND(#REF!&gt;0,$H87&gt;59)</formula>
    </cfRule>
  </conditionalFormatting>
  <conditionalFormatting sqref="G88:G96">
    <cfRule type="expression" dxfId="93" priority="93">
      <formula>AND(#REF!&gt;0,$H88&gt;89)</formula>
    </cfRule>
    <cfRule type="expression" dxfId="92" priority="94">
      <formula>AND(#REF!&gt;0,$H88&gt;59)</formula>
    </cfRule>
  </conditionalFormatting>
  <conditionalFormatting sqref="H88:H96">
    <cfRule type="expression" dxfId="91" priority="91">
      <formula>AND(#REF!&gt;0,$H88&gt;89)</formula>
    </cfRule>
    <cfRule type="expression" dxfId="90" priority="92">
      <formula>AND(#REF!&gt;0,$H88&gt;59)</formula>
    </cfRule>
  </conditionalFormatting>
  <conditionalFormatting sqref="H77">
    <cfRule type="expression" dxfId="89" priority="89">
      <formula>AND(#REF!&gt;0,$H77&gt;89)</formula>
    </cfRule>
    <cfRule type="expression" dxfId="88" priority="90">
      <formula>AND(#REF!&gt;0,$H77&gt;59)</formula>
    </cfRule>
  </conditionalFormatting>
  <conditionalFormatting sqref="H78:H84">
    <cfRule type="expression" dxfId="87" priority="87">
      <formula>AND(#REF!&gt;0,$H78&gt;89)</formula>
    </cfRule>
    <cfRule type="expression" dxfId="86" priority="88">
      <formula>AND(#REF!&gt;0,$H78&gt;59)</formula>
    </cfRule>
  </conditionalFormatting>
  <conditionalFormatting sqref="H75:H76">
    <cfRule type="expression" dxfId="85" priority="85">
      <formula>AND(#REF!&gt;0,$H75&gt;89)</formula>
    </cfRule>
    <cfRule type="expression" dxfId="84" priority="86">
      <formula>AND(#REF!&gt;0,$H75&gt;59)</formula>
    </cfRule>
  </conditionalFormatting>
  <conditionalFormatting sqref="G75:G84">
    <cfRule type="expression" dxfId="83" priority="83">
      <formula>AND(#REF!&gt;0,$H75&gt;89)</formula>
    </cfRule>
    <cfRule type="expression" dxfId="82" priority="84">
      <formula>AND(#REF!&gt;0,$H75&gt;59)</formula>
    </cfRule>
  </conditionalFormatting>
  <conditionalFormatting sqref="B139 B149:B152">
    <cfRule type="expression" dxfId="81" priority="81">
      <formula>AND($Z139&gt;0,$L139&gt;89)</formula>
    </cfRule>
    <cfRule type="expression" dxfId="80" priority="82">
      <formula>AND($Z139&gt;0,$L139&gt;59)</formula>
    </cfRule>
  </conditionalFormatting>
  <conditionalFormatting sqref="C139 C149:D152 G109:G110">
    <cfRule type="expression" dxfId="79" priority="79">
      <formula>AND(#REF!&gt;0,$H109&gt;89)</formula>
    </cfRule>
    <cfRule type="expression" dxfId="78" priority="80">
      <formula>AND(#REF!&gt;0,$H109&gt;59)</formula>
    </cfRule>
  </conditionalFormatting>
  <conditionalFormatting sqref="H109:H110">
    <cfRule type="expression" dxfId="77" priority="77">
      <formula>AND(#REF!&gt;0,$H109&gt;89)</formula>
    </cfRule>
    <cfRule type="expression" dxfId="76" priority="78">
      <formula>AND(#REF!&gt;0,$H109&gt;59)</formula>
    </cfRule>
  </conditionalFormatting>
  <conditionalFormatting sqref="H149:H152 H139 H109:H110">
    <cfRule type="expression" dxfId="75" priority="75">
      <formula>AND(#REF!&gt;0,$H109&gt;89)</formula>
    </cfRule>
    <cfRule type="expression" dxfId="74" priority="76">
      <formula>AND(#REF!&gt;0,$H109&gt;59)</formula>
    </cfRule>
  </conditionalFormatting>
  <conditionalFormatting sqref="I109:I110">
    <cfRule type="expression" dxfId="73" priority="73">
      <formula>AND($AD109&gt;0,$P109&gt;89)</formula>
    </cfRule>
    <cfRule type="expression" dxfId="72" priority="74">
      <formula>AND($AD109&gt;0,$P109&gt;59)</formula>
    </cfRule>
  </conditionalFormatting>
  <conditionalFormatting sqref="B140:B148">
    <cfRule type="expression" dxfId="71" priority="71">
      <formula>AND($Z140&gt;0,$L140&gt;89)</formula>
    </cfRule>
    <cfRule type="expression" dxfId="70" priority="72">
      <formula>AND($Z140&gt;0,$L140&gt;59)</formula>
    </cfRule>
  </conditionalFormatting>
  <conditionalFormatting sqref="C140:C148">
    <cfRule type="expression" dxfId="69" priority="69">
      <formula>AND(#REF!&gt;0,$H140&gt;89)</formula>
    </cfRule>
    <cfRule type="expression" dxfId="68" priority="70">
      <formula>AND(#REF!&gt;0,$H140&gt;59)</formula>
    </cfRule>
  </conditionalFormatting>
  <conditionalFormatting sqref="H140:H148">
    <cfRule type="expression" dxfId="67" priority="67">
      <formula>AND(#REF!&gt;0,$H140&gt;89)</formula>
    </cfRule>
    <cfRule type="expression" dxfId="66" priority="68">
      <formula>AND(#REF!&gt;0,$H140&gt;59)</formula>
    </cfRule>
  </conditionalFormatting>
  <conditionalFormatting sqref="B125 B135:B138">
    <cfRule type="expression" dxfId="65" priority="65">
      <formula>AND($Z125&gt;0,$L125&gt;89)</formula>
    </cfRule>
    <cfRule type="expression" dxfId="64" priority="66">
      <formula>AND($Z125&gt;0,$L125&gt;59)</formula>
    </cfRule>
  </conditionalFormatting>
  <conditionalFormatting sqref="C125 G125 C135:C138">
    <cfRule type="expression" dxfId="63" priority="63">
      <formula>AND(#REF!&gt;0,$H125&gt;89)</formula>
    </cfRule>
    <cfRule type="expression" dxfId="62" priority="64">
      <formula>AND(#REF!&gt;0,$H125&gt;59)</formula>
    </cfRule>
  </conditionalFormatting>
  <conditionalFormatting sqref="H135:H138 H125">
    <cfRule type="expression" dxfId="61" priority="61">
      <formula>AND(#REF!&gt;0,$H125&gt;89)</formula>
    </cfRule>
    <cfRule type="expression" dxfId="60" priority="62">
      <formula>AND(#REF!&gt;0,$H125&gt;59)</formula>
    </cfRule>
  </conditionalFormatting>
  <conditionalFormatting sqref="B126:B134">
    <cfRule type="expression" dxfId="59" priority="59">
      <formula>AND($Z126&gt;0,$L126&gt;89)</formula>
    </cfRule>
    <cfRule type="expression" dxfId="58" priority="60">
      <formula>AND($Z126&gt;0,$L126&gt;59)</formula>
    </cfRule>
  </conditionalFormatting>
  <conditionalFormatting sqref="G126:G161 C126:C134">
    <cfRule type="expression" dxfId="57" priority="57">
      <formula>AND(#REF!&gt;0,$H126&gt;89)</formula>
    </cfRule>
    <cfRule type="expression" dxfId="56" priority="58">
      <formula>AND(#REF!&gt;0,$H126&gt;59)</formula>
    </cfRule>
  </conditionalFormatting>
  <conditionalFormatting sqref="H126:H134">
    <cfRule type="expression" dxfId="55" priority="55">
      <formula>AND(#REF!&gt;0,$H126&gt;89)</formula>
    </cfRule>
    <cfRule type="expression" dxfId="54" priority="56">
      <formula>AND(#REF!&gt;0,$H126&gt;59)</formula>
    </cfRule>
  </conditionalFormatting>
  <conditionalFormatting sqref="B121:B124">
    <cfRule type="expression" dxfId="53" priority="53">
      <formula>AND($Z121&gt;0,$L121&gt;89)</formula>
    </cfRule>
    <cfRule type="expression" dxfId="52" priority="54">
      <formula>AND($Z121&gt;0,$L121&gt;59)</formula>
    </cfRule>
  </conditionalFormatting>
  <conditionalFormatting sqref="G121:G124 G111 C121:C124">
    <cfRule type="expression" dxfId="51" priority="51">
      <formula>AND(#REF!&gt;0,$H111&gt;89)</formula>
    </cfRule>
    <cfRule type="expression" dxfId="50" priority="52">
      <formula>AND(#REF!&gt;0,$H111&gt;59)</formula>
    </cfRule>
  </conditionalFormatting>
  <conditionalFormatting sqref="H121:H124 H111">
    <cfRule type="expression" dxfId="49" priority="49">
      <formula>AND(#REF!&gt;0,$H111&gt;89)</formula>
    </cfRule>
    <cfRule type="expression" dxfId="48" priority="50">
      <formula>AND(#REF!&gt;0,$H111&gt;59)</formula>
    </cfRule>
  </conditionalFormatting>
  <conditionalFormatting sqref="B119:B120">
    <cfRule type="expression" dxfId="47" priority="47">
      <formula>AND($Z119&gt;0,$L119&gt;89)</formula>
    </cfRule>
    <cfRule type="expression" dxfId="46" priority="48">
      <formula>AND($Z119&gt;0,$L119&gt;59)</formula>
    </cfRule>
  </conditionalFormatting>
  <conditionalFormatting sqref="G112:G120 C119:C120">
    <cfRule type="expression" dxfId="45" priority="45">
      <formula>AND(#REF!&gt;0,$H112&gt;89)</formula>
    </cfRule>
    <cfRule type="expression" dxfId="44" priority="46">
      <formula>AND(#REF!&gt;0,$H112&gt;59)</formula>
    </cfRule>
  </conditionalFormatting>
  <conditionalFormatting sqref="H112:H120">
    <cfRule type="expression" dxfId="43" priority="43">
      <formula>AND(#REF!&gt;0,$H112&gt;89)</formula>
    </cfRule>
    <cfRule type="expression" dxfId="42" priority="44">
      <formula>AND(#REF!&gt;0,$H112&gt;59)</formula>
    </cfRule>
  </conditionalFormatting>
  <conditionalFormatting sqref="B164:B167">
    <cfRule type="expression" dxfId="41" priority="41">
      <formula>AND($Z164&gt;0,$L164&gt;89)</formula>
    </cfRule>
    <cfRule type="expression" dxfId="40" priority="42">
      <formula>AND($Z164&gt;0,$L164&gt;59)</formula>
    </cfRule>
  </conditionalFormatting>
  <conditionalFormatting sqref="C164:D167 G164:G167">
    <cfRule type="expression" dxfId="39" priority="39">
      <formula>AND(#REF!&gt;0,$H164&gt;89)</formula>
    </cfRule>
    <cfRule type="expression" dxfId="38" priority="40">
      <formula>AND(#REF!&gt;0,$H164&gt;59)</formula>
    </cfRule>
  </conditionalFormatting>
  <conditionalFormatting sqref="H164:H167">
    <cfRule type="expression" dxfId="37" priority="37">
      <formula>AND(#REF!&gt;0,$H164&gt;89)</formula>
    </cfRule>
    <cfRule type="expression" dxfId="36" priority="38">
      <formula>AND(#REF!&gt;0,$H164&gt;59)</formula>
    </cfRule>
  </conditionalFormatting>
  <conditionalFormatting sqref="B159:B163">
    <cfRule type="expression" dxfId="35" priority="35">
      <formula>AND($Z159&gt;0,$L159&gt;89)</formula>
    </cfRule>
    <cfRule type="expression" dxfId="34" priority="36">
      <formula>AND($Z159&gt;0,$L159&gt;59)</formula>
    </cfRule>
  </conditionalFormatting>
  <conditionalFormatting sqref="C159:D163 G162:G163">
    <cfRule type="expression" dxfId="33" priority="33">
      <formula>AND(#REF!&gt;0,$H159&gt;89)</formula>
    </cfRule>
    <cfRule type="expression" dxfId="32" priority="34">
      <formula>AND(#REF!&gt;0,$H159&gt;59)</formula>
    </cfRule>
  </conditionalFormatting>
  <conditionalFormatting sqref="H159:H163">
    <cfRule type="expression" dxfId="31" priority="31">
      <formula>AND(#REF!&gt;0,$H159&gt;89)</formula>
    </cfRule>
    <cfRule type="expression" dxfId="30" priority="32">
      <formula>AND(#REF!&gt;0,$H159&gt;59)</formula>
    </cfRule>
  </conditionalFormatting>
  <conditionalFormatting sqref="B153:B158">
    <cfRule type="expression" dxfId="29" priority="29">
      <formula>AND($Z153&gt;0,$L153&gt;89)</formula>
    </cfRule>
    <cfRule type="expression" dxfId="28" priority="30">
      <formula>AND($Z153&gt;0,$L153&gt;59)</formula>
    </cfRule>
  </conditionalFormatting>
  <conditionalFormatting sqref="C153:D158">
    <cfRule type="expression" dxfId="27" priority="27">
      <formula>AND(#REF!&gt;0,$H153&gt;89)</formula>
    </cfRule>
    <cfRule type="expression" dxfId="26" priority="28">
      <formula>AND(#REF!&gt;0,$H153&gt;59)</formula>
    </cfRule>
  </conditionalFormatting>
  <conditionalFormatting sqref="H153:H158">
    <cfRule type="expression" dxfId="25" priority="25">
      <formula>AND(#REF!&gt;0,$H153&gt;89)</formula>
    </cfRule>
    <cfRule type="expression" dxfId="24" priority="26">
      <formula>AND(#REF!&gt;0,$H153&gt;59)</formula>
    </cfRule>
  </conditionalFormatting>
  <conditionalFormatting sqref="H101">
    <cfRule type="expression" dxfId="23" priority="23">
      <formula>AND(#REF!&gt;0,$H101&gt;89)</formula>
    </cfRule>
    <cfRule type="expression" dxfId="22" priority="24">
      <formula>AND(#REF!&gt;0,$H101&gt;59)</formula>
    </cfRule>
  </conditionalFormatting>
  <conditionalFormatting sqref="H102:H108">
    <cfRule type="expression" dxfId="21" priority="21">
      <formula>AND(#REF!&gt;0,$H102&gt;89)</formula>
    </cfRule>
    <cfRule type="expression" dxfId="20" priority="22">
      <formula>AND(#REF!&gt;0,$H102&gt;59)</formula>
    </cfRule>
  </conditionalFormatting>
  <conditionalFormatting sqref="G101:G108">
    <cfRule type="expression" dxfId="19" priority="19">
      <formula>AND(#REF!&gt;0,$H101&gt;89)</formula>
    </cfRule>
    <cfRule type="expression" dxfId="18" priority="20">
      <formula>AND(#REF!&gt;0,$H101&gt;59)</formula>
    </cfRule>
  </conditionalFormatting>
  <conditionalFormatting sqref="C213">
    <cfRule type="expression" dxfId="17" priority="17">
      <formula>AND(#REF!&gt;0,$H213&gt;89)</formula>
    </cfRule>
    <cfRule type="expression" dxfId="16" priority="18">
      <formula>AND(#REF!&gt;0,$H213&gt;59)</formula>
    </cfRule>
  </conditionalFormatting>
  <conditionalFormatting sqref="D139">
    <cfRule type="expression" dxfId="15" priority="15">
      <formula>AND(#REF!&gt;0,$H139&gt;89)</formula>
    </cfRule>
    <cfRule type="expression" dxfId="14" priority="16">
      <formula>AND(#REF!&gt;0,$H139&gt;59)</formula>
    </cfRule>
  </conditionalFormatting>
  <conditionalFormatting sqref="D140:D148">
    <cfRule type="expression" dxfId="13" priority="13">
      <formula>AND(#REF!&gt;0,$H140&gt;89)</formula>
    </cfRule>
    <cfRule type="expression" dxfId="12" priority="14">
      <formula>AND(#REF!&gt;0,$H140&gt;59)</formula>
    </cfRule>
  </conditionalFormatting>
  <conditionalFormatting sqref="D125 D135:D138">
    <cfRule type="expression" dxfId="11" priority="11">
      <formula>AND(#REF!&gt;0,$H125&gt;89)</formula>
    </cfRule>
    <cfRule type="expression" dxfId="10" priority="12">
      <formula>AND(#REF!&gt;0,$H125&gt;59)</formula>
    </cfRule>
  </conditionalFormatting>
  <conditionalFormatting sqref="D126:D134">
    <cfRule type="expression" dxfId="9" priority="9">
      <formula>AND(#REF!&gt;0,$H126&gt;89)</formula>
    </cfRule>
    <cfRule type="expression" dxfId="8" priority="10">
      <formula>AND(#REF!&gt;0,$H126&gt;59)</formula>
    </cfRule>
  </conditionalFormatting>
  <conditionalFormatting sqref="D121:D124">
    <cfRule type="expression" dxfId="7" priority="7">
      <formula>AND(#REF!&gt;0,$H121&gt;89)</formula>
    </cfRule>
    <cfRule type="expression" dxfId="6" priority="8">
      <formula>AND(#REF!&gt;0,$H121&gt;59)</formula>
    </cfRule>
  </conditionalFormatting>
  <conditionalFormatting sqref="D119:D120">
    <cfRule type="expression" dxfId="5" priority="5">
      <formula>AND(#REF!&gt;0,$H119&gt;89)</formula>
    </cfRule>
    <cfRule type="expression" dxfId="4" priority="6">
      <formula>AND(#REF!&gt;0,$H119&gt;59)</formula>
    </cfRule>
  </conditionalFormatting>
  <conditionalFormatting sqref="D115:D118">
    <cfRule type="expression" dxfId="3" priority="3">
      <formula>AND(#REF!&gt;0,$H115&gt;89)</formula>
    </cfRule>
    <cfRule type="expression" dxfId="2" priority="4">
      <formula>AND(#REF!&gt;0,$H115&gt;59)</formula>
    </cfRule>
  </conditionalFormatting>
  <conditionalFormatting sqref="D94">
    <cfRule type="expression" dxfId="1" priority="1">
      <formula>AND(#REF!&gt;0,$H94&gt;89)</formula>
    </cfRule>
    <cfRule type="expression" dxfId="0" priority="2">
      <formula>AND(#REF!&gt;0,$H94&gt;59)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1"/>
  <sheetViews>
    <sheetView zoomScale="80" zoomScaleNormal="80" workbookViewId="0">
      <pane ySplit="6" topLeftCell="A7" activePane="bottomLeft" state="frozen"/>
      <selection pane="bottomLeft" activeCell="AL13" sqref="AL13"/>
    </sheetView>
  </sheetViews>
  <sheetFormatPr defaultRowHeight="15" x14ac:dyDescent="0.25"/>
  <cols>
    <col min="1" max="1" width="4.5703125" customWidth="1"/>
    <col min="2" max="2" width="29.85546875" customWidth="1"/>
    <col min="3" max="9" width="5.7109375" customWidth="1"/>
    <col min="10" max="10" width="5" customWidth="1"/>
    <col min="11" max="33" width="5.7109375" customWidth="1"/>
    <col min="34" max="34" width="11.140625" customWidth="1"/>
    <col min="35" max="39" width="5.7109375" customWidth="1"/>
    <col min="40" max="41" width="5.85546875" customWidth="1"/>
  </cols>
  <sheetData>
    <row r="1" spans="1:55" ht="17.25" x14ac:dyDescent="0.25">
      <c r="A1" s="137" t="s">
        <v>47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</row>
    <row r="2" spans="1:55" x14ac:dyDescent="0.25">
      <c r="A2" s="138" t="s">
        <v>135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0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</row>
    <row r="3" spans="1:55" x14ac:dyDescent="0.25">
      <c r="A3" s="43"/>
      <c r="B3" s="44" t="s">
        <v>48</v>
      </c>
      <c r="C3" s="42" t="s">
        <v>49</v>
      </c>
      <c r="D3" s="45" t="s">
        <v>50</v>
      </c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</row>
    <row r="4" spans="1:55" x14ac:dyDescent="0.25">
      <c r="A4" s="44"/>
      <c r="B4" s="44" t="s">
        <v>51</v>
      </c>
      <c r="C4" s="42" t="s">
        <v>49</v>
      </c>
      <c r="D4" s="45" t="s">
        <v>136</v>
      </c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</row>
    <row r="5" spans="1:55" x14ac:dyDescent="0.25">
      <c r="A5" s="44"/>
      <c r="B5" s="44" t="s">
        <v>52</v>
      </c>
      <c r="C5" s="42" t="s">
        <v>49</v>
      </c>
      <c r="D5" s="45" t="s">
        <v>53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</row>
    <row r="6" spans="1:55" s="48" customFormat="1" ht="12.75" customHeight="1" x14ac:dyDescent="0.15">
      <c r="A6" s="46" t="s">
        <v>54</v>
      </c>
      <c r="B6" s="46" t="s">
        <v>55</v>
      </c>
      <c r="C6" s="46">
        <v>1</v>
      </c>
      <c r="D6" s="46">
        <v>2</v>
      </c>
      <c r="E6" s="46">
        <v>3</v>
      </c>
      <c r="F6" s="46">
        <v>4</v>
      </c>
      <c r="G6" s="46">
        <v>5</v>
      </c>
      <c r="H6" s="46">
        <v>6</v>
      </c>
      <c r="I6" s="46">
        <v>7</v>
      </c>
      <c r="J6" s="46">
        <v>8</v>
      </c>
      <c r="K6" s="46">
        <v>9</v>
      </c>
      <c r="L6" s="46">
        <v>10</v>
      </c>
      <c r="M6" s="46">
        <v>11</v>
      </c>
      <c r="N6" s="46">
        <v>12</v>
      </c>
      <c r="O6" s="46">
        <v>13</v>
      </c>
      <c r="P6" s="46">
        <v>14</v>
      </c>
      <c r="Q6" s="46">
        <v>15</v>
      </c>
      <c r="R6" s="46">
        <v>16</v>
      </c>
      <c r="S6" s="46">
        <v>17</v>
      </c>
      <c r="T6" s="46">
        <v>18</v>
      </c>
      <c r="U6" s="46">
        <v>19</v>
      </c>
      <c r="V6" s="46">
        <v>20</v>
      </c>
      <c r="W6" s="46">
        <v>21</v>
      </c>
      <c r="X6" s="46">
        <v>22</v>
      </c>
      <c r="Y6" s="46">
        <v>23</v>
      </c>
      <c r="Z6" s="46">
        <v>24</v>
      </c>
      <c r="AA6" s="46">
        <v>25</v>
      </c>
      <c r="AB6" s="115">
        <v>26</v>
      </c>
      <c r="AC6" s="46">
        <v>27</v>
      </c>
      <c r="AD6" s="46">
        <v>28</v>
      </c>
      <c r="AE6" s="46">
        <v>29</v>
      </c>
      <c r="AF6" s="46">
        <v>30</v>
      </c>
      <c r="AG6" s="46">
        <v>31</v>
      </c>
      <c r="AH6" s="47" t="s">
        <v>56</v>
      </c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</row>
    <row r="7" spans="1:55" s="48" customFormat="1" ht="12.95" customHeight="1" x14ac:dyDescent="0.15">
      <c r="A7" s="49">
        <v>1</v>
      </c>
      <c r="B7" s="62" t="s">
        <v>100</v>
      </c>
      <c r="C7" s="51"/>
      <c r="D7" s="51"/>
      <c r="E7" s="51" t="s">
        <v>58</v>
      </c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 t="s">
        <v>58</v>
      </c>
      <c r="AE7" s="51"/>
      <c r="AF7" s="51" t="s">
        <v>59</v>
      </c>
      <c r="AG7" s="51"/>
      <c r="AH7" s="52"/>
      <c r="AI7" s="139" t="s">
        <v>60</v>
      </c>
      <c r="AJ7" s="140"/>
      <c r="AK7" s="140"/>
      <c r="AL7" s="53"/>
      <c r="AM7" s="140" t="s">
        <v>10</v>
      </c>
      <c r="AN7" s="140"/>
      <c r="AO7" s="140"/>
      <c r="AP7" s="53"/>
      <c r="AQ7" s="53"/>
      <c r="AR7" s="53"/>
      <c r="AS7" s="53"/>
      <c r="AT7" s="53"/>
      <c r="AU7" s="53"/>
      <c r="AV7" s="43"/>
      <c r="AW7" s="43"/>
      <c r="AX7" s="43"/>
      <c r="AY7" s="43"/>
      <c r="AZ7" s="43"/>
      <c r="BA7" s="43"/>
      <c r="BB7" s="43"/>
      <c r="BC7" s="43"/>
    </row>
    <row r="8" spans="1:55" s="48" customFormat="1" ht="12.95" customHeight="1" x14ac:dyDescent="0.15">
      <c r="A8" s="49">
        <f>1+A7</f>
        <v>2</v>
      </c>
      <c r="B8" s="62" t="s">
        <v>116</v>
      </c>
      <c r="C8" s="51"/>
      <c r="D8" s="51"/>
      <c r="E8" s="51" t="s">
        <v>58</v>
      </c>
      <c r="F8" s="51"/>
      <c r="G8" s="51" t="s">
        <v>59</v>
      </c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4"/>
      <c r="AF8" s="51"/>
      <c r="AG8" s="51"/>
      <c r="AH8" s="55"/>
      <c r="AI8" s="56" t="s">
        <v>58</v>
      </c>
      <c r="AJ8" s="57" t="s">
        <v>57</v>
      </c>
      <c r="AK8" s="58" t="s">
        <v>59</v>
      </c>
      <c r="AL8" s="53"/>
      <c r="AM8" s="56" t="s">
        <v>58</v>
      </c>
      <c r="AN8" s="57" t="s">
        <v>57</v>
      </c>
      <c r="AO8" s="58" t="s">
        <v>59</v>
      </c>
      <c r="AP8" s="53"/>
      <c r="AQ8" s="53"/>
      <c r="AR8" s="53"/>
      <c r="AS8" s="53"/>
      <c r="AT8" s="53"/>
      <c r="AU8" s="53"/>
      <c r="AV8" s="43"/>
      <c r="AW8" s="43"/>
      <c r="AX8" s="43"/>
      <c r="AY8" s="43"/>
      <c r="AZ8" s="43"/>
      <c r="BA8" s="43"/>
      <c r="BB8" s="43"/>
      <c r="BC8" s="43"/>
    </row>
    <row r="9" spans="1:55" s="48" customFormat="1" ht="12.95" customHeight="1" x14ac:dyDescent="0.15">
      <c r="A9" s="49">
        <f t="shared" ref="A9:A53" si="0">1+A8</f>
        <v>3</v>
      </c>
      <c r="B9" s="62" t="s">
        <v>124</v>
      </c>
      <c r="C9" s="51"/>
      <c r="D9" s="51"/>
      <c r="E9" s="51" t="s">
        <v>58</v>
      </c>
      <c r="F9" s="51"/>
      <c r="G9" s="51"/>
      <c r="H9" s="51"/>
      <c r="I9" s="51"/>
      <c r="J9" s="51"/>
      <c r="K9" s="51" t="s">
        <v>59</v>
      </c>
      <c r="L9" s="51"/>
      <c r="M9" s="51"/>
      <c r="N9" s="51"/>
      <c r="O9" s="51"/>
      <c r="P9" s="51"/>
      <c r="Q9" s="51"/>
      <c r="R9" s="51"/>
      <c r="S9" s="51" t="s">
        <v>59</v>
      </c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2"/>
      <c r="AI9" s="52">
        <f>COUNTIF(C7:AG53,"T")</f>
        <v>78</v>
      </c>
      <c r="AJ9" s="52">
        <f>COUNTIF(C7:AG53,"TB")</f>
        <v>29</v>
      </c>
      <c r="AK9" s="52">
        <f>COUNTIF(C7:AG53,"B")</f>
        <v>58</v>
      </c>
      <c r="AL9" s="53"/>
      <c r="AM9" s="52">
        <f>COUNTIF(C61:AG90,"T")</f>
        <v>16</v>
      </c>
      <c r="AN9" s="52">
        <f>COUNTIF(C65:AG90,"TB")</f>
        <v>8</v>
      </c>
      <c r="AO9" s="52">
        <f>COUNTIF(C61:AG90,"B")</f>
        <v>22</v>
      </c>
      <c r="AP9" s="53"/>
      <c r="AQ9" s="53"/>
      <c r="AR9" s="53"/>
      <c r="AS9" s="53"/>
      <c r="AT9" s="53"/>
      <c r="AU9" s="53"/>
      <c r="AV9" s="43"/>
      <c r="AW9" s="43"/>
      <c r="AX9" s="43"/>
      <c r="AY9" s="43"/>
      <c r="AZ9" s="43"/>
      <c r="BA9" s="43"/>
      <c r="BB9" s="43"/>
      <c r="BC9" s="43"/>
    </row>
    <row r="10" spans="1:55" s="48" customFormat="1" ht="12.95" customHeight="1" x14ac:dyDescent="0.15">
      <c r="A10" s="49">
        <f t="shared" si="0"/>
        <v>4</v>
      </c>
      <c r="B10" s="62" t="s">
        <v>128</v>
      </c>
      <c r="C10" s="51"/>
      <c r="D10" s="51"/>
      <c r="E10" s="51"/>
      <c r="F10" s="51" t="s">
        <v>58</v>
      </c>
      <c r="G10" s="51"/>
      <c r="H10" s="51"/>
      <c r="I10" s="51"/>
      <c r="J10" s="51"/>
      <c r="K10" s="51"/>
      <c r="L10" s="51"/>
      <c r="M10" s="51"/>
      <c r="N10" s="51" t="s">
        <v>58</v>
      </c>
      <c r="O10" s="51" t="s">
        <v>59</v>
      </c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2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43"/>
      <c r="AW10" s="43"/>
      <c r="AX10" s="43"/>
      <c r="AY10" s="43"/>
      <c r="AZ10" s="43"/>
      <c r="BA10" s="43"/>
      <c r="BB10" s="43"/>
      <c r="BC10" s="43"/>
    </row>
    <row r="11" spans="1:55" s="48" customFormat="1" ht="12.95" customHeight="1" x14ac:dyDescent="0.15">
      <c r="A11" s="49">
        <f t="shared" si="0"/>
        <v>5</v>
      </c>
      <c r="B11" s="62" t="s">
        <v>93</v>
      </c>
      <c r="C11" s="51"/>
      <c r="D11" s="51"/>
      <c r="E11" s="51" t="s">
        <v>58</v>
      </c>
      <c r="F11" s="51" t="s">
        <v>59</v>
      </c>
      <c r="G11" s="51"/>
      <c r="H11" s="51" t="s">
        <v>58</v>
      </c>
      <c r="I11" s="51"/>
      <c r="J11" s="51"/>
      <c r="K11" s="51" t="s">
        <v>57</v>
      </c>
      <c r="L11" s="51"/>
      <c r="M11" s="51"/>
      <c r="N11" s="51"/>
      <c r="O11" s="51" t="s">
        <v>58</v>
      </c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 t="s">
        <v>58</v>
      </c>
      <c r="AC11" s="51"/>
      <c r="AD11" s="51"/>
      <c r="AE11" s="51"/>
      <c r="AF11" s="51"/>
      <c r="AG11" s="51" t="s">
        <v>57</v>
      </c>
      <c r="AH11" s="52"/>
      <c r="AI11" s="59" t="s">
        <v>58</v>
      </c>
      <c r="AJ11" s="59" t="s">
        <v>59</v>
      </c>
      <c r="AK11" s="53"/>
      <c r="AL11" s="60">
        <f>AJ12/AI12</f>
        <v>0.89312977099236646</v>
      </c>
      <c r="AM11" s="53"/>
      <c r="AN11" s="53"/>
      <c r="AO11" s="53"/>
      <c r="AP11" s="53"/>
      <c r="AQ11" s="53"/>
      <c r="AR11" s="53"/>
      <c r="AS11" s="53"/>
      <c r="AT11" s="53"/>
      <c r="AU11" s="53"/>
      <c r="AV11" s="43"/>
      <c r="AW11" s="43"/>
      <c r="AX11" s="43"/>
      <c r="AY11" s="43"/>
      <c r="AZ11" s="43"/>
      <c r="BA11" s="43"/>
      <c r="BB11" s="43"/>
      <c r="BC11" s="43"/>
    </row>
    <row r="12" spans="1:55" s="48" customFormat="1" ht="12.95" customHeight="1" x14ac:dyDescent="0.15">
      <c r="A12" s="49">
        <f t="shared" si="0"/>
        <v>6</v>
      </c>
      <c r="B12" s="62" t="s">
        <v>123</v>
      </c>
      <c r="C12" s="51"/>
      <c r="D12" s="51"/>
      <c r="E12" s="51" t="s">
        <v>58</v>
      </c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 t="s">
        <v>58</v>
      </c>
      <c r="U12" s="51"/>
      <c r="V12" s="51"/>
      <c r="W12" s="51"/>
      <c r="X12" s="51"/>
      <c r="Y12" s="51"/>
      <c r="Z12" s="51"/>
      <c r="AA12" s="51"/>
      <c r="AB12" s="51"/>
      <c r="AC12" s="51" t="s">
        <v>58</v>
      </c>
      <c r="AD12" s="51"/>
      <c r="AE12" s="51"/>
      <c r="AF12" s="51"/>
      <c r="AG12" s="51"/>
      <c r="AH12" s="52"/>
      <c r="AI12" s="53">
        <f>AI9+AJ9+AM9+AN9</f>
        <v>131</v>
      </c>
      <c r="AJ12" s="53">
        <f>AJ9+AK9+AN9+AO9</f>
        <v>117</v>
      </c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43"/>
      <c r="AW12" s="43"/>
      <c r="AX12" s="43"/>
      <c r="AY12" s="43"/>
      <c r="AZ12" s="43"/>
      <c r="BA12" s="43"/>
      <c r="BB12" s="43"/>
      <c r="BC12" s="43"/>
    </row>
    <row r="13" spans="1:55" s="48" customFormat="1" ht="12.95" customHeight="1" x14ac:dyDescent="0.15">
      <c r="A13" s="49">
        <f t="shared" si="0"/>
        <v>7</v>
      </c>
      <c r="B13" s="62" t="s">
        <v>91</v>
      </c>
      <c r="C13" s="51"/>
      <c r="D13" s="51"/>
      <c r="E13" s="51" t="s">
        <v>58</v>
      </c>
      <c r="F13" s="51"/>
      <c r="G13" s="51"/>
      <c r="H13" s="51" t="s">
        <v>59</v>
      </c>
      <c r="I13" s="51"/>
      <c r="J13" s="51"/>
      <c r="K13" s="51" t="s">
        <v>58</v>
      </c>
      <c r="L13" s="51" t="s">
        <v>57</v>
      </c>
      <c r="M13" s="51"/>
      <c r="N13" s="51"/>
      <c r="O13" s="51" t="s">
        <v>58</v>
      </c>
      <c r="P13" s="51"/>
      <c r="Q13" s="51"/>
      <c r="R13" s="51"/>
      <c r="S13" s="51" t="s">
        <v>59</v>
      </c>
      <c r="T13" s="51"/>
      <c r="U13" s="51"/>
      <c r="V13" s="51"/>
      <c r="W13" s="51"/>
      <c r="X13" s="51"/>
      <c r="Y13" s="51"/>
      <c r="Z13" s="51"/>
      <c r="AA13" s="51"/>
      <c r="AB13" s="51" t="s">
        <v>58</v>
      </c>
      <c r="AC13" s="51"/>
      <c r="AD13" s="51" t="s">
        <v>59</v>
      </c>
      <c r="AE13" s="51"/>
      <c r="AF13" s="51"/>
      <c r="AG13" s="51"/>
      <c r="AH13" s="52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43"/>
      <c r="AW13" s="43"/>
      <c r="AX13" s="43"/>
      <c r="AY13" s="43"/>
      <c r="AZ13" s="43"/>
      <c r="BA13" s="43"/>
      <c r="BB13" s="43"/>
      <c r="BC13" s="43"/>
    </row>
    <row r="14" spans="1:55" s="48" customFormat="1" ht="12.95" customHeight="1" x14ac:dyDescent="0.15">
      <c r="A14" s="49">
        <f t="shared" si="0"/>
        <v>8</v>
      </c>
      <c r="B14" s="62" t="s">
        <v>105</v>
      </c>
      <c r="C14" s="51"/>
      <c r="D14" s="51"/>
      <c r="E14" s="51" t="s">
        <v>58</v>
      </c>
      <c r="F14" s="51"/>
      <c r="G14" s="51"/>
      <c r="H14" s="51"/>
      <c r="I14" s="51" t="s">
        <v>58</v>
      </c>
      <c r="J14" s="51"/>
      <c r="K14" s="51"/>
      <c r="L14" s="51"/>
      <c r="M14" s="51"/>
      <c r="N14" s="51"/>
      <c r="O14" s="51" t="s">
        <v>58</v>
      </c>
      <c r="P14" s="51"/>
      <c r="Q14" s="51"/>
      <c r="R14" s="51"/>
      <c r="S14" s="51"/>
      <c r="T14" s="51" t="s">
        <v>59</v>
      </c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2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43"/>
      <c r="AW14" s="43"/>
      <c r="AX14" s="43"/>
      <c r="AY14" s="43"/>
      <c r="AZ14" s="43"/>
      <c r="BA14" s="43"/>
      <c r="BB14" s="43"/>
      <c r="BC14" s="43"/>
    </row>
    <row r="15" spans="1:55" s="48" customFormat="1" ht="12.95" customHeight="1" x14ac:dyDescent="0.15">
      <c r="A15" s="49">
        <f t="shared" si="0"/>
        <v>9</v>
      </c>
      <c r="B15" s="62" t="s">
        <v>110</v>
      </c>
      <c r="C15" s="51"/>
      <c r="D15" s="51"/>
      <c r="E15" s="51"/>
      <c r="F15" s="51" t="s">
        <v>58</v>
      </c>
      <c r="G15" s="51"/>
      <c r="H15" s="51"/>
      <c r="I15" s="51" t="s">
        <v>58</v>
      </c>
      <c r="J15" s="51"/>
      <c r="K15" s="51" t="s">
        <v>59</v>
      </c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2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43"/>
      <c r="AW15" s="43"/>
      <c r="AX15" s="43"/>
      <c r="AY15" s="43"/>
      <c r="AZ15" s="43"/>
      <c r="BA15" s="43"/>
      <c r="BB15" s="43"/>
      <c r="BC15" s="43"/>
    </row>
    <row r="16" spans="1:55" s="48" customFormat="1" ht="12.95" customHeight="1" x14ac:dyDescent="0.15">
      <c r="A16" s="49">
        <f t="shared" si="0"/>
        <v>10</v>
      </c>
      <c r="B16" s="62" t="s">
        <v>111</v>
      </c>
      <c r="C16" s="51"/>
      <c r="D16" s="51"/>
      <c r="E16" s="51"/>
      <c r="F16" s="51"/>
      <c r="G16" s="51"/>
      <c r="H16" s="51"/>
      <c r="I16" s="51" t="s">
        <v>58</v>
      </c>
      <c r="J16" s="51"/>
      <c r="K16" s="51"/>
      <c r="L16" s="51"/>
      <c r="M16" s="51"/>
      <c r="N16" s="51"/>
      <c r="O16" s="51" t="s">
        <v>58</v>
      </c>
      <c r="P16" s="51"/>
      <c r="Q16" s="51"/>
      <c r="R16" s="51" t="s">
        <v>59</v>
      </c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2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43"/>
      <c r="AW16" s="43"/>
      <c r="AX16" s="43"/>
      <c r="AY16" s="43"/>
      <c r="AZ16" s="43"/>
      <c r="BA16" s="43"/>
      <c r="BB16" s="43"/>
      <c r="BC16" s="43"/>
    </row>
    <row r="17" spans="1:55" s="48" customFormat="1" ht="12.95" customHeight="1" x14ac:dyDescent="0.15">
      <c r="A17" s="49">
        <f t="shared" si="0"/>
        <v>11</v>
      </c>
      <c r="B17" s="62" t="s">
        <v>87</v>
      </c>
      <c r="C17" s="51"/>
      <c r="D17" s="51"/>
      <c r="E17" s="51"/>
      <c r="F17" s="51" t="s">
        <v>57</v>
      </c>
      <c r="G17" s="51"/>
      <c r="H17" s="51"/>
      <c r="I17" s="51"/>
      <c r="J17" s="51"/>
      <c r="K17" s="51"/>
      <c r="L17" s="51"/>
      <c r="M17" s="51"/>
      <c r="N17" s="51"/>
      <c r="O17" s="51" t="s">
        <v>57</v>
      </c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 t="s">
        <v>57</v>
      </c>
      <c r="AG17" s="51"/>
      <c r="AH17" s="52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43"/>
      <c r="AW17" s="43"/>
      <c r="AX17" s="43"/>
      <c r="AY17" s="43"/>
      <c r="AZ17" s="43"/>
      <c r="BA17" s="43"/>
      <c r="BB17" s="43"/>
      <c r="BC17" s="43"/>
    </row>
    <row r="18" spans="1:55" s="48" customFormat="1" ht="12.75" customHeight="1" x14ac:dyDescent="0.15">
      <c r="A18" s="49">
        <f t="shared" si="0"/>
        <v>12</v>
      </c>
      <c r="B18" s="62" t="s">
        <v>90</v>
      </c>
      <c r="C18" s="51"/>
      <c r="D18" s="51"/>
      <c r="E18" s="51" t="s">
        <v>58</v>
      </c>
      <c r="F18" s="51"/>
      <c r="G18" s="51" t="s">
        <v>58</v>
      </c>
      <c r="H18" s="51"/>
      <c r="I18" s="51" t="s">
        <v>58</v>
      </c>
      <c r="J18" s="51"/>
      <c r="K18" s="51"/>
      <c r="L18" s="51" t="s">
        <v>59</v>
      </c>
      <c r="M18" s="51" t="s">
        <v>58</v>
      </c>
      <c r="N18" s="51"/>
      <c r="O18" s="51" t="s">
        <v>58</v>
      </c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 t="s">
        <v>59</v>
      </c>
      <c r="AC18" s="51"/>
      <c r="AD18" s="51"/>
      <c r="AE18" s="51"/>
      <c r="AF18" s="51"/>
      <c r="AG18" s="51"/>
      <c r="AH18" s="52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43"/>
      <c r="AW18" s="43"/>
      <c r="AX18" s="43"/>
      <c r="AY18" s="43"/>
      <c r="AZ18" s="43"/>
      <c r="BA18" s="43"/>
      <c r="BB18" s="43"/>
      <c r="BC18" s="43"/>
    </row>
    <row r="19" spans="1:55" s="48" customFormat="1" ht="12.95" customHeight="1" x14ac:dyDescent="0.15">
      <c r="A19" s="49">
        <f t="shared" si="0"/>
        <v>13</v>
      </c>
      <c r="B19" s="62" t="s">
        <v>107</v>
      </c>
      <c r="C19" s="51"/>
      <c r="D19" s="51"/>
      <c r="E19" s="51"/>
      <c r="F19" s="51"/>
      <c r="G19" s="51"/>
      <c r="H19" s="51"/>
      <c r="I19" s="51"/>
      <c r="J19" s="51"/>
      <c r="K19" s="51" t="s">
        <v>57</v>
      </c>
      <c r="L19" s="51"/>
      <c r="M19" s="51"/>
      <c r="N19" s="51"/>
      <c r="O19" s="51"/>
      <c r="P19" s="51"/>
      <c r="Q19" s="51"/>
      <c r="R19" s="51"/>
      <c r="S19" s="51" t="s">
        <v>59</v>
      </c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 t="s">
        <v>57</v>
      </c>
      <c r="AH19" s="52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43"/>
      <c r="AW19" s="43"/>
      <c r="AX19" s="43"/>
      <c r="AY19" s="43"/>
      <c r="AZ19" s="43"/>
      <c r="BA19" s="43"/>
      <c r="BB19" s="43"/>
      <c r="BC19" s="43"/>
    </row>
    <row r="20" spans="1:55" s="48" customFormat="1" ht="12.95" customHeight="1" x14ac:dyDescent="0.15">
      <c r="A20" s="49">
        <f t="shared" si="0"/>
        <v>14</v>
      </c>
      <c r="B20" s="62" t="s">
        <v>101</v>
      </c>
      <c r="C20" s="51"/>
      <c r="D20" s="51"/>
      <c r="E20" s="51" t="s">
        <v>58</v>
      </c>
      <c r="F20" s="51"/>
      <c r="G20" s="51" t="s">
        <v>59</v>
      </c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 t="s">
        <v>58</v>
      </c>
      <c r="T20" s="51" t="s">
        <v>59</v>
      </c>
      <c r="U20" s="51"/>
      <c r="V20" s="51"/>
      <c r="W20" s="51"/>
      <c r="X20" s="51"/>
      <c r="Y20" s="51"/>
      <c r="Z20" s="51"/>
      <c r="AA20" s="51"/>
      <c r="AB20" s="51"/>
      <c r="AC20" s="51" t="s">
        <v>58</v>
      </c>
      <c r="AD20" s="51"/>
      <c r="AE20" s="51"/>
      <c r="AF20" s="51" t="s">
        <v>59</v>
      </c>
      <c r="AG20" s="51"/>
      <c r="AH20" s="52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43"/>
      <c r="AW20" s="43"/>
      <c r="AX20" s="43"/>
      <c r="AY20" s="43"/>
      <c r="AZ20" s="43"/>
      <c r="BA20" s="43"/>
      <c r="BB20" s="43"/>
      <c r="BC20" s="43"/>
    </row>
    <row r="21" spans="1:55" s="48" customFormat="1" ht="12.95" customHeight="1" x14ac:dyDescent="0.15">
      <c r="A21" s="49">
        <f t="shared" si="0"/>
        <v>15</v>
      </c>
      <c r="B21" s="62" t="s">
        <v>120</v>
      </c>
      <c r="C21" s="51"/>
      <c r="D21" s="51"/>
      <c r="E21" s="51"/>
      <c r="F21" s="51"/>
      <c r="G21" s="51"/>
      <c r="H21" s="51"/>
      <c r="I21" s="51" t="s">
        <v>58</v>
      </c>
      <c r="J21" s="51"/>
      <c r="K21" s="51"/>
      <c r="L21" s="51"/>
      <c r="M21" s="51"/>
      <c r="N21" s="51" t="s">
        <v>59</v>
      </c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2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43"/>
      <c r="AW21" s="43"/>
      <c r="AX21" s="43"/>
      <c r="AY21" s="43"/>
      <c r="AZ21" s="43"/>
      <c r="BA21" s="43"/>
      <c r="BB21" s="43"/>
      <c r="BC21" s="43"/>
    </row>
    <row r="22" spans="1:55" s="48" customFormat="1" ht="12.95" customHeight="1" x14ac:dyDescent="0.15">
      <c r="A22" s="49">
        <f t="shared" si="0"/>
        <v>16</v>
      </c>
      <c r="B22" s="62" t="s">
        <v>114</v>
      </c>
      <c r="C22" s="51"/>
      <c r="D22" s="51"/>
      <c r="E22" s="51"/>
      <c r="F22" s="51"/>
      <c r="G22" s="51"/>
      <c r="H22" s="51"/>
      <c r="I22" s="51" t="s">
        <v>58</v>
      </c>
      <c r="J22" s="51"/>
      <c r="K22" s="51" t="s">
        <v>59</v>
      </c>
      <c r="L22" s="51"/>
      <c r="M22" s="51"/>
      <c r="N22" s="51"/>
      <c r="O22" s="51" t="s">
        <v>58</v>
      </c>
      <c r="P22" s="51" t="s">
        <v>59</v>
      </c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 t="s">
        <v>58</v>
      </c>
      <c r="AD22" s="51"/>
      <c r="AE22" s="51"/>
      <c r="AF22" s="51" t="s">
        <v>59</v>
      </c>
      <c r="AG22" s="51"/>
      <c r="AH22" s="52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43"/>
      <c r="AW22" s="43"/>
      <c r="AX22" s="43"/>
      <c r="AY22" s="43"/>
      <c r="AZ22" s="43"/>
      <c r="BA22" s="43"/>
      <c r="BB22" s="43"/>
      <c r="BC22" s="43"/>
    </row>
    <row r="23" spans="1:55" s="48" customFormat="1" ht="12.95" customHeight="1" x14ac:dyDescent="0.15">
      <c r="A23" s="49">
        <f t="shared" si="0"/>
        <v>17</v>
      </c>
      <c r="B23" s="62" t="s">
        <v>81</v>
      </c>
      <c r="C23" s="51"/>
      <c r="D23" s="51"/>
      <c r="E23" s="51" t="s">
        <v>57</v>
      </c>
      <c r="F23" s="51"/>
      <c r="G23" s="51" t="s">
        <v>58</v>
      </c>
      <c r="H23" s="51" t="s">
        <v>57</v>
      </c>
      <c r="I23" s="51"/>
      <c r="J23" s="51"/>
      <c r="K23" s="51"/>
      <c r="L23" s="51"/>
      <c r="M23" s="51" t="s">
        <v>58</v>
      </c>
      <c r="N23" s="51" t="s">
        <v>57</v>
      </c>
      <c r="O23" s="51"/>
      <c r="P23" s="51"/>
      <c r="Q23" s="51"/>
      <c r="R23" s="51" t="s">
        <v>57</v>
      </c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 t="s">
        <v>59</v>
      </c>
      <c r="AD23" s="51"/>
      <c r="AE23" s="51"/>
      <c r="AF23" s="51" t="s">
        <v>57</v>
      </c>
      <c r="AG23" s="51" t="s">
        <v>57</v>
      </c>
      <c r="AH23" s="52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43"/>
      <c r="AW23" s="43"/>
      <c r="AX23" s="43"/>
      <c r="AY23" s="43"/>
      <c r="AZ23" s="43"/>
      <c r="BA23" s="43"/>
      <c r="BB23" s="43"/>
      <c r="BC23" s="43"/>
    </row>
    <row r="24" spans="1:55" s="48" customFormat="1" ht="12.95" customHeight="1" x14ac:dyDescent="0.15">
      <c r="A24" s="49">
        <f t="shared" si="0"/>
        <v>18</v>
      </c>
      <c r="B24" s="62" t="s">
        <v>97</v>
      </c>
      <c r="C24" s="51"/>
      <c r="D24" s="51"/>
      <c r="E24" s="51"/>
      <c r="F24" s="51" t="s">
        <v>58</v>
      </c>
      <c r="G24" s="51"/>
      <c r="H24" s="51"/>
      <c r="I24" s="51"/>
      <c r="J24" s="51"/>
      <c r="K24" s="51" t="s">
        <v>58</v>
      </c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2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43"/>
      <c r="AW24" s="43"/>
      <c r="AX24" s="43"/>
      <c r="AY24" s="43"/>
      <c r="AZ24" s="43"/>
      <c r="BA24" s="43"/>
      <c r="BB24" s="43"/>
      <c r="BC24" s="43"/>
    </row>
    <row r="25" spans="1:55" s="48" customFormat="1" ht="12.75" customHeight="1" x14ac:dyDescent="0.15">
      <c r="A25" s="49">
        <f t="shared" si="0"/>
        <v>19</v>
      </c>
      <c r="B25" s="62" t="s">
        <v>109</v>
      </c>
      <c r="C25" s="51"/>
      <c r="D25" s="51"/>
      <c r="E25" s="51"/>
      <c r="F25" s="51"/>
      <c r="G25" s="51"/>
      <c r="H25" s="51"/>
      <c r="I25" s="51"/>
      <c r="J25" s="51"/>
      <c r="K25" s="51"/>
      <c r="L25" s="51" t="s">
        <v>58</v>
      </c>
      <c r="M25" s="51" t="s">
        <v>59</v>
      </c>
      <c r="N25" s="51"/>
      <c r="O25" s="51"/>
      <c r="P25" s="51"/>
      <c r="Q25" s="51"/>
      <c r="R25" s="51"/>
      <c r="S25" s="51" t="s">
        <v>58</v>
      </c>
      <c r="T25" s="51"/>
      <c r="U25" s="51"/>
      <c r="V25" s="51"/>
      <c r="W25" s="51"/>
      <c r="X25" s="51"/>
      <c r="Y25" s="51"/>
      <c r="Z25" s="51"/>
      <c r="AA25" s="51"/>
      <c r="AB25" s="51"/>
      <c r="AC25" s="51" t="s">
        <v>58</v>
      </c>
      <c r="AD25" s="51"/>
      <c r="AE25" s="51"/>
      <c r="AF25" s="51" t="s">
        <v>59</v>
      </c>
      <c r="AG25" s="51"/>
      <c r="AH25" s="52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43"/>
      <c r="AW25" s="43"/>
      <c r="AX25" s="43"/>
      <c r="AY25" s="43"/>
      <c r="AZ25" s="43"/>
      <c r="BA25" s="43"/>
      <c r="BB25" s="43"/>
      <c r="BC25" s="43"/>
    </row>
    <row r="26" spans="1:55" s="48" customFormat="1" ht="12.75" customHeight="1" x14ac:dyDescent="0.15">
      <c r="A26" s="49">
        <f t="shared" si="0"/>
        <v>20</v>
      </c>
      <c r="B26" s="62" t="s">
        <v>122</v>
      </c>
      <c r="C26" s="51"/>
      <c r="D26" s="51"/>
      <c r="E26" s="51"/>
      <c r="F26" s="51"/>
      <c r="G26" s="51"/>
      <c r="H26" s="51"/>
      <c r="I26" s="51" t="s">
        <v>58</v>
      </c>
      <c r="J26" s="51"/>
      <c r="K26" s="51"/>
      <c r="L26" s="51"/>
      <c r="M26" s="51"/>
      <c r="N26" s="51"/>
      <c r="O26" s="51"/>
      <c r="P26" s="51"/>
      <c r="Q26" s="51"/>
      <c r="R26" s="51" t="s">
        <v>59</v>
      </c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2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43"/>
      <c r="AW26" s="43"/>
      <c r="AX26" s="43"/>
      <c r="AY26" s="43"/>
      <c r="AZ26" s="43"/>
      <c r="BA26" s="43"/>
      <c r="BB26" s="43"/>
      <c r="BC26" s="43"/>
    </row>
    <row r="27" spans="1:55" s="48" customFormat="1" ht="12.95" customHeight="1" x14ac:dyDescent="0.15">
      <c r="A27" s="49">
        <f t="shared" si="0"/>
        <v>21</v>
      </c>
      <c r="B27" s="62" t="s">
        <v>119</v>
      </c>
      <c r="C27" s="51"/>
      <c r="D27" s="51"/>
      <c r="E27" s="51"/>
      <c r="F27" s="51"/>
      <c r="G27" s="51"/>
      <c r="H27" s="51"/>
      <c r="I27" s="51" t="s">
        <v>57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2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43"/>
      <c r="AW27" s="43"/>
      <c r="AX27" s="43"/>
      <c r="AY27" s="43"/>
      <c r="AZ27" s="43"/>
      <c r="BA27" s="43"/>
      <c r="BB27" s="43"/>
      <c r="BC27" s="43"/>
    </row>
    <row r="28" spans="1:55" s="48" customFormat="1" ht="12.95" customHeight="1" x14ac:dyDescent="0.15">
      <c r="A28" s="49">
        <f t="shared" si="0"/>
        <v>22</v>
      </c>
      <c r="B28" s="62" t="s">
        <v>84</v>
      </c>
      <c r="C28" s="51"/>
      <c r="D28" s="51"/>
      <c r="E28" s="51"/>
      <c r="F28" s="51"/>
      <c r="G28" s="51" t="s">
        <v>58</v>
      </c>
      <c r="H28" s="51"/>
      <c r="I28" s="51"/>
      <c r="J28" s="51"/>
      <c r="K28" s="51"/>
      <c r="L28" s="51" t="s">
        <v>58</v>
      </c>
      <c r="M28" s="51" t="s">
        <v>57</v>
      </c>
      <c r="N28" s="51" t="s">
        <v>59</v>
      </c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 t="s">
        <v>57</v>
      </c>
      <c r="AH28" s="52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43"/>
      <c r="AW28" s="43"/>
      <c r="AX28" s="43"/>
      <c r="AY28" s="43"/>
      <c r="AZ28" s="43"/>
      <c r="BA28" s="43"/>
      <c r="BB28" s="43"/>
      <c r="BC28" s="43"/>
    </row>
    <row r="29" spans="1:55" s="48" customFormat="1" ht="12.95" customHeight="1" x14ac:dyDescent="0.15">
      <c r="A29" s="49">
        <f t="shared" si="0"/>
        <v>23</v>
      </c>
      <c r="B29" s="62" t="s">
        <v>94</v>
      </c>
      <c r="C29" s="51"/>
      <c r="D29" s="51"/>
      <c r="E29" s="51"/>
      <c r="F29" s="51"/>
      <c r="G29" s="51" t="s">
        <v>58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 t="s">
        <v>59</v>
      </c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2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43"/>
      <c r="AW29" s="43"/>
      <c r="AX29" s="43"/>
      <c r="AY29" s="43"/>
      <c r="AZ29" s="43"/>
      <c r="BA29" s="43"/>
      <c r="BB29" s="43"/>
      <c r="BC29" s="43"/>
    </row>
    <row r="30" spans="1:55" s="48" customFormat="1" ht="12.95" customHeight="1" x14ac:dyDescent="0.15">
      <c r="A30" s="49">
        <f t="shared" si="0"/>
        <v>24</v>
      </c>
      <c r="B30" s="62" t="s">
        <v>117</v>
      </c>
      <c r="C30" s="51"/>
      <c r="D30" s="51"/>
      <c r="E30" s="51"/>
      <c r="F30" s="51"/>
      <c r="G30" s="51" t="s">
        <v>57</v>
      </c>
      <c r="H30" s="51"/>
      <c r="I30" s="51"/>
      <c r="J30" s="51"/>
      <c r="K30" s="51"/>
      <c r="L30" s="51" t="s">
        <v>58</v>
      </c>
      <c r="M30" s="51"/>
      <c r="N30" s="51" t="s">
        <v>59</v>
      </c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2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43"/>
      <c r="AW30" s="43"/>
      <c r="AX30" s="43"/>
      <c r="AY30" s="43"/>
      <c r="AZ30" s="43"/>
      <c r="BA30" s="43"/>
      <c r="BB30" s="43"/>
      <c r="BC30" s="43"/>
    </row>
    <row r="31" spans="1:55" s="48" customFormat="1" ht="12.75" customHeight="1" x14ac:dyDescent="0.15">
      <c r="A31" s="49">
        <f t="shared" si="0"/>
        <v>25</v>
      </c>
      <c r="B31" s="62" t="s">
        <v>85</v>
      </c>
      <c r="C31" s="51"/>
      <c r="D31" s="51"/>
      <c r="E31" s="51" t="s">
        <v>58</v>
      </c>
      <c r="F31" s="51"/>
      <c r="G31" s="51"/>
      <c r="H31" s="51"/>
      <c r="I31" s="51" t="s">
        <v>58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 t="s">
        <v>58</v>
      </c>
      <c r="AC31" s="51"/>
      <c r="AD31" s="51" t="s">
        <v>59</v>
      </c>
      <c r="AE31" s="51"/>
      <c r="AF31" s="51"/>
      <c r="AG31" s="51"/>
      <c r="AH31" s="52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43"/>
      <c r="AW31" s="43"/>
      <c r="AX31" s="43"/>
      <c r="AY31" s="43"/>
      <c r="AZ31" s="43"/>
      <c r="BA31" s="43"/>
      <c r="BB31" s="43"/>
      <c r="BC31" s="43"/>
    </row>
    <row r="32" spans="1:55" s="48" customFormat="1" ht="12.95" customHeight="1" x14ac:dyDescent="0.15">
      <c r="A32" s="49">
        <f t="shared" si="0"/>
        <v>26</v>
      </c>
      <c r="B32" s="62" t="s">
        <v>106</v>
      </c>
      <c r="C32" s="51"/>
      <c r="D32" s="51"/>
      <c r="E32" s="51"/>
      <c r="F32" s="51"/>
      <c r="G32" s="51"/>
      <c r="H32" s="51" t="s">
        <v>57</v>
      </c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2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43"/>
      <c r="AW32" s="43"/>
      <c r="AX32" s="43"/>
      <c r="AY32" s="43"/>
      <c r="AZ32" s="43"/>
      <c r="BA32" s="43"/>
      <c r="BB32" s="43"/>
      <c r="BC32" s="43"/>
    </row>
    <row r="33" spans="1:55" s="48" customFormat="1" ht="12.95" customHeight="1" x14ac:dyDescent="0.15">
      <c r="A33" s="49">
        <f t="shared" si="0"/>
        <v>27</v>
      </c>
      <c r="B33" s="62" t="s">
        <v>125</v>
      </c>
      <c r="C33" s="51"/>
      <c r="D33" s="51"/>
      <c r="E33" s="51"/>
      <c r="F33" s="51" t="s">
        <v>58</v>
      </c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2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43"/>
      <c r="AW33" s="43"/>
      <c r="AX33" s="43"/>
      <c r="AY33" s="43"/>
      <c r="AZ33" s="43"/>
      <c r="BA33" s="43"/>
      <c r="BB33" s="43"/>
      <c r="BC33" s="43"/>
    </row>
    <row r="34" spans="1:55" s="48" customFormat="1" ht="12.95" customHeight="1" x14ac:dyDescent="0.15">
      <c r="A34" s="49">
        <f t="shared" si="0"/>
        <v>28</v>
      </c>
      <c r="B34" s="62" t="s">
        <v>130</v>
      </c>
      <c r="C34" s="51"/>
      <c r="D34" s="51"/>
      <c r="E34" s="51"/>
      <c r="F34" s="51"/>
      <c r="G34" s="51"/>
      <c r="H34" s="51" t="s">
        <v>58</v>
      </c>
      <c r="I34" s="51"/>
      <c r="J34" s="51"/>
      <c r="K34" s="51" t="s">
        <v>59</v>
      </c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2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43"/>
      <c r="AW34" s="43"/>
      <c r="AX34" s="43"/>
      <c r="AY34" s="43"/>
      <c r="AZ34" s="43"/>
      <c r="BA34" s="43"/>
      <c r="BB34" s="43"/>
      <c r="BC34" s="43"/>
    </row>
    <row r="35" spans="1:55" s="48" customFormat="1" ht="12.75" customHeight="1" x14ac:dyDescent="0.15">
      <c r="A35" s="49">
        <f t="shared" si="0"/>
        <v>29</v>
      </c>
      <c r="B35" s="62" t="s">
        <v>118</v>
      </c>
      <c r="C35" s="51"/>
      <c r="D35" s="51"/>
      <c r="E35" s="51"/>
      <c r="F35" s="51"/>
      <c r="G35" s="51"/>
      <c r="H35" s="51"/>
      <c r="I35" s="51" t="s">
        <v>58</v>
      </c>
      <c r="J35" s="51"/>
      <c r="K35" s="51" t="s">
        <v>59</v>
      </c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2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43"/>
      <c r="AW35" s="43"/>
      <c r="AX35" s="43"/>
      <c r="AY35" s="43"/>
      <c r="AZ35" s="43"/>
      <c r="BA35" s="43"/>
      <c r="BB35" s="43"/>
      <c r="BC35" s="43"/>
    </row>
    <row r="36" spans="1:55" s="48" customFormat="1" ht="12.95" customHeight="1" x14ac:dyDescent="0.15">
      <c r="A36" s="49">
        <f t="shared" si="0"/>
        <v>30</v>
      </c>
      <c r="B36" s="62" t="s">
        <v>104</v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2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43"/>
      <c r="AW36" s="43"/>
      <c r="AX36" s="43"/>
      <c r="AY36" s="43"/>
      <c r="AZ36" s="43"/>
      <c r="BA36" s="43"/>
      <c r="BB36" s="43"/>
      <c r="BC36" s="43"/>
    </row>
    <row r="37" spans="1:55" s="48" customFormat="1" ht="12.95" customHeight="1" x14ac:dyDescent="0.15">
      <c r="A37" s="49">
        <f t="shared" si="0"/>
        <v>31</v>
      </c>
      <c r="B37" s="62" t="s">
        <v>98</v>
      </c>
      <c r="C37" s="51"/>
      <c r="D37" s="51"/>
      <c r="E37" s="51" t="s">
        <v>58</v>
      </c>
      <c r="F37" s="51"/>
      <c r="G37" s="51" t="s">
        <v>58</v>
      </c>
      <c r="H37" s="51"/>
      <c r="I37" s="51" t="s">
        <v>59</v>
      </c>
      <c r="J37" s="51"/>
      <c r="K37" s="51"/>
      <c r="L37" s="51"/>
      <c r="M37" s="51" t="s">
        <v>58</v>
      </c>
      <c r="N37" s="51"/>
      <c r="O37" s="51"/>
      <c r="P37" s="51"/>
      <c r="Q37" s="51"/>
      <c r="R37" s="51" t="s">
        <v>59</v>
      </c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2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43"/>
      <c r="AW37" s="43"/>
      <c r="AX37" s="43"/>
      <c r="AY37" s="43"/>
      <c r="AZ37" s="43"/>
      <c r="BA37" s="43"/>
      <c r="BB37" s="43"/>
      <c r="BC37" s="43"/>
    </row>
    <row r="38" spans="1:55" s="48" customFormat="1" ht="12.95" customHeight="1" x14ac:dyDescent="0.15">
      <c r="A38" s="49">
        <f t="shared" si="0"/>
        <v>32</v>
      </c>
      <c r="B38" s="62" t="s">
        <v>99</v>
      </c>
      <c r="C38" s="51"/>
      <c r="D38" s="51"/>
      <c r="E38" s="51" t="s">
        <v>58</v>
      </c>
      <c r="F38" s="51"/>
      <c r="G38" s="51" t="s">
        <v>58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2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43"/>
      <c r="AW38" s="43"/>
      <c r="AX38" s="43"/>
      <c r="AY38" s="43"/>
      <c r="AZ38" s="43"/>
      <c r="BA38" s="43"/>
      <c r="BB38" s="43"/>
      <c r="BC38" s="43"/>
    </row>
    <row r="39" spans="1:55" s="48" customFormat="1" ht="12.75" customHeight="1" x14ac:dyDescent="0.15">
      <c r="A39" s="49">
        <f t="shared" si="0"/>
        <v>33</v>
      </c>
      <c r="B39" s="62" t="s">
        <v>131</v>
      </c>
      <c r="C39" s="51"/>
      <c r="D39" s="51"/>
      <c r="E39" s="51"/>
      <c r="F39" s="51"/>
      <c r="G39" s="51"/>
      <c r="H39" s="51" t="s">
        <v>58</v>
      </c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 t="s">
        <v>59</v>
      </c>
      <c r="AC39" s="51"/>
      <c r="AD39" s="51"/>
      <c r="AE39" s="51"/>
      <c r="AF39" s="51"/>
      <c r="AG39" s="51"/>
      <c r="AH39" s="52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43"/>
      <c r="AW39" s="43"/>
      <c r="AX39" s="43"/>
      <c r="AY39" s="43"/>
      <c r="AZ39" s="43"/>
      <c r="BA39" s="43"/>
      <c r="BB39" s="43"/>
      <c r="BC39" s="43"/>
    </row>
    <row r="40" spans="1:55" s="48" customFormat="1" ht="12.95" customHeight="1" x14ac:dyDescent="0.15">
      <c r="A40" s="49">
        <f t="shared" si="0"/>
        <v>34</v>
      </c>
      <c r="B40" s="62" t="s">
        <v>80</v>
      </c>
      <c r="C40" s="51"/>
      <c r="D40" s="51"/>
      <c r="E40" s="51" t="s">
        <v>57</v>
      </c>
      <c r="F40" s="51" t="s">
        <v>59</v>
      </c>
      <c r="G40" s="51" t="s">
        <v>59</v>
      </c>
      <c r="H40" s="51" t="s">
        <v>59</v>
      </c>
      <c r="I40" s="51"/>
      <c r="J40" s="51"/>
      <c r="K40" s="51" t="s">
        <v>57</v>
      </c>
      <c r="L40" s="51" t="s">
        <v>59</v>
      </c>
      <c r="M40" s="51"/>
      <c r="N40" s="51"/>
      <c r="O40" s="51"/>
      <c r="P40" s="51" t="s">
        <v>59</v>
      </c>
      <c r="Q40" s="51"/>
      <c r="R40" s="51"/>
      <c r="S40" s="51" t="s">
        <v>59</v>
      </c>
      <c r="T40" s="51"/>
      <c r="U40" s="51"/>
      <c r="V40" s="51"/>
      <c r="W40" s="51"/>
      <c r="X40" s="51"/>
      <c r="Y40" s="51"/>
      <c r="Z40" s="51"/>
      <c r="AA40" s="51"/>
      <c r="AB40" s="51" t="s">
        <v>59</v>
      </c>
      <c r="AC40" s="51" t="s">
        <v>59</v>
      </c>
      <c r="AD40" s="51"/>
      <c r="AE40" s="51"/>
      <c r="AF40" s="51" t="s">
        <v>59</v>
      </c>
      <c r="AG40" s="51" t="s">
        <v>59</v>
      </c>
      <c r="AH40" s="52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43"/>
      <c r="AW40" s="43"/>
      <c r="AX40" s="43"/>
      <c r="AY40" s="43"/>
      <c r="AZ40" s="43"/>
      <c r="BA40" s="43"/>
      <c r="BB40" s="43"/>
      <c r="BC40" s="43"/>
    </row>
    <row r="41" spans="1:55" s="48" customFormat="1" ht="12.95" customHeight="1" x14ac:dyDescent="0.15">
      <c r="A41" s="49">
        <f t="shared" si="0"/>
        <v>35</v>
      </c>
      <c r="B41" s="62" t="s">
        <v>108</v>
      </c>
      <c r="C41" s="51"/>
      <c r="D41" s="51"/>
      <c r="E41" s="51"/>
      <c r="F41" s="51"/>
      <c r="G41" s="51" t="s">
        <v>58</v>
      </c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2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43"/>
      <c r="AW41" s="43"/>
      <c r="AX41" s="43"/>
      <c r="AY41" s="43"/>
      <c r="AZ41" s="43"/>
      <c r="BA41" s="43"/>
      <c r="BB41" s="43"/>
      <c r="BC41" s="43"/>
    </row>
    <row r="42" spans="1:55" s="48" customFormat="1" ht="12.95" customHeight="1" x14ac:dyDescent="0.15">
      <c r="A42" s="49">
        <f t="shared" si="0"/>
        <v>36</v>
      </c>
      <c r="B42" s="62" t="s">
        <v>127</v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2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43"/>
      <c r="AW42" s="43"/>
      <c r="AX42" s="43"/>
      <c r="AY42" s="43"/>
      <c r="AZ42" s="43"/>
      <c r="BA42" s="43"/>
      <c r="BB42" s="43"/>
      <c r="BC42" s="43"/>
    </row>
    <row r="43" spans="1:55" s="48" customFormat="1" ht="12.95" customHeight="1" x14ac:dyDescent="0.15">
      <c r="A43" s="49">
        <f t="shared" si="0"/>
        <v>37</v>
      </c>
      <c r="B43" s="62" t="s">
        <v>82</v>
      </c>
      <c r="C43" s="51"/>
      <c r="D43" s="51"/>
      <c r="E43" s="51" t="s">
        <v>58</v>
      </c>
      <c r="F43" s="51"/>
      <c r="G43" s="51"/>
      <c r="H43" s="51" t="s">
        <v>59</v>
      </c>
      <c r="I43" s="51"/>
      <c r="J43" s="51"/>
      <c r="K43" s="51" t="s">
        <v>57</v>
      </c>
      <c r="L43" s="51"/>
      <c r="M43" s="51" t="s">
        <v>58</v>
      </c>
      <c r="N43" s="51" t="s">
        <v>59</v>
      </c>
      <c r="O43" s="51"/>
      <c r="P43" s="51"/>
      <c r="Q43" s="51"/>
      <c r="R43" s="51" t="s">
        <v>59</v>
      </c>
      <c r="S43" s="51"/>
      <c r="T43" s="51" t="s">
        <v>59</v>
      </c>
      <c r="U43" s="51"/>
      <c r="V43" s="51"/>
      <c r="W43" s="51"/>
      <c r="X43" s="51"/>
      <c r="Y43" s="51"/>
      <c r="Z43" s="51"/>
      <c r="AA43" s="51"/>
      <c r="AB43" s="51" t="s">
        <v>58</v>
      </c>
      <c r="AC43" s="51" t="s">
        <v>59</v>
      </c>
      <c r="AD43" s="51"/>
      <c r="AE43" s="51"/>
      <c r="AF43" s="51" t="s">
        <v>57</v>
      </c>
      <c r="AG43" s="51"/>
      <c r="AH43" s="52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43"/>
      <c r="AW43" s="43"/>
      <c r="AX43" s="43"/>
      <c r="AY43" s="43"/>
      <c r="AZ43" s="43"/>
      <c r="BA43" s="43"/>
      <c r="BB43" s="43"/>
      <c r="BC43" s="43"/>
    </row>
    <row r="44" spans="1:55" s="48" customFormat="1" ht="12.95" customHeight="1" x14ac:dyDescent="0.15">
      <c r="A44" s="49">
        <f t="shared" si="0"/>
        <v>38</v>
      </c>
      <c r="B44" s="62" t="s">
        <v>96</v>
      </c>
      <c r="C44" s="51"/>
      <c r="D44" s="51"/>
      <c r="E44" s="51"/>
      <c r="F44" s="51" t="s">
        <v>58</v>
      </c>
      <c r="G44" s="51"/>
      <c r="H44" s="51"/>
      <c r="I44" s="51" t="s">
        <v>58</v>
      </c>
      <c r="J44" s="51"/>
      <c r="K44" s="51"/>
      <c r="L44" s="51"/>
      <c r="M44" s="51"/>
      <c r="N44" s="51"/>
      <c r="O44" s="51"/>
      <c r="P44" s="51"/>
      <c r="Q44" s="51"/>
      <c r="R44" s="51"/>
      <c r="S44" s="51" t="s">
        <v>57</v>
      </c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 t="s">
        <v>57</v>
      </c>
      <c r="AH44" s="52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43"/>
      <c r="AW44" s="43"/>
      <c r="AX44" s="43"/>
      <c r="AY44" s="43"/>
      <c r="AZ44" s="43"/>
      <c r="BA44" s="43"/>
      <c r="BB44" s="43"/>
      <c r="BC44" s="43"/>
    </row>
    <row r="45" spans="1:55" s="48" customFormat="1" ht="12.95" customHeight="1" x14ac:dyDescent="0.15">
      <c r="A45" s="49">
        <f t="shared" si="0"/>
        <v>39</v>
      </c>
      <c r="B45" s="62" t="s">
        <v>92</v>
      </c>
      <c r="C45" s="51"/>
      <c r="D45" s="51"/>
      <c r="E45" s="51"/>
      <c r="F45" s="51" t="s">
        <v>58</v>
      </c>
      <c r="G45" s="51"/>
      <c r="H45" s="51"/>
      <c r="I45" s="51"/>
      <c r="J45" s="51"/>
      <c r="K45" s="51" t="s">
        <v>59</v>
      </c>
      <c r="L45" s="51" t="s">
        <v>57</v>
      </c>
      <c r="M45" s="51" t="s">
        <v>58</v>
      </c>
      <c r="N45" s="51"/>
      <c r="O45" s="51" t="s">
        <v>59</v>
      </c>
      <c r="P45" s="51" t="s">
        <v>58</v>
      </c>
      <c r="Q45" s="51"/>
      <c r="R45" s="51"/>
      <c r="S45" s="51" t="s">
        <v>59</v>
      </c>
      <c r="T45" s="51" t="s">
        <v>57</v>
      </c>
      <c r="U45" s="51"/>
      <c r="V45" s="51"/>
      <c r="W45" s="51"/>
      <c r="X45" s="51"/>
      <c r="Y45" s="51"/>
      <c r="Z45" s="51"/>
      <c r="AA45" s="51"/>
      <c r="AB45" s="51" t="s">
        <v>58</v>
      </c>
      <c r="AC45" s="51" t="s">
        <v>59</v>
      </c>
      <c r="AD45" s="51"/>
      <c r="AE45" s="51"/>
      <c r="AF45" s="51"/>
      <c r="AG45" s="51"/>
      <c r="AH45" s="52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43"/>
      <c r="AW45" s="43"/>
      <c r="AX45" s="43"/>
      <c r="AY45" s="43"/>
      <c r="AZ45" s="43"/>
      <c r="BA45" s="43"/>
      <c r="BB45" s="43"/>
      <c r="BC45" s="43"/>
    </row>
    <row r="46" spans="1:55" s="48" customFormat="1" ht="12.95" customHeight="1" x14ac:dyDescent="0.15">
      <c r="A46" s="49">
        <f t="shared" si="0"/>
        <v>40</v>
      </c>
      <c r="B46" s="62" t="s">
        <v>103</v>
      </c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2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43"/>
      <c r="AW46" s="43"/>
      <c r="AX46" s="43"/>
      <c r="AY46" s="43"/>
      <c r="AZ46" s="43"/>
      <c r="BA46" s="43"/>
      <c r="BB46" s="43"/>
      <c r="BC46" s="43"/>
    </row>
    <row r="47" spans="1:55" s="48" customFormat="1" ht="12.95" customHeight="1" x14ac:dyDescent="0.15">
      <c r="A47" s="49">
        <f t="shared" si="0"/>
        <v>41</v>
      </c>
      <c r="B47" s="62" t="s">
        <v>102</v>
      </c>
      <c r="C47" s="51"/>
      <c r="D47" s="51"/>
      <c r="E47" s="51" t="s">
        <v>58</v>
      </c>
      <c r="F47" s="51"/>
      <c r="G47" s="51"/>
      <c r="H47" s="51"/>
      <c r="I47" s="51"/>
      <c r="J47" s="51"/>
      <c r="K47" s="51"/>
      <c r="L47" s="51"/>
      <c r="M47" s="51"/>
      <c r="N47" s="51" t="s">
        <v>59</v>
      </c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2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43"/>
      <c r="AW47" s="43"/>
      <c r="AX47" s="43"/>
      <c r="AY47" s="43"/>
      <c r="AZ47" s="43"/>
      <c r="BA47" s="43"/>
      <c r="BB47" s="43"/>
      <c r="BC47" s="43"/>
    </row>
    <row r="48" spans="1:55" s="48" customFormat="1" ht="12.95" customHeight="1" x14ac:dyDescent="0.15">
      <c r="A48" s="49">
        <f t="shared" si="0"/>
        <v>42</v>
      </c>
      <c r="B48" s="62" t="s">
        <v>129</v>
      </c>
      <c r="C48" s="51"/>
      <c r="D48" s="51"/>
      <c r="E48" s="51"/>
      <c r="F48" s="51"/>
      <c r="G48" s="51"/>
      <c r="H48" s="51" t="s">
        <v>58</v>
      </c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 t="s">
        <v>59</v>
      </c>
      <c r="AC48" s="51"/>
      <c r="AD48" s="51"/>
      <c r="AE48" s="51"/>
      <c r="AF48" s="51"/>
      <c r="AG48" s="51"/>
      <c r="AH48" s="52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43"/>
      <c r="AW48" s="43"/>
      <c r="AX48" s="43"/>
      <c r="AY48" s="43"/>
      <c r="AZ48" s="43"/>
      <c r="BA48" s="43"/>
      <c r="BB48" s="43"/>
      <c r="BC48" s="43"/>
    </row>
    <row r="49" spans="1:100" s="48" customFormat="1" ht="12.95" customHeight="1" x14ac:dyDescent="0.15">
      <c r="A49" s="49">
        <f t="shared" si="0"/>
        <v>43</v>
      </c>
      <c r="B49" s="62" t="s">
        <v>121</v>
      </c>
      <c r="C49" s="51"/>
      <c r="D49" s="51"/>
      <c r="E49" s="51"/>
      <c r="F49" s="51"/>
      <c r="G49" s="51"/>
      <c r="H49" s="51"/>
      <c r="I49" s="51" t="s">
        <v>58</v>
      </c>
      <c r="J49" s="51"/>
      <c r="K49" s="51" t="s">
        <v>59</v>
      </c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2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43"/>
      <c r="AW49" s="43"/>
      <c r="AX49" s="43"/>
      <c r="AY49" s="43"/>
      <c r="AZ49" s="43"/>
      <c r="BA49" s="43"/>
      <c r="BB49" s="43"/>
      <c r="BC49" s="43"/>
    </row>
    <row r="50" spans="1:100" s="48" customFormat="1" ht="12.95" customHeight="1" x14ac:dyDescent="0.15">
      <c r="A50" s="49">
        <f t="shared" si="0"/>
        <v>44</v>
      </c>
      <c r="B50" s="62" t="s">
        <v>89</v>
      </c>
      <c r="C50" s="51"/>
      <c r="D50" s="51"/>
      <c r="E50" s="51"/>
      <c r="F50" s="51"/>
      <c r="G50" s="51"/>
      <c r="H50" s="51" t="s">
        <v>58</v>
      </c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 t="s">
        <v>58</v>
      </c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 t="s">
        <v>58</v>
      </c>
      <c r="AF50" s="51"/>
      <c r="AG50" s="51" t="s">
        <v>59</v>
      </c>
      <c r="AH50" s="52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43"/>
      <c r="AW50" s="43"/>
      <c r="AX50" s="43"/>
      <c r="AY50" s="43"/>
      <c r="AZ50" s="43"/>
      <c r="BA50" s="43"/>
      <c r="BB50" s="43"/>
      <c r="BC50" s="43"/>
    </row>
    <row r="51" spans="1:100" s="48" customFormat="1" ht="12.75" customHeight="1" x14ac:dyDescent="0.15">
      <c r="A51" s="49">
        <f t="shared" si="0"/>
        <v>45</v>
      </c>
      <c r="B51" s="62" t="s">
        <v>95</v>
      </c>
      <c r="C51" s="51"/>
      <c r="D51" s="51"/>
      <c r="E51" s="51"/>
      <c r="F51" s="51"/>
      <c r="G51" s="51"/>
      <c r="H51" s="51"/>
      <c r="I51" s="51"/>
      <c r="J51" s="51" t="s">
        <v>58</v>
      </c>
      <c r="K51" s="51"/>
      <c r="L51" s="51" t="s">
        <v>57</v>
      </c>
      <c r="M51" s="51"/>
      <c r="N51" s="51"/>
      <c r="O51" s="51"/>
      <c r="P51" s="51"/>
      <c r="Q51" s="51"/>
      <c r="R51" s="51"/>
      <c r="S51" s="51" t="s">
        <v>57</v>
      </c>
      <c r="T51" s="51"/>
      <c r="U51" s="51"/>
      <c r="V51" s="51"/>
      <c r="W51" s="51"/>
      <c r="X51" s="51"/>
      <c r="Y51" s="51"/>
      <c r="Z51" s="51"/>
      <c r="AA51" s="51"/>
      <c r="AB51" s="51" t="s">
        <v>58</v>
      </c>
      <c r="AC51" s="51"/>
      <c r="AD51" s="51"/>
      <c r="AE51" s="51"/>
      <c r="AF51" s="51"/>
      <c r="AG51" s="51"/>
      <c r="AH51" s="52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43"/>
      <c r="AW51" s="43"/>
      <c r="AX51" s="43"/>
      <c r="AY51" s="43"/>
      <c r="AZ51" s="43"/>
      <c r="BA51" s="43"/>
      <c r="BB51" s="43"/>
      <c r="BC51" s="43"/>
    </row>
    <row r="52" spans="1:100" s="48" customFormat="1" ht="12.95" customHeight="1" x14ac:dyDescent="0.15">
      <c r="A52" s="49">
        <f t="shared" si="0"/>
        <v>46</v>
      </c>
      <c r="B52" s="62" t="s">
        <v>112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2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43"/>
      <c r="AW52" s="43"/>
      <c r="AX52" s="43"/>
      <c r="AY52" s="43"/>
      <c r="AZ52" s="43"/>
      <c r="BA52" s="43"/>
      <c r="BB52" s="43"/>
      <c r="BC52" s="43"/>
    </row>
    <row r="53" spans="1:100" s="48" customFormat="1" ht="12.95" customHeight="1" x14ac:dyDescent="0.15">
      <c r="A53" s="49">
        <f t="shared" si="0"/>
        <v>47</v>
      </c>
      <c r="B53" s="50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2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43"/>
      <c r="AW53" s="43"/>
      <c r="AX53" s="43"/>
      <c r="AY53" s="43"/>
      <c r="AZ53" s="43"/>
      <c r="BA53" s="43"/>
      <c r="BB53" s="43"/>
      <c r="BC53" s="43"/>
    </row>
    <row r="54" spans="1:100" x14ac:dyDescent="0.25">
      <c r="A54" s="63"/>
      <c r="B54" s="64" t="s">
        <v>61</v>
      </c>
      <c r="C54" s="61">
        <f t="shared" ref="C54:AG54" si="1">COUNTA(C7:C53)</f>
        <v>0</v>
      </c>
      <c r="D54" s="61">
        <f t="shared" si="1"/>
        <v>0</v>
      </c>
      <c r="E54" s="61">
        <f t="shared" si="1"/>
        <v>16</v>
      </c>
      <c r="F54" s="61">
        <f t="shared" si="1"/>
        <v>9</v>
      </c>
      <c r="G54" s="61">
        <f t="shared" si="1"/>
        <v>11</v>
      </c>
      <c r="H54" s="61">
        <f t="shared" si="1"/>
        <v>10</v>
      </c>
      <c r="I54" s="61">
        <f t="shared" si="1"/>
        <v>13</v>
      </c>
      <c r="J54" s="61">
        <f t="shared" si="1"/>
        <v>1</v>
      </c>
      <c r="K54" s="61">
        <f t="shared" si="1"/>
        <v>13</v>
      </c>
      <c r="L54" s="61">
        <f t="shared" si="1"/>
        <v>8</v>
      </c>
      <c r="M54" s="61">
        <f t="shared" si="1"/>
        <v>7</v>
      </c>
      <c r="N54" s="61">
        <f t="shared" si="1"/>
        <v>7</v>
      </c>
      <c r="O54" s="61">
        <f t="shared" si="1"/>
        <v>9</v>
      </c>
      <c r="P54" s="61">
        <f t="shared" si="1"/>
        <v>3</v>
      </c>
      <c r="Q54" s="61">
        <f t="shared" si="1"/>
        <v>0</v>
      </c>
      <c r="R54" s="61">
        <f t="shared" si="1"/>
        <v>5</v>
      </c>
      <c r="S54" s="61">
        <f t="shared" si="1"/>
        <v>10</v>
      </c>
      <c r="T54" s="61">
        <f t="shared" si="1"/>
        <v>6</v>
      </c>
      <c r="U54" s="61">
        <f t="shared" si="1"/>
        <v>0</v>
      </c>
      <c r="V54" s="61">
        <f t="shared" si="1"/>
        <v>0</v>
      </c>
      <c r="W54" s="61">
        <f t="shared" si="1"/>
        <v>0</v>
      </c>
      <c r="X54" s="61">
        <f t="shared" si="1"/>
        <v>0</v>
      </c>
      <c r="Y54" s="61">
        <f t="shared" si="1"/>
        <v>0</v>
      </c>
      <c r="Z54" s="61">
        <f t="shared" si="1"/>
        <v>0</v>
      </c>
      <c r="AA54" s="61">
        <f t="shared" si="1"/>
        <v>0</v>
      </c>
      <c r="AB54" s="61">
        <f t="shared" si="1"/>
        <v>10</v>
      </c>
      <c r="AC54" s="61">
        <f t="shared" si="1"/>
        <v>8</v>
      </c>
      <c r="AD54" s="61">
        <f t="shared" si="1"/>
        <v>3</v>
      </c>
      <c r="AE54" s="61">
        <f t="shared" si="1"/>
        <v>1</v>
      </c>
      <c r="AF54" s="61">
        <f t="shared" si="1"/>
        <v>8</v>
      </c>
      <c r="AG54" s="61">
        <f t="shared" si="1"/>
        <v>7</v>
      </c>
      <c r="AH54" s="61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</row>
    <row r="57" spans="1:100" x14ac:dyDescent="0.25">
      <c r="A57" s="43"/>
      <c r="B57" s="44" t="s">
        <v>48</v>
      </c>
      <c r="C57" s="42" t="s">
        <v>49</v>
      </c>
      <c r="D57" s="45" t="s">
        <v>50</v>
      </c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</row>
    <row r="58" spans="1:100" x14ac:dyDescent="0.25">
      <c r="A58" s="44"/>
      <c r="B58" s="44" t="s">
        <v>51</v>
      </c>
      <c r="C58" s="42" t="s">
        <v>49</v>
      </c>
      <c r="D58" s="45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</row>
    <row r="59" spans="1:100" x14ac:dyDescent="0.25">
      <c r="A59" s="44"/>
      <c r="B59" s="44" t="s">
        <v>52</v>
      </c>
      <c r="C59" s="42" t="s">
        <v>49</v>
      </c>
      <c r="D59" s="45" t="s">
        <v>62</v>
      </c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</row>
    <row r="60" spans="1:100" x14ac:dyDescent="0.25">
      <c r="A60" s="46" t="s">
        <v>54</v>
      </c>
      <c r="B60" s="46" t="s">
        <v>55</v>
      </c>
      <c r="C60" s="46">
        <v>1</v>
      </c>
      <c r="D60" s="46">
        <v>2</v>
      </c>
      <c r="E60" s="46">
        <v>3</v>
      </c>
      <c r="F60" s="46">
        <v>4</v>
      </c>
      <c r="G60" s="46">
        <v>5</v>
      </c>
      <c r="H60" s="46">
        <v>6</v>
      </c>
      <c r="I60" s="46">
        <v>7</v>
      </c>
      <c r="J60" s="46">
        <v>8</v>
      </c>
      <c r="K60" s="46">
        <v>9</v>
      </c>
      <c r="L60" s="46">
        <v>10</v>
      </c>
      <c r="M60" s="46">
        <v>11</v>
      </c>
      <c r="N60" s="46">
        <v>12</v>
      </c>
      <c r="O60" s="46">
        <v>13</v>
      </c>
      <c r="P60" s="46">
        <v>14</v>
      </c>
      <c r="Q60" s="46">
        <v>15</v>
      </c>
      <c r="R60" s="46">
        <v>16</v>
      </c>
      <c r="S60" s="46">
        <v>17</v>
      </c>
      <c r="T60" s="46">
        <v>18</v>
      </c>
      <c r="U60" s="46">
        <v>19</v>
      </c>
      <c r="V60" s="46">
        <v>20</v>
      </c>
      <c r="W60" s="46">
        <v>21</v>
      </c>
      <c r="X60" s="46">
        <v>22</v>
      </c>
      <c r="Y60" s="46">
        <v>23</v>
      </c>
      <c r="Z60" s="46">
        <v>24</v>
      </c>
      <c r="AA60" s="46">
        <v>25</v>
      </c>
      <c r="AB60" s="46">
        <v>26</v>
      </c>
      <c r="AC60" s="46">
        <v>27</v>
      </c>
      <c r="AD60" s="46">
        <v>28</v>
      </c>
      <c r="AE60" s="46">
        <v>29</v>
      </c>
      <c r="AF60" s="46">
        <v>30</v>
      </c>
      <c r="AG60" s="46">
        <v>31</v>
      </c>
      <c r="AH60" s="47" t="s">
        <v>56</v>
      </c>
    </row>
    <row r="61" spans="1:100" x14ac:dyDescent="0.25">
      <c r="A61" s="49">
        <v>1</v>
      </c>
      <c r="B61" s="62" t="s">
        <v>137</v>
      </c>
      <c r="C61" s="51"/>
      <c r="D61" s="51"/>
      <c r="E61" s="51" t="s">
        <v>58</v>
      </c>
      <c r="F61" s="51"/>
      <c r="G61" s="51"/>
      <c r="H61" s="51"/>
      <c r="I61" s="51"/>
      <c r="J61" s="51"/>
      <c r="K61" s="51"/>
      <c r="L61" s="51"/>
      <c r="M61" s="51"/>
      <c r="N61" s="51"/>
      <c r="O61" s="51" t="s">
        <v>58</v>
      </c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 t="s">
        <v>59</v>
      </c>
      <c r="AH61" s="52"/>
    </row>
    <row r="62" spans="1:100" x14ac:dyDescent="0.25">
      <c r="A62" s="49">
        <f>1+A61</f>
        <v>2</v>
      </c>
      <c r="B62" s="62" t="s">
        <v>138</v>
      </c>
      <c r="C62" s="51"/>
      <c r="D62" s="51"/>
      <c r="E62" s="51"/>
      <c r="F62" s="51" t="s">
        <v>57</v>
      </c>
      <c r="G62" s="51" t="s">
        <v>59</v>
      </c>
      <c r="H62" s="51"/>
      <c r="I62" s="51"/>
      <c r="J62" s="51"/>
      <c r="K62" s="51"/>
      <c r="L62" s="51"/>
      <c r="M62" s="51"/>
      <c r="N62" s="51"/>
      <c r="O62" s="51"/>
      <c r="P62" s="51" t="s">
        <v>59</v>
      </c>
      <c r="Q62" s="51"/>
      <c r="R62" s="51" t="s">
        <v>59</v>
      </c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 t="s">
        <v>59</v>
      </c>
      <c r="AD62" s="51" t="s">
        <v>59</v>
      </c>
      <c r="AE62" s="54"/>
      <c r="AF62" s="51"/>
      <c r="AG62" s="51"/>
      <c r="AH62" s="55"/>
    </row>
    <row r="63" spans="1:100" x14ac:dyDescent="0.25">
      <c r="A63" s="49">
        <f t="shared" ref="A63:A90" si="2">1+A62</f>
        <v>3</v>
      </c>
      <c r="B63" s="62" t="s">
        <v>139</v>
      </c>
      <c r="C63" s="51"/>
      <c r="D63" s="51"/>
      <c r="E63" s="51"/>
      <c r="F63" s="51" t="s">
        <v>57</v>
      </c>
      <c r="G63" s="51"/>
      <c r="H63" s="51"/>
      <c r="I63" s="51"/>
      <c r="J63" s="51"/>
      <c r="K63" s="51"/>
      <c r="L63" s="51"/>
      <c r="M63" s="51" t="s">
        <v>57</v>
      </c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2"/>
    </row>
    <row r="64" spans="1:100" x14ac:dyDescent="0.25">
      <c r="A64" s="49">
        <f t="shared" si="2"/>
        <v>4</v>
      </c>
      <c r="B64" s="62" t="s">
        <v>140</v>
      </c>
      <c r="C64" s="51"/>
      <c r="D64" s="51"/>
      <c r="E64" s="51"/>
      <c r="F64" s="51" t="s">
        <v>57</v>
      </c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 t="s">
        <v>58</v>
      </c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2"/>
    </row>
    <row r="65" spans="1:16384" x14ac:dyDescent="0.25">
      <c r="A65" s="49">
        <f t="shared" si="2"/>
        <v>5</v>
      </c>
      <c r="B65" s="62" t="s">
        <v>115</v>
      </c>
      <c r="C65" s="51"/>
      <c r="D65" s="51"/>
      <c r="E65" s="51"/>
      <c r="F65" s="51" t="s">
        <v>57</v>
      </c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2"/>
    </row>
    <row r="66" spans="1:16384" x14ac:dyDescent="0.25">
      <c r="A66" s="49">
        <f t="shared" si="2"/>
        <v>6</v>
      </c>
      <c r="B66" s="62" t="s">
        <v>141</v>
      </c>
      <c r="C66" s="51"/>
      <c r="D66" s="51"/>
      <c r="E66" s="51"/>
      <c r="F66" s="51" t="s">
        <v>58</v>
      </c>
      <c r="G66" s="51" t="s">
        <v>59</v>
      </c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2"/>
    </row>
    <row r="67" spans="1:16384" x14ac:dyDescent="0.25">
      <c r="A67" s="49">
        <f t="shared" si="2"/>
        <v>7</v>
      </c>
      <c r="B67" s="62" t="s">
        <v>142</v>
      </c>
      <c r="C67" s="51"/>
      <c r="D67" s="51"/>
      <c r="E67" s="51"/>
      <c r="F67" s="51"/>
      <c r="G67" s="51" t="s">
        <v>59</v>
      </c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2"/>
    </row>
    <row r="68" spans="1:16384" x14ac:dyDescent="0.25">
      <c r="A68" s="49">
        <f t="shared" si="2"/>
        <v>8</v>
      </c>
      <c r="B68" s="62" t="s">
        <v>88</v>
      </c>
      <c r="C68" s="51"/>
      <c r="D68" s="51"/>
      <c r="E68" s="51"/>
      <c r="F68" s="51"/>
      <c r="G68" s="51" t="s">
        <v>59</v>
      </c>
      <c r="H68" s="51"/>
      <c r="I68" s="51"/>
      <c r="J68" s="51"/>
      <c r="K68" s="51"/>
      <c r="L68" s="51" t="s">
        <v>57</v>
      </c>
      <c r="M68" s="51"/>
      <c r="N68" s="51"/>
      <c r="O68" s="51"/>
      <c r="P68" s="51"/>
      <c r="Q68" s="51"/>
      <c r="R68" s="51"/>
      <c r="S68" s="51" t="s">
        <v>58</v>
      </c>
      <c r="T68" s="51"/>
      <c r="U68" s="51"/>
      <c r="V68" s="51"/>
      <c r="W68" s="51"/>
      <c r="X68" s="51"/>
      <c r="Y68" s="51"/>
      <c r="Z68" s="51"/>
      <c r="AA68" s="51"/>
      <c r="AB68" s="51" t="s">
        <v>59</v>
      </c>
      <c r="AC68" s="51"/>
      <c r="AD68" s="51"/>
      <c r="AE68" s="51"/>
      <c r="AF68" s="51"/>
      <c r="AG68" s="51"/>
      <c r="AH68" s="52"/>
    </row>
    <row r="69" spans="1:16384" x14ac:dyDescent="0.25">
      <c r="A69" s="49">
        <f t="shared" si="2"/>
        <v>9</v>
      </c>
      <c r="B69" s="62" t="s">
        <v>143</v>
      </c>
      <c r="C69" s="62"/>
      <c r="D69" s="62"/>
      <c r="E69" s="62"/>
      <c r="F69" s="62"/>
      <c r="G69" s="51" t="s">
        <v>59</v>
      </c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51" t="s">
        <v>59</v>
      </c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  <c r="CO69" s="62"/>
      <c r="CP69" s="62"/>
      <c r="CQ69" s="62"/>
      <c r="CR69" s="62"/>
      <c r="CS69" s="62"/>
      <c r="CT69" s="62"/>
      <c r="CU69" s="62"/>
      <c r="CV69" s="62"/>
      <c r="CW69" s="62"/>
      <c r="CX69" s="62"/>
      <c r="CY69" s="62"/>
      <c r="CZ69" s="62"/>
      <c r="DA69" s="62"/>
      <c r="DB69" s="62"/>
      <c r="DC69" s="62"/>
      <c r="DD69" s="62"/>
      <c r="DE69" s="62"/>
      <c r="DF69" s="62"/>
      <c r="DG69" s="62"/>
      <c r="DH69" s="62"/>
      <c r="DI69" s="62"/>
      <c r="DJ69" s="62"/>
      <c r="DK69" s="62"/>
      <c r="DL69" s="62"/>
      <c r="DM69" s="62"/>
      <c r="DN69" s="62"/>
      <c r="DO69" s="62"/>
      <c r="DP69" s="62"/>
      <c r="DQ69" s="62"/>
      <c r="DR69" s="62"/>
      <c r="DS69" s="62"/>
      <c r="DT69" s="62"/>
      <c r="DU69" s="62"/>
      <c r="DV69" s="62"/>
      <c r="DW69" s="62"/>
      <c r="DX69" s="62"/>
      <c r="DY69" s="62"/>
      <c r="DZ69" s="62"/>
      <c r="EA69" s="62"/>
      <c r="EB69" s="62"/>
      <c r="EC69" s="62"/>
      <c r="ED69" s="62"/>
      <c r="EE69" s="62"/>
      <c r="EF69" s="62"/>
      <c r="EG69" s="62"/>
      <c r="EH69" s="62"/>
      <c r="EI69" s="62"/>
      <c r="EJ69" s="62"/>
      <c r="EK69" s="62"/>
      <c r="EL69" s="62"/>
      <c r="EM69" s="62"/>
      <c r="EN69" s="62"/>
      <c r="EO69" s="62"/>
      <c r="EP69" s="62"/>
      <c r="EQ69" s="62"/>
      <c r="ER69" s="62"/>
      <c r="ES69" s="62"/>
      <c r="ET69" s="62"/>
      <c r="EU69" s="62"/>
      <c r="EV69" s="62"/>
      <c r="EW69" s="62"/>
      <c r="EX69" s="62"/>
      <c r="EY69" s="62"/>
      <c r="EZ69" s="62"/>
      <c r="FA69" s="62"/>
      <c r="FB69" s="62"/>
      <c r="FC69" s="62"/>
      <c r="FD69" s="62"/>
      <c r="FE69" s="62"/>
      <c r="FF69" s="62"/>
      <c r="FG69" s="62"/>
      <c r="FH69" s="62"/>
      <c r="FI69" s="62"/>
      <c r="FJ69" s="62"/>
      <c r="FK69" s="62"/>
      <c r="FL69" s="62"/>
      <c r="FM69" s="62"/>
      <c r="FN69" s="62"/>
      <c r="FO69" s="62"/>
      <c r="FP69" s="62"/>
      <c r="FQ69" s="62"/>
      <c r="FR69" s="62"/>
      <c r="FS69" s="62"/>
      <c r="FT69" s="62"/>
      <c r="FU69" s="62"/>
      <c r="FV69" s="62"/>
      <c r="FW69" s="62"/>
      <c r="FX69" s="62"/>
      <c r="FY69" s="62"/>
      <c r="FZ69" s="62"/>
      <c r="GA69" s="62"/>
      <c r="GB69" s="62"/>
      <c r="GC69" s="62"/>
      <c r="GD69" s="62"/>
      <c r="GE69" s="62"/>
      <c r="GF69" s="62"/>
      <c r="GG69" s="62"/>
      <c r="GH69" s="62"/>
      <c r="GI69" s="62"/>
      <c r="GJ69" s="62"/>
      <c r="GK69" s="62"/>
      <c r="GL69" s="62"/>
      <c r="GM69" s="62"/>
      <c r="GN69" s="62"/>
      <c r="GO69" s="62"/>
      <c r="GP69" s="62"/>
      <c r="GQ69" s="62"/>
      <c r="GR69" s="62"/>
      <c r="GS69" s="62"/>
      <c r="GT69" s="62"/>
      <c r="GU69" s="62"/>
      <c r="GV69" s="62"/>
      <c r="GW69" s="62"/>
      <c r="GX69" s="62"/>
      <c r="GY69" s="62"/>
      <c r="GZ69" s="62"/>
      <c r="HA69" s="62"/>
      <c r="HB69" s="62"/>
      <c r="HC69" s="62"/>
      <c r="HD69" s="62"/>
      <c r="HE69" s="62"/>
      <c r="HF69" s="62"/>
      <c r="HG69" s="62"/>
      <c r="HH69" s="62"/>
      <c r="HI69" s="62"/>
      <c r="HJ69" s="62"/>
      <c r="HK69" s="62"/>
      <c r="HL69" s="62"/>
      <c r="HM69" s="62"/>
      <c r="HN69" s="62"/>
      <c r="HO69" s="62"/>
      <c r="HP69" s="62"/>
      <c r="HQ69" s="62"/>
      <c r="HR69" s="62"/>
      <c r="HS69" s="62"/>
      <c r="HT69" s="62"/>
      <c r="HU69" s="62"/>
      <c r="HV69" s="62"/>
      <c r="HW69" s="62"/>
      <c r="HX69" s="62"/>
      <c r="HY69" s="62"/>
      <c r="HZ69" s="62"/>
      <c r="IA69" s="62"/>
      <c r="IB69" s="62"/>
      <c r="IC69" s="62"/>
      <c r="ID69" s="62"/>
      <c r="IE69" s="62"/>
      <c r="IF69" s="62"/>
      <c r="IG69" s="62"/>
      <c r="IH69" s="62"/>
      <c r="II69" s="62"/>
      <c r="IJ69" s="62"/>
      <c r="IK69" s="62"/>
      <c r="IL69" s="62"/>
      <c r="IM69" s="62"/>
      <c r="IN69" s="62"/>
      <c r="IO69" s="62"/>
      <c r="IP69" s="62"/>
      <c r="IQ69" s="62"/>
      <c r="IR69" s="62"/>
      <c r="IS69" s="62"/>
      <c r="IT69" s="62"/>
      <c r="IU69" s="62"/>
      <c r="IV69" s="62"/>
      <c r="IW69" s="62"/>
      <c r="IX69" s="62"/>
      <c r="IY69" s="62"/>
      <c r="IZ69" s="62"/>
      <c r="JA69" s="62"/>
      <c r="JB69" s="62"/>
      <c r="JC69" s="62"/>
      <c r="JD69" s="62"/>
      <c r="JE69" s="62"/>
      <c r="JF69" s="62"/>
      <c r="JG69" s="62"/>
      <c r="JH69" s="62"/>
      <c r="JI69" s="62"/>
      <c r="JJ69" s="62"/>
      <c r="JK69" s="62"/>
      <c r="JL69" s="62"/>
      <c r="JM69" s="62"/>
      <c r="JN69" s="62"/>
      <c r="JO69" s="62"/>
      <c r="JP69" s="62"/>
      <c r="JQ69" s="62"/>
      <c r="JR69" s="62"/>
      <c r="JS69" s="62"/>
      <c r="JT69" s="62"/>
      <c r="JU69" s="62"/>
      <c r="JV69" s="62"/>
      <c r="JW69" s="62"/>
      <c r="JX69" s="62"/>
      <c r="JY69" s="62"/>
      <c r="JZ69" s="62"/>
      <c r="KA69" s="62"/>
      <c r="KB69" s="62"/>
      <c r="KC69" s="62"/>
      <c r="KD69" s="62"/>
      <c r="KE69" s="62"/>
      <c r="KF69" s="62"/>
      <c r="KG69" s="62"/>
      <c r="KH69" s="62"/>
      <c r="KI69" s="62"/>
      <c r="KJ69" s="62"/>
      <c r="KK69" s="62"/>
      <c r="KL69" s="62"/>
      <c r="KM69" s="62"/>
      <c r="KN69" s="62"/>
      <c r="KO69" s="62"/>
      <c r="KP69" s="62"/>
      <c r="KQ69" s="62"/>
      <c r="KR69" s="62"/>
      <c r="KS69" s="62"/>
      <c r="KT69" s="62"/>
      <c r="KU69" s="62"/>
      <c r="KV69" s="62"/>
      <c r="KW69" s="62"/>
      <c r="KX69" s="62"/>
      <c r="KY69" s="62"/>
      <c r="KZ69" s="62"/>
      <c r="LA69" s="62"/>
      <c r="LB69" s="62"/>
      <c r="LC69" s="62"/>
      <c r="LD69" s="62"/>
      <c r="LE69" s="62"/>
      <c r="LF69" s="62"/>
      <c r="LG69" s="62"/>
      <c r="LH69" s="62"/>
      <c r="LI69" s="62"/>
      <c r="LJ69" s="62"/>
      <c r="LK69" s="62"/>
      <c r="LL69" s="62"/>
      <c r="LM69" s="62"/>
      <c r="LN69" s="62"/>
      <c r="LO69" s="62"/>
      <c r="LP69" s="62"/>
      <c r="LQ69" s="62"/>
      <c r="LR69" s="62"/>
      <c r="LS69" s="62"/>
      <c r="LT69" s="62"/>
      <c r="LU69" s="62"/>
      <c r="LV69" s="62"/>
      <c r="LW69" s="62"/>
      <c r="LX69" s="62"/>
      <c r="LY69" s="62"/>
      <c r="LZ69" s="62"/>
      <c r="MA69" s="62"/>
      <c r="MB69" s="62"/>
      <c r="MC69" s="62"/>
      <c r="MD69" s="62"/>
      <c r="ME69" s="62"/>
      <c r="MF69" s="62"/>
      <c r="MG69" s="62"/>
      <c r="MH69" s="62"/>
      <c r="MI69" s="62"/>
      <c r="MJ69" s="62"/>
      <c r="MK69" s="62"/>
      <c r="ML69" s="62"/>
      <c r="MM69" s="62"/>
      <c r="MN69" s="62"/>
      <c r="MO69" s="62"/>
      <c r="MP69" s="62"/>
      <c r="MQ69" s="62"/>
      <c r="MR69" s="62"/>
      <c r="MS69" s="62"/>
      <c r="MT69" s="62"/>
      <c r="MU69" s="62"/>
      <c r="MV69" s="62"/>
      <c r="MW69" s="62"/>
      <c r="MX69" s="62"/>
      <c r="MY69" s="62"/>
      <c r="MZ69" s="62"/>
      <c r="NA69" s="62"/>
      <c r="NB69" s="62"/>
      <c r="NC69" s="62"/>
      <c r="ND69" s="62"/>
      <c r="NE69" s="62"/>
      <c r="NF69" s="62"/>
      <c r="NG69" s="62"/>
      <c r="NH69" s="62"/>
      <c r="NI69" s="62"/>
      <c r="NJ69" s="62"/>
      <c r="NK69" s="62"/>
      <c r="NL69" s="62"/>
      <c r="NM69" s="62"/>
      <c r="NN69" s="62"/>
      <c r="NO69" s="62"/>
      <c r="NP69" s="62"/>
      <c r="NQ69" s="62"/>
      <c r="NR69" s="62"/>
      <c r="NS69" s="62"/>
      <c r="NT69" s="62"/>
      <c r="NU69" s="62"/>
      <c r="NV69" s="62"/>
      <c r="NW69" s="62"/>
      <c r="NX69" s="62"/>
      <c r="NY69" s="62"/>
      <c r="NZ69" s="62"/>
      <c r="OA69" s="62"/>
      <c r="OB69" s="62"/>
      <c r="OC69" s="62"/>
      <c r="OD69" s="62"/>
      <c r="OE69" s="62"/>
      <c r="OF69" s="62"/>
      <c r="OG69" s="62"/>
      <c r="OH69" s="62"/>
      <c r="OI69" s="62"/>
      <c r="OJ69" s="62"/>
      <c r="OK69" s="62"/>
      <c r="OL69" s="62"/>
      <c r="OM69" s="62"/>
      <c r="ON69" s="62"/>
      <c r="OO69" s="62"/>
      <c r="OP69" s="62"/>
      <c r="OQ69" s="62"/>
      <c r="OR69" s="62"/>
      <c r="OS69" s="62"/>
      <c r="OT69" s="62"/>
      <c r="OU69" s="62"/>
      <c r="OV69" s="62"/>
      <c r="OW69" s="62"/>
      <c r="OX69" s="62"/>
      <c r="OY69" s="62"/>
      <c r="OZ69" s="62"/>
      <c r="PA69" s="62"/>
      <c r="PB69" s="62"/>
      <c r="PC69" s="62"/>
      <c r="PD69" s="62"/>
      <c r="PE69" s="62"/>
      <c r="PF69" s="62"/>
      <c r="PG69" s="62"/>
      <c r="PH69" s="62"/>
      <c r="PI69" s="62"/>
      <c r="PJ69" s="62"/>
      <c r="PK69" s="62"/>
      <c r="PL69" s="62"/>
      <c r="PM69" s="62"/>
      <c r="PN69" s="62"/>
      <c r="PO69" s="62"/>
      <c r="PP69" s="62"/>
      <c r="PQ69" s="62"/>
      <c r="PR69" s="62"/>
      <c r="PS69" s="62"/>
      <c r="PT69" s="62"/>
      <c r="PU69" s="62"/>
      <c r="PV69" s="62"/>
      <c r="PW69" s="62"/>
      <c r="PX69" s="62"/>
      <c r="PY69" s="62"/>
      <c r="PZ69" s="62"/>
      <c r="QA69" s="62"/>
      <c r="QB69" s="62"/>
      <c r="QC69" s="62"/>
      <c r="QD69" s="62"/>
      <c r="QE69" s="62"/>
      <c r="QF69" s="62"/>
      <c r="QG69" s="62"/>
      <c r="QH69" s="62"/>
      <c r="QI69" s="62"/>
      <c r="QJ69" s="62"/>
      <c r="QK69" s="62"/>
      <c r="QL69" s="62"/>
      <c r="QM69" s="62"/>
      <c r="QN69" s="62"/>
      <c r="QO69" s="62"/>
      <c r="QP69" s="62"/>
      <c r="QQ69" s="62"/>
      <c r="QR69" s="62"/>
      <c r="QS69" s="62"/>
      <c r="QT69" s="62"/>
      <c r="QU69" s="62"/>
      <c r="QV69" s="62"/>
      <c r="QW69" s="62"/>
      <c r="QX69" s="62"/>
      <c r="QY69" s="62"/>
      <c r="QZ69" s="62"/>
      <c r="RA69" s="62"/>
      <c r="RB69" s="62"/>
      <c r="RC69" s="62"/>
      <c r="RD69" s="62"/>
      <c r="RE69" s="62"/>
      <c r="RF69" s="62"/>
      <c r="RG69" s="62"/>
      <c r="RH69" s="62"/>
      <c r="RI69" s="62"/>
      <c r="RJ69" s="62"/>
      <c r="RK69" s="62"/>
      <c r="RL69" s="62"/>
      <c r="RM69" s="62"/>
      <c r="RN69" s="62"/>
      <c r="RO69" s="62"/>
      <c r="RP69" s="62"/>
      <c r="RQ69" s="62"/>
      <c r="RR69" s="62"/>
      <c r="RS69" s="62"/>
      <c r="RT69" s="62"/>
      <c r="RU69" s="62"/>
      <c r="RV69" s="62"/>
      <c r="RW69" s="62"/>
      <c r="RX69" s="62"/>
      <c r="RY69" s="62"/>
      <c r="RZ69" s="62"/>
      <c r="SA69" s="62"/>
      <c r="SB69" s="62"/>
      <c r="SC69" s="62"/>
      <c r="SD69" s="62"/>
      <c r="SE69" s="62"/>
      <c r="SF69" s="62"/>
      <c r="SG69" s="62"/>
      <c r="SH69" s="62"/>
      <c r="SI69" s="62"/>
      <c r="SJ69" s="62"/>
      <c r="SK69" s="62"/>
      <c r="SL69" s="62"/>
      <c r="SM69" s="62"/>
      <c r="SN69" s="62"/>
      <c r="SO69" s="62"/>
      <c r="SP69" s="62"/>
      <c r="SQ69" s="62"/>
      <c r="SR69" s="62"/>
      <c r="SS69" s="62"/>
      <c r="ST69" s="62"/>
      <c r="SU69" s="62"/>
      <c r="SV69" s="62"/>
      <c r="SW69" s="62"/>
      <c r="SX69" s="62"/>
      <c r="SY69" s="62"/>
      <c r="SZ69" s="62"/>
      <c r="TA69" s="62"/>
      <c r="TB69" s="62"/>
      <c r="TC69" s="62"/>
      <c r="TD69" s="62"/>
      <c r="TE69" s="62"/>
      <c r="TF69" s="62"/>
      <c r="TG69" s="62"/>
      <c r="TH69" s="62"/>
      <c r="TI69" s="62"/>
      <c r="TJ69" s="62"/>
      <c r="TK69" s="62"/>
      <c r="TL69" s="62"/>
      <c r="TM69" s="62"/>
      <c r="TN69" s="62"/>
      <c r="TO69" s="62"/>
      <c r="TP69" s="62"/>
      <c r="TQ69" s="62"/>
      <c r="TR69" s="62"/>
      <c r="TS69" s="62"/>
      <c r="TT69" s="62"/>
      <c r="TU69" s="62"/>
      <c r="TV69" s="62"/>
      <c r="TW69" s="62"/>
      <c r="TX69" s="62"/>
      <c r="TY69" s="62"/>
      <c r="TZ69" s="62"/>
      <c r="UA69" s="62"/>
      <c r="UB69" s="62"/>
      <c r="UC69" s="62"/>
      <c r="UD69" s="62"/>
      <c r="UE69" s="62"/>
      <c r="UF69" s="62"/>
      <c r="UG69" s="62"/>
      <c r="UH69" s="62"/>
      <c r="UI69" s="62"/>
      <c r="UJ69" s="62"/>
      <c r="UK69" s="62"/>
      <c r="UL69" s="62"/>
      <c r="UM69" s="62"/>
      <c r="UN69" s="62"/>
      <c r="UO69" s="62"/>
      <c r="UP69" s="62"/>
      <c r="UQ69" s="62"/>
      <c r="UR69" s="62"/>
      <c r="US69" s="62"/>
      <c r="UT69" s="62"/>
      <c r="UU69" s="62"/>
      <c r="UV69" s="62"/>
      <c r="UW69" s="62"/>
      <c r="UX69" s="62"/>
      <c r="UY69" s="62"/>
      <c r="UZ69" s="62"/>
      <c r="VA69" s="62"/>
      <c r="VB69" s="62"/>
      <c r="VC69" s="62"/>
      <c r="VD69" s="62"/>
      <c r="VE69" s="62"/>
      <c r="VF69" s="62"/>
      <c r="VG69" s="62"/>
      <c r="VH69" s="62"/>
      <c r="VI69" s="62"/>
      <c r="VJ69" s="62"/>
      <c r="VK69" s="62"/>
      <c r="VL69" s="62"/>
      <c r="VM69" s="62"/>
      <c r="VN69" s="62"/>
      <c r="VO69" s="62"/>
      <c r="VP69" s="62"/>
      <c r="VQ69" s="62"/>
      <c r="VR69" s="62"/>
      <c r="VS69" s="62"/>
      <c r="VT69" s="62"/>
      <c r="VU69" s="62"/>
      <c r="VV69" s="62"/>
      <c r="VW69" s="62"/>
      <c r="VX69" s="62"/>
      <c r="VY69" s="62"/>
      <c r="VZ69" s="62"/>
      <c r="WA69" s="62"/>
      <c r="WB69" s="62"/>
      <c r="WC69" s="62"/>
      <c r="WD69" s="62"/>
      <c r="WE69" s="62"/>
      <c r="WF69" s="62"/>
      <c r="WG69" s="62"/>
      <c r="WH69" s="62"/>
      <c r="WI69" s="62"/>
      <c r="WJ69" s="62"/>
      <c r="WK69" s="62"/>
      <c r="WL69" s="62"/>
      <c r="WM69" s="62"/>
      <c r="WN69" s="62"/>
      <c r="WO69" s="62"/>
      <c r="WP69" s="62"/>
      <c r="WQ69" s="62"/>
      <c r="WR69" s="62"/>
      <c r="WS69" s="62"/>
      <c r="WT69" s="62"/>
      <c r="WU69" s="62"/>
      <c r="WV69" s="62"/>
      <c r="WW69" s="62"/>
      <c r="WX69" s="62"/>
      <c r="WY69" s="62"/>
      <c r="WZ69" s="62"/>
      <c r="XA69" s="62"/>
      <c r="XB69" s="62"/>
      <c r="XC69" s="62"/>
      <c r="XD69" s="62"/>
      <c r="XE69" s="62"/>
      <c r="XF69" s="62"/>
      <c r="XG69" s="62"/>
      <c r="XH69" s="62"/>
      <c r="XI69" s="62"/>
      <c r="XJ69" s="62"/>
      <c r="XK69" s="62"/>
      <c r="XL69" s="62"/>
      <c r="XM69" s="62"/>
      <c r="XN69" s="62"/>
      <c r="XO69" s="62"/>
      <c r="XP69" s="62"/>
      <c r="XQ69" s="62"/>
      <c r="XR69" s="62"/>
      <c r="XS69" s="62"/>
      <c r="XT69" s="62"/>
      <c r="XU69" s="62"/>
      <c r="XV69" s="62"/>
      <c r="XW69" s="62"/>
      <c r="XX69" s="62"/>
      <c r="XY69" s="62"/>
      <c r="XZ69" s="62"/>
      <c r="YA69" s="62"/>
      <c r="YB69" s="62"/>
      <c r="YC69" s="62"/>
      <c r="YD69" s="62"/>
      <c r="YE69" s="62"/>
      <c r="YF69" s="62"/>
      <c r="YG69" s="62"/>
      <c r="YH69" s="62"/>
      <c r="YI69" s="62"/>
      <c r="YJ69" s="62"/>
      <c r="YK69" s="62"/>
      <c r="YL69" s="62"/>
      <c r="YM69" s="62"/>
      <c r="YN69" s="62"/>
      <c r="YO69" s="62"/>
      <c r="YP69" s="62"/>
      <c r="YQ69" s="62"/>
      <c r="YR69" s="62"/>
      <c r="YS69" s="62"/>
      <c r="YT69" s="62"/>
      <c r="YU69" s="62"/>
      <c r="YV69" s="62"/>
      <c r="YW69" s="62"/>
      <c r="YX69" s="62"/>
      <c r="YY69" s="62"/>
      <c r="YZ69" s="62"/>
      <c r="ZA69" s="62"/>
      <c r="ZB69" s="62"/>
      <c r="ZC69" s="62"/>
      <c r="ZD69" s="62"/>
      <c r="ZE69" s="62"/>
      <c r="ZF69" s="62"/>
      <c r="ZG69" s="62"/>
      <c r="ZH69" s="62"/>
      <c r="ZI69" s="62"/>
      <c r="ZJ69" s="62"/>
      <c r="ZK69" s="62"/>
      <c r="ZL69" s="62"/>
      <c r="ZM69" s="62"/>
      <c r="ZN69" s="62"/>
      <c r="ZO69" s="62"/>
      <c r="ZP69" s="62"/>
      <c r="ZQ69" s="62"/>
      <c r="ZR69" s="62"/>
      <c r="ZS69" s="62"/>
      <c r="ZT69" s="62"/>
      <c r="ZU69" s="62"/>
      <c r="ZV69" s="62"/>
      <c r="ZW69" s="62"/>
      <c r="ZX69" s="62"/>
      <c r="ZY69" s="62"/>
      <c r="ZZ69" s="62"/>
      <c r="AAA69" s="62"/>
      <c r="AAB69" s="62"/>
      <c r="AAC69" s="62"/>
      <c r="AAD69" s="62"/>
      <c r="AAE69" s="62"/>
      <c r="AAF69" s="62"/>
      <c r="AAG69" s="62"/>
      <c r="AAH69" s="62"/>
      <c r="AAI69" s="62"/>
      <c r="AAJ69" s="62"/>
      <c r="AAK69" s="62"/>
      <c r="AAL69" s="62"/>
      <c r="AAM69" s="62"/>
      <c r="AAN69" s="62"/>
      <c r="AAO69" s="62"/>
      <c r="AAP69" s="62"/>
      <c r="AAQ69" s="62"/>
      <c r="AAR69" s="62"/>
      <c r="AAS69" s="62"/>
      <c r="AAT69" s="62"/>
      <c r="AAU69" s="62"/>
      <c r="AAV69" s="62"/>
      <c r="AAW69" s="62"/>
      <c r="AAX69" s="62"/>
      <c r="AAY69" s="62"/>
      <c r="AAZ69" s="62"/>
      <c r="ABA69" s="62"/>
      <c r="ABB69" s="62"/>
      <c r="ABC69" s="62"/>
      <c r="ABD69" s="62"/>
      <c r="ABE69" s="62"/>
      <c r="ABF69" s="62"/>
      <c r="ABG69" s="62"/>
      <c r="ABH69" s="62"/>
      <c r="ABI69" s="62"/>
      <c r="ABJ69" s="62"/>
      <c r="ABK69" s="62"/>
      <c r="ABL69" s="62"/>
      <c r="ABM69" s="62"/>
      <c r="ABN69" s="62"/>
      <c r="ABO69" s="62"/>
      <c r="ABP69" s="62"/>
      <c r="ABQ69" s="62"/>
      <c r="ABR69" s="62"/>
      <c r="ABS69" s="62"/>
      <c r="ABT69" s="62"/>
      <c r="ABU69" s="62"/>
      <c r="ABV69" s="62"/>
      <c r="ABW69" s="62"/>
      <c r="ABX69" s="62"/>
      <c r="ABY69" s="62"/>
      <c r="ABZ69" s="62"/>
      <c r="ACA69" s="62"/>
      <c r="ACB69" s="62"/>
      <c r="ACC69" s="62"/>
      <c r="ACD69" s="62"/>
      <c r="ACE69" s="62"/>
      <c r="ACF69" s="62"/>
      <c r="ACG69" s="62"/>
      <c r="ACH69" s="62"/>
      <c r="ACI69" s="62"/>
      <c r="ACJ69" s="62"/>
      <c r="ACK69" s="62"/>
      <c r="ACL69" s="62"/>
      <c r="ACM69" s="62"/>
      <c r="ACN69" s="62"/>
      <c r="ACO69" s="62"/>
      <c r="ACP69" s="62"/>
      <c r="ACQ69" s="62"/>
      <c r="ACR69" s="62"/>
      <c r="ACS69" s="62"/>
      <c r="ACT69" s="62"/>
      <c r="ACU69" s="62"/>
      <c r="ACV69" s="62"/>
      <c r="ACW69" s="62"/>
      <c r="ACX69" s="62"/>
      <c r="ACY69" s="62"/>
      <c r="ACZ69" s="62"/>
      <c r="ADA69" s="62"/>
      <c r="ADB69" s="62"/>
      <c r="ADC69" s="62"/>
      <c r="ADD69" s="62"/>
      <c r="ADE69" s="62"/>
      <c r="ADF69" s="62"/>
      <c r="ADG69" s="62"/>
      <c r="ADH69" s="62"/>
      <c r="ADI69" s="62"/>
      <c r="ADJ69" s="62"/>
      <c r="ADK69" s="62"/>
      <c r="ADL69" s="62"/>
      <c r="ADM69" s="62"/>
      <c r="ADN69" s="62"/>
      <c r="ADO69" s="62"/>
      <c r="ADP69" s="62"/>
      <c r="ADQ69" s="62"/>
      <c r="ADR69" s="62"/>
      <c r="ADS69" s="62"/>
      <c r="ADT69" s="62"/>
      <c r="ADU69" s="62"/>
      <c r="ADV69" s="62"/>
      <c r="ADW69" s="62"/>
      <c r="ADX69" s="62"/>
      <c r="ADY69" s="62"/>
      <c r="ADZ69" s="62"/>
      <c r="AEA69" s="62"/>
      <c r="AEB69" s="62"/>
      <c r="AEC69" s="62"/>
      <c r="AED69" s="62"/>
      <c r="AEE69" s="62"/>
      <c r="AEF69" s="62"/>
      <c r="AEG69" s="62"/>
      <c r="AEH69" s="62"/>
      <c r="AEI69" s="62"/>
      <c r="AEJ69" s="62"/>
      <c r="AEK69" s="62"/>
      <c r="AEL69" s="62"/>
      <c r="AEM69" s="62"/>
      <c r="AEN69" s="62"/>
      <c r="AEO69" s="62"/>
      <c r="AEP69" s="62"/>
      <c r="AEQ69" s="62"/>
      <c r="AER69" s="62"/>
      <c r="AES69" s="62"/>
      <c r="AET69" s="62"/>
      <c r="AEU69" s="62"/>
      <c r="AEV69" s="62"/>
      <c r="AEW69" s="62"/>
      <c r="AEX69" s="62"/>
      <c r="AEY69" s="62"/>
      <c r="AEZ69" s="62"/>
      <c r="AFA69" s="62"/>
      <c r="AFB69" s="62"/>
      <c r="AFC69" s="62"/>
      <c r="AFD69" s="62"/>
      <c r="AFE69" s="62"/>
      <c r="AFF69" s="62"/>
      <c r="AFG69" s="62"/>
      <c r="AFH69" s="62"/>
      <c r="AFI69" s="62"/>
      <c r="AFJ69" s="62"/>
      <c r="AFK69" s="62"/>
      <c r="AFL69" s="62"/>
      <c r="AFM69" s="62"/>
      <c r="AFN69" s="62"/>
      <c r="AFO69" s="62"/>
      <c r="AFP69" s="62"/>
      <c r="AFQ69" s="62"/>
      <c r="AFR69" s="62"/>
      <c r="AFS69" s="62"/>
      <c r="AFT69" s="62"/>
      <c r="AFU69" s="62"/>
      <c r="AFV69" s="62"/>
      <c r="AFW69" s="62"/>
      <c r="AFX69" s="62"/>
      <c r="AFY69" s="62"/>
      <c r="AFZ69" s="62"/>
      <c r="AGA69" s="62"/>
      <c r="AGB69" s="62"/>
      <c r="AGC69" s="62"/>
      <c r="AGD69" s="62"/>
      <c r="AGE69" s="62"/>
      <c r="AGF69" s="62"/>
      <c r="AGG69" s="62"/>
      <c r="AGH69" s="62"/>
      <c r="AGI69" s="62"/>
      <c r="AGJ69" s="62"/>
      <c r="AGK69" s="62"/>
      <c r="AGL69" s="62"/>
      <c r="AGM69" s="62"/>
      <c r="AGN69" s="62"/>
      <c r="AGO69" s="62"/>
      <c r="AGP69" s="62"/>
      <c r="AGQ69" s="62"/>
      <c r="AGR69" s="62"/>
      <c r="AGS69" s="62"/>
      <c r="AGT69" s="62"/>
      <c r="AGU69" s="62"/>
      <c r="AGV69" s="62"/>
      <c r="AGW69" s="62"/>
      <c r="AGX69" s="62"/>
      <c r="AGY69" s="62"/>
      <c r="AGZ69" s="62"/>
      <c r="AHA69" s="62"/>
      <c r="AHB69" s="62"/>
      <c r="AHC69" s="62"/>
      <c r="AHD69" s="62"/>
      <c r="AHE69" s="62"/>
      <c r="AHF69" s="62"/>
      <c r="AHG69" s="62"/>
      <c r="AHH69" s="62"/>
      <c r="AHI69" s="62"/>
      <c r="AHJ69" s="62"/>
      <c r="AHK69" s="62"/>
      <c r="AHL69" s="62"/>
      <c r="AHM69" s="62"/>
      <c r="AHN69" s="62"/>
      <c r="AHO69" s="62"/>
      <c r="AHP69" s="62"/>
      <c r="AHQ69" s="62"/>
      <c r="AHR69" s="62"/>
      <c r="AHS69" s="62"/>
      <c r="AHT69" s="62"/>
      <c r="AHU69" s="62"/>
      <c r="AHV69" s="62"/>
      <c r="AHW69" s="62"/>
      <c r="AHX69" s="62"/>
      <c r="AHY69" s="62"/>
      <c r="AHZ69" s="62"/>
      <c r="AIA69" s="62"/>
      <c r="AIB69" s="62"/>
      <c r="AIC69" s="62"/>
      <c r="AID69" s="62"/>
      <c r="AIE69" s="62"/>
      <c r="AIF69" s="62"/>
      <c r="AIG69" s="62"/>
      <c r="AIH69" s="62"/>
      <c r="AII69" s="62"/>
      <c r="AIJ69" s="62"/>
      <c r="AIK69" s="62"/>
      <c r="AIL69" s="62"/>
      <c r="AIM69" s="62"/>
      <c r="AIN69" s="62"/>
      <c r="AIO69" s="62"/>
      <c r="AIP69" s="62"/>
      <c r="AIQ69" s="62"/>
      <c r="AIR69" s="62"/>
      <c r="AIS69" s="62"/>
      <c r="AIT69" s="62"/>
      <c r="AIU69" s="62"/>
      <c r="AIV69" s="62"/>
      <c r="AIW69" s="62"/>
      <c r="AIX69" s="62"/>
      <c r="AIY69" s="62"/>
      <c r="AIZ69" s="62"/>
      <c r="AJA69" s="62"/>
      <c r="AJB69" s="62"/>
      <c r="AJC69" s="62"/>
      <c r="AJD69" s="62"/>
      <c r="AJE69" s="62"/>
      <c r="AJF69" s="62"/>
      <c r="AJG69" s="62"/>
      <c r="AJH69" s="62"/>
      <c r="AJI69" s="62"/>
      <c r="AJJ69" s="62"/>
      <c r="AJK69" s="62"/>
      <c r="AJL69" s="62"/>
      <c r="AJM69" s="62"/>
      <c r="AJN69" s="62"/>
      <c r="AJO69" s="62"/>
      <c r="AJP69" s="62"/>
      <c r="AJQ69" s="62"/>
      <c r="AJR69" s="62"/>
      <c r="AJS69" s="62"/>
      <c r="AJT69" s="62"/>
      <c r="AJU69" s="62"/>
      <c r="AJV69" s="62"/>
      <c r="AJW69" s="62"/>
      <c r="AJX69" s="62"/>
      <c r="AJY69" s="62"/>
      <c r="AJZ69" s="62"/>
      <c r="AKA69" s="62"/>
      <c r="AKB69" s="62"/>
      <c r="AKC69" s="62"/>
      <c r="AKD69" s="62"/>
      <c r="AKE69" s="62"/>
      <c r="AKF69" s="62"/>
      <c r="AKG69" s="62"/>
      <c r="AKH69" s="62"/>
      <c r="AKI69" s="62"/>
      <c r="AKJ69" s="62"/>
      <c r="AKK69" s="62"/>
      <c r="AKL69" s="62"/>
      <c r="AKM69" s="62"/>
      <c r="AKN69" s="62"/>
      <c r="AKO69" s="62"/>
      <c r="AKP69" s="62"/>
      <c r="AKQ69" s="62"/>
      <c r="AKR69" s="62"/>
      <c r="AKS69" s="62"/>
      <c r="AKT69" s="62"/>
      <c r="AKU69" s="62"/>
      <c r="AKV69" s="62"/>
      <c r="AKW69" s="62"/>
      <c r="AKX69" s="62"/>
      <c r="AKY69" s="62"/>
      <c r="AKZ69" s="62"/>
      <c r="ALA69" s="62"/>
      <c r="ALB69" s="62"/>
      <c r="ALC69" s="62"/>
      <c r="ALD69" s="62"/>
      <c r="ALE69" s="62"/>
      <c r="ALF69" s="62"/>
      <c r="ALG69" s="62"/>
      <c r="ALH69" s="62"/>
      <c r="ALI69" s="62"/>
      <c r="ALJ69" s="62"/>
      <c r="ALK69" s="62"/>
      <c r="ALL69" s="62"/>
      <c r="ALM69" s="62"/>
      <c r="ALN69" s="62"/>
      <c r="ALO69" s="62"/>
      <c r="ALP69" s="62"/>
      <c r="ALQ69" s="62"/>
      <c r="ALR69" s="62"/>
      <c r="ALS69" s="62"/>
      <c r="ALT69" s="62"/>
      <c r="ALU69" s="62"/>
      <c r="ALV69" s="62"/>
      <c r="ALW69" s="62"/>
      <c r="ALX69" s="62"/>
      <c r="ALY69" s="62"/>
      <c r="ALZ69" s="62"/>
      <c r="AMA69" s="62"/>
      <c r="AMB69" s="62"/>
      <c r="AMC69" s="62"/>
      <c r="AMD69" s="62"/>
      <c r="AME69" s="62"/>
      <c r="AMF69" s="62"/>
      <c r="AMG69" s="62"/>
      <c r="AMH69" s="62"/>
      <c r="AMI69" s="62"/>
      <c r="AMJ69" s="62"/>
      <c r="AMK69" s="62"/>
      <c r="AML69" s="62"/>
      <c r="AMM69" s="62"/>
      <c r="AMN69" s="62"/>
      <c r="AMO69" s="62"/>
      <c r="AMP69" s="62"/>
      <c r="AMQ69" s="62"/>
      <c r="AMR69" s="62"/>
      <c r="AMS69" s="62"/>
      <c r="AMT69" s="62"/>
      <c r="AMU69" s="62"/>
      <c r="AMV69" s="62"/>
      <c r="AMW69" s="62"/>
      <c r="AMX69" s="62"/>
      <c r="AMY69" s="62"/>
      <c r="AMZ69" s="62"/>
      <c r="ANA69" s="62"/>
      <c r="ANB69" s="62"/>
      <c r="ANC69" s="62"/>
      <c r="AND69" s="62"/>
      <c r="ANE69" s="62"/>
      <c r="ANF69" s="62"/>
      <c r="ANG69" s="62"/>
      <c r="ANH69" s="62"/>
      <c r="ANI69" s="62"/>
      <c r="ANJ69" s="62"/>
      <c r="ANK69" s="62"/>
      <c r="ANL69" s="62"/>
      <c r="ANM69" s="62"/>
      <c r="ANN69" s="62"/>
      <c r="ANO69" s="62"/>
      <c r="ANP69" s="62"/>
      <c r="ANQ69" s="62"/>
      <c r="ANR69" s="62"/>
      <c r="ANS69" s="62"/>
      <c r="ANT69" s="62"/>
      <c r="ANU69" s="62"/>
      <c r="ANV69" s="62"/>
      <c r="ANW69" s="62"/>
      <c r="ANX69" s="62"/>
      <c r="ANY69" s="62"/>
      <c r="ANZ69" s="62"/>
      <c r="AOA69" s="62"/>
      <c r="AOB69" s="62"/>
      <c r="AOC69" s="62"/>
      <c r="AOD69" s="62"/>
      <c r="AOE69" s="62"/>
      <c r="AOF69" s="62"/>
      <c r="AOG69" s="62"/>
      <c r="AOH69" s="62"/>
      <c r="AOI69" s="62"/>
      <c r="AOJ69" s="62"/>
      <c r="AOK69" s="62"/>
      <c r="AOL69" s="62"/>
      <c r="AOM69" s="62"/>
      <c r="AON69" s="62"/>
      <c r="AOO69" s="62"/>
      <c r="AOP69" s="62"/>
      <c r="AOQ69" s="62"/>
      <c r="AOR69" s="62"/>
      <c r="AOS69" s="62"/>
      <c r="AOT69" s="62"/>
      <c r="AOU69" s="62"/>
      <c r="AOV69" s="62"/>
      <c r="AOW69" s="62"/>
      <c r="AOX69" s="62"/>
      <c r="AOY69" s="62"/>
      <c r="AOZ69" s="62"/>
      <c r="APA69" s="62"/>
      <c r="APB69" s="62"/>
      <c r="APC69" s="62"/>
      <c r="APD69" s="62"/>
      <c r="APE69" s="62"/>
      <c r="APF69" s="62"/>
      <c r="APG69" s="62"/>
      <c r="APH69" s="62"/>
      <c r="API69" s="62"/>
      <c r="APJ69" s="62"/>
      <c r="APK69" s="62"/>
      <c r="APL69" s="62"/>
      <c r="APM69" s="62"/>
      <c r="APN69" s="62"/>
      <c r="APO69" s="62"/>
      <c r="APP69" s="62"/>
      <c r="APQ69" s="62"/>
      <c r="APR69" s="62"/>
      <c r="APS69" s="62"/>
      <c r="APT69" s="62"/>
      <c r="APU69" s="62"/>
      <c r="APV69" s="62"/>
      <c r="APW69" s="62"/>
      <c r="APX69" s="62"/>
      <c r="APY69" s="62"/>
      <c r="APZ69" s="62"/>
      <c r="AQA69" s="62"/>
      <c r="AQB69" s="62"/>
      <c r="AQC69" s="62"/>
      <c r="AQD69" s="62"/>
      <c r="AQE69" s="62"/>
      <c r="AQF69" s="62"/>
      <c r="AQG69" s="62"/>
      <c r="AQH69" s="62"/>
      <c r="AQI69" s="62"/>
      <c r="AQJ69" s="62"/>
      <c r="AQK69" s="62"/>
      <c r="AQL69" s="62"/>
      <c r="AQM69" s="62"/>
      <c r="AQN69" s="62"/>
      <c r="AQO69" s="62"/>
      <c r="AQP69" s="62"/>
      <c r="AQQ69" s="62"/>
      <c r="AQR69" s="62"/>
      <c r="AQS69" s="62"/>
      <c r="AQT69" s="62"/>
      <c r="AQU69" s="62"/>
      <c r="AQV69" s="62"/>
      <c r="AQW69" s="62"/>
      <c r="AQX69" s="62"/>
      <c r="AQY69" s="62"/>
      <c r="AQZ69" s="62"/>
      <c r="ARA69" s="62"/>
      <c r="ARB69" s="62"/>
      <c r="ARC69" s="62"/>
      <c r="ARD69" s="62"/>
      <c r="ARE69" s="62"/>
      <c r="ARF69" s="62"/>
      <c r="ARG69" s="62"/>
      <c r="ARH69" s="62"/>
      <c r="ARI69" s="62"/>
      <c r="ARJ69" s="62"/>
      <c r="ARK69" s="62"/>
      <c r="ARL69" s="62"/>
      <c r="ARM69" s="62"/>
      <c r="ARN69" s="62"/>
      <c r="ARO69" s="62"/>
      <c r="ARP69" s="62"/>
      <c r="ARQ69" s="62"/>
      <c r="ARR69" s="62"/>
      <c r="ARS69" s="62"/>
      <c r="ART69" s="62"/>
      <c r="ARU69" s="62"/>
      <c r="ARV69" s="62"/>
      <c r="ARW69" s="62"/>
      <c r="ARX69" s="62"/>
      <c r="ARY69" s="62"/>
      <c r="ARZ69" s="62"/>
      <c r="ASA69" s="62"/>
      <c r="ASB69" s="62"/>
      <c r="ASC69" s="62"/>
      <c r="ASD69" s="62"/>
      <c r="ASE69" s="62"/>
      <c r="ASF69" s="62"/>
      <c r="ASG69" s="62"/>
      <c r="ASH69" s="62"/>
      <c r="ASI69" s="62"/>
      <c r="ASJ69" s="62"/>
      <c r="ASK69" s="62"/>
      <c r="ASL69" s="62"/>
      <c r="ASM69" s="62"/>
      <c r="ASN69" s="62"/>
      <c r="ASO69" s="62"/>
      <c r="ASP69" s="62"/>
      <c r="ASQ69" s="62"/>
      <c r="ASR69" s="62"/>
      <c r="ASS69" s="62"/>
      <c r="AST69" s="62"/>
      <c r="ASU69" s="62"/>
      <c r="ASV69" s="62"/>
      <c r="ASW69" s="62"/>
      <c r="ASX69" s="62"/>
      <c r="ASY69" s="62"/>
      <c r="ASZ69" s="62"/>
      <c r="ATA69" s="62"/>
      <c r="ATB69" s="62"/>
      <c r="ATC69" s="62"/>
      <c r="ATD69" s="62"/>
      <c r="ATE69" s="62"/>
      <c r="ATF69" s="62"/>
      <c r="ATG69" s="62"/>
      <c r="ATH69" s="62"/>
      <c r="ATI69" s="62"/>
      <c r="ATJ69" s="62"/>
      <c r="ATK69" s="62"/>
      <c r="ATL69" s="62"/>
      <c r="ATM69" s="62"/>
      <c r="ATN69" s="62"/>
      <c r="ATO69" s="62"/>
      <c r="ATP69" s="62"/>
      <c r="ATQ69" s="62"/>
      <c r="ATR69" s="62"/>
      <c r="ATS69" s="62"/>
      <c r="ATT69" s="62"/>
      <c r="ATU69" s="62"/>
      <c r="ATV69" s="62"/>
      <c r="ATW69" s="62"/>
      <c r="ATX69" s="62"/>
      <c r="ATY69" s="62"/>
      <c r="ATZ69" s="62"/>
      <c r="AUA69" s="62"/>
      <c r="AUB69" s="62"/>
      <c r="AUC69" s="62"/>
      <c r="AUD69" s="62"/>
      <c r="AUE69" s="62"/>
      <c r="AUF69" s="62"/>
      <c r="AUG69" s="62"/>
      <c r="AUH69" s="62"/>
      <c r="AUI69" s="62"/>
      <c r="AUJ69" s="62"/>
      <c r="AUK69" s="62"/>
      <c r="AUL69" s="62"/>
      <c r="AUM69" s="62"/>
      <c r="AUN69" s="62"/>
      <c r="AUO69" s="62"/>
      <c r="AUP69" s="62"/>
      <c r="AUQ69" s="62"/>
      <c r="AUR69" s="62"/>
      <c r="AUS69" s="62"/>
      <c r="AUT69" s="62"/>
      <c r="AUU69" s="62"/>
      <c r="AUV69" s="62"/>
      <c r="AUW69" s="62"/>
      <c r="AUX69" s="62"/>
      <c r="AUY69" s="62"/>
      <c r="AUZ69" s="62"/>
      <c r="AVA69" s="62"/>
      <c r="AVB69" s="62"/>
      <c r="AVC69" s="62"/>
      <c r="AVD69" s="62"/>
      <c r="AVE69" s="62"/>
      <c r="AVF69" s="62"/>
      <c r="AVG69" s="62"/>
      <c r="AVH69" s="62"/>
      <c r="AVI69" s="62"/>
      <c r="AVJ69" s="62"/>
      <c r="AVK69" s="62"/>
      <c r="AVL69" s="62"/>
      <c r="AVM69" s="62"/>
      <c r="AVN69" s="62"/>
      <c r="AVO69" s="62"/>
      <c r="AVP69" s="62"/>
      <c r="AVQ69" s="62"/>
      <c r="AVR69" s="62"/>
      <c r="AVS69" s="62"/>
      <c r="AVT69" s="62"/>
      <c r="AVU69" s="62"/>
      <c r="AVV69" s="62"/>
      <c r="AVW69" s="62"/>
      <c r="AVX69" s="62"/>
      <c r="AVY69" s="62"/>
      <c r="AVZ69" s="62"/>
      <c r="AWA69" s="62"/>
      <c r="AWB69" s="62"/>
      <c r="AWC69" s="62"/>
      <c r="AWD69" s="62"/>
      <c r="AWE69" s="62"/>
      <c r="AWF69" s="62"/>
      <c r="AWG69" s="62"/>
      <c r="AWH69" s="62"/>
      <c r="AWI69" s="62"/>
      <c r="AWJ69" s="62"/>
      <c r="AWK69" s="62"/>
      <c r="AWL69" s="62"/>
      <c r="AWM69" s="62"/>
      <c r="AWN69" s="62"/>
      <c r="AWO69" s="62"/>
      <c r="AWP69" s="62"/>
      <c r="AWQ69" s="62"/>
      <c r="AWR69" s="62"/>
      <c r="AWS69" s="62"/>
      <c r="AWT69" s="62"/>
      <c r="AWU69" s="62"/>
      <c r="AWV69" s="62"/>
      <c r="AWW69" s="62"/>
      <c r="AWX69" s="62"/>
      <c r="AWY69" s="62"/>
      <c r="AWZ69" s="62"/>
      <c r="AXA69" s="62"/>
      <c r="AXB69" s="62"/>
      <c r="AXC69" s="62"/>
      <c r="AXD69" s="62"/>
      <c r="AXE69" s="62"/>
      <c r="AXF69" s="62"/>
      <c r="AXG69" s="62"/>
      <c r="AXH69" s="62"/>
      <c r="AXI69" s="62"/>
      <c r="AXJ69" s="62"/>
      <c r="AXK69" s="62"/>
      <c r="AXL69" s="62"/>
      <c r="AXM69" s="62"/>
      <c r="AXN69" s="62"/>
      <c r="AXO69" s="62"/>
      <c r="AXP69" s="62"/>
      <c r="AXQ69" s="62"/>
      <c r="AXR69" s="62"/>
      <c r="AXS69" s="62"/>
      <c r="AXT69" s="62"/>
      <c r="AXU69" s="62"/>
      <c r="AXV69" s="62"/>
      <c r="AXW69" s="62"/>
      <c r="AXX69" s="62"/>
      <c r="AXY69" s="62"/>
      <c r="AXZ69" s="62"/>
      <c r="AYA69" s="62"/>
      <c r="AYB69" s="62"/>
      <c r="AYC69" s="62"/>
      <c r="AYD69" s="62"/>
      <c r="AYE69" s="62"/>
      <c r="AYF69" s="62"/>
      <c r="AYG69" s="62"/>
      <c r="AYH69" s="62"/>
      <c r="AYI69" s="62"/>
      <c r="AYJ69" s="62"/>
      <c r="AYK69" s="62"/>
      <c r="AYL69" s="62"/>
      <c r="AYM69" s="62"/>
      <c r="AYN69" s="62"/>
      <c r="AYO69" s="62"/>
      <c r="AYP69" s="62"/>
      <c r="AYQ69" s="62"/>
      <c r="AYR69" s="62"/>
      <c r="AYS69" s="62"/>
      <c r="AYT69" s="62"/>
      <c r="AYU69" s="62"/>
      <c r="AYV69" s="62"/>
      <c r="AYW69" s="62"/>
      <c r="AYX69" s="62"/>
      <c r="AYY69" s="62"/>
      <c r="AYZ69" s="62"/>
      <c r="AZA69" s="62"/>
      <c r="AZB69" s="62"/>
      <c r="AZC69" s="62"/>
      <c r="AZD69" s="62"/>
      <c r="AZE69" s="62"/>
      <c r="AZF69" s="62"/>
      <c r="AZG69" s="62"/>
      <c r="AZH69" s="62"/>
      <c r="AZI69" s="62"/>
      <c r="AZJ69" s="62"/>
      <c r="AZK69" s="62"/>
      <c r="AZL69" s="62"/>
      <c r="AZM69" s="62"/>
      <c r="AZN69" s="62"/>
      <c r="AZO69" s="62"/>
      <c r="AZP69" s="62"/>
      <c r="AZQ69" s="62"/>
      <c r="AZR69" s="62"/>
      <c r="AZS69" s="62"/>
      <c r="AZT69" s="62"/>
      <c r="AZU69" s="62"/>
      <c r="AZV69" s="62"/>
      <c r="AZW69" s="62"/>
      <c r="AZX69" s="62"/>
      <c r="AZY69" s="62"/>
      <c r="AZZ69" s="62"/>
      <c r="BAA69" s="62"/>
      <c r="BAB69" s="62"/>
      <c r="BAC69" s="62"/>
      <c r="BAD69" s="62"/>
      <c r="BAE69" s="62"/>
      <c r="BAF69" s="62"/>
      <c r="BAG69" s="62"/>
      <c r="BAH69" s="62"/>
      <c r="BAI69" s="62"/>
      <c r="BAJ69" s="62"/>
      <c r="BAK69" s="62"/>
      <c r="BAL69" s="62"/>
      <c r="BAM69" s="62"/>
      <c r="BAN69" s="62"/>
      <c r="BAO69" s="62"/>
      <c r="BAP69" s="62"/>
      <c r="BAQ69" s="62"/>
      <c r="BAR69" s="62"/>
      <c r="BAS69" s="62"/>
      <c r="BAT69" s="62"/>
      <c r="BAU69" s="62"/>
      <c r="BAV69" s="62"/>
      <c r="BAW69" s="62"/>
      <c r="BAX69" s="62"/>
      <c r="BAY69" s="62"/>
      <c r="BAZ69" s="62"/>
      <c r="BBA69" s="62"/>
      <c r="BBB69" s="62"/>
      <c r="BBC69" s="62"/>
      <c r="BBD69" s="62"/>
      <c r="BBE69" s="62"/>
      <c r="BBF69" s="62"/>
      <c r="BBG69" s="62"/>
      <c r="BBH69" s="62"/>
      <c r="BBI69" s="62"/>
      <c r="BBJ69" s="62"/>
      <c r="BBK69" s="62"/>
      <c r="BBL69" s="62"/>
      <c r="BBM69" s="62"/>
      <c r="BBN69" s="62"/>
      <c r="BBO69" s="62"/>
      <c r="BBP69" s="62"/>
      <c r="BBQ69" s="62"/>
      <c r="BBR69" s="62"/>
      <c r="BBS69" s="62"/>
      <c r="BBT69" s="62"/>
      <c r="BBU69" s="62"/>
      <c r="BBV69" s="62"/>
      <c r="BBW69" s="62"/>
      <c r="BBX69" s="62"/>
      <c r="BBY69" s="62"/>
      <c r="BBZ69" s="62"/>
      <c r="BCA69" s="62"/>
      <c r="BCB69" s="62"/>
      <c r="BCC69" s="62"/>
      <c r="BCD69" s="62"/>
      <c r="BCE69" s="62"/>
      <c r="BCF69" s="62"/>
      <c r="BCG69" s="62"/>
      <c r="BCH69" s="62"/>
      <c r="BCI69" s="62"/>
      <c r="BCJ69" s="62"/>
      <c r="BCK69" s="62"/>
      <c r="BCL69" s="62"/>
      <c r="BCM69" s="62"/>
      <c r="BCN69" s="62"/>
      <c r="BCO69" s="62"/>
      <c r="BCP69" s="62"/>
      <c r="BCQ69" s="62"/>
      <c r="BCR69" s="62"/>
      <c r="BCS69" s="62"/>
      <c r="BCT69" s="62"/>
      <c r="BCU69" s="62"/>
      <c r="BCV69" s="62"/>
      <c r="BCW69" s="62"/>
      <c r="BCX69" s="62"/>
      <c r="BCY69" s="62"/>
      <c r="BCZ69" s="62"/>
      <c r="BDA69" s="62"/>
      <c r="BDB69" s="62"/>
      <c r="BDC69" s="62"/>
      <c r="BDD69" s="62"/>
      <c r="BDE69" s="62"/>
      <c r="BDF69" s="62"/>
      <c r="BDG69" s="62"/>
      <c r="BDH69" s="62"/>
      <c r="BDI69" s="62"/>
      <c r="BDJ69" s="62"/>
      <c r="BDK69" s="62"/>
      <c r="BDL69" s="62"/>
      <c r="BDM69" s="62"/>
      <c r="BDN69" s="62"/>
      <c r="BDO69" s="62"/>
      <c r="BDP69" s="62"/>
      <c r="BDQ69" s="62"/>
      <c r="BDR69" s="62"/>
      <c r="BDS69" s="62"/>
      <c r="BDT69" s="62"/>
      <c r="BDU69" s="62"/>
      <c r="BDV69" s="62"/>
      <c r="BDW69" s="62"/>
      <c r="BDX69" s="62"/>
      <c r="BDY69" s="62"/>
      <c r="BDZ69" s="62"/>
      <c r="BEA69" s="62"/>
      <c r="BEB69" s="62"/>
      <c r="BEC69" s="62"/>
      <c r="BED69" s="62"/>
      <c r="BEE69" s="62"/>
      <c r="BEF69" s="62"/>
      <c r="BEG69" s="62"/>
      <c r="BEH69" s="62"/>
      <c r="BEI69" s="62"/>
      <c r="BEJ69" s="62"/>
      <c r="BEK69" s="62"/>
      <c r="BEL69" s="62"/>
      <c r="BEM69" s="62"/>
      <c r="BEN69" s="62"/>
      <c r="BEO69" s="62"/>
      <c r="BEP69" s="62"/>
      <c r="BEQ69" s="62"/>
      <c r="BER69" s="62"/>
      <c r="BES69" s="62"/>
      <c r="BET69" s="62"/>
      <c r="BEU69" s="62"/>
      <c r="BEV69" s="62"/>
      <c r="BEW69" s="62"/>
      <c r="BEX69" s="62"/>
      <c r="BEY69" s="62"/>
      <c r="BEZ69" s="62"/>
      <c r="BFA69" s="62"/>
      <c r="BFB69" s="62"/>
      <c r="BFC69" s="62"/>
      <c r="BFD69" s="62"/>
      <c r="BFE69" s="62"/>
      <c r="BFF69" s="62"/>
      <c r="BFG69" s="62"/>
      <c r="BFH69" s="62"/>
      <c r="BFI69" s="62"/>
      <c r="BFJ69" s="62"/>
      <c r="BFK69" s="62"/>
      <c r="BFL69" s="62"/>
      <c r="BFM69" s="62"/>
      <c r="BFN69" s="62"/>
      <c r="BFO69" s="62"/>
      <c r="BFP69" s="62"/>
      <c r="BFQ69" s="62"/>
      <c r="BFR69" s="62"/>
      <c r="BFS69" s="62"/>
      <c r="BFT69" s="62"/>
      <c r="BFU69" s="62"/>
      <c r="BFV69" s="62"/>
      <c r="BFW69" s="62"/>
      <c r="BFX69" s="62"/>
      <c r="BFY69" s="62"/>
      <c r="BFZ69" s="62"/>
      <c r="BGA69" s="62"/>
      <c r="BGB69" s="62"/>
      <c r="BGC69" s="62"/>
      <c r="BGD69" s="62"/>
      <c r="BGE69" s="62"/>
      <c r="BGF69" s="62"/>
      <c r="BGG69" s="62"/>
      <c r="BGH69" s="62"/>
      <c r="BGI69" s="62"/>
      <c r="BGJ69" s="62"/>
      <c r="BGK69" s="62"/>
      <c r="BGL69" s="62"/>
      <c r="BGM69" s="62"/>
      <c r="BGN69" s="62"/>
      <c r="BGO69" s="62"/>
      <c r="BGP69" s="62"/>
      <c r="BGQ69" s="62"/>
      <c r="BGR69" s="62"/>
      <c r="BGS69" s="62"/>
      <c r="BGT69" s="62"/>
      <c r="BGU69" s="62"/>
      <c r="BGV69" s="62"/>
      <c r="BGW69" s="62"/>
      <c r="BGX69" s="62"/>
      <c r="BGY69" s="62"/>
      <c r="BGZ69" s="62"/>
      <c r="BHA69" s="62"/>
      <c r="BHB69" s="62"/>
      <c r="BHC69" s="62"/>
      <c r="BHD69" s="62"/>
      <c r="BHE69" s="62"/>
      <c r="BHF69" s="62"/>
      <c r="BHG69" s="62"/>
      <c r="BHH69" s="62"/>
      <c r="BHI69" s="62"/>
      <c r="BHJ69" s="62"/>
      <c r="BHK69" s="62"/>
      <c r="BHL69" s="62"/>
      <c r="BHM69" s="62"/>
      <c r="BHN69" s="62"/>
      <c r="BHO69" s="62"/>
      <c r="BHP69" s="62"/>
      <c r="BHQ69" s="62"/>
      <c r="BHR69" s="62"/>
      <c r="BHS69" s="62"/>
      <c r="BHT69" s="62"/>
      <c r="BHU69" s="62"/>
      <c r="BHV69" s="62"/>
      <c r="BHW69" s="62"/>
      <c r="BHX69" s="62"/>
      <c r="BHY69" s="62"/>
      <c r="BHZ69" s="62"/>
      <c r="BIA69" s="62"/>
      <c r="BIB69" s="62"/>
      <c r="BIC69" s="62"/>
      <c r="BID69" s="62"/>
      <c r="BIE69" s="62"/>
      <c r="BIF69" s="62"/>
      <c r="BIG69" s="62"/>
      <c r="BIH69" s="62"/>
      <c r="BII69" s="62"/>
      <c r="BIJ69" s="62"/>
      <c r="BIK69" s="62"/>
      <c r="BIL69" s="62"/>
      <c r="BIM69" s="62"/>
      <c r="BIN69" s="62"/>
      <c r="BIO69" s="62"/>
      <c r="BIP69" s="62"/>
      <c r="BIQ69" s="62"/>
      <c r="BIR69" s="62"/>
      <c r="BIS69" s="62"/>
      <c r="BIT69" s="62"/>
      <c r="BIU69" s="62"/>
      <c r="BIV69" s="62"/>
      <c r="BIW69" s="62"/>
      <c r="BIX69" s="62"/>
      <c r="BIY69" s="62"/>
      <c r="BIZ69" s="62"/>
      <c r="BJA69" s="62"/>
      <c r="BJB69" s="62"/>
      <c r="BJC69" s="62"/>
      <c r="BJD69" s="62"/>
      <c r="BJE69" s="62"/>
      <c r="BJF69" s="62"/>
      <c r="BJG69" s="62"/>
      <c r="BJH69" s="62"/>
      <c r="BJI69" s="62"/>
      <c r="BJJ69" s="62"/>
      <c r="BJK69" s="62"/>
      <c r="BJL69" s="62"/>
      <c r="BJM69" s="62"/>
      <c r="BJN69" s="62"/>
      <c r="BJO69" s="62"/>
      <c r="BJP69" s="62"/>
      <c r="BJQ69" s="62"/>
      <c r="BJR69" s="62"/>
      <c r="BJS69" s="62"/>
      <c r="BJT69" s="62"/>
      <c r="BJU69" s="62"/>
      <c r="BJV69" s="62"/>
      <c r="BJW69" s="62"/>
      <c r="BJX69" s="62"/>
      <c r="BJY69" s="62"/>
      <c r="BJZ69" s="62"/>
      <c r="BKA69" s="62"/>
      <c r="BKB69" s="62"/>
      <c r="BKC69" s="62"/>
      <c r="BKD69" s="62"/>
      <c r="BKE69" s="62"/>
      <c r="BKF69" s="62"/>
      <c r="BKG69" s="62"/>
      <c r="BKH69" s="62"/>
      <c r="BKI69" s="62"/>
      <c r="BKJ69" s="62"/>
      <c r="BKK69" s="62"/>
      <c r="BKL69" s="62"/>
      <c r="BKM69" s="62"/>
      <c r="BKN69" s="62"/>
      <c r="BKO69" s="62"/>
      <c r="BKP69" s="62"/>
      <c r="BKQ69" s="62"/>
      <c r="BKR69" s="62"/>
      <c r="BKS69" s="62"/>
      <c r="BKT69" s="62"/>
      <c r="BKU69" s="62"/>
      <c r="BKV69" s="62"/>
      <c r="BKW69" s="62"/>
      <c r="BKX69" s="62"/>
      <c r="BKY69" s="62"/>
      <c r="BKZ69" s="62"/>
      <c r="BLA69" s="62"/>
      <c r="BLB69" s="62"/>
      <c r="BLC69" s="62"/>
      <c r="BLD69" s="62"/>
      <c r="BLE69" s="62"/>
      <c r="BLF69" s="62"/>
      <c r="BLG69" s="62"/>
      <c r="BLH69" s="62"/>
      <c r="BLI69" s="62"/>
      <c r="BLJ69" s="62"/>
      <c r="BLK69" s="62"/>
      <c r="BLL69" s="62"/>
      <c r="BLM69" s="62"/>
      <c r="BLN69" s="62"/>
      <c r="BLO69" s="62"/>
      <c r="BLP69" s="62"/>
      <c r="BLQ69" s="62"/>
      <c r="BLR69" s="62"/>
      <c r="BLS69" s="62"/>
      <c r="BLT69" s="62"/>
      <c r="BLU69" s="62"/>
      <c r="BLV69" s="62"/>
      <c r="BLW69" s="62"/>
      <c r="BLX69" s="62"/>
      <c r="BLY69" s="62"/>
      <c r="BLZ69" s="62"/>
      <c r="BMA69" s="62"/>
      <c r="BMB69" s="62"/>
      <c r="BMC69" s="62"/>
      <c r="BMD69" s="62"/>
      <c r="BME69" s="62"/>
      <c r="BMF69" s="62"/>
      <c r="BMG69" s="62"/>
      <c r="BMH69" s="62"/>
      <c r="BMI69" s="62"/>
      <c r="BMJ69" s="62"/>
      <c r="BMK69" s="62"/>
      <c r="BML69" s="62"/>
      <c r="BMM69" s="62"/>
      <c r="BMN69" s="62"/>
      <c r="BMO69" s="62"/>
      <c r="BMP69" s="62"/>
      <c r="BMQ69" s="62"/>
      <c r="BMR69" s="62"/>
      <c r="BMS69" s="62"/>
      <c r="BMT69" s="62"/>
      <c r="BMU69" s="62"/>
      <c r="BMV69" s="62"/>
      <c r="BMW69" s="62"/>
      <c r="BMX69" s="62"/>
      <c r="BMY69" s="62"/>
      <c r="BMZ69" s="62"/>
      <c r="BNA69" s="62"/>
      <c r="BNB69" s="62"/>
      <c r="BNC69" s="62"/>
      <c r="BND69" s="62"/>
      <c r="BNE69" s="62"/>
      <c r="BNF69" s="62"/>
      <c r="BNG69" s="62"/>
      <c r="BNH69" s="62"/>
      <c r="BNI69" s="62"/>
      <c r="BNJ69" s="62"/>
      <c r="BNK69" s="62"/>
      <c r="BNL69" s="62"/>
      <c r="BNM69" s="62"/>
      <c r="BNN69" s="62"/>
      <c r="BNO69" s="62"/>
      <c r="BNP69" s="62"/>
      <c r="BNQ69" s="62"/>
      <c r="BNR69" s="62"/>
      <c r="BNS69" s="62"/>
      <c r="BNT69" s="62"/>
      <c r="BNU69" s="62"/>
      <c r="BNV69" s="62"/>
      <c r="BNW69" s="62"/>
      <c r="BNX69" s="62"/>
      <c r="BNY69" s="62"/>
      <c r="BNZ69" s="62"/>
      <c r="BOA69" s="62"/>
      <c r="BOB69" s="62"/>
      <c r="BOC69" s="62"/>
      <c r="BOD69" s="62"/>
      <c r="BOE69" s="62"/>
      <c r="BOF69" s="62"/>
      <c r="BOG69" s="62"/>
      <c r="BOH69" s="62"/>
      <c r="BOI69" s="62"/>
      <c r="BOJ69" s="62"/>
      <c r="BOK69" s="62"/>
      <c r="BOL69" s="62"/>
      <c r="BOM69" s="62"/>
      <c r="BON69" s="62"/>
      <c r="BOO69" s="62"/>
      <c r="BOP69" s="62"/>
      <c r="BOQ69" s="62"/>
      <c r="BOR69" s="62"/>
      <c r="BOS69" s="62"/>
      <c r="BOT69" s="62"/>
      <c r="BOU69" s="62"/>
      <c r="BOV69" s="62"/>
      <c r="BOW69" s="62"/>
      <c r="BOX69" s="62"/>
      <c r="BOY69" s="62"/>
      <c r="BOZ69" s="62"/>
      <c r="BPA69" s="62"/>
      <c r="BPB69" s="62"/>
      <c r="BPC69" s="62"/>
      <c r="BPD69" s="62"/>
      <c r="BPE69" s="62"/>
      <c r="BPF69" s="62"/>
      <c r="BPG69" s="62"/>
      <c r="BPH69" s="62"/>
      <c r="BPI69" s="62"/>
      <c r="BPJ69" s="62"/>
      <c r="BPK69" s="62"/>
      <c r="BPL69" s="62"/>
      <c r="BPM69" s="62"/>
      <c r="BPN69" s="62"/>
      <c r="BPO69" s="62"/>
      <c r="BPP69" s="62"/>
      <c r="BPQ69" s="62"/>
      <c r="BPR69" s="62"/>
      <c r="BPS69" s="62"/>
      <c r="BPT69" s="62"/>
      <c r="BPU69" s="62"/>
      <c r="BPV69" s="62"/>
      <c r="BPW69" s="62"/>
      <c r="BPX69" s="62"/>
      <c r="BPY69" s="62"/>
      <c r="BPZ69" s="62"/>
      <c r="BQA69" s="62"/>
      <c r="BQB69" s="62"/>
      <c r="BQC69" s="62"/>
      <c r="BQD69" s="62"/>
      <c r="BQE69" s="62"/>
      <c r="BQF69" s="62"/>
      <c r="BQG69" s="62"/>
      <c r="BQH69" s="62"/>
      <c r="BQI69" s="62"/>
      <c r="BQJ69" s="62"/>
      <c r="BQK69" s="62"/>
      <c r="BQL69" s="62"/>
      <c r="BQM69" s="62"/>
      <c r="BQN69" s="62"/>
      <c r="BQO69" s="62"/>
      <c r="BQP69" s="62"/>
      <c r="BQQ69" s="62"/>
      <c r="BQR69" s="62"/>
      <c r="BQS69" s="62"/>
      <c r="BQT69" s="62"/>
      <c r="BQU69" s="62"/>
      <c r="BQV69" s="62"/>
      <c r="BQW69" s="62"/>
      <c r="BQX69" s="62"/>
      <c r="BQY69" s="62"/>
      <c r="BQZ69" s="62"/>
      <c r="BRA69" s="62"/>
      <c r="BRB69" s="62"/>
      <c r="BRC69" s="62"/>
      <c r="BRD69" s="62"/>
      <c r="BRE69" s="62"/>
      <c r="BRF69" s="62"/>
      <c r="BRG69" s="62"/>
      <c r="BRH69" s="62"/>
      <c r="BRI69" s="62"/>
      <c r="BRJ69" s="62"/>
      <c r="BRK69" s="62"/>
      <c r="BRL69" s="62"/>
      <c r="BRM69" s="62"/>
      <c r="BRN69" s="62"/>
      <c r="BRO69" s="62"/>
      <c r="BRP69" s="62"/>
      <c r="BRQ69" s="62"/>
      <c r="BRR69" s="62"/>
      <c r="BRS69" s="62"/>
      <c r="BRT69" s="62"/>
      <c r="BRU69" s="62"/>
      <c r="BRV69" s="62"/>
      <c r="BRW69" s="62"/>
      <c r="BRX69" s="62"/>
      <c r="BRY69" s="62"/>
      <c r="BRZ69" s="62"/>
      <c r="BSA69" s="62"/>
      <c r="BSB69" s="62"/>
      <c r="BSC69" s="62"/>
      <c r="BSD69" s="62"/>
      <c r="BSE69" s="62"/>
      <c r="BSF69" s="62"/>
      <c r="BSG69" s="62"/>
      <c r="BSH69" s="62"/>
      <c r="BSI69" s="62"/>
      <c r="BSJ69" s="62"/>
      <c r="BSK69" s="62"/>
      <c r="BSL69" s="62"/>
      <c r="BSM69" s="62"/>
      <c r="BSN69" s="62"/>
      <c r="BSO69" s="62"/>
      <c r="BSP69" s="62"/>
      <c r="BSQ69" s="62"/>
      <c r="BSR69" s="62"/>
      <c r="BSS69" s="62"/>
      <c r="BST69" s="62"/>
      <c r="BSU69" s="62"/>
      <c r="BSV69" s="62"/>
      <c r="BSW69" s="62"/>
      <c r="BSX69" s="62"/>
      <c r="BSY69" s="62"/>
      <c r="BSZ69" s="62"/>
      <c r="BTA69" s="62"/>
      <c r="BTB69" s="62"/>
      <c r="BTC69" s="62"/>
      <c r="BTD69" s="62"/>
      <c r="BTE69" s="62"/>
      <c r="BTF69" s="62"/>
      <c r="BTG69" s="62"/>
      <c r="BTH69" s="62"/>
      <c r="BTI69" s="62"/>
      <c r="BTJ69" s="62"/>
      <c r="BTK69" s="62"/>
      <c r="BTL69" s="62"/>
      <c r="BTM69" s="62"/>
      <c r="BTN69" s="62"/>
      <c r="BTO69" s="62"/>
      <c r="BTP69" s="62"/>
      <c r="BTQ69" s="62"/>
      <c r="BTR69" s="62"/>
      <c r="BTS69" s="62"/>
      <c r="BTT69" s="62"/>
      <c r="BTU69" s="62"/>
      <c r="BTV69" s="62"/>
      <c r="BTW69" s="62"/>
      <c r="BTX69" s="62"/>
      <c r="BTY69" s="62"/>
      <c r="BTZ69" s="62"/>
      <c r="BUA69" s="62"/>
      <c r="BUB69" s="62"/>
      <c r="BUC69" s="62"/>
      <c r="BUD69" s="62"/>
      <c r="BUE69" s="62"/>
      <c r="BUF69" s="62"/>
      <c r="BUG69" s="62"/>
      <c r="BUH69" s="62"/>
      <c r="BUI69" s="62"/>
      <c r="BUJ69" s="62"/>
      <c r="BUK69" s="62"/>
      <c r="BUL69" s="62"/>
      <c r="BUM69" s="62"/>
      <c r="BUN69" s="62"/>
      <c r="BUO69" s="62"/>
      <c r="BUP69" s="62"/>
      <c r="BUQ69" s="62"/>
      <c r="BUR69" s="62"/>
      <c r="BUS69" s="62"/>
      <c r="BUT69" s="62"/>
      <c r="BUU69" s="62"/>
      <c r="BUV69" s="62"/>
      <c r="BUW69" s="62"/>
      <c r="BUX69" s="62"/>
      <c r="BUY69" s="62"/>
      <c r="BUZ69" s="62"/>
      <c r="BVA69" s="62"/>
      <c r="BVB69" s="62"/>
      <c r="BVC69" s="62"/>
      <c r="BVD69" s="62"/>
      <c r="BVE69" s="62"/>
      <c r="BVF69" s="62"/>
      <c r="BVG69" s="62"/>
      <c r="BVH69" s="62"/>
      <c r="BVI69" s="62"/>
      <c r="BVJ69" s="62"/>
      <c r="BVK69" s="62"/>
      <c r="BVL69" s="62"/>
      <c r="BVM69" s="62"/>
      <c r="BVN69" s="62"/>
      <c r="BVO69" s="62"/>
      <c r="BVP69" s="62"/>
      <c r="BVQ69" s="62"/>
      <c r="BVR69" s="62"/>
      <c r="BVS69" s="62"/>
      <c r="BVT69" s="62"/>
      <c r="BVU69" s="62"/>
      <c r="BVV69" s="62"/>
      <c r="BVW69" s="62"/>
      <c r="BVX69" s="62"/>
      <c r="BVY69" s="62"/>
      <c r="BVZ69" s="62"/>
      <c r="BWA69" s="62"/>
      <c r="BWB69" s="62"/>
      <c r="BWC69" s="62"/>
      <c r="BWD69" s="62"/>
      <c r="BWE69" s="62"/>
      <c r="BWF69" s="62"/>
      <c r="BWG69" s="62"/>
      <c r="BWH69" s="62"/>
      <c r="BWI69" s="62"/>
      <c r="BWJ69" s="62"/>
      <c r="BWK69" s="62"/>
      <c r="BWL69" s="62"/>
      <c r="BWM69" s="62"/>
      <c r="BWN69" s="62"/>
      <c r="BWO69" s="62"/>
      <c r="BWP69" s="62"/>
      <c r="BWQ69" s="62"/>
      <c r="BWR69" s="62"/>
      <c r="BWS69" s="62"/>
      <c r="BWT69" s="62"/>
      <c r="BWU69" s="62"/>
      <c r="BWV69" s="62"/>
      <c r="BWW69" s="62"/>
      <c r="BWX69" s="62"/>
      <c r="BWY69" s="62"/>
      <c r="BWZ69" s="62"/>
      <c r="BXA69" s="62"/>
      <c r="BXB69" s="62"/>
      <c r="BXC69" s="62"/>
      <c r="BXD69" s="62"/>
      <c r="BXE69" s="62"/>
      <c r="BXF69" s="62"/>
      <c r="BXG69" s="62"/>
      <c r="BXH69" s="62"/>
      <c r="BXI69" s="62"/>
      <c r="BXJ69" s="62"/>
      <c r="BXK69" s="62"/>
      <c r="BXL69" s="62"/>
      <c r="BXM69" s="62"/>
      <c r="BXN69" s="62"/>
      <c r="BXO69" s="62"/>
      <c r="BXP69" s="62"/>
      <c r="BXQ69" s="62"/>
      <c r="BXR69" s="62"/>
      <c r="BXS69" s="62"/>
      <c r="BXT69" s="62"/>
      <c r="BXU69" s="62"/>
      <c r="BXV69" s="62"/>
      <c r="BXW69" s="62"/>
      <c r="BXX69" s="62"/>
      <c r="BXY69" s="62"/>
      <c r="BXZ69" s="62"/>
      <c r="BYA69" s="62"/>
      <c r="BYB69" s="62"/>
      <c r="BYC69" s="62"/>
      <c r="BYD69" s="62"/>
      <c r="BYE69" s="62"/>
      <c r="BYF69" s="62"/>
      <c r="BYG69" s="62"/>
      <c r="BYH69" s="62"/>
      <c r="BYI69" s="62"/>
      <c r="BYJ69" s="62"/>
      <c r="BYK69" s="62"/>
      <c r="BYL69" s="62"/>
      <c r="BYM69" s="62"/>
      <c r="BYN69" s="62"/>
      <c r="BYO69" s="62"/>
      <c r="BYP69" s="62"/>
      <c r="BYQ69" s="62"/>
      <c r="BYR69" s="62"/>
      <c r="BYS69" s="62"/>
      <c r="BYT69" s="62"/>
      <c r="BYU69" s="62"/>
      <c r="BYV69" s="62"/>
      <c r="BYW69" s="62"/>
      <c r="BYX69" s="62"/>
      <c r="BYY69" s="62"/>
      <c r="BYZ69" s="62"/>
      <c r="BZA69" s="62"/>
      <c r="BZB69" s="62"/>
      <c r="BZC69" s="62"/>
      <c r="BZD69" s="62"/>
      <c r="BZE69" s="62"/>
      <c r="BZF69" s="62"/>
      <c r="BZG69" s="62"/>
      <c r="BZH69" s="62"/>
      <c r="BZI69" s="62"/>
      <c r="BZJ69" s="62"/>
      <c r="BZK69" s="62"/>
      <c r="BZL69" s="62"/>
      <c r="BZM69" s="62"/>
      <c r="BZN69" s="62"/>
      <c r="BZO69" s="62"/>
      <c r="BZP69" s="62"/>
      <c r="BZQ69" s="62"/>
      <c r="BZR69" s="62"/>
      <c r="BZS69" s="62"/>
      <c r="BZT69" s="62"/>
      <c r="BZU69" s="62"/>
      <c r="BZV69" s="62"/>
      <c r="BZW69" s="62"/>
      <c r="BZX69" s="62"/>
      <c r="BZY69" s="62"/>
      <c r="BZZ69" s="62"/>
      <c r="CAA69" s="62"/>
      <c r="CAB69" s="62"/>
      <c r="CAC69" s="62"/>
      <c r="CAD69" s="62"/>
      <c r="CAE69" s="62"/>
      <c r="CAF69" s="62"/>
      <c r="CAG69" s="62"/>
      <c r="CAH69" s="62"/>
      <c r="CAI69" s="62"/>
      <c r="CAJ69" s="62"/>
      <c r="CAK69" s="62"/>
      <c r="CAL69" s="62"/>
      <c r="CAM69" s="62"/>
      <c r="CAN69" s="62"/>
      <c r="CAO69" s="62"/>
      <c r="CAP69" s="62"/>
      <c r="CAQ69" s="62"/>
      <c r="CAR69" s="62"/>
      <c r="CAS69" s="62"/>
      <c r="CAT69" s="62"/>
      <c r="CAU69" s="62"/>
      <c r="CAV69" s="62"/>
      <c r="CAW69" s="62"/>
      <c r="CAX69" s="62"/>
      <c r="CAY69" s="62"/>
      <c r="CAZ69" s="62"/>
      <c r="CBA69" s="62"/>
      <c r="CBB69" s="62"/>
      <c r="CBC69" s="62"/>
      <c r="CBD69" s="62"/>
      <c r="CBE69" s="62"/>
      <c r="CBF69" s="62"/>
      <c r="CBG69" s="62"/>
      <c r="CBH69" s="62"/>
      <c r="CBI69" s="62"/>
      <c r="CBJ69" s="62"/>
      <c r="CBK69" s="62"/>
      <c r="CBL69" s="62"/>
      <c r="CBM69" s="62"/>
      <c r="CBN69" s="62"/>
      <c r="CBO69" s="62"/>
      <c r="CBP69" s="62"/>
      <c r="CBQ69" s="62"/>
      <c r="CBR69" s="62"/>
      <c r="CBS69" s="62"/>
      <c r="CBT69" s="62"/>
      <c r="CBU69" s="62"/>
      <c r="CBV69" s="62"/>
      <c r="CBW69" s="62"/>
      <c r="CBX69" s="62"/>
      <c r="CBY69" s="62"/>
      <c r="CBZ69" s="62"/>
      <c r="CCA69" s="62"/>
      <c r="CCB69" s="62"/>
      <c r="CCC69" s="62"/>
      <c r="CCD69" s="62"/>
      <c r="CCE69" s="62"/>
      <c r="CCF69" s="62"/>
      <c r="CCG69" s="62"/>
      <c r="CCH69" s="62"/>
      <c r="CCI69" s="62"/>
      <c r="CCJ69" s="62"/>
      <c r="CCK69" s="62"/>
      <c r="CCL69" s="62"/>
      <c r="CCM69" s="62"/>
      <c r="CCN69" s="62"/>
      <c r="CCO69" s="62"/>
      <c r="CCP69" s="62"/>
      <c r="CCQ69" s="62"/>
      <c r="CCR69" s="62"/>
      <c r="CCS69" s="62"/>
      <c r="CCT69" s="62"/>
      <c r="CCU69" s="62"/>
      <c r="CCV69" s="62"/>
      <c r="CCW69" s="62"/>
      <c r="CCX69" s="62"/>
      <c r="CCY69" s="62"/>
      <c r="CCZ69" s="62"/>
      <c r="CDA69" s="62"/>
      <c r="CDB69" s="62"/>
      <c r="CDC69" s="62"/>
      <c r="CDD69" s="62"/>
      <c r="CDE69" s="62"/>
      <c r="CDF69" s="62"/>
      <c r="CDG69" s="62"/>
      <c r="CDH69" s="62"/>
      <c r="CDI69" s="62"/>
      <c r="CDJ69" s="62"/>
      <c r="CDK69" s="62"/>
      <c r="CDL69" s="62"/>
      <c r="CDM69" s="62"/>
      <c r="CDN69" s="62"/>
      <c r="CDO69" s="62"/>
      <c r="CDP69" s="62"/>
      <c r="CDQ69" s="62"/>
      <c r="CDR69" s="62"/>
      <c r="CDS69" s="62"/>
      <c r="CDT69" s="62"/>
      <c r="CDU69" s="62"/>
      <c r="CDV69" s="62"/>
      <c r="CDW69" s="62"/>
      <c r="CDX69" s="62"/>
      <c r="CDY69" s="62"/>
      <c r="CDZ69" s="62"/>
      <c r="CEA69" s="62"/>
      <c r="CEB69" s="62"/>
      <c r="CEC69" s="62"/>
      <c r="CED69" s="62"/>
      <c r="CEE69" s="62"/>
      <c r="CEF69" s="62"/>
      <c r="CEG69" s="62"/>
      <c r="CEH69" s="62"/>
      <c r="CEI69" s="62"/>
      <c r="CEJ69" s="62"/>
      <c r="CEK69" s="62"/>
      <c r="CEL69" s="62"/>
      <c r="CEM69" s="62"/>
      <c r="CEN69" s="62"/>
      <c r="CEO69" s="62"/>
      <c r="CEP69" s="62"/>
      <c r="CEQ69" s="62"/>
      <c r="CER69" s="62"/>
      <c r="CES69" s="62"/>
      <c r="CET69" s="62"/>
      <c r="CEU69" s="62"/>
      <c r="CEV69" s="62"/>
      <c r="CEW69" s="62"/>
      <c r="CEX69" s="62"/>
      <c r="CEY69" s="62"/>
      <c r="CEZ69" s="62"/>
      <c r="CFA69" s="62"/>
      <c r="CFB69" s="62"/>
      <c r="CFC69" s="62"/>
      <c r="CFD69" s="62"/>
      <c r="CFE69" s="62"/>
      <c r="CFF69" s="62"/>
      <c r="CFG69" s="62"/>
      <c r="CFH69" s="62"/>
      <c r="CFI69" s="62"/>
      <c r="CFJ69" s="62"/>
      <c r="CFK69" s="62"/>
      <c r="CFL69" s="62"/>
      <c r="CFM69" s="62"/>
      <c r="CFN69" s="62"/>
      <c r="CFO69" s="62"/>
      <c r="CFP69" s="62"/>
      <c r="CFQ69" s="62"/>
      <c r="CFR69" s="62"/>
      <c r="CFS69" s="62"/>
      <c r="CFT69" s="62"/>
      <c r="CFU69" s="62"/>
      <c r="CFV69" s="62"/>
      <c r="CFW69" s="62"/>
      <c r="CFX69" s="62"/>
      <c r="CFY69" s="62"/>
      <c r="CFZ69" s="62"/>
      <c r="CGA69" s="62"/>
      <c r="CGB69" s="62"/>
      <c r="CGC69" s="62"/>
      <c r="CGD69" s="62"/>
      <c r="CGE69" s="62"/>
      <c r="CGF69" s="62"/>
      <c r="CGG69" s="62"/>
      <c r="CGH69" s="62"/>
      <c r="CGI69" s="62"/>
      <c r="CGJ69" s="62"/>
      <c r="CGK69" s="62"/>
      <c r="CGL69" s="62"/>
      <c r="CGM69" s="62"/>
      <c r="CGN69" s="62"/>
      <c r="CGO69" s="62"/>
      <c r="CGP69" s="62"/>
      <c r="CGQ69" s="62"/>
      <c r="CGR69" s="62"/>
      <c r="CGS69" s="62"/>
      <c r="CGT69" s="62"/>
      <c r="CGU69" s="62"/>
      <c r="CGV69" s="62"/>
      <c r="CGW69" s="62"/>
      <c r="CGX69" s="62"/>
      <c r="CGY69" s="62"/>
      <c r="CGZ69" s="62"/>
      <c r="CHA69" s="62"/>
      <c r="CHB69" s="62"/>
      <c r="CHC69" s="62"/>
      <c r="CHD69" s="62"/>
      <c r="CHE69" s="62"/>
      <c r="CHF69" s="62"/>
      <c r="CHG69" s="62"/>
      <c r="CHH69" s="62"/>
      <c r="CHI69" s="62"/>
      <c r="CHJ69" s="62"/>
      <c r="CHK69" s="62"/>
      <c r="CHL69" s="62"/>
      <c r="CHM69" s="62"/>
      <c r="CHN69" s="62"/>
      <c r="CHO69" s="62"/>
      <c r="CHP69" s="62"/>
      <c r="CHQ69" s="62"/>
      <c r="CHR69" s="62"/>
      <c r="CHS69" s="62"/>
      <c r="CHT69" s="62"/>
      <c r="CHU69" s="62"/>
      <c r="CHV69" s="62"/>
      <c r="CHW69" s="62"/>
      <c r="CHX69" s="62"/>
      <c r="CHY69" s="62"/>
      <c r="CHZ69" s="62"/>
      <c r="CIA69" s="62"/>
      <c r="CIB69" s="62"/>
      <c r="CIC69" s="62"/>
      <c r="CID69" s="62"/>
      <c r="CIE69" s="62"/>
      <c r="CIF69" s="62"/>
      <c r="CIG69" s="62"/>
      <c r="CIH69" s="62"/>
      <c r="CII69" s="62"/>
      <c r="CIJ69" s="62"/>
      <c r="CIK69" s="62"/>
      <c r="CIL69" s="62"/>
      <c r="CIM69" s="62"/>
      <c r="CIN69" s="62"/>
      <c r="CIO69" s="62"/>
      <c r="CIP69" s="62"/>
      <c r="CIQ69" s="62"/>
      <c r="CIR69" s="62"/>
      <c r="CIS69" s="62"/>
      <c r="CIT69" s="62"/>
      <c r="CIU69" s="62"/>
      <c r="CIV69" s="62"/>
      <c r="CIW69" s="62"/>
      <c r="CIX69" s="62"/>
      <c r="CIY69" s="62"/>
      <c r="CIZ69" s="62"/>
      <c r="CJA69" s="62"/>
      <c r="CJB69" s="62"/>
      <c r="CJC69" s="62"/>
      <c r="CJD69" s="62"/>
      <c r="CJE69" s="62"/>
      <c r="CJF69" s="62"/>
      <c r="CJG69" s="62"/>
      <c r="CJH69" s="62"/>
      <c r="CJI69" s="62"/>
      <c r="CJJ69" s="62"/>
      <c r="CJK69" s="62"/>
      <c r="CJL69" s="62"/>
      <c r="CJM69" s="62"/>
      <c r="CJN69" s="62"/>
      <c r="CJO69" s="62"/>
      <c r="CJP69" s="62"/>
      <c r="CJQ69" s="62"/>
      <c r="CJR69" s="62"/>
      <c r="CJS69" s="62"/>
      <c r="CJT69" s="62"/>
      <c r="CJU69" s="62"/>
      <c r="CJV69" s="62"/>
      <c r="CJW69" s="62"/>
      <c r="CJX69" s="62"/>
      <c r="CJY69" s="62"/>
      <c r="CJZ69" s="62"/>
      <c r="CKA69" s="62"/>
      <c r="CKB69" s="62"/>
      <c r="CKC69" s="62"/>
      <c r="CKD69" s="62"/>
      <c r="CKE69" s="62"/>
      <c r="CKF69" s="62"/>
      <c r="CKG69" s="62"/>
      <c r="CKH69" s="62"/>
      <c r="CKI69" s="62"/>
      <c r="CKJ69" s="62"/>
      <c r="CKK69" s="62"/>
      <c r="CKL69" s="62"/>
      <c r="CKM69" s="62"/>
      <c r="CKN69" s="62"/>
      <c r="CKO69" s="62"/>
      <c r="CKP69" s="62"/>
      <c r="CKQ69" s="62"/>
      <c r="CKR69" s="62"/>
      <c r="CKS69" s="62"/>
      <c r="CKT69" s="62"/>
      <c r="CKU69" s="62"/>
      <c r="CKV69" s="62"/>
      <c r="CKW69" s="62"/>
      <c r="CKX69" s="62"/>
      <c r="CKY69" s="62"/>
      <c r="CKZ69" s="62"/>
      <c r="CLA69" s="62"/>
      <c r="CLB69" s="62"/>
      <c r="CLC69" s="62"/>
      <c r="CLD69" s="62"/>
      <c r="CLE69" s="62"/>
      <c r="CLF69" s="62"/>
      <c r="CLG69" s="62"/>
      <c r="CLH69" s="62"/>
      <c r="CLI69" s="62"/>
      <c r="CLJ69" s="62"/>
      <c r="CLK69" s="62"/>
      <c r="CLL69" s="62"/>
      <c r="CLM69" s="62"/>
      <c r="CLN69" s="62"/>
      <c r="CLO69" s="62"/>
      <c r="CLP69" s="62"/>
      <c r="CLQ69" s="62"/>
      <c r="CLR69" s="62"/>
      <c r="CLS69" s="62"/>
      <c r="CLT69" s="62"/>
      <c r="CLU69" s="62"/>
      <c r="CLV69" s="62"/>
      <c r="CLW69" s="62"/>
      <c r="CLX69" s="62"/>
      <c r="CLY69" s="62"/>
      <c r="CLZ69" s="62"/>
      <c r="CMA69" s="62"/>
      <c r="CMB69" s="62"/>
      <c r="CMC69" s="62"/>
      <c r="CMD69" s="62"/>
      <c r="CME69" s="62"/>
      <c r="CMF69" s="62"/>
      <c r="CMG69" s="62"/>
      <c r="CMH69" s="62"/>
      <c r="CMI69" s="62"/>
      <c r="CMJ69" s="62"/>
      <c r="CMK69" s="62"/>
      <c r="CML69" s="62"/>
      <c r="CMM69" s="62"/>
      <c r="CMN69" s="62"/>
      <c r="CMO69" s="62"/>
      <c r="CMP69" s="62"/>
      <c r="CMQ69" s="62"/>
      <c r="CMR69" s="62"/>
      <c r="CMS69" s="62"/>
      <c r="CMT69" s="62"/>
      <c r="CMU69" s="62"/>
      <c r="CMV69" s="62"/>
      <c r="CMW69" s="62"/>
      <c r="CMX69" s="62"/>
      <c r="CMY69" s="62"/>
      <c r="CMZ69" s="62"/>
      <c r="CNA69" s="62"/>
      <c r="CNB69" s="62"/>
      <c r="CNC69" s="62"/>
      <c r="CND69" s="62"/>
      <c r="CNE69" s="62"/>
      <c r="CNF69" s="62"/>
      <c r="CNG69" s="62"/>
      <c r="CNH69" s="62"/>
      <c r="CNI69" s="62"/>
      <c r="CNJ69" s="62"/>
      <c r="CNK69" s="62"/>
      <c r="CNL69" s="62"/>
      <c r="CNM69" s="62"/>
      <c r="CNN69" s="62"/>
      <c r="CNO69" s="62"/>
      <c r="CNP69" s="62"/>
      <c r="CNQ69" s="62"/>
      <c r="CNR69" s="62"/>
      <c r="CNS69" s="62"/>
      <c r="CNT69" s="62"/>
      <c r="CNU69" s="62"/>
      <c r="CNV69" s="62"/>
      <c r="CNW69" s="62"/>
      <c r="CNX69" s="62"/>
      <c r="CNY69" s="62"/>
      <c r="CNZ69" s="62"/>
      <c r="COA69" s="62"/>
      <c r="COB69" s="62"/>
      <c r="COC69" s="62"/>
      <c r="COD69" s="62"/>
      <c r="COE69" s="62"/>
      <c r="COF69" s="62"/>
      <c r="COG69" s="62"/>
      <c r="COH69" s="62"/>
      <c r="COI69" s="62"/>
      <c r="COJ69" s="62"/>
      <c r="COK69" s="62"/>
      <c r="COL69" s="62"/>
      <c r="COM69" s="62"/>
      <c r="CON69" s="62"/>
      <c r="COO69" s="62"/>
      <c r="COP69" s="62"/>
      <c r="COQ69" s="62"/>
      <c r="COR69" s="62"/>
      <c r="COS69" s="62"/>
      <c r="COT69" s="62"/>
      <c r="COU69" s="62"/>
      <c r="COV69" s="62"/>
      <c r="COW69" s="62"/>
      <c r="COX69" s="62"/>
      <c r="COY69" s="62"/>
      <c r="COZ69" s="62"/>
      <c r="CPA69" s="62"/>
      <c r="CPB69" s="62"/>
      <c r="CPC69" s="62"/>
      <c r="CPD69" s="62"/>
      <c r="CPE69" s="62"/>
      <c r="CPF69" s="62"/>
      <c r="CPG69" s="62"/>
      <c r="CPH69" s="62"/>
      <c r="CPI69" s="62"/>
      <c r="CPJ69" s="62"/>
      <c r="CPK69" s="62"/>
      <c r="CPL69" s="62"/>
      <c r="CPM69" s="62"/>
      <c r="CPN69" s="62"/>
      <c r="CPO69" s="62"/>
      <c r="CPP69" s="62"/>
      <c r="CPQ69" s="62"/>
      <c r="CPR69" s="62"/>
      <c r="CPS69" s="62"/>
      <c r="CPT69" s="62"/>
      <c r="CPU69" s="62"/>
      <c r="CPV69" s="62"/>
      <c r="CPW69" s="62"/>
      <c r="CPX69" s="62"/>
      <c r="CPY69" s="62"/>
      <c r="CPZ69" s="62"/>
      <c r="CQA69" s="62"/>
      <c r="CQB69" s="62"/>
      <c r="CQC69" s="62"/>
      <c r="CQD69" s="62"/>
      <c r="CQE69" s="62"/>
      <c r="CQF69" s="62"/>
      <c r="CQG69" s="62"/>
      <c r="CQH69" s="62"/>
      <c r="CQI69" s="62"/>
      <c r="CQJ69" s="62"/>
      <c r="CQK69" s="62"/>
      <c r="CQL69" s="62"/>
      <c r="CQM69" s="62"/>
      <c r="CQN69" s="62"/>
      <c r="CQO69" s="62"/>
      <c r="CQP69" s="62"/>
      <c r="CQQ69" s="62"/>
      <c r="CQR69" s="62"/>
      <c r="CQS69" s="62"/>
      <c r="CQT69" s="62"/>
      <c r="CQU69" s="62"/>
      <c r="CQV69" s="62"/>
      <c r="CQW69" s="62"/>
      <c r="CQX69" s="62"/>
      <c r="CQY69" s="62"/>
      <c r="CQZ69" s="62"/>
      <c r="CRA69" s="62"/>
      <c r="CRB69" s="62"/>
      <c r="CRC69" s="62"/>
      <c r="CRD69" s="62"/>
      <c r="CRE69" s="62"/>
      <c r="CRF69" s="62"/>
      <c r="CRG69" s="62"/>
      <c r="CRH69" s="62"/>
      <c r="CRI69" s="62"/>
      <c r="CRJ69" s="62"/>
      <c r="CRK69" s="62"/>
      <c r="CRL69" s="62"/>
      <c r="CRM69" s="62"/>
      <c r="CRN69" s="62"/>
      <c r="CRO69" s="62"/>
      <c r="CRP69" s="62"/>
      <c r="CRQ69" s="62"/>
      <c r="CRR69" s="62"/>
      <c r="CRS69" s="62"/>
      <c r="CRT69" s="62"/>
      <c r="CRU69" s="62"/>
      <c r="CRV69" s="62"/>
      <c r="CRW69" s="62"/>
      <c r="CRX69" s="62"/>
      <c r="CRY69" s="62"/>
      <c r="CRZ69" s="62"/>
      <c r="CSA69" s="62"/>
      <c r="CSB69" s="62"/>
      <c r="CSC69" s="62"/>
      <c r="CSD69" s="62"/>
      <c r="CSE69" s="62"/>
      <c r="CSF69" s="62"/>
      <c r="CSG69" s="62"/>
      <c r="CSH69" s="62"/>
      <c r="CSI69" s="62"/>
      <c r="CSJ69" s="62"/>
      <c r="CSK69" s="62"/>
      <c r="CSL69" s="62"/>
      <c r="CSM69" s="62"/>
      <c r="CSN69" s="62"/>
      <c r="CSO69" s="62"/>
      <c r="CSP69" s="62"/>
      <c r="CSQ69" s="62"/>
      <c r="CSR69" s="62"/>
      <c r="CSS69" s="62"/>
      <c r="CST69" s="62"/>
      <c r="CSU69" s="62"/>
      <c r="CSV69" s="62"/>
      <c r="CSW69" s="62"/>
      <c r="CSX69" s="62"/>
      <c r="CSY69" s="62"/>
      <c r="CSZ69" s="62"/>
      <c r="CTA69" s="62"/>
      <c r="CTB69" s="62"/>
      <c r="CTC69" s="62"/>
      <c r="CTD69" s="62"/>
      <c r="CTE69" s="62"/>
      <c r="CTF69" s="62"/>
      <c r="CTG69" s="62"/>
      <c r="CTH69" s="62"/>
      <c r="CTI69" s="62"/>
      <c r="CTJ69" s="62"/>
      <c r="CTK69" s="62"/>
      <c r="CTL69" s="62"/>
      <c r="CTM69" s="62"/>
      <c r="CTN69" s="62"/>
      <c r="CTO69" s="62"/>
      <c r="CTP69" s="62"/>
      <c r="CTQ69" s="62"/>
      <c r="CTR69" s="62"/>
      <c r="CTS69" s="62"/>
      <c r="CTT69" s="62"/>
      <c r="CTU69" s="62"/>
      <c r="CTV69" s="62"/>
      <c r="CTW69" s="62"/>
      <c r="CTX69" s="62"/>
      <c r="CTY69" s="62"/>
      <c r="CTZ69" s="62"/>
      <c r="CUA69" s="62"/>
      <c r="CUB69" s="62"/>
      <c r="CUC69" s="62"/>
      <c r="CUD69" s="62"/>
      <c r="CUE69" s="62"/>
      <c r="CUF69" s="62"/>
      <c r="CUG69" s="62"/>
      <c r="CUH69" s="62"/>
      <c r="CUI69" s="62"/>
      <c r="CUJ69" s="62"/>
      <c r="CUK69" s="62"/>
      <c r="CUL69" s="62"/>
      <c r="CUM69" s="62"/>
      <c r="CUN69" s="62"/>
      <c r="CUO69" s="62"/>
      <c r="CUP69" s="62"/>
      <c r="CUQ69" s="62"/>
      <c r="CUR69" s="62"/>
      <c r="CUS69" s="62"/>
      <c r="CUT69" s="62"/>
      <c r="CUU69" s="62"/>
      <c r="CUV69" s="62"/>
      <c r="CUW69" s="62"/>
      <c r="CUX69" s="62"/>
      <c r="CUY69" s="62"/>
      <c r="CUZ69" s="62"/>
      <c r="CVA69" s="62"/>
      <c r="CVB69" s="62"/>
      <c r="CVC69" s="62"/>
      <c r="CVD69" s="62"/>
      <c r="CVE69" s="62"/>
      <c r="CVF69" s="62"/>
      <c r="CVG69" s="62"/>
      <c r="CVH69" s="62"/>
      <c r="CVI69" s="62"/>
      <c r="CVJ69" s="62"/>
      <c r="CVK69" s="62"/>
      <c r="CVL69" s="62"/>
      <c r="CVM69" s="62"/>
      <c r="CVN69" s="62"/>
      <c r="CVO69" s="62"/>
      <c r="CVP69" s="62"/>
      <c r="CVQ69" s="62"/>
      <c r="CVR69" s="62"/>
      <c r="CVS69" s="62"/>
      <c r="CVT69" s="62"/>
      <c r="CVU69" s="62"/>
      <c r="CVV69" s="62"/>
      <c r="CVW69" s="62"/>
      <c r="CVX69" s="62"/>
      <c r="CVY69" s="62"/>
      <c r="CVZ69" s="62"/>
      <c r="CWA69" s="62"/>
      <c r="CWB69" s="62"/>
      <c r="CWC69" s="62"/>
      <c r="CWD69" s="62"/>
      <c r="CWE69" s="62"/>
      <c r="CWF69" s="62"/>
      <c r="CWG69" s="62"/>
      <c r="CWH69" s="62"/>
      <c r="CWI69" s="62"/>
      <c r="CWJ69" s="62"/>
      <c r="CWK69" s="62"/>
      <c r="CWL69" s="62"/>
      <c r="CWM69" s="62"/>
      <c r="CWN69" s="62"/>
      <c r="CWO69" s="62"/>
      <c r="CWP69" s="62"/>
      <c r="CWQ69" s="62"/>
      <c r="CWR69" s="62"/>
      <c r="CWS69" s="62"/>
      <c r="CWT69" s="62"/>
      <c r="CWU69" s="62"/>
      <c r="CWV69" s="62"/>
      <c r="CWW69" s="62"/>
      <c r="CWX69" s="62"/>
      <c r="CWY69" s="62"/>
      <c r="CWZ69" s="62"/>
      <c r="CXA69" s="62"/>
      <c r="CXB69" s="62"/>
      <c r="CXC69" s="62"/>
      <c r="CXD69" s="62"/>
      <c r="CXE69" s="62"/>
      <c r="CXF69" s="62"/>
      <c r="CXG69" s="62"/>
      <c r="CXH69" s="62"/>
      <c r="CXI69" s="62"/>
      <c r="CXJ69" s="62"/>
      <c r="CXK69" s="62"/>
      <c r="CXL69" s="62"/>
      <c r="CXM69" s="62"/>
      <c r="CXN69" s="62"/>
      <c r="CXO69" s="62"/>
      <c r="CXP69" s="62"/>
      <c r="CXQ69" s="62"/>
      <c r="CXR69" s="62"/>
      <c r="CXS69" s="62"/>
      <c r="CXT69" s="62"/>
      <c r="CXU69" s="62"/>
      <c r="CXV69" s="62"/>
      <c r="CXW69" s="62"/>
      <c r="CXX69" s="62"/>
      <c r="CXY69" s="62"/>
      <c r="CXZ69" s="62"/>
      <c r="CYA69" s="62"/>
      <c r="CYB69" s="62"/>
      <c r="CYC69" s="62"/>
      <c r="CYD69" s="62"/>
      <c r="CYE69" s="62"/>
      <c r="CYF69" s="62"/>
      <c r="CYG69" s="62"/>
      <c r="CYH69" s="62"/>
      <c r="CYI69" s="62"/>
      <c r="CYJ69" s="62"/>
      <c r="CYK69" s="62"/>
      <c r="CYL69" s="62"/>
      <c r="CYM69" s="62"/>
      <c r="CYN69" s="62"/>
      <c r="CYO69" s="62"/>
      <c r="CYP69" s="62"/>
      <c r="CYQ69" s="62"/>
      <c r="CYR69" s="62"/>
      <c r="CYS69" s="62"/>
      <c r="CYT69" s="62"/>
      <c r="CYU69" s="62"/>
      <c r="CYV69" s="62"/>
      <c r="CYW69" s="62"/>
      <c r="CYX69" s="62"/>
      <c r="CYY69" s="62"/>
      <c r="CYZ69" s="62"/>
      <c r="CZA69" s="62"/>
      <c r="CZB69" s="62"/>
      <c r="CZC69" s="62"/>
      <c r="CZD69" s="62"/>
      <c r="CZE69" s="62"/>
      <c r="CZF69" s="62"/>
      <c r="CZG69" s="62"/>
      <c r="CZH69" s="62"/>
      <c r="CZI69" s="62"/>
      <c r="CZJ69" s="62"/>
      <c r="CZK69" s="62"/>
      <c r="CZL69" s="62"/>
      <c r="CZM69" s="62"/>
      <c r="CZN69" s="62"/>
      <c r="CZO69" s="62"/>
      <c r="CZP69" s="62"/>
      <c r="CZQ69" s="62"/>
      <c r="CZR69" s="62"/>
      <c r="CZS69" s="62"/>
      <c r="CZT69" s="62"/>
      <c r="CZU69" s="62"/>
      <c r="CZV69" s="62"/>
      <c r="CZW69" s="62"/>
      <c r="CZX69" s="62"/>
      <c r="CZY69" s="62"/>
      <c r="CZZ69" s="62"/>
      <c r="DAA69" s="62"/>
      <c r="DAB69" s="62"/>
      <c r="DAC69" s="62"/>
      <c r="DAD69" s="62"/>
      <c r="DAE69" s="62"/>
      <c r="DAF69" s="62"/>
      <c r="DAG69" s="62"/>
      <c r="DAH69" s="62"/>
      <c r="DAI69" s="62"/>
      <c r="DAJ69" s="62"/>
      <c r="DAK69" s="62"/>
      <c r="DAL69" s="62"/>
      <c r="DAM69" s="62"/>
      <c r="DAN69" s="62"/>
      <c r="DAO69" s="62"/>
      <c r="DAP69" s="62"/>
      <c r="DAQ69" s="62"/>
      <c r="DAR69" s="62"/>
      <c r="DAS69" s="62"/>
      <c r="DAT69" s="62"/>
      <c r="DAU69" s="62"/>
      <c r="DAV69" s="62"/>
      <c r="DAW69" s="62"/>
      <c r="DAX69" s="62"/>
      <c r="DAY69" s="62"/>
      <c r="DAZ69" s="62"/>
      <c r="DBA69" s="62"/>
      <c r="DBB69" s="62"/>
      <c r="DBC69" s="62"/>
      <c r="DBD69" s="62"/>
      <c r="DBE69" s="62"/>
      <c r="DBF69" s="62"/>
      <c r="DBG69" s="62"/>
      <c r="DBH69" s="62"/>
      <c r="DBI69" s="62"/>
      <c r="DBJ69" s="62"/>
      <c r="DBK69" s="62"/>
      <c r="DBL69" s="62"/>
      <c r="DBM69" s="62"/>
      <c r="DBN69" s="62"/>
      <c r="DBO69" s="62"/>
      <c r="DBP69" s="62"/>
      <c r="DBQ69" s="62"/>
      <c r="DBR69" s="62"/>
      <c r="DBS69" s="62"/>
      <c r="DBT69" s="62"/>
      <c r="DBU69" s="62"/>
      <c r="DBV69" s="62"/>
      <c r="DBW69" s="62"/>
      <c r="DBX69" s="62"/>
      <c r="DBY69" s="62"/>
      <c r="DBZ69" s="62"/>
      <c r="DCA69" s="62"/>
      <c r="DCB69" s="62"/>
      <c r="DCC69" s="62"/>
      <c r="DCD69" s="62"/>
      <c r="DCE69" s="62"/>
      <c r="DCF69" s="62"/>
      <c r="DCG69" s="62"/>
      <c r="DCH69" s="62"/>
      <c r="DCI69" s="62"/>
      <c r="DCJ69" s="62"/>
      <c r="DCK69" s="62"/>
      <c r="DCL69" s="62"/>
      <c r="DCM69" s="62"/>
      <c r="DCN69" s="62"/>
      <c r="DCO69" s="62"/>
      <c r="DCP69" s="62"/>
      <c r="DCQ69" s="62"/>
      <c r="DCR69" s="62"/>
      <c r="DCS69" s="62"/>
      <c r="DCT69" s="62"/>
      <c r="DCU69" s="62"/>
      <c r="DCV69" s="62"/>
      <c r="DCW69" s="62"/>
      <c r="DCX69" s="62"/>
      <c r="DCY69" s="62"/>
      <c r="DCZ69" s="62"/>
      <c r="DDA69" s="62"/>
      <c r="DDB69" s="62"/>
      <c r="DDC69" s="62"/>
      <c r="DDD69" s="62"/>
      <c r="DDE69" s="62"/>
      <c r="DDF69" s="62"/>
      <c r="DDG69" s="62"/>
      <c r="DDH69" s="62"/>
      <c r="DDI69" s="62"/>
      <c r="DDJ69" s="62"/>
      <c r="DDK69" s="62"/>
      <c r="DDL69" s="62"/>
      <c r="DDM69" s="62"/>
      <c r="DDN69" s="62"/>
      <c r="DDO69" s="62"/>
      <c r="DDP69" s="62"/>
      <c r="DDQ69" s="62"/>
      <c r="DDR69" s="62"/>
      <c r="DDS69" s="62"/>
      <c r="DDT69" s="62"/>
      <c r="DDU69" s="62"/>
      <c r="DDV69" s="62"/>
      <c r="DDW69" s="62"/>
      <c r="DDX69" s="62"/>
      <c r="DDY69" s="62"/>
      <c r="DDZ69" s="62"/>
      <c r="DEA69" s="62"/>
      <c r="DEB69" s="62"/>
      <c r="DEC69" s="62"/>
      <c r="DED69" s="62"/>
      <c r="DEE69" s="62"/>
      <c r="DEF69" s="62"/>
      <c r="DEG69" s="62"/>
      <c r="DEH69" s="62"/>
      <c r="DEI69" s="62"/>
      <c r="DEJ69" s="62"/>
      <c r="DEK69" s="62"/>
      <c r="DEL69" s="62"/>
      <c r="DEM69" s="62"/>
      <c r="DEN69" s="62"/>
      <c r="DEO69" s="62"/>
      <c r="DEP69" s="62"/>
      <c r="DEQ69" s="62"/>
      <c r="DER69" s="62"/>
      <c r="DES69" s="62"/>
      <c r="DET69" s="62"/>
      <c r="DEU69" s="62"/>
      <c r="DEV69" s="62"/>
      <c r="DEW69" s="62"/>
      <c r="DEX69" s="62"/>
      <c r="DEY69" s="62"/>
      <c r="DEZ69" s="62"/>
      <c r="DFA69" s="62"/>
      <c r="DFB69" s="62"/>
      <c r="DFC69" s="62"/>
      <c r="DFD69" s="62"/>
      <c r="DFE69" s="62"/>
      <c r="DFF69" s="62"/>
      <c r="DFG69" s="62"/>
      <c r="DFH69" s="62"/>
      <c r="DFI69" s="62"/>
      <c r="DFJ69" s="62"/>
      <c r="DFK69" s="62"/>
      <c r="DFL69" s="62"/>
      <c r="DFM69" s="62"/>
      <c r="DFN69" s="62"/>
      <c r="DFO69" s="62"/>
      <c r="DFP69" s="62"/>
      <c r="DFQ69" s="62"/>
      <c r="DFR69" s="62"/>
      <c r="DFS69" s="62"/>
      <c r="DFT69" s="62"/>
      <c r="DFU69" s="62"/>
      <c r="DFV69" s="62"/>
      <c r="DFW69" s="62"/>
      <c r="DFX69" s="62"/>
      <c r="DFY69" s="62"/>
      <c r="DFZ69" s="62"/>
      <c r="DGA69" s="62"/>
      <c r="DGB69" s="62"/>
      <c r="DGC69" s="62"/>
      <c r="DGD69" s="62"/>
      <c r="DGE69" s="62"/>
      <c r="DGF69" s="62"/>
      <c r="DGG69" s="62"/>
      <c r="DGH69" s="62"/>
      <c r="DGI69" s="62"/>
      <c r="DGJ69" s="62"/>
      <c r="DGK69" s="62"/>
      <c r="DGL69" s="62"/>
      <c r="DGM69" s="62"/>
      <c r="DGN69" s="62"/>
      <c r="DGO69" s="62"/>
      <c r="DGP69" s="62"/>
      <c r="DGQ69" s="62"/>
      <c r="DGR69" s="62"/>
      <c r="DGS69" s="62"/>
      <c r="DGT69" s="62"/>
      <c r="DGU69" s="62"/>
      <c r="DGV69" s="62"/>
      <c r="DGW69" s="62"/>
      <c r="DGX69" s="62"/>
      <c r="DGY69" s="62"/>
      <c r="DGZ69" s="62"/>
      <c r="DHA69" s="62"/>
      <c r="DHB69" s="62"/>
      <c r="DHC69" s="62"/>
      <c r="DHD69" s="62"/>
      <c r="DHE69" s="62"/>
      <c r="DHF69" s="62"/>
      <c r="DHG69" s="62"/>
      <c r="DHH69" s="62"/>
      <c r="DHI69" s="62"/>
      <c r="DHJ69" s="62"/>
      <c r="DHK69" s="62"/>
      <c r="DHL69" s="62"/>
      <c r="DHM69" s="62"/>
      <c r="DHN69" s="62"/>
      <c r="DHO69" s="62"/>
      <c r="DHP69" s="62"/>
      <c r="DHQ69" s="62"/>
      <c r="DHR69" s="62"/>
      <c r="DHS69" s="62"/>
      <c r="DHT69" s="62"/>
      <c r="DHU69" s="62"/>
      <c r="DHV69" s="62"/>
      <c r="DHW69" s="62"/>
      <c r="DHX69" s="62"/>
      <c r="DHY69" s="62"/>
      <c r="DHZ69" s="62"/>
      <c r="DIA69" s="62"/>
      <c r="DIB69" s="62"/>
      <c r="DIC69" s="62"/>
      <c r="DID69" s="62"/>
      <c r="DIE69" s="62"/>
      <c r="DIF69" s="62"/>
      <c r="DIG69" s="62"/>
      <c r="DIH69" s="62"/>
      <c r="DII69" s="62"/>
      <c r="DIJ69" s="62"/>
      <c r="DIK69" s="62"/>
      <c r="DIL69" s="62"/>
      <c r="DIM69" s="62"/>
      <c r="DIN69" s="62"/>
      <c r="DIO69" s="62"/>
      <c r="DIP69" s="62"/>
      <c r="DIQ69" s="62"/>
      <c r="DIR69" s="62"/>
      <c r="DIS69" s="62"/>
      <c r="DIT69" s="62"/>
      <c r="DIU69" s="62"/>
      <c r="DIV69" s="62"/>
      <c r="DIW69" s="62"/>
      <c r="DIX69" s="62"/>
      <c r="DIY69" s="62"/>
      <c r="DIZ69" s="62"/>
      <c r="DJA69" s="62"/>
      <c r="DJB69" s="62"/>
      <c r="DJC69" s="62"/>
      <c r="DJD69" s="62"/>
      <c r="DJE69" s="62"/>
      <c r="DJF69" s="62"/>
      <c r="DJG69" s="62"/>
      <c r="DJH69" s="62"/>
      <c r="DJI69" s="62"/>
      <c r="DJJ69" s="62"/>
      <c r="DJK69" s="62"/>
      <c r="DJL69" s="62"/>
      <c r="DJM69" s="62"/>
      <c r="DJN69" s="62"/>
      <c r="DJO69" s="62"/>
      <c r="DJP69" s="62"/>
      <c r="DJQ69" s="62"/>
      <c r="DJR69" s="62"/>
      <c r="DJS69" s="62"/>
      <c r="DJT69" s="62"/>
      <c r="DJU69" s="62"/>
      <c r="DJV69" s="62"/>
      <c r="DJW69" s="62"/>
      <c r="DJX69" s="62"/>
      <c r="DJY69" s="62"/>
      <c r="DJZ69" s="62"/>
      <c r="DKA69" s="62"/>
      <c r="DKB69" s="62"/>
      <c r="DKC69" s="62"/>
      <c r="DKD69" s="62"/>
      <c r="DKE69" s="62"/>
      <c r="DKF69" s="62"/>
      <c r="DKG69" s="62"/>
      <c r="DKH69" s="62"/>
      <c r="DKI69" s="62"/>
      <c r="DKJ69" s="62"/>
      <c r="DKK69" s="62"/>
      <c r="DKL69" s="62"/>
      <c r="DKM69" s="62"/>
      <c r="DKN69" s="62"/>
      <c r="DKO69" s="62"/>
      <c r="DKP69" s="62"/>
      <c r="DKQ69" s="62"/>
      <c r="DKR69" s="62"/>
      <c r="DKS69" s="62"/>
      <c r="DKT69" s="62"/>
      <c r="DKU69" s="62"/>
      <c r="DKV69" s="62"/>
      <c r="DKW69" s="62"/>
      <c r="DKX69" s="62"/>
      <c r="DKY69" s="62"/>
      <c r="DKZ69" s="62"/>
      <c r="DLA69" s="62"/>
      <c r="DLB69" s="62"/>
      <c r="DLC69" s="62"/>
      <c r="DLD69" s="62"/>
      <c r="DLE69" s="62"/>
      <c r="DLF69" s="62"/>
      <c r="DLG69" s="62"/>
      <c r="DLH69" s="62"/>
      <c r="DLI69" s="62"/>
      <c r="DLJ69" s="62"/>
      <c r="DLK69" s="62"/>
      <c r="DLL69" s="62"/>
      <c r="DLM69" s="62"/>
      <c r="DLN69" s="62"/>
      <c r="DLO69" s="62"/>
      <c r="DLP69" s="62"/>
      <c r="DLQ69" s="62"/>
      <c r="DLR69" s="62"/>
      <c r="DLS69" s="62"/>
      <c r="DLT69" s="62"/>
      <c r="DLU69" s="62"/>
      <c r="DLV69" s="62"/>
      <c r="DLW69" s="62"/>
      <c r="DLX69" s="62"/>
      <c r="DLY69" s="62"/>
      <c r="DLZ69" s="62"/>
      <c r="DMA69" s="62"/>
      <c r="DMB69" s="62"/>
      <c r="DMC69" s="62"/>
      <c r="DMD69" s="62"/>
      <c r="DME69" s="62"/>
      <c r="DMF69" s="62"/>
      <c r="DMG69" s="62"/>
      <c r="DMH69" s="62"/>
      <c r="DMI69" s="62"/>
      <c r="DMJ69" s="62"/>
      <c r="DMK69" s="62"/>
      <c r="DML69" s="62"/>
      <c r="DMM69" s="62"/>
      <c r="DMN69" s="62"/>
      <c r="DMO69" s="62"/>
      <c r="DMP69" s="62"/>
      <c r="DMQ69" s="62"/>
      <c r="DMR69" s="62"/>
      <c r="DMS69" s="62"/>
      <c r="DMT69" s="62"/>
      <c r="DMU69" s="62"/>
      <c r="DMV69" s="62"/>
      <c r="DMW69" s="62"/>
      <c r="DMX69" s="62"/>
      <c r="DMY69" s="62"/>
      <c r="DMZ69" s="62"/>
      <c r="DNA69" s="62"/>
      <c r="DNB69" s="62"/>
      <c r="DNC69" s="62"/>
      <c r="DND69" s="62"/>
      <c r="DNE69" s="62"/>
      <c r="DNF69" s="62"/>
      <c r="DNG69" s="62"/>
      <c r="DNH69" s="62"/>
      <c r="DNI69" s="62"/>
      <c r="DNJ69" s="62"/>
      <c r="DNK69" s="62"/>
      <c r="DNL69" s="62"/>
      <c r="DNM69" s="62"/>
      <c r="DNN69" s="62"/>
      <c r="DNO69" s="62"/>
      <c r="DNP69" s="62"/>
      <c r="DNQ69" s="62"/>
      <c r="DNR69" s="62"/>
      <c r="DNS69" s="62"/>
      <c r="DNT69" s="62"/>
      <c r="DNU69" s="62"/>
      <c r="DNV69" s="62"/>
      <c r="DNW69" s="62"/>
      <c r="DNX69" s="62"/>
      <c r="DNY69" s="62"/>
      <c r="DNZ69" s="62"/>
      <c r="DOA69" s="62"/>
      <c r="DOB69" s="62"/>
      <c r="DOC69" s="62"/>
      <c r="DOD69" s="62"/>
      <c r="DOE69" s="62"/>
      <c r="DOF69" s="62"/>
      <c r="DOG69" s="62"/>
      <c r="DOH69" s="62"/>
      <c r="DOI69" s="62"/>
      <c r="DOJ69" s="62"/>
      <c r="DOK69" s="62"/>
      <c r="DOL69" s="62"/>
      <c r="DOM69" s="62"/>
      <c r="DON69" s="62"/>
      <c r="DOO69" s="62"/>
      <c r="DOP69" s="62"/>
      <c r="DOQ69" s="62"/>
      <c r="DOR69" s="62"/>
      <c r="DOS69" s="62"/>
      <c r="DOT69" s="62"/>
      <c r="DOU69" s="62"/>
      <c r="DOV69" s="62"/>
      <c r="DOW69" s="62"/>
      <c r="DOX69" s="62"/>
      <c r="DOY69" s="62"/>
      <c r="DOZ69" s="62"/>
      <c r="DPA69" s="62"/>
      <c r="DPB69" s="62"/>
      <c r="DPC69" s="62"/>
      <c r="DPD69" s="62"/>
      <c r="DPE69" s="62"/>
      <c r="DPF69" s="62"/>
      <c r="DPG69" s="62"/>
      <c r="DPH69" s="62"/>
      <c r="DPI69" s="62"/>
      <c r="DPJ69" s="62"/>
      <c r="DPK69" s="62"/>
      <c r="DPL69" s="62"/>
      <c r="DPM69" s="62"/>
      <c r="DPN69" s="62"/>
      <c r="DPO69" s="62"/>
      <c r="DPP69" s="62"/>
      <c r="DPQ69" s="62"/>
      <c r="DPR69" s="62"/>
      <c r="DPS69" s="62"/>
      <c r="DPT69" s="62"/>
      <c r="DPU69" s="62"/>
      <c r="DPV69" s="62"/>
      <c r="DPW69" s="62"/>
      <c r="DPX69" s="62"/>
      <c r="DPY69" s="62"/>
      <c r="DPZ69" s="62"/>
      <c r="DQA69" s="62"/>
      <c r="DQB69" s="62"/>
      <c r="DQC69" s="62"/>
      <c r="DQD69" s="62"/>
      <c r="DQE69" s="62"/>
      <c r="DQF69" s="62"/>
      <c r="DQG69" s="62"/>
      <c r="DQH69" s="62"/>
      <c r="DQI69" s="62"/>
      <c r="DQJ69" s="62"/>
      <c r="DQK69" s="62"/>
      <c r="DQL69" s="62"/>
      <c r="DQM69" s="62"/>
      <c r="DQN69" s="62"/>
      <c r="DQO69" s="62"/>
      <c r="DQP69" s="62"/>
      <c r="DQQ69" s="62"/>
      <c r="DQR69" s="62"/>
      <c r="DQS69" s="62"/>
      <c r="DQT69" s="62"/>
      <c r="DQU69" s="62"/>
      <c r="DQV69" s="62"/>
      <c r="DQW69" s="62"/>
      <c r="DQX69" s="62"/>
      <c r="DQY69" s="62"/>
      <c r="DQZ69" s="62"/>
      <c r="DRA69" s="62"/>
      <c r="DRB69" s="62"/>
      <c r="DRC69" s="62"/>
      <c r="DRD69" s="62"/>
      <c r="DRE69" s="62"/>
      <c r="DRF69" s="62"/>
      <c r="DRG69" s="62"/>
      <c r="DRH69" s="62"/>
      <c r="DRI69" s="62"/>
      <c r="DRJ69" s="62"/>
      <c r="DRK69" s="62"/>
      <c r="DRL69" s="62"/>
      <c r="DRM69" s="62"/>
      <c r="DRN69" s="62"/>
      <c r="DRO69" s="62"/>
      <c r="DRP69" s="62"/>
      <c r="DRQ69" s="62"/>
      <c r="DRR69" s="62"/>
      <c r="DRS69" s="62"/>
      <c r="DRT69" s="62"/>
      <c r="DRU69" s="62"/>
      <c r="DRV69" s="62"/>
      <c r="DRW69" s="62"/>
      <c r="DRX69" s="62"/>
      <c r="DRY69" s="62"/>
      <c r="DRZ69" s="62"/>
      <c r="DSA69" s="62"/>
      <c r="DSB69" s="62"/>
      <c r="DSC69" s="62"/>
      <c r="DSD69" s="62"/>
      <c r="DSE69" s="62"/>
      <c r="DSF69" s="62"/>
      <c r="DSG69" s="62"/>
      <c r="DSH69" s="62"/>
      <c r="DSI69" s="62"/>
      <c r="DSJ69" s="62"/>
      <c r="DSK69" s="62"/>
      <c r="DSL69" s="62"/>
      <c r="DSM69" s="62"/>
      <c r="DSN69" s="62"/>
      <c r="DSO69" s="62"/>
      <c r="DSP69" s="62"/>
      <c r="DSQ69" s="62"/>
      <c r="DSR69" s="62"/>
      <c r="DSS69" s="62"/>
      <c r="DST69" s="62"/>
      <c r="DSU69" s="62"/>
      <c r="DSV69" s="62"/>
      <c r="DSW69" s="62"/>
      <c r="DSX69" s="62"/>
      <c r="DSY69" s="62"/>
      <c r="DSZ69" s="62"/>
      <c r="DTA69" s="62"/>
      <c r="DTB69" s="62"/>
      <c r="DTC69" s="62"/>
      <c r="DTD69" s="62"/>
      <c r="DTE69" s="62"/>
      <c r="DTF69" s="62"/>
      <c r="DTG69" s="62"/>
      <c r="DTH69" s="62"/>
      <c r="DTI69" s="62"/>
      <c r="DTJ69" s="62"/>
      <c r="DTK69" s="62"/>
      <c r="DTL69" s="62"/>
      <c r="DTM69" s="62"/>
      <c r="DTN69" s="62"/>
      <c r="DTO69" s="62"/>
      <c r="DTP69" s="62"/>
      <c r="DTQ69" s="62"/>
      <c r="DTR69" s="62"/>
      <c r="DTS69" s="62"/>
      <c r="DTT69" s="62"/>
      <c r="DTU69" s="62"/>
      <c r="DTV69" s="62"/>
      <c r="DTW69" s="62"/>
      <c r="DTX69" s="62"/>
      <c r="DTY69" s="62"/>
      <c r="DTZ69" s="62"/>
      <c r="DUA69" s="62"/>
      <c r="DUB69" s="62"/>
      <c r="DUC69" s="62"/>
      <c r="DUD69" s="62"/>
      <c r="DUE69" s="62"/>
      <c r="DUF69" s="62"/>
      <c r="DUG69" s="62"/>
      <c r="DUH69" s="62"/>
      <c r="DUI69" s="62"/>
      <c r="DUJ69" s="62"/>
      <c r="DUK69" s="62"/>
      <c r="DUL69" s="62"/>
      <c r="DUM69" s="62"/>
      <c r="DUN69" s="62"/>
      <c r="DUO69" s="62"/>
      <c r="DUP69" s="62"/>
      <c r="DUQ69" s="62"/>
      <c r="DUR69" s="62"/>
      <c r="DUS69" s="62"/>
      <c r="DUT69" s="62"/>
      <c r="DUU69" s="62"/>
      <c r="DUV69" s="62"/>
      <c r="DUW69" s="62"/>
      <c r="DUX69" s="62"/>
      <c r="DUY69" s="62"/>
      <c r="DUZ69" s="62"/>
      <c r="DVA69" s="62"/>
      <c r="DVB69" s="62"/>
      <c r="DVC69" s="62"/>
      <c r="DVD69" s="62"/>
      <c r="DVE69" s="62"/>
      <c r="DVF69" s="62"/>
      <c r="DVG69" s="62"/>
      <c r="DVH69" s="62"/>
      <c r="DVI69" s="62"/>
      <c r="DVJ69" s="62"/>
      <c r="DVK69" s="62"/>
      <c r="DVL69" s="62"/>
      <c r="DVM69" s="62"/>
      <c r="DVN69" s="62"/>
      <c r="DVO69" s="62"/>
      <c r="DVP69" s="62"/>
      <c r="DVQ69" s="62"/>
      <c r="DVR69" s="62"/>
      <c r="DVS69" s="62"/>
      <c r="DVT69" s="62"/>
      <c r="DVU69" s="62"/>
      <c r="DVV69" s="62"/>
      <c r="DVW69" s="62"/>
      <c r="DVX69" s="62"/>
      <c r="DVY69" s="62"/>
      <c r="DVZ69" s="62"/>
      <c r="DWA69" s="62"/>
      <c r="DWB69" s="62"/>
      <c r="DWC69" s="62"/>
      <c r="DWD69" s="62"/>
      <c r="DWE69" s="62"/>
      <c r="DWF69" s="62"/>
      <c r="DWG69" s="62"/>
      <c r="DWH69" s="62"/>
      <c r="DWI69" s="62"/>
      <c r="DWJ69" s="62"/>
      <c r="DWK69" s="62"/>
      <c r="DWL69" s="62"/>
      <c r="DWM69" s="62"/>
      <c r="DWN69" s="62"/>
      <c r="DWO69" s="62"/>
      <c r="DWP69" s="62"/>
      <c r="DWQ69" s="62"/>
      <c r="DWR69" s="62"/>
      <c r="DWS69" s="62"/>
      <c r="DWT69" s="62"/>
      <c r="DWU69" s="62"/>
      <c r="DWV69" s="62"/>
      <c r="DWW69" s="62"/>
      <c r="DWX69" s="62"/>
      <c r="DWY69" s="62"/>
      <c r="DWZ69" s="62"/>
      <c r="DXA69" s="62"/>
      <c r="DXB69" s="62"/>
      <c r="DXC69" s="62"/>
      <c r="DXD69" s="62"/>
      <c r="DXE69" s="62"/>
      <c r="DXF69" s="62"/>
      <c r="DXG69" s="62"/>
      <c r="DXH69" s="62"/>
      <c r="DXI69" s="62"/>
      <c r="DXJ69" s="62"/>
      <c r="DXK69" s="62"/>
      <c r="DXL69" s="62"/>
      <c r="DXM69" s="62"/>
      <c r="DXN69" s="62"/>
      <c r="DXO69" s="62"/>
      <c r="DXP69" s="62"/>
      <c r="DXQ69" s="62"/>
      <c r="DXR69" s="62"/>
      <c r="DXS69" s="62"/>
      <c r="DXT69" s="62"/>
      <c r="DXU69" s="62"/>
      <c r="DXV69" s="62"/>
      <c r="DXW69" s="62"/>
      <c r="DXX69" s="62"/>
      <c r="DXY69" s="62"/>
      <c r="DXZ69" s="62"/>
      <c r="DYA69" s="62"/>
      <c r="DYB69" s="62"/>
      <c r="DYC69" s="62"/>
      <c r="DYD69" s="62"/>
      <c r="DYE69" s="62"/>
      <c r="DYF69" s="62"/>
      <c r="DYG69" s="62"/>
      <c r="DYH69" s="62"/>
      <c r="DYI69" s="62"/>
      <c r="DYJ69" s="62"/>
      <c r="DYK69" s="62"/>
      <c r="DYL69" s="62"/>
      <c r="DYM69" s="62"/>
      <c r="DYN69" s="62"/>
      <c r="DYO69" s="62"/>
      <c r="DYP69" s="62"/>
      <c r="DYQ69" s="62"/>
      <c r="DYR69" s="62"/>
      <c r="DYS69" s="62"/>
      <c r="DYT69" s="62"/>
      <c r="DYU69" s="62"/>
      <c r="DYV69" s="62"/>
      <c r="DYW69" s="62"/>
      <c r="DYX69" s="62"/>
      <c r="DYY69" s="62"/>
      <c r="DYZ69" s="62"/>
      <c r="DZA69" s="62"/>
      <c r="DZB69" s="62"/>
      <c r="DZC69" s="62"/>
      <c r="DZD69" s="62"/>
      <c r="DZE69" s="62"/>
      <c r="DZF69" s="62"/>
      <c r="DZG69" s="62"/>
      <c r="DZH69" s="62"/>
      <c r="DZI69" s="62"/>
      <c r="DZJ69" s="62"/>
      <c r="DZK69" s="62"/>
      <c r="DZL69" s="62"/>
      <c r="DZM69" s="62"/>
      <c r="DZN69" s="62"/>
      <c r="DZO69" s="62"/>
      <c r="DZP69" s="62"/>
      <c r="DZQ69" s="62"/>
      <c r="DZR69" s="62"/>
      <c r="DZS69" s="62"/>
      <c r="DZT69" s="62"/>
      <c r="DZU69" s="62"/>
      <c r="DZV69" s="62"/>
      <c r="DZW69" s="62"/>
      <c r="DZX69" s="62"/>
      <c r="DZY69" s="62"/>
      <c r="DZZ69" s="62"/>
      <c r="EAA69" s="62"/>
      <c r="EAB69" s="62"/>
      <c r="EAC69" s="62"/>
      <c r="EAD69" s="62"/>
      <c r="EAE69" s="62"/>
      <c r="EAF69" s="62"/>
      <c r="EAG69" s="62"/>
      <c r="EAH69" s="62"/>
      <c r="EAI69" s="62"/>
      <c r="EAJ69" s="62"/>
      <c r="EAK69" s="62"/>
      <c r="EAL69" s="62"/>
      <c r="EAM69" s="62"/>
      <c r="EAN69" s="62"/>
      <c r="EAO69" s="62"/>
      <c r="EAP69" s="62"/>
      <c r="EAQ69" s="62"/>
      <c r="EAR69" s="62"/>
      <c r="EAS69" s="62"/>
      <c r="EAT69" s="62"/>
      <c r="EAU69" s="62"/>
      <c r="EAV69" s="62"/>
      <c r="EAW69" s="62"/>
      <c r="EAX69" s="62"/>
      <c r="EAY69" s="62"/>
      <c r="EAZ69" s="62"/>
      <c r="EBA69" s="62"/>
      <c r="EBB69" s="62"/>
      <c r="EBC69" s="62"/>
      <c r="EBD69" s="62"/>
      <c r="EBE69" s="62"/>
      <c r="EBF69" s="62"/>
      <c r="EBG69" s="62"/>
      <c r="EBH69" s="62"/>
      <c r="EBI69" s="62"/>
      <c r="EBJ69" s="62"/>
      <c r="EBK69" s="62"/>
      <c r="EBL69" s="62"/>
      <c r="EBM69" s="62"/>
      <c r="EBN69" s="62"/>
      <c r="EBO69" s="62"/>
      <c r="EBP69" s="62"/>
      <c r="EBQ69" s="62"/>
      <c r="EBR69" s="62"/>
      <c r="EBS69" s="62"/>
      <c r="EBT69" s="62"/>
      <c r="EBU69" s="62"/>
      <c r="EBV69" s="62"/>
      <c r="EBW69" s="62"/>
      <c r="EBX69" s="62"/>
      <c r="EBY69" s="62"/>
      <c r="EBZ69" s="62"/>
      <c r="ECA69" s="62"/>
      <c r="ECB69" s="62"/>
      <c r="ECC69" s="62"/>
      <c r="ECD69" s="62"/>
      <c r="ECE69" s="62"/>
      <c r="ECF69" s="62"/>
      <c r="ECG69" s="62"/>
      <c r="ECH69" s="62"/>
      <c r="ECI69" s="62"/>
      <c r="ECJ69" s="62"/>
      <c r="ECK69" s="62"/>
      <c r="ECL69" s="62"/>
      <c r="ECM69" s="62"/>
      <c r="ECN69" s="62"/>
      <c r="ECO69" s="62"/>
      <c r="ECP69" s="62"/>
      <c r="ECQ69" s="62"/>
      <c r="ECR69" s="62"/>
      <c r="ECS69" s="62"/>
      <c r="ECT69" s="62"/>
      <c r="ECU69" s="62"/>
      <c r="ECV69" s="62"/>
      <c r="ECW69" s="62"/>
      <c r="ECX69" s="62"/>
      <c r="ECY69" s="62"/>
      <c r="ECZ69" s="62"/>
      <c r="EDA69" s="62"/>
      <c r="EDB69" s="62"/>
      <c r="EDC69" s="62"/>
      <c r="EDD69" s="62"/>
      <c r="EDE69" s="62"/>
      <c r="EDF69" s="62"/>
      <c r="EDG69" s="62"/>
      <c r="EDH69" s="62"/>
      <c r="EDI69" s="62"/>
      <c r="EDJ69" s="62"/>
      <c r="EDK69" s="62"/>
      <c r="EDL69" s="62"/>
      <c r="EDM69" s="62"/>
      <c r="EDN69" s="62"/>
      <c r="EDO69" s="62"/>
      <c r="EDP69" s="62"/>
      <c r="EDQ69" s="62"/>
      <c r="EDR69" s="62"/>
      <c r="EDS69" s="62"/>
      <c r="EDT69" s="62"/>
      <c r="EDU69" s="62"/>
      <c r="EDV69" s="62"/>
      <c r="EDW69" s="62"/>
      <c r="EDX69" s="62"/>
      <c r="EDY69" s="62"/>
      <c r="EDZ69" s="62"/>
      <c r="EEA69" s="62"/>
      <c r="EEB69" s="62"/>
      <c r="EEC69" s="62"/>
      <c r="EED69" s="62"/>
      <c r="EEE69" s="62"/>
      <c r="EEF69" s="62"/>
      <c r="EEG69" s="62"/>
      <c r="EEH69" s="62"/>
      <c r="EEI69" s="62"/>
      <c r="EEJ69" s="62"/>
      <c r="EEK69" s="62"/>
      <c r="EEL69" s="62"/>
      <c r="EEM69" s="62"/>
      <c r="EEN69" s="62"/>
      <c r="EEO69" s="62"/>
      <c r="EEP69" s="62"/>
      <c r="EEQ69" s="62"/>
      <c r="EER69" s="62"/>
      <c r="EES69" s="62"/>
      <c r="EET69" s="62"/>
      <c r="EEU69" s="62"/>
      <c r="EEV69" s="62"/>
      <c r="EEW69" s="62"/>
      <c r="EEX69" s="62"/>
      <c r="EEY69" s="62"/>
      <c r="EEZ69" s="62"/>
      <c r="EFA69" s="62"/>
      <c r="EFB69" s="62"/>
      <c r="EFC69" s="62"/>
      <c r="EFD69" s="62"/>
      <c r="EFE69" s="62"/>
      <c r="EFF69" s="62"/>
      <c r="EFG69" s="62"/>
      <c r="EFH69" s="62"/>
      <c r="EFI69" s="62"/>
      <c r="EFJ69" s="62"/>
      <c r="EFK69" s="62"/>
      <c r="EFL69" s="62"/>
      <c r="EFM69" s="62"/>
      <c r="EFN69" s="62"/>
      <c r="EFO69" s="62"/>
      <c r="EFP69" s="62"/>
      <c r="EFQ69" s="62"/>
      <c r="EFR69" s="62"/>
      <c r="EFS69" s="62"/>
      <c r="EFT69" s="62"/>
      <c r="EFU69" s="62"/>
      <c r="EFV69" s="62"/>
      <c r="EFW69" s="62"/>
      <c r="EFX69" s="62"/>
      <c r="EFY69" s="62"/>
      <c r="EFZ69" s="62"/>
      <c r="EGA69" s="62"/>
      <c r="EGB69" s="62"/>
      <c r="EGC69" s="62"/>
      <c r="EGD69" s="62"/>
      <c r="EGE69" s="62"/>
      <c r="EGF69" s="62"/>
      <c r="EGG69" s="62"/>
      <c r="EGH69" s="62"/>
      <c r="EGI69" s="62"/>
      <c r="EGJ69" s="62"/>
      <c r="EGK69" s="62"/>
      <c r="EGL69" s="62"/>
      <c r="EGM69" s="62"/>
      <c r="EGN69" s="62"/>
      <c r="EGO69" s="62"/>
      <c r="EGP69" s="62"/>
      <c r="EGQ69" s="62"/>
      <c r="EGR69" s="62"/>
      <c r="EGS69" s="62"/>
      <c r="EGT69" s="62"/>
      <c r="EGU69" s="62"/>
      <c r="EGV69" s="62"/>
      <c r="EGW69" s="62"/>
      <c r="EGX69" s="62"/>
      <c r="EGY69" s="62"/>
      <c r="EGZ69" s="62"/>
      <c r="EHA69" s="62"/>
      <c r="EHB69" s="62"/>
      <c r="EHC69" s="62"/>
      <c r="EHD69" s="62"/>
      <c r="EHE69" s="62"/>
      <c r="EHF69" s="62"/>
      <c r="EHG69" s="62"/>
      <c r="EHH69" s="62"/>
      <c r="EHI69" s="62"/>
      <c r="EHJ69" s="62"/>
      <c r="EHK69" s="62"/>
      <c r="EHL69" s="62"/>
      <c r="EHM69" s="62"/>
      <c r="EHN69" s="62"/>
      <c r="EHO69" s="62"/>
      <c r="EHP69" s="62"/>
      <c r="EHQ69" s="62"/>
      <c r="EHR69" s="62"/>
      <c r="EHS69" s="62"/>
      <c r="EHT69" s="62"/>
      <c r="EHU69" s="62"/>
      <c r="EHV69" s="62"/>
      <c r="EHW69" s="62"/>
      <c r="EHX69" s="62"/>
      <c r="EHY69" s="62"/>
      <c r="EHZ69" s="62"/>
      <c r="EIA69" s="62"/>
      <c r="EIB69" s="62"/>
      <c r="EIC69" s="62"/>
      <c r="EID69" s="62"/>
      <c r="EIE69" s="62"/>
      <c r="EIF69" s="62"/>
      <c r="EIG69" s="62"/>
      <c r="EIH69" s="62"/>
      <c r="EII69" s="62"/>
      <c r="EIJ69" s="62"/>
      <c r="EIK69" s="62"/>
      <c r="EIL69" s="62"/>
      <c r="EIM69" s="62"/>
      <c r="EIN69" s="62"/>
      <c r="EIO69" s="62"/>
      <c r="EIP69" s="62"/>
      <c r="EIQ69" s="62"/>
      <c r="EIR69" s="62"/>
      <c r="EIS69" s="62"/>
      <c r="EIT69" s="62"/>
      <c r="EIU69" s="62"/>
      <c r="EIV69" s="62"/>
      <c r="EIW69" s="62"/>
      <c r="EIX69" s="62"/>
      <c r="EIY69" s="62"/>
      <c r="EIZ69" s="62"/>
      <c r="EJA69" s="62"/>
      <c r="EJB69" s="62"/>
      <c r="EJC69" s="62"/>
      <c r="EJD69" s="62"/>
      <c r="EJE69" s="62"/>
      <c r="EJF69" s="62"/>
      <c r="EJG69" s="62"/>
      <c r="EJH69" s="62"/>
      <c r="EJI69" s="62"/>
      <c r="EJJ69" s="62"/>
      <c r="EJK69" s="62"/>
      <c r="EJL69" s="62"/>
      <c r="EJM69" s="62"/>
      <c r="EJN69" s="62"/>
      <c r="EJO69" s="62"/>
      <c r="EJP69" s="62"/>
      <c r="EJQ69" s="62"/>
      <c r="EJR69" s="62"/>
      <c r="EJS69" s="62"/>
      <c r="EJT69" s="62"/>
      <c r="EJU69" s="62"/>
      <c r="EJV69" s="62"/>
      <c r="EJW69" s="62"/>
      <c r="EJX69" s="62"/>
      <c r="EJY69" s="62"/>
      <c r="EJZ69" s="62"/>
      <c r="EKA69" s="62"/>
      <c r="EKB69" s="62"/>
      <c r="EKC69" s="62"/>
      <c r="EKD69" s="62"/>
      <c r="EKE69" s="62"/>
      <c r="EKF69" s="62"/>
      <c r="EKG69" s="62"/>
      <c r="EKH69" s="62"/>
      <c r="EKI69" s="62"/>
      <c r="EKJ69" s="62"/>
      <c r="EKK69" s="62"/>
      <c r="EKL69" s="62"/>
      <c r="EKM69" s="62"/>
      <c r="EKN69" s="62"/>
      <c r="EKO69" s="62"/>
      <c r="EKP69" s="62"/>
      <c r="EKQ69" s="62"/>
      <c r="EKR69" s="62"/>
      <c r="EKS69" s="62"/>
      <c r="EKT69" s="62"/>
      <c r="EKU69" s="62"/>
      <c r="EKV69" s="62"/>
      <c r="EKW69" s="62"/>
      <c r="EKX69" s="62"/>
      <c r="EKY69" s="62"/>
      <c r="EKZ69" s="62"/>
      <c r="ELA69" s="62"/>
      <c r="ELB69" s="62"/>
      <c r="ELC69" s="62"/>
      <c r="ELD69" s="62"/>
      <c r="ELE69" s="62"/>
      <c r="ELF69" s="62"/>
      <c r="ELG69" s="62"/>
      <c r="ELH69" s="62"/>
      <c r="ELI69" s="62"/>
      <c r="ELJ69" s="62"/>
      <c r="ELK69" s="62"/>
      <c r="ELL69" s="62"/>
      <c r="ELM69" s="62"/>
      <c r="ELN69" s="62"/>
      <c r="ELO69" s="62"/>
      <c r="ELP69" s="62"/>
      <c r="ELQ69" s="62"/>
      <c r="ELR69" s="62"/>
      <c r="ELS69" s="62"/>
      <c r="ELT69" s="62"/>
      <c r="ELU69" s="62"/>
      <c r="ELV69" s="62"/>
      <c r="ELW69" s="62"/>
      <c r="ELX69" s="62"/>
      <c r="ELY69" s="62"/>
      <c r="ELZ69" s="62"/>
      <c r="EMA69" s="62"/>
      <c r="EMB69" s="62"/>
      <c r="EMC69" s="62"/>
      <c r="EMD69" s="62"/>
      <c r="EME69" s="62"/>
      <c r="EMF69" s="62"/>
      <c r="EMG69" s="62"/>
      <c r="EMH69" s="62"/>
      <c r="EMI69" s="62"/>
      <c r="EMJ69" s="62"/>
      <c r="EMK69" s="62"/>
      <c r="EML69" s="62"/>
      <c r="EMM69" s="62"/>
      <c r="EMN69" s="62"/>
      <c r="EMO69" s="62"/>
      <c r="EMP69" s="62"/>
      <c r="EMQ69" s="62"/>
      <c r="EMR69" s="62"/>
      <c r="EMS69" s="62"/>
      <c r="EMT69" s="62"/>
      <c r="EMU69" s="62"/>
      <c r="EMV69" s="62"/>
      <c r="EMW69" s="62"/>
      <c r="EMX69" s="62"/>
      <c r="EMY69" s="62"/>
      <c r="EMZ69" s="62"/>
      <c r="ENA69" s="62"/>
      <c r="ENB69" s="62"/>
      <c r="ENC69" s="62"/>
      <c r="END69" s="62"/>
      <c r="ENE69" s="62"/>
      <c r="ENF69" s="62"/>
      <c r="ENG69" s="62"/>
      <c r="ENH69" s="62"/>
      <c r="ENI69" s="62"/>
      <c r="ENJ69" s="62"/>
      <c r="ENK69" s="62"/>
      <c r="ENL69" s="62"/>
      <c r="ENM69" s="62"/>
      <c r="ENN69" s="62"/>
      <c r="ENO69" s="62"/>
      <c r="ENP69" s="62"/>
      <c r="ENQ69" s="62"/>
      <c r="ENR69" s="62"/>
      <c r="ENS69" s="62"/>
      <c r="ENT69" s="62"/>
      <c r="ENU69" s="62"/>
      <c r="ENV69" s="62"/>
      <c r="ENW69" s="62"/>
      <c r="ENX69" s="62"/>
      <c r="ENY69" s="62"/>
      <c r="ENZ69" s="62"/>
      <c r="EOA69" s="62"/>
      <c r="EOB69" s="62"/>
      <c r="EOC69" s="62"/>
      <c r="EOD69" s="62"/>
      <c r="EOE69" s="62"/>
      <c r="EOF69" s="62"/>
      <c r="EOG69" s="62"/>
      <c r="EOH69" s="62"/>
      <c r="EOI69" s="62"/>
      <c r="EOJ69" s="62"/>
      <c r="EOK69" s="62"/>
      <c r="EOL69" s="62"/>
      <c r="EOM69" s="62"/>
      <c r="EON69" s="62"/>
      <c r="EOO69" s="62"/>
      <c r="EOP69" s="62"/>
      <c r="EOQ69" s="62"/>
      <c r="EOR69" s="62"/>
      <c r="EOS69" s="62"/>
      <c r="EOT69" s="62"/>
      <c r="EOU69" s="62"/>
      <c r="EOV69" s="62"/>
      <c r="EOW69" s="62"/>
      <c r="EOX69" s="62"/>
      <c r="EOY69" s="62"/>
      <c r="EOZ69" s="62"/>
      <c r="EPA69" s="62"/>
      <c r="EPB69" s="62"/>
      <c r="EPC69" s="62"/>
      <c r="EPD69" s="62"/>
      <c r="EPE69" s="62"/>
      <c r="EPF69" s="62"/>
      <c r="EPG69" s="62"/>
      <c r="EPH69" s="62"/>
      <c r="EPI69" s="62"/>
      <c r="EPJ69" s="62"/>
      <c r="EPK69" s="62"/>
      <c r="EPL69" s="62"/>
      <c r="EPM69" s="62"/>
      <c r="EPN69" s="62"/>
      <c r="EPO69" s="62"/>
      <c r="EPP69" s="62"/>
      <c r="EPQ69" s="62"/>
      <c r="EPR69" s="62"/>
      <c r="EPS69" s="62"/>
      <c r="EPT69" s="62"/>
      <c r="EPU69" s="62"/>
      <c r="EPV69" s="62"/>
      <c r="EPW69" s="62"/>
      <c r="EPX69" s="62"/>
      <c r="EPY69" s="62"/>
      <c r="EPZ69" s="62"/>
      <c r="EQA69" s="62"/>
      <c r="EQB69" s="62"/>
      <c r="EQC69" s="62"/>
      <c r="EQD69" s="62"/>
      <c r="EQE69" s="62"/>
      <c r="EQF69" s="62"/>
      <c r="EQG69" s="62"/>
      <c r="EQH69" s="62"/>
      <c r="EQI69" s="62"/>
      <c r="EQJ69" s="62"/>
      <c r="EQK69" s="62"/>
      <c r="EQL69" s="62"/>
      <c r="EQM69" s="62"/>
      <c r="EQN69" s="62"/>
      <c r="EQO69" s="62"/>
      <c r="EQP69" s="62"/>
      <c r="EQQ69" s="62"/>
      <c r="EQR69" s="62"/>
      <c r="EQS69" s="62"/>
      <c r="EQT69" s="62"/>
      <c r="EQU69" s="62"/>
      <c r="EQV69" s="62"/>
      <c r="EQW69" s="62"/>
      <c r="EQX69" s="62"/>
      <c r="EQY69" s="62"/>
      <c r="EQZ69" s="62"/>
      <c r="ERA69" s="62"/>
      <c r="ERB69" s="62"/>
      <c r="ERC69" s="62"/>
      <c r="ERD69" s="62"/>
      <c r="ERE69" s="62"/>
      <c r="ERF69" s="62"/>
      <c r="ERG69" s="62"/>
      <c r="ERH69" s="62"/>
      <c r="ERI69" s="62"/>
      <c r="ERJ69" s="62"/>
      <c r="ERK69" s="62"/>
      <c r="ERL69" s="62"/>
      <c r="ERM69" s="62"/>
      <c r="ERN69" s="62"/>
      <c r="ERO69" s="62"/>
      <c r="ERP69" s="62"/>
      <c r="ERQ69" s="62"/>
      <c r="ERR69" s="62"/>
      <c r="ERS69" s="62"/>
      <c r="ERT69" s="62"/>
      <c r="ERU69" s="62"/>
      <c r="ERV69" s="62"/>
      <c r="ERW69" s="62"/>
      <c r="ERX69" s="62"/>
      <c r="ERY69" s="62"/>
      <c r="ERZ69" s="62"/>
      <c r="ESA69" s="62"/>
      <c r="ESB69" s="62"/>
      <c r="ESC69" s="62"/>
      <c r="ESD69" s="62"/>
      <c r="ESE69" s="62"/>
      <c r="ESF69" s="62"/>
      <c r="ESG69" s="62"/>
      <c r="ESH69" s="62"/>
      <c r="ESI69" s="62"/>
      <c r="ESJ69" s="62"/>
      <c r="ESK69" s="62"/>
      <c r="ESL69" s="62"/>
      <c r="ESM69" s="62"/>
      <c r="ESN69" s="62"/>
      <c r="ESO69" s="62"/>
      <c r="ESP69" s="62"/>
      <c r="ESQ69" s="62"/>
      <c r="ESR69" s="62"/>
      <c r="ESS69" s="62"/>
      <c r="EST69" s="62"/>
      <c r="ESU69" s="62"/>
      <c r="ESV69" s="62"/>
      <c r="ESW69" s="62"/>
      <c r="ESX69" s="62"/>
      <c r="ESY69" s="62"/>
      <c r="ESZ69" s="62"/>
      <c r="ETA69" s="62"/>
      <c r="ETB69" s="62"/>
      <c r="ETC69" s="62"/>
      <c r="ETD69" s="62"/>
      <c r="ETE69" s="62"/>
      <c r="ETF69" s="62"/>
      <c r="ETG69" s="62"/>
      <c r="ETH69" s="62"/>
      <c r="ETI69" s="62"/>
      <c r="ETJ69" s="62"/>
      <c r="ETK69" s="62"/>
      <c r="ETL69" s="62"/>
      <c r="ETM69" s="62"/>
      <c r="ETN69" s="62"/>
      <c r="ETO69" s="62"/>
      <c r="ETP69" s="62"/>
      <c r="ETQ69" s="62"/>
      <c r="ETR69" s="62"/>
      <c r="ETS69" s="62"/>
      <c r="ETT69" s="62"/>
      <c r="ETU69" s="62"/>
      <c r="ETV69" s="62"/>
      <c r="ETW69" s="62"/>
      <c r="ETX69" s="62"/>
      <c r="ETY69" s="62"/>
      <c r="ETZ69" s="62"/>
      <c r="EUA69" s="62"/>
      <c r="EUB69" s="62"/>
      <c r="EUC69" s="62"/>
      <c r="EUD69" s="62"/>
      <c r="EUE69" s="62"/>
      <c r="EUF69" s="62"/>
      <c r="EUG69" s="62"/>
      <c r="EUH69" s="62"/>
      <c r="EUI69" s="62"/>
      <c r="EUJ69" s="62"/>
      <c r="EUK69" s="62"/>
      <c r="EUL69" s="62"/>
      <c r="EUM69" s="62"/>
      <c r="EUN69" s="62"/>
      <c r="EUO69" s="62"/>
      <c r="EUP69" s="62"/>
      <c r="EUQ69" s="62"/>
      <c r="EUR69" s="62"/>
      <c r="EUS69" s="62"/>
      <c r="EUT69" s="62"/>
      <c r="EUU69" s="62"/>
      <c r="EUV69" s="62"/>
      <c r="EUW69" s="62"/>
      <c r="EUX69" s="62"/>
      <c r="EUY69" s="62"/>
      <c r="EUZ69" s="62"/>
      <c r="EVA69" s="62"/>
      <c r="EVB69" s="62"/>
      <c r="EVC69" s="62"/>
      <c r="EVD69" s="62"/>
      <c r="EVE69" s="62"/>
      <c r="EVF69" s="62"/>
      <c r="EVG69" s="62"/>
      <c r="EVH69" s="62"/>
      <c r="EVI69" s="62"/>
      <c r="EVJ69" s="62"/>
      <c r="EVK69" s="62"/>
      <c r="EVL69" s="62"/>
      <c r="EVM69" s="62"/>
      <c r="EVN69" s="62"/>
      <c r="EVO69" s="62"/>
      <c r="EVP69" s="62"/>
      <c r="EVQ69" s="62"/>
      <c r="EVR69" s="62"/>
      <c r="EVS69" s="62"/>
      <c r="EVT69" s="62"/>
      <c r="EVU69" s="62"/>
      <c r="EVV69" s="62"/>
      <c r="EVW69" s="62"/>
      <c r="EVX69" s="62"/>
      <c r="EVY69" s="62"/>
      <c r="EVZ69" s="62"/>
      <c r="EWA69" s="62"/>
      <c r="EWB69" s="62"/>
      <c r="EWC69" s="62"/>
      <c r="EWD69" s="62"/>
      <c r="EWE69" s="62"/>
      <c r="EWF69" s="62"/>
      <c r="EWG69" s="62"/>
      <c r="EWH69" s="62"/>
      <c r="EWI69" s="62"/>
      <c r="EWJ69" s="62"/>
      <c r="EWK69" s="62"/>
      <c r="EWL69" s="62"/>
      <c r="EWM69" s="62"/>
      <c r="EWN69" s="62"/>
      <c r="EWO69" s="62"/>
      <c r="EWP69" s="62"/>
      <c r="EWQ69" s="62"/>
      <c r="EWR69" s="62"/>
      <c r="EWS69" s="62"/>
      <c r="EWT69" s="62"/>
      <c r="EWU69" s="62"/>
      <c r="EWV69" s="62"/>
      <c r="EWW69" s="62"/>
      <c r="EWX69" s="62"/>
      <c r="EWY69" s="62"/>
      <c r="EWZ69" s="62"/>
      <c r="EXA69" s="62"/>
      <c r="EXB69" s="62"/>
      <c r="EXC69" s="62"/>
      <c r="EXD69" s="62"/>
      <c r="EXE69" s="62"/>
      <c r="EXF69" s="62"/>
      <c r="EXG69" s="62"/>
      <c r="EXH69" s="62"/>
      <c r="EXI69" s="62"/>
      <c r="EXJ69" s="62"/>
      <c r="EXK69" s="62"/>
      <c r="EXL69" s="62"/>
      <c r="EXM69" s="62"/>
      <c r="EXN69" s="62"/>
      <c r="EXO69" s="62"/>
      <c r="EXP69" s="62"/>
      <c r="EXQ69" s="62"/>
      <c r="EXR69" s="62"/>
      <c r="EXS69" s="62"/>
      <c r="EXT69" s="62"/>
      <c r="EXU69" s="62"/>
      <c r="EXV69" s="62"/>
      <c r="EXW69" s="62"/>
      <c r="EXX69" s="62"/>
      <c r="EXY69" s="62"/>
      <c r="EXZ69" s="62"/>
      <c r="EYA69" s="62"/>
      <c r="EYB69" s="62"/>
      <c r="EYC69" s="62"/>
      <c r="EYD69" s="62"/>
      <c r="EYE69" s="62"/>
      <c r="EYF69" s="62"/>
      <c r="EYG69" s="62"/>
      <c r="EYH69" s="62"/>
      <c r="EYI69" s="62"/>
      <c r="EYJ69" s="62"/>
      <c r="EYK69" s="62"/>
      <c r="EYL69" s="62"/>
      <c r="EYM69" s="62"/>
      <c r="EYN69" s="62"/>
      <c r="EYO69" s="62"/>
      <c r="EYP69" s="62"/>
      <c r="EYQ69" s="62"/>
      <c r="EYR69" s="62"/>
      <c r="EYS69" s="62"/>
      <c r="EYT69" s="62"/>
      <c r="EYU69" s="62"/>
      <c r="EYV69" s="62"/>
      <c r="EYW69" s="62"/>
      <c r="EYX69" s="62"/>
      <c r="EYY69" s="62"/>
      <c r="EYZ69" s="62"/>
      <c r="EZA69" s="62"/>
      <c r="EZB69" s="62"/>
      <c r="EZC69" s="62"/>
      <c r="EZD69" s="62"/>
      <c r="EZE69" s="62"/>
      <c r="EZF69" s="62"/>
      <c r="EZG69" s="62"/>
      <c r="EZH69" s="62"/>
      <c r="EZI69" s="62"/>
      <c r="EZJ69" s="62"/>
      <c r="EZK69" s="62"/>
      <c r="EZL69" s="62"/>
      <c r="EZM69" s="62"/>
      <c r="EZN69" s="62"/>
      <c r="EZO69" s="62"/>
      <c r="EZP69" s="62"/>
      <c r="EZQ69" s="62"/>
      <c r="EZR69" s="62"/>
      <c r="EZS69" s="62"/>
      <c r="EZT69" s="62"/>
      <c r="EZU69" s="62"/>
      <c r="EZV69" s="62"/>
      <c r="EZW69" s="62"/>
      <c r="EZX69" s="62"/>
      <c r="EZY69" s="62"/>
      <c r="EZZ69" s="62"/>
      <c r="FAA69" s="62"/>
      <c r="FAB69" s="62"/>
      <c r="FAC69" s="62"/>
      <c r="FAD69" s="62"/>
      <c r="FAE69" s="62"/>
      <c r="FAF69" s="62"/>
      <c r="FAG69" s="62"/>
      <c r="FAH69" s="62"/>
      <c r="FAI69" s="62"/>
      <c r="FAJ69" s="62"/>
      <c r="FAK69" s="62"/>
      <c r="FAL69" s="62"/>
      <c r="FAM69" s="62"/>
      <c r="FAN69" s="62"/>
      <c r="FAO69" s="62"/>
      <c r="FAP69" s="62"/>
      <c r="FAQ69" s="62"/>
      <c r="FAR69" s="62"/>
      <c r="FAS69" s="62"/>
      <c r="FAT69" s="62"/>
      <c r="FAU69" s="62"/>
      <c r="FAV69" s="62"/>
      <c r="FAW69" s="62"/>
      <c r="FAX69" s="62"/>
      <c r="FAY69" s="62"/>
      <c r="FAZ69" s="62"/>
      <c r="FBA69" s="62"/>
      <c r="FBB69" s="62"/>
      <c r="FBC69" s="62"/>
      <c r="FBD69" s="62"/>
      <c r="FBE69" s="62"/>
      <c r="FBF69" s="62"/>
      <c r="FBG69" s="62"/>
      <c r="FBH69" s="62"/>
      <c r="FBI69" s="62"/>
      <c r="FBJ69" s="62"/>
      <c r="FBK69" s="62"/>
      <c r="FBL69" s="62"/>
      <c r="FBM69" s="62"/>
      <c r="FBN69" s="62"/>
      <c r="FBO69" s="62"/>
      <c r="FBP69" s="62"/>
      <c r="FBQ69" s="62"/>
      <c r="FBR69" s="62"/>
      <c r="FBS69" s="62"/>
      <c r="FBT69" s="62"/>
      <c r="FBU69" s="62"/>
      <c r="FBV69" s="62"/>
      <c r="FBW69" s="62"/>
      <c r="FBX69" s="62"/>
      <c r="FBY69" s="62"/>
      <c r="FBZ69" s="62"/>
      <c r="FCA69" s="62"/>
      <c r="FCB69" s="62"/>
      <c r="FCC69" s="62"/>
      <c r="FCD69" s="62"/>
      <c r="FCE69" s="62"/>
      <c r="FCF69" s="62"/>
      <c r="FCG69" s="62"/>
      <c r="FCH69" s="62"/>
      <c r="FCI69" s="62"/>
      <c r="FCJ69" s="62"/>
      <c r="FCK69" s="62"/>
      <c r="FCL69" s="62"/>
      <c r="FCM69" s="62"/>
      <c r="FCN69" s="62"/>
      <c r="FCO69" s="62"/>
      <c r="FCP69" s="62"/>
      <c r="FCQ69" s="62"/>
      <c r="FCR69" s="62"/>
      <c r="FCS69" s="62"/>
      <c r="FCT69" s="62"/>
      <c r="FCU69" s="62"/>
      <c r="FCV69" s="62"/>
      <c r="FCW69" s="62"/>
      <c r="FCX69" s="62"/>
      <c r="FCY69" s="62"/>
      <c r="FCZ69" s="62"/>
      <c r="FDA69" s="62"/>
      <c r="FDB69" s="62"/>
      <c r="FDC69" s="62"/>
      <c r="FDD69" s="62"/>
      <c r="FDE69" s="62"/>
      <c r="FDF69" s="62"/>
      <c r="FDG69" s="62"/>
      <c r="FDH69" s="62"/>
      <c r="FDI69" s="62"/>
      <c r="FDJ69" s="62"/>
      <c r="FDK69" s="62"/>
      <c r="FDL69" s="62"/>
      <c r="FDM69" s="62"/>
      <c r="FDN69" s="62"/>
      <c r="FDO69" s="62"/>
      <c r="FDP69" s="62"/>
      <c r="FDQ69" s="62"/>
      <c r="FDR69" s="62"/>
      <c r="FDS69" s="62"/>
      <c r="FDT69" s="62"/>
      <c r="FDU69" s="62"/>
      <c r="FDV69" s="62"/>
      <c r="FDW69" s="62"/>
      <c r="FDX69" s="62"/>
      <c r="FDY69" s="62"/>
      <c r="FDZ69" s="62"/>
      <c r="FEA69" s="62"/>
      <c r="FEB69" s="62"/>
      <c r="FEC69" s="62"/>
      <c r="FED69" s="62"/>
      <c r="FEE69" s="62"/>
      <c r="FEF69" s="62"/>
      <c r="FEG69" s="62"/>
      <c r="FEH69" s="62"/>
      <c r="FEI69" s="62"/>
      <c r="FEJ69" s="62"/>
      <c r="FEK69" s="62"/>
      <c r="FEL69" s="62"/>
      <c r="FEM69" s="62"/>
      <c r="FEN69" s="62"/>
      <c r="FEO69" s="62"/>
      <c r="FEP69" s="62"/>
      <c r="FEQ69" s="62"/>
      <c r="FER69" s="62"/>
      <c r="FES69" s="62"/>
      <c r="FET69" s="62"/>
      <c r="FEU69" s="62"/>
      <c r="FEV69" s="62"/>
      <c r="FEW69" s="62"/>
      <c r="FEX69" s="62"/>
      <c r="FEY69" s="62"/>
      <c r="FEZ69" s="62"/>
      <c r="FFA69" s="62"/>
      <c r="FFB69" s="62"/>
      <c r="FFC69" s="62"/>
      <c r="FFD69" s="62"/>
      <c r="FFE69" s="62"/>
      <c r="FFF69" s="62"/>
      <c r="FFG69" s="62"/>
      <c r="FFH69" s="62"/>
      <c r="FFI69" s="62"/>
      <c r="FFJ69" s="62"/>
      <c r="FFK69" s="62"/>
      <c r="FFL69" s="62"/>
      <c r="FFM69" s="62"/>
      <c r="FFN69" s="62"/>
      <c r="FFO69" s="62"/>
      <c r="FFP69" s="62"/>
      <c r="FFQ69" s="62"/>
      <c r="FFR69" s="62"/>
      <c r="FFS69" s="62"/>
      <c r="FFT69" s="62"/>
      <c r="FFU69" s="62"/>
      <c r="FFV69" s="62"/>
      <c r="FFW69" s="62"/>
      <c r="FFX69" s="62"/>
      <c r="FFY69" s="62"/>
      <c r="FFZ69" s="62"/>
      <c r="FGA69" s="62"/>
      <c r="FGB69" s="62"/>
      <c r="FGC69" s="62"/>
      <c r="FGD69" s="62"/>
      <c r="FGE69" s="62"/>
      <c r="FGF69" s="62"/>
      <c r="FGG69" s="62"/>
      <c r="FGH69" s="62"/>
      <c r="FGI69" s="62"/>
      <c r="FGJ69" s="62"/>
      <c r="FGK69" s="62"/>
      <c r="FGL69" s="62"/>
      <c r="FGM69" s="62"/>
      <c r="FGN69" s="62"/>
      <c r="FGO69" s="62"/>
      <c r="FGP69" s="62"/>
      <c r="FGQ69" s="62"/>
      <c r="FGR69" s="62"/>
      <c r="FGS69" s="62"/>
      <c r="FGT69" s="62"/>
      <c r="FGU69" s="62"/>
      <c r="FGV69" s="62"/>
      <c r="FGW69" s="62"/>
      <c r="FGX69" s="62"/>
      <c r="FGY69" s="62"/>
      <c r="FGZ69" s="62"/>
      <c r="FHA69" s="62"/>
      <c r="FHB69" s="62"/>
      <c r="FHC69" s="62"/>
      <c r="FHD69" s="62"/>
      <c r="FHE69" s="62"/>
      <c r="FHF69" s="62"/>
      <c r="FHG69" s="62"/>
      <c r="FHH69" s="62"/>
      <c r="FHI69" s="62"/>
      <c r="FHJ69" s="62"/>
      <c r="FHK69" s="62"/>
      <c r="FHL69" s="62"/>
      <c r="FHM69" s="62"/>
      <c r="FHN69" s="62"/>
      <c r="FHO69" s="62"/>
      <c r="FHP69" s="62"/>
      <c r="FHQ69" s="62"/>
      <c r="FHR69" s="62"/>
      <c r="FHS69" s="62"/>
      <c r="FHT69" s="62"/>
      <c r="FHU69" s="62"/>
      <c r="FHV69" s="62"/>
      <c r="FHW69" s="62"/>
      <c r="FHX69" s="62"/>
      <c r="FHY69" s="62"/>
      <c r="FHZ69" s="62"/>
      <c r="FIA69" s="62"/>
      <c r="FIB69" s="62"/>
      <c r="FIC69" s="62"/>
      <c r="FID69" s="62"/>
      <c r="FIE69" s="62"/>
      <c r="FIF69" s="62"/>
      <c r="FIG69" s="62"/>
      <c r="FIH69" s="62"/>
      <c r="FII69" s="62"/>
      <c r="FIJ69" s="62"/>
      <c r="FIK69" s="62"/>
      <c r="FIL69" s="62"/>
      <c r="FIM69" s="62"/>
      <c r="FIN69" s="62"/>
      <c r="FIO69" s="62"/>
      <c r="FIP69" s="62"/>
      <c r="FIQ69" s="62"/>
      <c r="FIR69" s="62"/>
      <c r="FIS69" s="62"/>
      <c r="FIT69" s="62"/>
      <c r="FIU69" s="62"/>
      <c r="FIV69" s="62"/>
      <c r="FIW69" s="62"/>
      <c r="FIX69" s="62"/>
      <c r="FIY69" s="62"/>
      <c r="FIZ69" s="62"/>
      <c r="FJA69" s="62"/>
      <c r="FJB69" s="62"/>
      <c r="FJC69" s="62"/>
      <c r="FJD69" s="62"/>
      <c r="FJE69" s="62"/>
      <c r="FJF69" s="62"/>
      <c r="FJG69" s="62"/>
      <c r="FJH69" s="62"/>
      <c r="FJI69" s="62"/>
      <c r="FJJ69" s="62"/>
      <c r="FJK69" s="62"/>
      <c r="FJL69" s="62"/>
      <c r="FJM69" s="62"/>
      <c r="FJN69" s="62"/>
      <c r="FJO69" s="62"/>
      <c r="FJP69" s="62"/>
      <c r="FJQ69" s="62"/>
      <c r="FJR69" s="62"/>
      <c r="FJS69" s="62"/>
      <c r="FJT69" s="62"/>
      <c r="FJU69" s="62"/>
      <c r="FJV69" s="62"/>
      <c r="FJW69" s="62"/>
      <c r="FJX69" s="62"/>
      <c r="FJY69" s="62"/>
      <c r="FJZ69" s="62"/>
      <c r="FKA69" s="62"/>
      <c r="FKB69" s="62"/>
      <c r="FKC69" s="62"/>
      <c r="FKD69" s="62"/>
      <c r="FKE69" s="62"/>
      <c r="FKF69" s="62"/>
      <c r="FKG69" s="62"/>
      <c r="FKH69" s="62"/>
      <c r="FKI69" s="62"/>
      <c r="FKJ69" s="62"/>
      <c r="FKK69" s="62"/>
      <c r="FKL69" s="62"/>
      <c r="FKM69" s="62"/>
      <c r="FKN69" s="62"/>
      <c r="FKO69" s="62"/>
      <c r="FKP69" s="62"/>
      <c r="FKQ69" s="62"/>
      <c r="FKR69" s="62"/>
      <c r="FKS69" s="62"/>
      <c r="FKT69" s="62"/>
      <c r="FKU69" s="62"/>
      <c r="FKV69" s="62"/>
      <c r="FKW69" s="62"/>
      <c r="FKX69" s="62"/>
      <c r="FKY69" s="62"/>
      <c r="FKZ69" s="62"/>
      <c r="FLA69" s="62"/>
      <c r="FLB69" s="62"/>
      <c r="FLC69" s="62"/>
      <c r="FLD69" s="62"/>
      <c r="FLE69" s="62"/>
      <c r="FLF69" s="62"/>
      <c r="FLG69" s="62"/>
      <c r="FLH69" s="62"/>
      <c r="FLI69" s="62"/>
      <c r="FLJ69" s="62"/>
      <c r="FLK69" s="62"/>
      <c r="FLL69" s="62"/>
      <c r="FLM69" s="62"/>
      <c r="FLN69" s="62"/>
      <c r="FLO69" s="62"/>
      <c r="FLP69" s="62"/>
      <c r="FLQ69" s="62"/>
      <c r="FLR69" s="62"/>
      <c r="FLS69" s="62"/>
      <c r="FLT69" s="62"/>
      <c r="FLU69" s="62"/>
      <c r="FLV69" s="62"/>
      <c r="FLW69" s="62"/>
      <c r="FLX69" s="62"/>
      <c r="FLY69" s="62"/>
      <c r="FLZ69" s="62"/>
      <c r="FMA69" s="62"/>
      <c r="FMB69" s="62"/>
      <c r="FMC69" s="62"/>
      <c r="FMD69" s="62"/>
      <c r="FME69" s="62"/>
      <c r="FMF69" s="62"/>
      <c r="FMG69" s="62"/>
      <c r="FMH69" s="62"/>
      <c r="FMI69" s="62"/>
      <c r="FMJ69" s="62"/>
      <c r="FMK69" s="62"/>
      <c r="FML69" s="62"/>
      <c r="FMM69" s="62"/>
      <c r="FMN69" s="62"/>
      <c r="FMO69" s="62"/>
      <c r="FMP69" s="62"/>
      <c r="FMQ69" s="62"/>
      <c r="FMR69" s="62"/>
      <c r="FMS69" s="62"/>
      <c r="FMT69" s="62"/>
      <c r="FMU69" s="62"/>
      <c r="FMV69" s="62"/>
      <c r="FMW69" s="62"/>
      <c r="FMX69" s="62"/>
      <c r="FMY69" s="62"/>
      <c r="FMZ69" s="62"/>
      <c r="FNA69" s="62"/>
      <c r="FNB69" s="62"/>
      <c r="FNC69" s="62"/>
      <c r="FND69" s="62"/>
      <c r="FNE69" s="62"/>
      <c r="FNF69" s="62"/>
      <c r="FNG69" s="62"/>
      <c r="FNH69" s="62"/>
      <c r="FNI69" s="62"/>
      <c r="FNJ69" s="62"/>
      <c r="FNK69" s="62"/>
      <c r="FNL69" s="62"/>
      <c r="FNM69" s="62"/>
      <c r="FNN69" s="62"/>
      <c r="FNO69" s="62"/>
      <c r="FNP69" s="62"/>
      <c r="FNQ69" s="62"/>
      <c r="FNR69" s="62"/>
      <c r="FNS69" s="62"/>
      <c r="FNT69" s="62"/>
      <c r="FNU69" s="62"/>
      <c r="FNV69" s="62"/>
      <c r="FNW69" s="62"/>
      <c r="FNX69" s="62"/>
      <c r="FNY69" s="62"/>
      <c r="FNZ69" s="62"/>
      <c r="FOA69" s="62"/>
      <c r="FOB69" s="62"/>
      <c r="FOC69" s="62"/>
      <c r="FOD69" s="62"/>
      <c r="FOE69" s="62"/>
      <c r="FOF69" s="62"/>
      <c r="FOG69" s="62"/>
      <c r="FOH69" s="62"/>
      <c r="FOI69" s="62"/>
      <c r="FOJ69" s="62"/>
      <c r="FOK69" s="62"/>
      <c r="FOL69" s="62"/>
      <c r="FOM69" s="62"/>
      <c r="FON69" s="62"/>
      <c r="FOO69" s="62"/>
      <c r="FOP69" s="62"/>
      <c r="FOQ69" s="62"/>
      <c r="FOR69" s="62"/>
      <c r="FOS69" s="62"/>
      <c r="FOT69" s="62"/>
      <c r="FOU69" s="62"/>
      <c r="FOV69" s="62"/>
      <c r="FOW69" s="62"/>
      <c r="FOX69" s="62"/>
      <c r="FOY69" s="62"/>
      <c r="FOZ69" s="62"/>
      <c r="FPA69" s="62"/>
      <c r="FPB69" s="62"/>
      <c r="FPC69" s="62"/>
      <c r="FPD69" s="62"/>
      <c r="FPE69" s="62"/>
      <c r="FPF69" s="62"/>
      <c r="FPG69" s="62"/>
      <c r="FPH69" s="62"/>
      <c r="FPI69" s="62"/>
      <c r="FPJ69" s="62"/>
      <c r="FPK69" s="62"/>
      <c r="FPL69" s="62"/>
      <c r="FPM69" s="62"/>
      <c r="FPN69" s="62"/>
      <c r="FPO69" s="62"/>
      <c r="FPP69" s="62"/>
      <c r="FPQ69" s="62"/>
      <c r="FPR69" s="62"/>
      <c r="FPS69" s="62"/>
      <c r="FPT69" s="62"/>
      <c r="FPU69" s="62"/>
      <c r="FPV69" s="62"/>
      <c r="FPW69" s="62"/>
      <c r="FPX69" s="62"/>
      <c r="FPY69" s="62"/>
      <c r="FPZ69" s="62"/>
      <c r="FQA69" s="62"/>
      <c r="FQB69" s="62"/>
      <c r="FQC69" s="62"/>
      <c r="FQD69" s="62"/>
      <c r="FQE69" s="62"/>
      <c r="FQF69" s="62"/>
      <c r="FQG69" s="62"/>
      <c r="FQH69" s="62"/>
      <c r="FQI69" s="62"/>
      <c r="FQJ69" s="62"/>
      <c r="FQK69" s="62"/>
      <c r="FQL69" s="62"/>
      <c r="FQM69" s="62"/>
      <c r="FQN69" s="62"/>
      <c r="FQO69" s="62"/>
      <c r="FQP69" s="62"/>
      <c r="FQQ69" s="62"/>
      <c r="FQR69" s="62"/>
      <c r="FQS69" s="62"/>
      <c r="FQT69" s="62"/>
      <c r="FQU69" s="62"/>
      <c r="FQV69" s="62"/>
      <c r="FQW69" s="62"/>
      <c r="FQX69" s="62"/>
      <c r="FQY69" s="62"/>
      <c r="FQZ69" s="62"/>
      <c r="FRA69" s="62"/>
      <c r="FRB69" s="62"/>
      <c r="FRC69" s="62"/>
      <c r="FRD69" s="62"/>
      <c r="FRE69" s="62"/>
      <c r="FRF69" s="62"/>
      <c r="FRG69" s="62"/>
      <c r="FRH69" s="62"/>
      <c r="FRI69" s="62"/>
      <c r="FRJ69" s="62"/>
      <c r="FRK69" s="62"/>
      <c r="FRL69" s="62"/>
      <c r="FRM69" s="62"/>
      <c r="FRN69" s="62"/>
      <c r="FRO69" s="62"/>
      <c r="FRP69" s="62"/>
      <c r="FRQ69" s="62"/>
      <c r="FRR69" s="62"/>
      <c r="FRS69" s="62"/>
      <c r="FRT69" s="62"/>
      <c r="FRU69" s="62"/>
      <c r="FRV69" s="62"/>
      <c r="FRW69" s="62"/>
      <c r="FRX69" s="62"/>
      <c r="FRY69" s="62"/>
      <c r="FRZ69" s="62"/>
      <c r="FSA69" s="62"/>
      <c r="FSB69" s="62"/>
      <c r="FSC69" s="62"/>
      <c r="FSD69" s="62"/>
      <c r="FSE69" s="62"/>
      <c r="FSF69" s="62"/>
      <c r="FSG69" s="62"/>
      <c r="FSH69" s="62"/>
      <c r="FSI69" s="62"/>
      <c r="FSJ69" s="62"/>
      <c r="FSK69" s="62"/>
      <c r="FSL69" s="62"/>
      <c r="FSM69" s="62"/>
      <c r="FSN69" s="62"/>
      <c r="FSO69" s="62"/>
      <c r="FSP69" s="62"/>
      <c r="FSQ69" s="62"/>
      <c r="FSR69" s="62"/>
      <c r="FSS69" s="62"/>
      <c r="FST69" s="62"/>
      <c r="FSU69" s="62"/>
      <c r="FSV69" s="62"/>
      <c r="FSW69" s="62"/>
      <c r="FSX69" s="62"/>
      <c r="FSY69" s="62"/>
      <c r="FSZ69" s="62"/>
      <c r="FTA69" s="62"/>
      <c r="FTB69" s="62"/>
      <c r="FTC69" s="62"/>
      <c r="FTD69" s="62"/>
      <c r="FTE69" s="62"/>
      <c r="FTF69" s="62"/>
      <c r="FTG69" s="62"/>
      <c r="FTH69" s="62"/>
      <c r="FTI69" s="62"/>
      <c r="FTJ69" s="62"/>
      <c r="FTK69" s="62"/>
      <c r="FTL69" s="62"/>
      <c r="FTM69" s="62"/>
      <c r="FTN69" s="62"/>
      <c r="FTO69" s="62"/>
      <c r="FTP69" s="62"/>
      <c r="FTQ69" s="62"/>
      <c r="FTR69" s="62"/>
      <c r="FTS69" s="62"/>
      <c r="FTT69" s="62"/>
      <c r="FTU69" s="62"/>
      <c r="FTV69" s="62"/>
      <c r="FTW69" s="62"/>
      <c r="FTX69" s="62"/>
      <c r="FTY69" s="62"/>
      <c r="FTZ69" s="62"/>
      <c r="FUA69" s="62"/>
      <c r="FUB69" s="62"/>
      <c r="FUC69" s="62"/>
      <c r="FUD69" s="62"/>
      <c r="FUE69" s="62"/>
      <c r="FUF69" s="62"/>
      <c r="FUG69" s="62"/>
      <c r="FUH69" s="62"/>
      <c r="FUI69" s="62"/>
      <c r="FUJ69" s="62"/>
      <c r="FUK69" s="62"/>
      <c r="FUL69" s="62"/>
      <c r="FUM69" s="62"/>
      <c r="FUN69" s="62"/>
      <c r="FUO69" s="62"/>
      <c r="FUP69" s="62"/>
      <c r="FUQ69" s="62"/>
      <c r="FUR69" s="62"/>
      <c r="FUS69" s="62"/>
      <c r="FUT69" s="62"/>
      <c r="FUU69" s="62"/>
      <c r="FUV69" s="62"/>
      <c r="FUW69" s="62"/>
      <c r="FUX69" s="62"/>
      <c r="FUY69" s="62"/>
      <c r="FUZ69" s="62"/>
      <c r="FVA69" s="62"/>
      <c r="FVB69" s="62"/>
      <c r="FVC69" s="62"/>
      <c r="FVD69" s="62"/>
      <c r="FVE69" s="62"/>
      <c r="FVF69" s="62"/>
      <c r="FVG69" s="62"/>
      <c r="FVH69" s="62"/>
      <c r="FVI69" s="62"/>
      <c r="FVJ69" s="62"/>
      <c r="FVK69" s="62"/>
      <c r="FVL69" s="62"/>
      <c r="FVM69" s="62"/>
      <c r="FVN69" s="62"/>
      <c r="FVO69" s="62"/>
      <c r="FVP69" s="62"/>
      <c r="FVQ69" s="62"/>
      <c r="FVR69" s="62"/>
      <c r="FVS69" s="62"/>
      <c r="FVT69" s="62"/>
      <c r="FVU69" s="62"/>
      <c r="FVV69" s="62"/>
      <c r="FVW69" s="62"/>
      <c r="FVX69" s="62"/>
      <c r="FVY69" s="62"/>
      <c r="FVZ69" s="62"/>
      <c r="FWA69" s="62"/>
      <c r="FWB69" s="62"/>
      <c r="FWC69" s="62"/>
      <c r="FWD69" s="62"/>
      <c r="FWE69" s="62"/>
      <c r="FWF69" s="62"/>
      <c r="FWG69" s="62"/>
      <c r="FWH69" s="62"/>
      <c r="FWI69" s="62"/>
      <c r="FWJ69" s="62"/>
      <c r="FWK69" s="62"/>
      <c r="FWL69" s="62"/>
      <c r="FWM69" s="62"/>
      <c r="FWN69" s="62"/>
      <c r="FWO69" s="62"/>
      <c r="FWP69" s="62"/>
      <c r="FWQ69" s="62"/>
      <c r="FWR69" s="62"/>
      <c r="FWS69" s="62"/>
      <c r="FWT69" s="62"/>
      <c r="FWU69" s="62"/>
      <c r="FWV69" s="62"/>
      <c r="FWW69" s="62"/>
      <c r="FWX69" s="62"/>
      <c r="FWY69" s="62"/>
      <c r="FWZ69" s="62"/>
      <c r="FXA69" s="62"/>
      <c r="FXB69" s="62"/>
      <c r="FXC69" s="62"/>
      <c r="FXD69" s="62"/>
      <c r="FXE69" s="62"/>
      <c r="FXF69" s="62"/>
      <c r="FXG69" s="62"/>
      <c r="FXH69" s="62"/>
      <c r="FXI69" s="62"/>
      <c r="FXJ69" s="62"/>
      <c r="FXK69" s="62"/>
      <c r="FXL69" s="62"/>
      <c r="FXM69" s="62"/>
      <c r="FXN69" s="62"/>
      <c r="FXO69" s="62"/>
      <c r="FXP69" s="62"/>
      <c r="FXQ69" s="62"/>
      <c r="FXR69" s="62"/>
      <c r="FXS69" s="62"/>
      <c r="FXT69" s="62"/>
      <c r="FXU69" s="62"/>
      <c r="FXV69" s="62"/>
      <c r="FXW69" s="62"/>
      <c r="FXX69" s="62"/>
      <c r="FXY69" s="62"/>
      <c r="FXZ69" s="62"/>
      <c r="FYA69" s="62"/>
      <c r="FYB69" s="62"/>
      <c r="FYC69" s="62"/>
      <c r="FYD69" s="62"/>
      <c r="FYE69" s="62"/>
      <c r="FYF69" s="62"/>
      <c r="FYG69" s="62"/>
      <c r="FYH69" s="62"/>
      <c r="FYI69" s="62"/>
      <c r="FYJ69" s="62"/>
      <c r="FYK69" s="62"/>
      <c r="FYL69" s="62"/>
      <c r="FYM69" s="62"/>
      <c r="FYN69" s="62"/>
      <c r="FYO69" s="62"/>
      <c r="FYP69" s="62"/>
      <c r="FYQ69" s="62"/>
      <c r="FYR69" s="62"/>
      <c r="FYS69" s="62"/>
      <c r="FYT69" s="62"/>
      <c r="FYU69" s="62"/>
      <c r="FYV69" s="62"/>
      <c r="FYW69" s="62"/>
      <c r="FYX69" s="62"/>
      <c r="FYY69" s="62"/>
      <c r="FYZ69" s="62"/>
      <c r="FZA69" s="62"/>
      <c r="FZB69" s="62"/>
      <c r="FZC69" s="62"/>
      <c r="FZD69" s="62"/>
      <c r="FZE69" s="62"/>
      <c r="FZF69" s="62"/>
      <c r="FZG69" s="62"/>
      <c r="FZH69" s="62"/>
      <c r="FZI69" s="62"/>
      <c r="FZJ69" s="62"/>
      <c r="FZK69" s="62"/>
      <c r="FZL69" s="62"/>
      <c r="FZM69" s="62"/>
      <c r="FZN69" s="62"/>
      <c r="FZO69" s="62"/>
      <c r="FZP69" s="62"/>
      <c r="FZQ69" s="62"/>
      <c r="FZR69" s="62"/>
      <c r="FZS69" s="62"/>
      <c r="FZT69" s="62"/>
      <c r="FZU69" s="62"/>
      <c r="FZV69" s="62"/>
      <c r="FZW69" s="62"/>
      <c r="FZX69" s="62"/>
      <c r="FZY69" s="62"/>
      <c r="FZZ69" s="62"/>
      <c r="GAA69" s="62"/>
      <c r="GAB69" s="62"/>
      <c r="GAC69" s="62"/>
      <c r="GAD69" s="62"/>
      <c r="GAE69" s="62"/>
      <c r="GAF69" s="62"/>
      <c r="GAG69" s="62"/>
      <c r="GAH69" s="62"/>
      <c r="GAI69" s="62"/>
      <c r="GAJ69" s="62"/>
      <c r="GAK69" s="62"/>
      <c r="GAL69" s="62"/>
      <c r="GAM69" s="62"/>
      <c r="GAN69" s="62"/>
      <c r="GAO69" s="62"/>
      <c r="GAP69" s="62"/>
      <c r="GAQ69" s="62"/>
      <c r="GAR69" s="62"/>
      <c r="GAS69" s="62"/>
      <c r="GAT69" s="62"/>
      <c r="GAU69" s="62"/>
      <c r="GAV69" s="62"/>
      <c r="GAW69" s="62"/>
      <c r="GAX69" s="62"/>
      <c r="GAY69" s="62"/>
      <c r="GAZ69" s="62"/>
      <c r="GBA69" s="62"/>
      <c r="GBB69" s="62"/>
      <c r="GBC69" s="62"/>
      <c r="GBD69" s="62"/>
      <c r="GBE69" s="62"/>
      <c r="GBF69" s="62"/>
      <c r="GBG69" s="62"/>
      <c r="GBH69" s="62"/>
      <c r="GBI69" s="62"/>
      <c r="GBJ69" s="62"/>
      <c r="GBK69" s="62"/>
      <c r="GBL69" s="62"/>
      <c r="GBM69" s="62"/>
      <c r="GBN69" s="62"/>
      <c r="GBO69" s="62"/>
      <c r="GBP69" s="62"/>
      <c r="GBQ69" s="62"/>
      <c r="GBR69" s="62"/>
      <c r="GBS69" s="62"/>
      <c r="GBT69" s="62"/>
      <c r="GBU69" s="62"/>
      <c r="GBV69" s="62"/>
      <c r="GBW69" s="62"/>
      <c r="GBX69" s="62"/>
      <c r="GBY69" s="62"/>
      <c r="GBZ69" s="62"/>
      <c r="GCA69" s="62"/>
      <c r="GCB69" s="62"/>
      <c r="GCC69" s="62"/>
      <c r="GCD69" s="62"/>
      <c r="GCE69" s="62"/>
      <c r="GCF69" s="62"/>
      <c r="GCG69" s="62"/>
      <c r="GCH69" s="62"/>
      <c r="GCI69" s="62"/>
      <c r="GCJ69" s="62"/>
      <c r="GCK69" s="62"/>
      <c r="GCL69" s="62"/>
      <c r="GCM69" s="62"/>
      <c r="GCN69" s="62"/>
      <c r="GCO69" s="62"/>
      <c r="GCP69" s="62"/>
      <c r="GCQ69" s="62"/>
      <c r="GCR69" s="62"/>
      <c r="GCS69" s="62"/>
      <c r="GCT69" s="62"/>
      <c r="GCU69" s="62"/>
      <c r="GCV69" s="62"/>
      <c r="GCW69" s="62"/>
      <c r="GCX69" s="62"/>
      <c r="GCY69" s="62"/>
      <c r="GCZ69" s="62"/>
      <c r="GDA69" s="62"/>
      <c r="GDB69" s="62"/>
      <c r="GDC69" s="62"/>
      <c r="GDD69" s="62"/>
      <c r="GDE69" s="62"/>
      <c r="GDF69" s="62"/>
      <c r="GDG69" s="62"/>
      <c r="GDH69" s="62"/>
      <c r="GDI69" s="62"/>
      <c r="GDJ69" s="62"/>
      <c r="GDK69" s="62"/>
      <c r="GDL69" s="62"/>
      <c r="GDM69" s="62"/>
      <c r="GDN69" s="62"/>
      <c r="GDO69" s="62"/>
      <c r="GDP69" s="62"/>
      <c r="GDQ69" s="62"/>
      <c r="GDR69" s="62"/>
      <c r="GDS69" s="62"/>
      <c r="GDT69" s="62"/>
      <c r="GDU69" s="62"/>
      <c r="GDV69" s="62"/>
      <c r="GDW69" s="62"/>
      <c r="GDX69" s="62"/>
      <c r="GDY69" s="62"/>
      <c r="GDZ69" s="62"/>
      <c r="GEA69" s="62"/>
      <c r="GEB69" s="62"/>
      <c r="GEC69" s="62"/>
      <c r="GED69" s="62"/>
      <c r="GEE69" s="62"/>
      <c r="GEF69" s="62"/>
      <c r="GEG69" s="62"/>
      <c r="GEH69" s="62"/>
      <c r="GEI69" s="62"/>
      <c r="GEJ69" s="62"/>
      <c r="GEK69" s="62"/>
      <c r="GEL69" s="62"/>
      <c r="GEM69" s="62"/>
      <c r="GEN69" s="62"/>
      <c r="GEO69" s="62"/>
      <c r="GEP69" s="62"/>
      <c r="GEQ69" s="62"/>
      <c r="GER69" s="62"/>
      <c r="GES69" s="62"/>
      <c r="GET69" s="62"/>
      <c r="GEU69" s="62"/>
      <c r="GEV69" s="62"/>
      <c r="GEW69" s="62"/>
      <c r="GEX69" s="62"/>
      <c r="GEY69" s="62"/>
      <c r="GEZ69" s="62"/>
      <c r="GFA69" s="62"/>
      <c r="GFB69" s="62"/>
      <c r="GFC69" s="62"/>
      <c r="GFD69" s="62"/>
      <c r="GFE69" s="62"/>
      <c r="GFF69" s="62"/>
      <c r="GFG69" s="62"/>
      <c r="GFH69" s="62"/>
      <c r="GFI69" s="62"/>
      <c r="GFJ69" s="62"/>
      <c r="GFK69" s="62"/>
      <c r="GFL69" s="62"/>
      <c r="GFM69" s="62"/>
      <c r="GFN69" s="62"/>
      <c r="GFO69" s="62"/>
      <c r="GFP69" s="62"/>
      <c r="GFQ69" s="62"/>
      <c r="GFR69" s="62"/>
      <c r="GFS69" s="62"/>
      <c r="GFT69" s="62"/>
      <c r="GFU69" s="62"/>
      <c r="GFV69" s="62"/>
      <c r="GFW69" s="62"/>
      <c r="GFX69" s="62"/>
      <c r="GFY69" s="62"/>
      <c r="GFZ69" s="62"/>
      <c r="GGA69" s="62"/>
      <c r="GGB69" s="62"/>
      <c r="GGC69" s="62"/>
      <c r="GGD69" s="62"/>
      <c r="GGE69" s="62"/>
      <c r="GGF69" s="62"/>
      <c r="GGG69" s="62"/>
      <c r="GGH69" s="62"/>
      <c r="GGI69" s="62"/>
      <c r="GGJ69" s="62"/>
      <c r="GGK69" s="62"/>
      <c r="GGL69" s="62"/>
      <c r="GGM69" s="62"/>
      <c r="GGN69" s="62"/>
      <c r="GGO69" s="62"/>
      <c r="GGP69" s="62"/>
      <c r="GGQ69" s="62"/>
      <c r="GGR69" s="62"/>
      <c r="GGS69" s="62"/>
      <c r="GGT69" s="62"/>
      <c r="GGU69" s="62"/>
      <c r="GGV69" s="62"/>
      <c r="GGW69" s="62"/>
      <c r="GGX69" s="62"/>
      <c r="GGY69" s="62"/>
      <c r="GGZ69" s="62"/>
      <c r="GHA69" s="62"/>
      <c r="GHB69" s="62"/>
      <c r="GHC69" s="62"/>
      <c r="GHD69" s="62"/>
      <c r="GHE69" s="62"/>
      <c r="GHF69" s="62"/>
      <c r="GHG69" s="62"/>
      <c r="GHH69" s="62"/>
      <c r="GHI69" s="62"/>
      <c r="GHJ69" s="62"/>
      <c r="GHK69" s="62"/>
      <c r="GHL69" s="62"/>
      <c r="GHM69" s="62"/>
      <c r="GHN69" s="62"/>
      <c r="GHO69" s="62"/>
      <c r="GHP69" s="62"/>
      <c r="GHQ69" s="62"/>
      <c r="GHR69" s="62"/>
      <c r="GHS69" s="62"/>
      <c r="GHT69" s="62"/>
      <c r="GHU69" s="62"/>
      <c r="GHV69" s="62"/>
      <c r="GHW69" s="62"/>
      <c r="GHX69" s="62"/>
      <c r="GHY69" s="62"/>
      <c r="GHZ69" s="62"/>
      <c r="GIA69" s="62"/>
      <c r="GIB69" s="62"/>
      <c r="GIC69" s="62"/>
      <c r="GID69" s="62"/>
      <c r="GIE69" s="62"/>
      <c r="GIF69" s="62"/>
      <c r="GIG69" s="62"/>
      <c r="GIH69" s="62"/>
      <c r="GII69" s="62"/>
      <c r="GIJ69" s="62"/>
      <c r="GIK69" s="62"/>
      <c r="GIL69" s="62"/>
      <c r="GIM69" s="62"/>
      <c r="GIN69" s="62"/>
      <c r="GIO69" s="62"/>
      <c r="GIP69" s="62"/>
      <c r="GIQ69" s="62"/>
      <c r="GIR69" s="62"/>
      <c r="GIS69" s="62"/>
      <c r="GIT69" s="62"/>
      <c r="GIU69" s="62"/>
      <c r="GIV69" s="62"/>
      <c r="GIW69" s="62"/>
      <c r="GIX69" s="62"/>
      <c r="GIY69" s="62"/>
      <c r="GIZ69" s="62"/>
      <c r="GJA69" s="62"/>
      <c r="GJB69" s="62"/>
      <c r="GJC69" s="62"/>
      <c r="GJD69" s="62"/>
      <c r="GJE69" s="62"/>
      <c r="GJF69" s="62"/>
      <c r="GJG69" s="62"/>
      <c r="GJH69" s="62"/>
      <c r="GJI69" s="62"/>
      <c r="GJJ69" s="62"/>
      <c r="GJK69" s="62"/>
      <c r="GJL69" s="62"/>
      <c r="GJM69" s="62"/>
      <c r="GJN69" s="62"/>
      <c r="GJO69" s="62"/>
      <c r="GJP69" s="62"/>
      <c r="GJQ69" s="62"/>
      <c r="GJR69" s="62"/>
      <c r="GJS69" s="62"/>
      <c r="GJT69" s="62"/>
      <c r="GJU69" s="62"/>
      <c r="GJV69" s="62"/>
      <c r="GJW69" s="62"/>
      <c r="GJX69" s="62"/>
      <c r="GJY69" s="62"/>
      <c r="GJZ69" s="62"/>
      <c r="GKA69" s="62"/>
      <c r="GKB69" s="62"/>
      <c r="GKC69" s="62"/>
      <c r="GKD69" s="62"/>
      <c r="GKE69" s="62"/>
      <c r="GKF69" s="62"/>
      <c r="GKG69" s="62"/>
      <c r="GKH69" s="62"/>
      <c r="GKI69" s="62"/>
      <c r="GKJ69" s="62"/>
      <c r="GKK69" s="62"/>
      <c r="GKL69" s="62"/>
      <c r="GKM69" s="62"/>
      <c r="GKN69" s="62"/>
      <c r="GKO69" s="62"/>
      <c r="GKP69" s="62"/>
      <c r="GKQ69" s="62"/>
      <c r="GKR69" s="62"/>
      <c r="GKS69" s="62"/>
      <c r="GKT69" s="62"/>
      <c r="GKU69" s="62"/>
      <c r="GKV69" s="62"/>
      <c r="GKW69" s="62"/>
      <c r="GKX69" s="62"/>
      <c r="GKY69" s="62"/>
      <c r="GKZ69" s="62"/>
      <c r="GLA69" s="62"/>
      <c r="GLB69" s="62"/>
      <c r="GLC69" s="62"/>
      <c r="GLD69" s="62"/>
      <c r="GLE69" s="62"/>
      <c r="GLF69" s="62"/>
      <c r="GLG69" s="62"/>
      <c r="GLH69" s="62"/>
      <c r="GLI69" s="62"/>
      <c r="GLJ69" s="62"/>
      <c r="GLK69" s="62"/>
      <c r="GLL69" s="62"/>
      <c r="GLM69" s="62"/>
      <c r="GLN69" s="62"/>
      <c r="GLO69" s="62"/>
      <c r="GLP69" s="62"/>
      <c r="GLQ69" s="62"/>
      <c r="GLR69" s="62"/>
      <c r="GLS69" s="62"/>
      <c r="GLT69" s="62"/>
      <c r="GLU69" s="62"/>
      <c r="GLV69" s="62"/>
      <c r="GLW69" s="62"/>
      <c r="GLX69" s="62"/>
      <c r="GLY69" s="62"/>
      <c r="GLZ69" s="62"/>
      <c r="GMA69" s="62"/>
      <c r="GMB69" s="62"/>
      <c r="GMC69" s="62"/>
      <c r="GMD69" s="62"/>
      <c r="GME69" s="62"/>
      <c r="GMF69" s="62"/>
      <c r="GMG69" s="62"/>
      <c r="GMH69" s="62"/>
      <c r="GMI69" s="62"/>
      <c r="GMJ69" s="62"/>
      <c r="GMK69" s="62"/>
      <c r="GML69" s="62"/>
      <c r="GMM69" s="62"/>
      <c r="GMN69" s="62"/>
      <c r="GMO69" s="62"/>
      <c r="GMP69" s="62"/>
      <c r="GMQ69" s="62"/>
      <c r="GMR69" s="62"/>
      <c r="GMS69" s="62"/>
      <c r="GMT69" s="62"/>
      <c r="GMU69" s="62"/>
      <c r="GMV69" s="62"/>
      <c r="GMW69" s="62"/>
      <c r="GMX69" s="62"/>
      <c r="GMY69" s="62"/>
      <c r="GMZ69" s="62"/>
      <c r="GNA69" s="62"/>
      <c r="GNB69" s="62"/>
      <c r="GNC69" s="62"/>
      <c r="GND69" s="62"/>
      <c r="GNE69" s="62"/>
      <c r="GNF69" s="62"/>
      <c r="GNG69" s="62"/>
      <c r="GNH69" s="62"/>
      <c r="GNI69" s="62"/>
      <c r="GNJ69" s="62"/>
      <c r="GNK69" s="62"/>
      <c r="GNL69" s="62"/>
      <c r="GNM69" s="62"/>
      <c r="GNN69" s="62"/>
      <c r="GNO69" s="62"/>
      <c r="GNP69" s="62"/>
      <c r="GNQ69" s="62"/>
      <c r="GNR69" s="62"/>
      <c r="GNS69" s="62"/>
      <c r="GNT69" s="62"/>
      <c r="GNU69" s="62"/>
      <c r="GNV69" s="62"/>
      <c r="GNW69" s="62"/>
      <c r="GNX69" s="62"/>
      <c r="GNY69" s="62"/>
      <c r="GNZ69" s="62"/>
      <c r="GOA69" s="62"/>
      <c r="GOB69" s="62"/>
      <c r="GOC69" s="62"/>
      <c r="GOD69" s="62"/>
      <c r="GOE69" s="62"/>
      <c r="GOF69" s="62"/>
      <c r="GOG69" s="62"/>
      <c r="GOH69" s="62"/>
      <c r="GOI69" s="62"/>
      <c r="GOJ69" s="62"/>
      <c r="GOK69" s="62"/>
      <c r="GOL69" s="62"/>
      <c r="GOM69" s="62"/>
      <c r="GON69" s="62"/>
      <c r="GOO69" s="62"/>
      <c r="GOP69" s="62"/>
      <c r="GOQ69" s="62"/>
      <c r="GOR69" s="62"/>
      <c r="GOS69" s="62"/>
      <c r="GOT69" s="62"/>
      <c r="GOU69" s="62"/>
      <c r="GOV69" s="62"/>
      <c r="GOW69" s="62"/>
      <c r="GOX69" s="62"/>
      <c r="GOY69" s="62"/>
      <c r="GOZ69" s="62"/>
      <c r="GPA69" s="62"/>
      <c r="GPB69" s="62"/>
      <c r="GPC69" s="62"/>
      <c r="GPD69" s="62"/>
      <c r="GPE69" s="62"/>
      <c r="GPF69" s="62"/>
      <c r="GPG69" s="62"/>
      <c r="GPH69" s="62"/>
      <c r="GPI69" s="62"/>
      <c r="GPJ69" s="62"/>
      <c r="GPK69" s="62"/>
      <c r="GPL69" s="62"/>
      <c r="GPM69" s="62"/>
      <c r="GPN69" s="62"/>
      <c r="GPO69" s="62"/>
      <c r="GPP69" s="62"/>
      <c r="GPQ69" s="62"/>
      <c r="GPR69" s="62"/>
      <c r="GPS69" s="62"/>
      <c r="GPT69" s="62"/>
      <c r="GPU69" s="62"/>
      <c r="GPV69" s="62"/>
      <c r="GPW69" s="62"/>
      <c r="GPX69" s="62"/>
      <c r="GPY69" s="62"/>
      <c r="GPZ69" s="62"/>
      <c r="GQA69" s="62"/>
      <c r="GQB69" s="62"/>
      <c r="GQC69" s="62"/>
      <c r="GQD69" s="62"/>
      <c r="GQE69" s="62"/>
      <c r="GQF69" s="62"/>
      <c r="GQG69" s="62"/>
      <c r="GQH69" s="62"/>
      <c r="GQI69" s="62"/>
      <c r="GQJ69" s="62"/>
      <c r="GQK69" s="62"/>
      <c r="GQL69" s="62"/>
      <c r="GQM69" s="62"/>
      <c r="GQN69" s="62"/>
      <c r="GQO69" s="62"/>
      <c r="GQP69" s="62"/>
      <c r="GQQ69" s="62"/>
      <c r="GQR69" s="62"/>
      <c r="GQS69" s="62"/>
      <c r="GQT69" s="62"/>
      <c r="GQU69" s="62"/>
      <c r="GQV69" s="62"/>
      <c r="GQW69" s="62"/>
      <c r="GQX69" s="62"/>
      <c r="GQY69" s="62"/>
      <c r="GQZ69" s="62"/>
      <c r="GRA69" s="62"/>
      <c r="GRB69" s="62"/>
      <c r="GRC69" s="62"/>
      <c r="GRD69" s="62"/>
      <c r="GRE69" s="62"/>
      <c r="GRF69" s="62"/>
      <c r="GRG69" s="62"/>
      <c r="GRH69" s="62"/>
      <c r="GRI69" s="62"/>
      <c r="GRJ69" s="62"/>
      <c r="GRK69" s="62"/>
      <c r="GRL69" s="62"/>
      <c r="GRM69" s="62"/>
      <c r="GRN69" s="62"/>
      <c r="GRO69" s="62"/>
      <c r="GRP69" s="62"/>
      <c r="GRQ69" s="62"/>
      <c r="GRR69" s="62"/>
      <c r="GRS69" s="62"/>
      <c r="GRT69" s="62"/>
      <c r="GRU69" s="62"/>
      <c r="GRV69" s="62"/>
      <c r="GRW69" s="62"/>
      <c r="GRX69" s="62"/>
      <c r="GRY69" s="62"/>
      <c r="GRZ69" s="62"/>
      <c r="GSA69" s="62"/>
      <c r="GSB69" s="62"/>
      <c r="GSC69" s="62"/>
      <c r="GSD69" s="62"/>
      <c r="GSE69" s="62"/>
      <c r="GSF69" s="62"/>
      <c r="GSG69" s="62"/>
      <c r="GSH69" s="62"/>
      <c r="GSI69" s="62"/>
      <c r="GSJ69" s="62"/>
      <c r="GSK69" s="62"/>
      <c r="GSL69" s="62"/>
      <c r="GSM69" s="62"/>
      <c r="GSN69" s="62"/>
      <c r="GSO69" s="62"/>
      <c r="GSP69" s="62"/>
      <c r="GSQ69" s="62"/>
      <c r="GSR69" s="62"/>
      <c r="GSS69" s="62"/>
      <c r="GST69" s="62"/>
      <c r="GSU69" s="62"/>
      <c r="GSV69" s="62"/>
      <c r="GSW69" s="62"/>
      <c r="GSX69" s="62"/>
      <c r="GSY69" s="62"/>
      <c r="GSZ69" s="62"/>
      <c r="GTA69" s="62"/>
      <c r="GTB69" s="62"/>
      <c r="GTC69" s="62"/>
      <c r="GTD69" s="62"/>
      <c r="GTE69" s="62"/>
      <c r="GTF69" s="62"/>
      <c r="GTG69" s="62"/>
      <c r="GTH69" s="62"/>
      <c r="GTI69" s="62"/>
      <c r="GTJ69" s="62"/>
      <c r="GTK69" s="62"/>
      <c r="GTL69" s="62"/>
      <c r="GTM69" s="62"/>
      <c r="GTN69" s="62"/>
      <c r="GTO69" s="62"/>
      <c r="GTP69" s="62"/>
      <c r="GTQ69" s="62"/>
      <c r="GTR69" s="62"/>
      <c r="GTS69" s="62"/>
      <c r="GTT69" s="62"/>
      <c r="GTU69" s="62"/>
      <c r="GTV69" s="62"/>
      <c r="GTW69" s="62"/>
      <c r="GTX69" s="62"/>
      <c r="GTY69" s="62"/>
      <c r="GTZ69" s="62"/>
      <c r="GUA69" s="62"/>
      <c r="GUB69" s="62"/>
      <c r="GUC69" s="62"/>
      <c r="GUD69" s="62"/>
      <c r="GUE69" s="62"/>
      <c r="GUF69" s="62"/>
      <c r="GUG69" s="62"/>
      <c r="GUH69" s="62"/>
      <c r="GUI69" s="62"/>
      <c r="GUJ69" s="62"/>
      <c r="GUK69" s="62"/>
      <c r="GUL69" s="62"/>
      <c r="GUM69" s="62"/>
      <c r="GUN69" s="62"/>
      <c r="GUO69" s="62"/>
      <c r="GUP69" s="62"/>
      <c r="GUQ69" s="62"/>
      <c r="GUR69" s="62"/>
      <c r="GUS69" s="62"/>
      <c r="GUT69" s="62"/>
      <c r="GUU69" s="62"/>
      <c r="GUV69" s="62"/>
      <c r="GUW69" s="62"/>
      <c r="GUX69" s="62"/>
      <c r="GUY69" s="62"/>
      <c r="GUZ69" s="62"/>
      <c r="GVA69" s="62"/>
      <c r="GVB69" s="62"/>
      <c r="GVC69" s="62"/>
      <c r="GVD69" s="62"/>
      <c r="GVE69" s="62"/>
      <c r="GVF69" s="62"/>
      <c r="GVG69" s="62"/>
      <c r="GVH69" s="62"/>
      <c r="GVI69" s="62"/>
      <c r="GVJ69" s="62"/>
      <c r="GVK69" s="62"/>
      <c r="GVL69" s="62"/>
      <c r="GVM69" s="62"/>
      <c r="GVN69" s="62"/>
      <c r="GVO69" s="62"/>
      <c r="GVP69" s="62"/>
      <c r="GVQ69" s="62"/>
      <c r="GVR69" s="62"/>
      <c r="GVS69" s="62"/>
      <c r="GVT69" s="62"/>
      <c r="GVU69" s="62"/>
      <c r="GVV69" s="62"/>
      <c r="GVW69" s="62"/>
      <c r="GVX69" s="62"/>
      <c r="GVY69" s="62"/>
      <c r="GVZ69" s="62"/>
      <c r="GWA69" s="62"/>
      <c r="GWB69" s="62"/>
      <c r="GWC69" s="62"/>
      <c r="GWD69" s="62"/>
      <c r="GWE69" s="62"/>
      <c r="GWF69" s="62"/>
      <c r="GWG69" s="62"/>
      <c r="GWH69" s="62"/>
      <c r="GWI69" s="62"/>
      <c r="GWJ69" s="62"/>
      <c r="GWK69" s="62"/>
      <c r="GWL69" s="62"/>
      <c r="GWM69" s="62"/>
      <c r="GWN69" s="62"/>
      <c r="GWO69" s="62"/>
      <c r="GWP69" s="62"/>
      <c r="GWQ69" s="62"/>
      <c r="GWR69" s="62"/>
      <c r="GWS69" s="62"/>
      <c r="GWT69" s="62"/>
      <c r="GWU69" s="62"/>
      <c r="GWV69" s="62"/>
      <c r="GWW69" s="62"/>
      <c r="GWX69" s="62"/>
      <c r="GWY69" s="62"/>
      <c r="GWZ69" s="62"/>
      <c r="GXA69" s="62"/>
      <c r="GXB69" s="62"/>
      <c r="GXC69" s="62"/>
      <c r="GXD69" s="62"/>
      <c r="GXE69" s="62"/>
      <c r="GXF69" s="62"/>
      <c r="GXG69" s="62"/>
      <c r="GXH69" s="62"/>
      <c r="GXI69" s="62"/>
      <c r="GXJ69" s="62"/>
      <c r="GXK69" s="62"/>
      <c r="GXL69" s="62"/>
      <c r="GXM69" s="62"/>
      <c r="GXN69" s="62"/>
      <c r="GXO69" s="62"/>
      <c r="GXP69" s="62"/>
      <c r="GXQ69" s="62"/>
      <c r="GXR69" s="62"/>
      <c r="GXS69" s="62"/>
      <c r="GXT69" s="62"/>
      <c r="GXU69" s="62"/>
      <c r="GXV69" s="62"/>
      <c r="GXW69" s="62"/>
      <c r="GXX69" s="62"/>
      <c r="GXY69" s="62"/>
      <c r="GXZ69" s="62"/>
      <c r="GYA69" s="62"/>
      <c r="GYB69" s="62"/>
      <c r="GYC69" s="62"/>
      <c r="GYD69" s="62"/>
      <c r="GYE69" s="62"/>
      <c r="GYF69" s="62"/>
      <c r="GYG69" s="62"/>
      <c r="GYH69" s="62"/>
      <c r="GYI69" s="62"/>
      <c r="GYJ69" s="62"/>
      <c r="GYK69" s="62"/>
      <c r="GYL69" s="62"/>
      <c r="GYM69" s="62"/>
      <c r="GYN69" s="62"/>
      <c r="GYO69" s="62"/>
      <c r="GYP69" s="62"/>
      <c r="GYQ69" s="62"/>
      <c r="GYR69" s="62"/>
      <c r="GYS69" s="62"/>
      <c r="GYT69" s="62"/>
      <c r="GYU69" s="62"/>
      <c r="GYV69" s="62"/>
      <c r="GYW69" s="62"/>
      <c r="GYX69" s="62"/>
      <c r="GYY69" s="62"/>
      <c r="GYZ69" s="62"/>
      <c r="GZA69" s="62"/>
      <c r="GZB69" s="62"/>
      <c r="GZC69" s="62"/>
      <c r="GZD69" s="62"/>
      <c r="GZE69" s="62"/>
      <c r="GZF69" s="62"/>
      <c r="GZG69" s="62"/>
      <c r="GZH69" s="62"/>
      <c r="GZI69" s="62"/>
      <c r="GZJ69" s="62"/>
      <c r="GZK69" s="62"/>
      <c r="GZL69" s="62"/>
      <c r="GZM69" s="62"/>
      <c r="GZN69" s="62"/>
      <c r="GZO69" s="62"/>
      <c r="GZP69" s="62"/>
      <c r="GZQ69" s="62"/>
      <c r="GZR69" s="62"/>
      <c r="GZS69" s="62"/>
      <c r="GZT69" s="62"/>
      <c r="GZU69" s="62"/>
      <c r="GZV69" s="62"/>
      <c r="GZW69" s="62"/>
      <c r="GZX69" s="62"/>
      <c r="GZY69" s="62"/>
      <c r="GZZ69" s="62"/>
      <c r="HAA69" s="62"/>
      <c r="HAB69" s="62"/>
      <c r="HAC69" s="62"/>
      <c r="HAD69" s="62"/>
      <c r="HAE69" s="62"/>
      <c r="HAF69" s="62"/>
      <c r="HAG69" s="62"/>
      <c r="HAH69" s="62"/>
      <c r="HAI69" s="62"/>
      <c r="HAJ69" s="62"/>
      <c r="HAK69" s="62"/>
      <c r="HAL69" s="62"/>
      <c r="HAM69" s="62"/>
      <c r="HAN69" s="62"/>
      <c r="HAO69" s="62"/>
      <c r="HAP69" s="62"/>
      <c r="HAQ69" s="62"/>
      <c r="HAR69" s="62"/>
      <c r="HAS69" s="62"/>
      <c r="HAT69" s="62"/>
      <c r="HAU69" s="62"/>
      <c r="HAV69" s="62"/>
      <c r="HAW69" s="62"/>
      <c r="HAX69" s="62"/>
      <c r="HAY69" s="62"/>
      <c r="HAZ69" s="62"/>
      <c r="HBA69" s="62"/>
      <c r="HBB69" s="62"/>
      <c r="HBC69" s="62"/>
      <c r="HBD69" s="62"/>
      <c r="HBE69" s="62"/>
      <c r="HBF69" s="62"/>
      <c r="HBG69" s="62"/>
      <c r="HBH69" s="62"/>
      <c r="HBI69" s="62"/>
      <c r="HBJ69" s="62"/>
      <c r="HBK69" s="62"/>
      <c r="HBL69" s="62"/>
      <c r="HBM69" s="62"/>
      <c r="HBN69" s="62"/>
      <c r="HBO69" s="62"/>
      <c r="HBP69" s="62"/>
      <c r="HBQ69" s="62"/>
      <c r="HBR69" s="62"/>
      <c r="HBS69" s="62"/>
      <c r="HBT69" s="62"/>
      <c r="HBU69" s="62"/>
      <c r="HBV69" s="62"/>
      <c r="HBW69" s="62"/>
      <c r="HBX69" s="62"/>
      <c r="HBY69" s="62"/>
      <c r="HBZ69" s="62"/>
      <c r="HCA69" s="62"/>
      <c r="HCB69" s="62"/>
      <c r="HCC69" s="62"/>
      <c r="HCD69" s="62"/>
      <c r="HCE69" s="62"/>
      <c r="HCF69" s="62"/>
      <c r="HCG69" s="62"/>
      <c r="HCH69" s="62"/>
      <c r="HCI69" s="62"/>
      <c r="HCJ69" s="62"/>
      <c r="HCK69" s="62"/>
      <c r="HCL69" s="62"/>
      <c r="HCM69" s="62"/>
      <c r="HCN69" s="62"/>
      <c r="HCO69" s="62"/>
      <c r="HCP69" s="62"/>
      <c r="HCQ69" s="62"/>
      <c r="HCR69" s="62"/>
      <c r="HCS69" s="62"/>
      <c r="HCT69" s="62"/>
      <c r="HCU69" s="62"/>
      <c r="HCV69" s="62"/>
      <c r="HCW69" s="62"/>
      <c r="HCX69" s="62"/>
      <c r="HCY69" s="62"/>
      <c r="HCZ69" s="62"/>
      <c r="HDA69" s="62"/>
      <c r="HDB69" s="62"/>
      <c r="HDC69" s="62"/>
      <c r="HDD69" s="62"/>
      <c r="HDE69" s="62"/>
      <c r="HDF69" s="62"/>
      <c r="HDG69" s="62"/>
      <c r="HDH69" s="62"/>
      <c r="HDI69" s="62"/>
      <c r="HDJ69" s="62"/>
      <c r="HDK69" s="62"/>
      <c r="HDL69" s="62"/>
      <c r="HDM69" s="62"/>
      <c r="HDN69" s="62"/>
      <c r="HDO69" s="62"/>
      <c r="HDP69" s="62"/>
      <c r="HDQ69" s="62"/>
      <c r="HDR69" s="62"/>
      <c r="HDS69" s="62"/>
      <c r="HDT69" s="62"/>
      <c r="HDU69" s="62"/>
      <c r="HDV69" s="62"/>
      <c r="HDW69" s="62"/>
      <c r="HDX69" s="62"/>
      <c r="HDY69" s="62"/>
      <c r="HDZ69" s="62"/>
      <c r="HEA69" s="62"/>
      <c r="HEB69" s="62"/>
      <c r="HEC69" s="62"/>
      <c r="HED69" s="62"/>
      <c r="HEE69" s="62"/>
      <c r="HEF69" s="62"/>
      <c r="HEG69" s="62"/>
      <c r="HEH69" s="62"/>
      <c r="HEI69" s="62"/>
      <c r="HEJ69" s="62"/>
      <c r="HEK69" s="62"/>
      <c r="HEL69" s="62"/>
      <c r="HEM69" s="62"/>
      <c r="HEN69" s="62"/>
      <c r="HEO69" s="62"/>
      <c r="HEP69" s="62"/>
      <c r="HEQ69" s="62"/>
      <c r="HER69" s="62"/>
      <c r="HES69" s="62"/>
      <c r="HET69" s="62"/>
      <c r="HEU69" s="62"/>
      <c r="HEV69" s="62"/>
      <c r="HEW69" s="62"/>
      <c r="HEX69" s="62"/>
      <c r="HEY69" s="62"/>
      <c r="HEZ69" s="62"/>
      <c r="HFA69" s="62"/>
      <c r="HFB69" s="62"/>
      <c r="HFC69" s="62"/>
      <c r="HFD69" s="62"/>
      <c r="HFE69" s="62"/>
      <c r="HFF69" s="62"/>
      <c r="HFG69" s="62"/>
      <c r="HFH69" s="62"/>
      <c r="HFI69" s="62"/>
      <c r="HFJ69" s="62"/>
      <c r="HFK69" s="62"/>
      <c r="HFL69" s="62"/>
      <c r="HFM69" s="62"/>
      <c r="HFN69" s="62"/>
      <c r="HFO69" s="62"/>
      <c r="HFP69" s="62"/>
      <c r="HFQ69" s="62"/>
      <c r="HFR69" s="62"/>
      <c r="HFS69" s="62"/>
      <c r="HFT69" s="62"/>
      <c r="HFU69" s="62"/>
      <c r="HFV69" s="62"/>
      <c r="HFW69" s="62"/>
      <c r="HFX69" s="62"/>
      <c r="HFY69" s="62"/>
      <c r="HFZ69" s="62"/>
      <c r="HGA69" s="62"/>
      <c r="HGB69" s="62"/>
      <c r="HGC69" s="62"/>
      <c r="HGD69" s="62"/>
      <c r="HGE69" s="62"/>
      <c r="HGF69" s="62"/>
      <c r="HGG69" s="62"/>
      <c r="HGH69" s="62"/>
      <c r="HGI69" s="62"/>
      <c r="HGJ69" s="62"/>
      <c r="HGK69" s="62"/>
      <c r="HGL69" s="62"/>
      <c r="HGM69" s="62"/>
      <c r="HGN69" s="62"/>
      <c r="HGO69" s="62"/>
      <c r="HGP69" s="62"/>
      <c r="HGQ69" s="62"/>
      <c r="HGR69" s="62"/>
      <c r="HGS69" s="62"/>
      <c r="HGT69" s="62"/>
      <c r="HGU69" s="62"/>
      <c r="HGV69" s="62"/>
      <c r="HGW69" s="62"/>
      <c r="HGX69" s="62"/>
      <c r="HGY69" s="62"/>
      <c r="HGZ69" s="62"/>
      <c r="HHA69" s="62"/>
      <c r="HHB69" s="62"/>
      <c r="HHC69" s="62"/>
      <c r="HHD69" s="62"/>
      <c r="HHE69" s="62"/>
      <c r="HHF69" s="62"/>
      <c r="HHG69" s="62"/>
      <c r="HHH69" s="62"/>
      <c r="HHI69" s="62"/>
      <c r="HHJ69" s="62"/>
      <c r="HHK69" s="62"/>
      <c r="HHL69" s="62"/>
      <c r="HHM69" s="62"/>
      <c r="HHN69" s="62"/>
      <c r="HHO69" s="62"/>
      <c r="HHP69" s="62"/>
      <c r="HHQ69" s="62"/>
      <c r="HHR69" s="62"/>
      <c r="HHS69" s="62"/>
      <c r="HHT69" s="62"/>
      <c r="HHU69" s="62"/>
      <c r="HHV69" s="62"/>
      <c r="HHW69" s="62"/>
      <c r="HHX69" s="62"/>
      <c r="HHY69" s="62"/>
      <c r="HHZ69" s="62"/>
      <c r="HIA69" s="62"/>
      <c r="HIB69" s="62"/>
      <c r="HIC69" s="62"/>
      <c r="HID69" s="62"/>
      <c r="HIE69" s="62"/>
      <c r="HIF69" s="62"/>
      <c r="HIG69" s="62"/>
      <c r="HIH69" s="62"/>
      <c r="HII69" s="62"/>
      <c r="HIJ69" s="62"/>
      <c r="HIK69" s="62"/>
      <c r="HIL69" s="62"/>
      <c r="HIM69" s="62"/>
      <c r="HIN69" s="62"/>
      <c r="HIO69" s="62"/>
      <c r="HIP69" s="62"/>
      <c r="HIQ69" s="62"/>
      <c r="HIR69" s="62"/>
      <c r="HIS69" s="62"/>
      <c r="HIT69" s="62"/>
      <c r="HIU69" s="62"/>
      <c r="HIV69" s="62"/>
      <c r="HIW69" s="62"/>
      <c r="HIX69" s="62"/>
      <c r="HIY69" s="62"/>
      <c r="HIZ69" s="62"/>
      <c r="HJA69" s="62"/>
      <c r="HJB69" s="62"/>
      <c r="HJC69" s="62"/>
      <c r="HJD69" s="62"/>
      <c r="HJE69" s="62"/>
      <c r="HJF69" s="62"/>
      <c r="HJG69" s="62"/>
      <c r="HJH69" s="62"/>
      <c r="HJI69" s="62"/>
      <c r="HJJ69" s="62"/>
      <c r="HJK69" s="62"/>
      <c r="HJL69" s="62"/>
      <c r="HJM69" s="62"/>
      <c r="HJN69" s="62"/>
      <c r="HJO69" s="62"/>
      <c r="HJP69" s="62"/>
      <c r="HJQ69" s="62"/>
      <c r="HJR69" s="62"/>
      <c r="HJS69" s="62"/>
      <c r="HJT69" s="62"/>
      <c r="HJU69" s="62"/>
      <c r="HJV69" s="62"/>
      <c r="HJW69" s="62"/>
      <c r="HJX69" s="62"/>
      <c r="HJY69" s="62"/>
      <c r="HJZ69" s="62"/>
      <c r="HKA69" s="62"/>
      <c r="HKB69" s="62"/>
      <c r="HKC69" s="62"/>
      <c r="HKD69" s="62"/>
      <c r="HKE69" s="62"/>
      <c r="HKF69" s="62"/>
      <c r="HKG69" s="62"/>
      <c r="HKH69" s="62"/>
      <c r="HKI69" s="62"/>
      <c r="HKJ69" s="62"/>
      <c r="HKK69" s="62"/>
      <c r="HKL69" s="62"/>
      <c r="HKM69" s="62"/>
      <c r="HKN69" s="62"/>
      <c r="HKO69" s="62"/>
      <c r="HKP69" s="62"/>
      <c r="HKQ69" s="62"/>
      <c r="HKR69" s="62"/>
      <c r="HKS69" s="62"/>
      <c r="HKT69" s="62"/>
      <c r="HKU69" s="62"/>
      <c r="HKV69" s="62"/>
      <c r="HKW69" s="62"/>
      <c r="HKX69" s="62"/>
      <c r="HKY69" s="62"/>
      <c r="HKZ69" s="62"/>
      <c r="HLA69" s="62"/>
      <c r="HLB69" s="62"/>
      <c r="HLC69" s="62"/>
      <c r="HLD69" s="62"/>
      <c r="HLE69" s="62"/>
      <c r="HLF69" s="62"/>
      <c r="HLG69" s="62"/>
      <c r="HLH69" s="62"/>
      <c r="HLI69" s="62"/>
      <c r="HLJ69" s="62"/>
      <c r="HLK69" s="62"/>
      <c r="HLL69" s="62"/>
      <c r="HLM69" s="62"/>
      <c r="HLN69" s="62"/>
      <c r="HLO69" s="62"/>
      <c r="HLP69" s="62"/>
      <c r="HLQ69" s="62"/>
      <c r="HLR69" s="62"/>
      <c r="HLS69" s="62"/>
      <c r="HLT69" s="62"/>
      <c r="HLU69" s="62"/>
      <c r="HLV69" s="62"/>
      <c r="HLW69" s="62"/>
      <c r="HLX69" s="62"/>
      <c r="HLY69" s="62"/>
      <c r="HLZ69" s="62"/>
      <c r="HMA69" s="62"/>
      <c r="HMB69" s="62"/>
      <c r="HMC69" s="62"/>
      <c r="HMD69" s="62"/>
      <c r="HME69" s="62"/>
      <c r="HMF69" s="62"/>
      <c r="HMG69" s="62"/>
      <c r="HMH69" s="62"/>
      <c r="HMI69" s="62"/>
      <c r="HMJ69" s="62"/>
      <c r="HMK69" s="62"/>
      <c r="HML69" s="62"/>
      <c r="HMM69" s="62"/>
      <c r="HMN69" s="62"/>
      <c r="HMO69" s="62"/>
      <c r="HMP69" s="62"/>
      <c r="HMQ69" s="62"/>
      <c r="HMR69" s="62"/>
      <c r="HMS69" s="62"/>
      <c r="HMT69" s="62"/>
      <c r="HMU69" s="62"/>
      <c r="HMV69" s="62"/>
      <c r="HMW69" s="62"/>
      <c r="HMX69" s="62"/>
      <c r="HMY69" s="62"/>
      <c r="HMZ69" s="62"/>
      <c r="HNA69" s="62"/>
      <c r="HNB69" s="62"/>
      <c r="HNC69" s="62"/>
      <c r="HND69" s="62"/>
      <c r="HNE69" s="62"/>
      <c r="HNF69" s="62"/>
      <c r="HNG69" s="62"/>
      <c r="HNH69" s="62"/>
      <c r="HNI69" s="62"/>
      <c r="HNJ69" s="62"/>
      <c r="HNK69" s="62"/>
      <c r="HNL69" s="62"/>
      <c r="HNM69" s="62"/>
      <c r="HNN69" s="62"/>
      <c r="HNO69" s="62"/>
      <c r="HNP69" s="62"/>
      <c r="HNQ69" s="62"/>
      <c r="HNR69" s="62"/>
      <c r="HNS69" s="62"/>
      <c r="HNT69" s="62"/>
      <c r="HNU69" s="62"/>
      <c r="HNV69" s="62"/>
      <c r="HNW69" s="62"/>
      <c r="HNX69" s="62"/>
      <c r="HNY69" s="62"/>
      <c r="HNZ69" s="62"/>
      <c r="HOA69" s="62"/>
      <c r="HOB69" s="62"/>
      <c r="HOC69" s="62"/>
      <c r="HOD69" s="62"/>
      <c r="HOE69" s="62"/>
      <c r="HOF69" s="62"/>
      <c r="HOG69" s="62"/>
      <c r="HOH69" s="62"/>
      <c r="HOI69" s="62"/>
      <c r="HOJ69" s="62"/>
      <c r="HOK69" s="62"/>
      <c r="HOL69" s="62"/>
      <c r="HOM69" s="62"/>
      <c r="HON69" s="62"/>
      <c r="HOO69" s="62"/>
      <c r="HOP69" s="62"/>
      <c r="HOQ69" s="62"/>
      <c r="HOR69" s="62"/>
      <c r="HOS69" s="62"/>
      <c r="HOT69" s="62"/>
      <c r="HOU69" s="62"/>
      <c r="HOV69" s="62"/>
      <c r="HOW69" s="62"/>
      <c r="HOX69" s="62"/>
      <c r="HOY69" s="62"/>
      <c r="HOZ69" s="62"/>
      <c r="HPA69" s="62"/>
      <c r="HPB69" s="62"/>
      <c r="HPC69" s="62"/>
      <c r="HPD69" s="62"/>
      <c r="HPE69" s="62"/>
      <c r="HPF69" s="62"/>
      <c r="HPG69" s="62"/>
      <c r="HPH69" s="62"/>
      <c r="HPI69" s="62"/>
      <c r="HPJ69" s="62"/>
      <c r="HPK69" s="62"/>
      <c r="HPL69" s="62"/>
      <c r="HPM69" s="62"/>
      <c r="HPN69" s="62"/>
      <c r="HPO69" s="62"/>
      <c r="HPP69" s="62"/>
      <c r="HPQ69" s="62"/>
      <c r="HPR69" s="62"/>
      <c r="HPS69" s="62"/>
      <c r="HPT69" s="62"/>
      <c r="HPU69" s="62"/>
      <c r="HPV69" s="62"/>
      <c r="HPW69" s="62"/>
      <c r="HPX69" s="62"/>
      <c r="HPY69" s="62"/>
      <c r="HPZ69" s="62"/>
      <c r="HQA69" s="62"/>
      <c r="HQB69" s="62"/>
      <c r="HQC69" s="62"/>
      <c r="HQD69" s="62"/>
      <c r="HQE69" s="62"/>
      <c r="HQF69" s="62"/>
      <c r="HQG69" s="62"/>
      <c r="HQH69" s="62"/>
      <c r="HQI69" s="62"/>
      <c r="HQJ69" s="62"/>
      <c r="HQK69" s="62"/>
      <c r="HQL69" s="62"/>
      <c r="HQM69" s="62"/>
      <c r="HQN69" s="62"/>
      <c r="HQO69" s="62"/>
      <c r="HQP69" s="62"/>
      <c r="HQQ69" s="62"/>
      <c r="HQR69" s="62"/>
      <c r="HQS69" s="62"/>
      <c r="HQT69" s="62"/>
      <c r="HQU69" s="62"/>
      <c r="HQV69" s="62"/>
      <c r="HQW69" s="62"/>
      <c r="HQX69" s="62"/>
      <c r="HQY69" s="62"/>
      <c r="HQZ69" s="62"/>
      <c r="HRA69" s="62"/>
      <c r="HRB69" s="62"/>
      <c r="HRC69" s="62"/>
      <c r="HRD69" s="62"/>
      <c r="HRE69" s="62"/>
      <c r="HRF69" s="62"/>
      <c r="HRG69" s="62"/>
      <c r="HRH69" s="62"/>
      <c r="HRI69" s="62"/>
      <c r="HRJ69" s="62"/>
      <c r="HRK69" s="62"/>
      <c r="HRL69" s="62"/>
      <c r="HRM69" s="62"/>
      <c r="HRN69" s="62"/>
      <c r="HRO69" s="62"/>
      <c r="HRP69" s="62"/>
      <c r="HRQ69" s="62"/>
      <c r="HRR69" s="62"/>
      <c r="HRS69" s="62"/>
      <c r="HRT69" s="62"/>
      <c r="HRU69" s="62"/>
      <c r="HRV69" s="62"/>
      <c r="HRW69" s="62"/>
      <c r="HRX69" s="62"/>
      <c r="HRY69" s="62"/>
      <c r="HRZ69" s="62"/>
      <c r="HSA69" s="62"/>
      <c r="HSB69" s="62"/>
      <c r="HSC69" s="62"/>
      <c r="HSD69" s="62"/>
      <c r="HSE69" s="62"/>
      <c r="HSF69" s="62"/>
      <c r="HSG69" s="62"/>
      <c r="HSH69" s="62"/>
      <c r="HSI69" s="62"/>
      <c r="HSJ69" s="62"/>
      <c r="HSK69" s="62"/>
      <c r="HSL69" s="62"/>
      <c r="HSM69" s="62"/>
      <c r="HSN69" s="62"/>
      <c r="HSO69" s="62"/>
      <c r="HSP69" s="62"/>
      <c r="HSQ69" s="62"/>
      <c r="HSR69" s="62"/>
      <c r="HSS69" s="62"/>
      <c r="HST69" s="62"/>
      <c r="HSU69" s="62"/>
      <c r="HSV69" s="62"/>
      <c r="HSW69" s="62"/>
      <c r="HSX69" s="62"/>
      <c r="HSY69" s="62"/>
      <c r="HSZ69" s="62"/>
      <c r="HTA69" s="62"/>
      <c r="HTB69" s="62"/>
      <c r="HTC69" s="62"/>
      <c r="HTD69" s="62"/>
      <c r="HTE69" s="62"/>
      <c r="HTF69" s="62"/>
      <c r="HTG69" s="62"/>
      <c r="HTH69" s="62"/>
      <c r="HTI69" s="62"/>
      <c r="HTJ69" s="62"/>
      <c r="HTK69" s="62"/>
      <c r="HTL69" s="62"/>
      <c r="HTM69" s="62"/>
      <c r="HTN69" s="62"/>
      <c r="HTO69" s="62"/>
      <c r="HTP69" s="62"/>
      <c r="HTQ69" s="62"/>
      <c r="HTR69" s="62"/>
      <c r="HTS69" s="62"/>
      <c r="HTT69" s="62"/>
      <c r="HTU69" s="62"/>
      <c r="HTV69" s="62"/>
      <c r="HTW69" s="62"/>
      <c r="HTX69" s="62"/>
      <c r="HTY69" s="62"/>
      <c r="HTZ69" s="62"/>
      <c r="HUA69" s="62"/>
      <c r="HUB69" s="62"/>
      <c r="HUC69" s="62"/>
      <c r="HUD69" s="62"/>
      <c r="HUE69" s="62"/>
      <c r="HUF69" s="62"/>
      <c r="HUG69" s="62"/>
      <c r="HUH69" s="62"/>
      <c r="HUI69" s="62"/>
      <c r="HUJ69" s="62"/>
      <c r="HUK69" s="62"/>
      <c r="HUL69" s="62"/>
      <c r="HUM69" s="62"/>
      <c r="HUN69" s="62"/>
      <c r="HUO69" s="62"/>
      <c r="HUP69" s="62"/>
      <c r="HUQ69" s="62"/>
      <c r="HUR69" s="62"/>
      <c r="HUS69" s="62"/>
      <c r="HUT69" s="62"/>
      <c r="HUU69" s="62"/>
      <c r="HUV69" s="62"/>
      <c r="HUW69" s="62"/>
      <c r="HUX69" s="62"/>
      <c r="HUY69" s="62"/>
      <c r="HUZ69" s="62"/>
      <c r="HVA69" s="62"/>
      <c r="HVB69" s="62"/>
      <c r="HVC69" s="62"/>
      <c r="HVD69" s="62"/>
      <c r="HVE69" s="62"/>
      <c r="HVF69" s="62"/>
      <c r="HVG69" s="62"/>
      <c r="HVH69" s="62"/>
      <c r="HVI69" s="62"/>
      <c r="HVJ69" s="62"/>
      <c r="HVK69" s="62"/>
      <c r="HVL69" s="62"/>
      <c r="HVM69" s="62"/>
      <c r="HVN69" s="62"/>
      <c r="HVO69" s="62"/>
      <c r="HVP69" s="62"/>
      <c r="HVQ69" s="62"/>
      <c r="HVR69" s="62"/>
      <c r="HVS69" s="62"/>
      <c r="HVT69" s="62"/>
      <c r="HVU69" s="62"/>
      <c r="HVV69" s="62"/>
      <c r="HVW69" s="62"/>
      <c r="HVX69" s="62"/>
      <c r="HVY69" s="62"/>
      <c r="HVZ69" s="62"/>
      <c r="HWA69" s="62"/>
      <c r="HWB69" s="62"/>
      <c r="HWC69" s="62"/>
      <c r="HWD69" s="62"/>
      <c r="HWE69" s="62"/>
      <c r="HWF69" s="62"/>
      <c r="HWG69" s="62"/>
      <c r="HWH69" s="62"/>
      <c r="HWI69" s="62"/>
      <c r="HWJ69" s="62"/>
      <c r="HWK69" s="62"/>
      <c r="HWL69" s="62"/>
      <c r="HWM69" s="62"/>
      <c r="HWN69" s="62"/>
      <c r="HWO69" s="62"/>
      <c r="HWP69" s="62"/>
      <c r="HWQ69" s="62"/>
      <c r="HWR69" s="62"/>
      <c r="HWS69" s="62"/>
      <c r="HWT69" s="62"/>
      <c r="HWU69" s="62"/>
      <c r="HWV69" s="62"/>
      <c r="HWW69" s="62"/>
      <c r="HWX69" s="62"/>
      <c r="HWY69" s="62"/>
      <c r="HWZ69" s="62"/>
      <c r="HXA69" s="62"/>
      <c r="HXB69" s="62"/>
      <c r="HXC69" s="62"/>
      <c r="HXD69" s="62"/>
      <c r="HXE69" s="62"/>
      <c r="HXF69" s="62"/>
      <c r="HXG69" s="62"/>
      <c r="HXH69" s="62"/>
      <c r="HXI69" s="62"/>
      <c r="HXJ69" s="62"/>
      <c r="HXK69" s="62"/>
      <c r="HXL69" s="62"/>
      <c r="HXM69" s="62"/>
      <c r="HXN69" s="62"/>
      <c r="HXO69" s="62"/>
      <c r="HXP69" s="62"/>
      <c r="HXQ69" s="62"/>
      <c r="HXR69" s="62"/>
      <c r="HXS69" s="62"/>
      <c r="HXT69" s="62"/>
      <c r="HXU69" s="62"/>
      <c r="HXV69" s="62"/>
      <c r="HXW69" s="62"/>
      <c r="HXX69" s="62"/>
      <c r="HXY69" s="62"/>
      <c r="HXZ69" s="62"/>
      <c r="HYA69" s="62"/>
      <c r="HYB69" s="62"/>
      <c r="HYC69" s="62"/>
      <c r="HYD69" s="62"/>
      <c r="HYE69" s="62"/>
      <c r="HYF69" s="62"/>
      <c r="HYG69" s="62"/>
      <c r="HYH69" s="62"/>
      <c r="HYI69" s="62"/>
      <c r="HYJ69" s="62"/>
      <c r="HYK69" s="62"/>
      <c r="HYL69" s="62"/>
      <c r="HYM69" s="62"/>
      <c r="HYN69" s="62"/>
      <c r="HYO69" s="62"/>
      <c r="HYP69" s="62"/>
      <c r="HYQ69" s="62"/>
      <c r="HYR69" s="62"/>
      <c r="HYS69" s="62"/>
      <c r="HYT69" s="62"/>
      <c r="HYU69" s="62"/>
      <c r="HYV69" s="62"/>
      <c r="HYW69" s="62"/>
      <c r="HYX69" s="62"/>
      <c r="HYY69" s="62"/>
      <c r="HYZ69" s="62"/>
      <c r="HZA69" s="62"/>
      <c r="HZB69" s="62"/>
      <c r="HZC69" s="62"/>
      <c r="HZD69" s="62"/>
      <c r="HZE69" s="62"/>
      <c r="HZF69" s="62"/>
      <c r="HZG69" s="62"/>
      <c r="HZH69" s="62"/>
      <c r="HZI69" s="62"/>
      <c r="HZJ69" s="62"/>
      <c r="HZK69" s="62"/>
      <c r="HZL69" s="62"/>
      <c r="HZM69" s="62"/>
      <c r="HZN69" s="62"/>
      <c r="HZO69" s="62"/>
      <c r="HZP69" s="62"/>
      <c r="HZQ69" s="62"/>
      <c r="HZR69" s="62"/>
      <c r="HZS69" s="62"/>
      <c r="HZT69" s="62"/>
      <c r="HZU69" s="62"/>
      <c r="HZV69" s="62"/>
      <c r="HZW69" s="62"/>
      <c r="HZX69" s="62"/>
      <c r="HZY69" s="62"/>
      <c r="HZZ69" s="62"/>
      <c r="IAA69" s="62"/>
      <c r="IAB69" s="62"/>
      <c r="IAC69" s="62"/>
      <c r="IAD69" s="62"/>
      <c r="IAE69" s="62"/>
      <c r="IAF69" s="62"/>
      <c r="IAG69" s="62"/>
      <c r="IAH69" s="62"/>
      <c r="IAI69" s="62"/>
      <c r="IAJ69" s="62"/>
      <c r="IAK69" s="62"/>
      <c r="IAL69" s="62"/>
      <c r="IAM69" s="62"/>
      <c r="IAN69" s="62"/>
      <c r="IAO69" s="62"/>
      <c r="IAP69" s="62"/>
      <c r="IAQ69" s="62"/>
      <c r="IAR69" s="62"/>
      <c r="IAS69" s="62"/>
      <c r="IAT69" s="62"/>
      <c r="IAU69" s="62"/>
      <c r="IAV69" s="62"/>
      <c r="IAW69" s="62"/>
      <c r="IAX69" s="62"/>
      <c r="IAY69" s="62"/>
      <c r="IAZ69" s="62"/>
      <c r="IBA69" s="62"/>
      <c r="IBB69" s="62"/>
      <c r="IBC69" s="62"/>
      <c r="IBD69" s="62"/>
      <c r="IBE69" s="62"/>
      <c r="IBF69" s="62"/>
      <c r="IBG69" s="62"/>
      <c r="IBH69" s="62"/>
      <c r="IBI69" s="62"/>
      <c r="IBJ69" s="62"/>
      <c r="IBK69" s="62"/>
      <c r="IBL69" s="62"/>
      <c r="IBM69" s="62"/>
      <c r="IBN69" s="62"/>
      <c r="IBO69" s="62"/>
      <c r="IBP69" s="62"/>
      <c r="IBQ69" s="62"/>
      <c r="IBR69" s="62"/>
      <c r="IBS69" s="62"/>
      <c r="IBT69" s="62"/>
      <c r="IBU69" s="62"/>
      <c r="IBV69" s="62"/>
      <c r="IBW69" s="62"/>
      <c r="IBX69" s="62"/>
      <c r="IBY69" s="62"/>
      <c r="IBZ69" s="62"/>
      <c r="ICA69" s="62"/>
      <c r="ICB69" s="62"/>
      <c r="ICC69" s="62"/>
      <c r="ICD69" s="62"/>
      <c r="ICE69" s="62"/>
      <c r="ICF69" s="62"/>
      <c r="ICG69" s="62"/>
      <c r="ICH69" s="62"/>
      <c r="ICI69" s="62"/>
      <c r="ICJ69" s="62"/>
      <c r="ICK69" s="62"/>
      <c r="ICL69" s="62"/>
      <c r="ICM69" s="62"/>
      <c r="ICN69" s="62"/>
      <c r="ICO69" s="62"/>
      <c r="ICP69" s="62"/>
      <c r="ICQ69" s="62"/>
      <c r="ICR69" s="62"/>
      <c r="ICS69" s="62"/>
      <c r="ICT69" s="62"/>
      <c r="ICU69" s="62"/>
      <c r="ICV69" s="62"/>
      <c r="ICW69" s="62"/>
      <c r="ICX69" s="62"/>
      <c r="ICY69" s="62"/>
      <c r="ICZ69" s="62"/>
      <c r="IDA69" s="62"/>
      <c r="IDB69" s="62"/>
      <c r="IDC69" s="62"/>
      <c r="IDD69" s="62"/>
      <c r="IDE69" s="62"/>
      <c r="IDF69" s="62"/>
      <c r="IDG69" s="62"/>
      <c r="IDH69" s="62"/>
      <c r="IDI69" s="62"/>
      <c r="IDJ69" s="62"/>
      <c r="IDK69" s="62"/>
      <c r="IDL69" s="62"/>
      <c r="IDM69" s="62"/>
      <c r="IDN69" s="62"/>
      <c r="IDO69" s="62"/>
      <c r="IDP69" s="62"/>
      <c r="IDQ69" s="62"/>
      <c r="IDR69" s="62"/>
      <c r="IDS69" s="62"/>
      <c r="IDT69" s="62"/>
      <c r="IDU69" s="62"/>
      <c r="IDV69" s="62"/>
      <c r="IDW69" s="62"/>
      <c r="IDX69" s="62"/>
      <c r="IDY69" s="62"/>
      <c r="IDZ69" s="62"/>
      <c r="IEA69" s="62"/>
      <c r="IEB69" s="62"/>
      <c r="IEC69" s="62"/>
      <c r="IED69" s="62"/>
      <c r="IEE69" s="62"/>
      <c r="IEF69" s="62"/>
      <c r="IEG69" s="62"/>
      <c r="IEH69" s="62"/>
      <c r="IEI69" s="62"/>
      <c r="IEJ69" s="62"/>
      <c r="IEK69" s="62"/>
      <c r="IEL69" s="62"/>
      <c r="IEM69" s="62"/>
      <c r="IEN69" s="62"/>
      <c r="IEO69" s="62"/>
      <c r="IEP69" s="62"/>
      <c r="IEQ69" s="62"/>
      <c r="IER69" s="62"/>
      <c r="IES69" s="62"/>
      <c r="IET69" s="62"/>
      <c r="IEU69" s="62"/>
      <c r="IEV69" s="62"/>
      <c r="IEW69" s="62"/>
      <c r="IEX69" s="62"/>
      <c r="IEY69" s="62"/>
      <c r="IEZ69" s="62"/>
      <c r="IFA69" s="62"/>
      <c r="IFB69" s="62"/>
      <c r="IFC69" s="62"/>
      <c r="IFD69" s="62"/>
      <c r="IFE69" s="62"/>
      <c r="IFF69" s="62"/>
      <c r="IFG69" s="62"/>
      <c r="IFH69" s="62"/>
      <c r="IFI69" s="62"/>
      <c r="IFJ69" s="62"/>
      <c r="IFK69" s="62"/>
      <c r="IFL69" s="62"/>
      <c r="IFM69" s="62"/>
      <c r="IFN69" s="62"/>
      <c r="IFO69" s="62"/>
      <c r="IFP69" s="62"/>
      <c r="IFQ69" s="62"/>
      <c r="IFR69" s="62"/>
      <c r="IFS69" s="62"/>
      <c r="IFT69" s="62"/>
      <c r="IFU69" s="62"/>
      <c r="IFV69" s="62"/>
      <c r="IFW69" s="62"/>
      <c r="IFX69" s="62"/>
      <c r="IFY69" s="62"/>
      <c r="IFZ69" s="62"/>
      <c r="IGA69" s="62"/>
      <c r="IGB69" s="62"/>
      <c r="IGC69" s="62"/>
      <c r="IGD69" s="62"/>
      <c r="IGE69" s="62"/>
      <c r="IGF69" s="62"/>
      <c r="IGG69" s="62"/>
      <c r="IGH69" s="62"/>
      <c r="IGI69" s="62"/>
      <c r="IGJ69" s="62"/>
      <c r="IGK69" s="62"/>
      <c r="IGL69" s="62"/>
      <c r="IGM69" s="62"/>
      <c r="IGN69" s="62"/>
      <c r="IGO69" s="62"/>
      <c r="IGP69" s="62"/>
      <c r="IGQ69" s="62"/>
      <c r="IGR69" s="62"/>
      <c r="IGS69" s="62"/>
      <c r="IGT69" s="62"/>
      <c r="IGU69" s="62"/>
      <c r="IGV69" s="62"/>
      <c r="IGW69" s="62"/>
      <c r="IGX69" s="62"/>
      <c r="IGY69" s="62"/>
      <c r="IGZ69" s="62"/>
      <c r="IHA69" s="62"/>
      <c r="IHB69" s="62"/>
      <c r="IHC69" s="62"/>
      <c r="IHD69" s="62"/>
      <c r="IHE69" s="62"/>
      <c r="IHF69" s="62"/>
      <c r="IHG69" s="62"/>
      <c r="IHH69" s="62"/>
      <c r="IHI69" s="62"/>
      <c r="IHJ69" s="62"/>
      <c r="IHK69" s="62"/>
      <c r="IHL69" s="62"/>
      <c r="IHM69" s="62"/>
      <c r="IHN69" s="62"/>
      <c r="IHO69" s="62"/>
      <c r="IHP69" s="62"/>
      <c r="IHQ69" s="62"/>
      <c r="IHR69" s="62"/>
      <c r="IHS69" s="62"/>
      <c r="IHT69" s="62"/>
      <c r="IHU69" s="62"/>
      <c r="IHV69" s="62"/>
      <c r="IHW69" s="62"/>
      <c r="IHX69" s="62"/>
      <c r="IHY69" s="62"/>
      <c r="IHZ69" s="62"/>
      <c r="IIA69" s="62"/>
      <c r="IIB69" s="62"/>
      <c r="IIC69" s="62"/>
      <c r="IID69" s="62"/>
      <c r="IIE69" s="62"/>
      <c r="IIF69" s="62"/>
      <c r="IIG69" s="62"/>
      <c r="IIH69" s="62"/>
      <c r="III69" s="62"/>
      <c r="IIJ69" s="62"/>
      <c r="IIK69" s="62"/>
      <c r="IIL69" s="62"/>
      <c r="IIM69" s="62"/>
      <c r="IIN69" s="62"/>
      <c r="IIO69" s="62"/>
      <c r="IIP69" s="62"/>
      <c r="IIQ69" s="62"/>
      <c r="IIR69" s="62"/>
      <c r="IIS69" s="62"/>
      <c r="IIT69" s="62"/>
      <c r="IIU69" s="62"/>
      <c r="IIV69" s="62"/>
      <c r="IIW69" s="62"/>
      <c r="IIX69" s="62"/>
      <c r="IIY69" s="62"/>
      <c r="IIZ69" s="62"/>
      <c r="IJA69" s="62"/>
      <c r="IJB69" s="62"/>
      <c r="IJC69" s="62"/>
      <c r="IJD69" s="62"/>
      <c r="IJE69" s="62"/>
      <c r="IJF69" s="62"/>
      <c r="IJG69" s="62"/>
      <c r="IJH69" s="62"/>
      <c r="IJI69" s="62"/>
      <c r="IJJ69" s="62"/>
      <c r="IJK69" s="62"/>
      <c r="IJL69" s="62"/>
      <c r="IJM69" s="62"/>
      <c r="IJN69" s="62"/>
      <c r="IJO69" s="62"/>
      <c r="IJP69" s="62"/>
      <c r="IJQ69" s="62"/>
      <c r="IJR69" s="62"/>
      <c r="IJS69" s="62"/>
      <c r="IJT69" s="62"/>
      <c r="IJU69" s="62"/>
      <c r="IJV69" s="62"/>
      <c r="IJW69" s="62"/>
      <c r="IJX69" s="62"/>
      <c r="IJY69" s="62"/>
      <c r="IJZ69" s="62"/>
      <c r="IKA69" s="62"/>
      <c r="IKB69" s="62"/>
      <c r="IKC69" s="62"/>
      <c r="IKD69" s="62"/>
      <c r="IKE69" s="62"/>
      <c r="IKF69" s="62"/>
      <c r="IKG69" s="62"/>
      <c r="IKH69" s="62"/>
      <c r="IKI69" s="62"/>
      <c r="IKJ69" s="62"/>
      <c r="IKK69" s="62"/>
      <c r="IKL69" s="62"/>
      <c r="IKM69" s="62"/>
      <c r="IKN69" s="62"/>
      <c r="IKO69" s="62"/>
      <c r="IKP69" s="62"/>
      <c r="IKQ69" s="62"/>
      <c r="IKR69" s="62"/>
      <c r="IKS69" s="62"/>
      <c r="IKT69" s="62"/>
      <c r="IKU69" s="62"/>
      <c r="IKV69" s="62"/>
      <c r="IKW69" s="62"/>
      <c r="IKX69" s="62"/>
      <c r="IKY69" s="62"/>
      <c r="IKZ69" s="62"/>
      <c r="ILA69" s="62"/>
      <c r="ILB69" s="62"/>
      <c r="ILC69" s="62"/>
      <c r="ILD69" s="62"/>
      <c r="ILE69" s="62"/>
      <c r="ILF69" s="62"/>
      <c r="ILG69" s="62"/>
      <c r="ILH69" s="62"/>
      <c r="ILI69" s="62"/>
      <c r="ILJ69" s="62"/>
      <c r="ILK69" s="62"/>
      <c r="ILL69" s="62"/>
      <c r="ILM69" s="62"/>
      <c r="ILN69" s="62"/>
      <c r="ILO69" s="62"/>
      <c r="ILP69" s="62"/>
      <c r="ILQ69" s="62"/>
      <c r="ILR69" s="62"/>
      <c r="ILS69" s="62"/>
      <c r="ILT69" s="62"/>
      <c r="ILU69" s="62"/>
      <c r="ILV69" s="62"/>
      <c r="ILW69" s="62"/>
      <c r="ILX69" s="62"/>
      <c r="ILY69" s="62"/>
      <c r="ILZ69" s="62"/>
      <c r="IMA69" s="62"/>
      <c r="IMB69" s="62"/>
      <c r="IMC69" s="62"/>
      <c r="IMD69" s="62"/>
      <c r="IME69" s="62"/>
      <c r="IMF69" s="62"/>
      <c r="IMG69" s="62"/>
      <c r="IMH69" s="62"/>
      <c r="IMI69" s="62"/>
      <c r="IMJ69" s="62"/>
      <c r="IMK69" s="62"/>
      <c r="IML69" s="62"/>
      <c r="IMM69" s="62"/>
      <c r="IMN69" s="62"/>
      <c r="IMO69" s="62"/>
      <c r="IMP69" s="62"/>
      <c r="IMQ69" s="62"/>
      <c r="IMR69" s="62"/>
      <c r="IMS69" s="62"/>
      <c r="IMT69" s="62"/>
      <c r="IMU69" s="62"/>
      <c r="IMV69" s="62"/>
      <c r="IMW69" s="62"/>
      <c r="IMX69" s="62"/>
      <c r="IMY69" s="62"/>
      <c r="IMZ69" s="62"/>
      <c r="INA69" s="62"/>
      <c r="INB69" s="62"/>
      <c r="INC69" s="62"/>
      <c r="IND69" s="62"/>
      <c r="INE69" s="62"/>
      <c r="INF69" s="62"/>
      <c r="ING69" s="62"/>
      <c r="INH69" s="62"/>
      <c r="INI69" s="62"/>
      <c r="INJ69" s="62"/>
      <c r="INK69" s="62"/>
      <c r="INL69" s="62"/>
      <c r="INM69" s="62"/>
      <c r="INN69" s="62"/>
      <c r="INO69" s="62"/>
      <c r="INP69" s="62"/>
      <c r="INQ69" s="62"/>
      <c r="INR69" s="62"/>
      <c r="INS69" s="62"/>
      <c r="INT69" s="62"/>
      <c r="INU69" s="62"/>
      <c r="INV69" s="62"/>
      <c r="INW69" s="62"/>
      <c r="INX69" s="62"/>
      <c r="INY69" s="62"/>
      <c r="INZ69" s="62"/>
      <c r="IOA69" s="62"/>
      <c r="IOB69" s="62"/>
      <c r="IOC69" s="62"/>
      <c r="IOD69" s="62"/>
      <c r="IOE69" s="62"/>
      <c r="IOF69" s="62"/>
      <c r="IOG69" s="62"/>
      <c r="IOH69" s="62"/>
      <c r="IOI69" s="62"/>
      <c r="IOJ69" s="62"/>
      <c r="IOK69" s="62"/>
      <c r="IOL69" s="62"/>
      <c r="IOM69" s="62"/>
      <c r="ION69" s="62"/>
      <c r="IOO69" s="62"/>
      <c r="IOP69" s="62"/>
      <c r="IOQ69" s="62"/>
      <c r="IOR69" s="62"/>
      <c r="IOS69" s="62"/>
      <c r="IOT69" s="62"/>
      <c r="IOU69" s="62"/>
      <c r="IOV69" s="62"/>
      <c r="IOW69" s="62"/>
      <c r="IOX69" s="62"/>
      <c r="IOY69" s="62"/>
      <c r="IOZ69" s="62"/>
      <c r="IPA69" s="62"/>
      <c r="IPB69" s="62"/>
      <c r="IPC69" s="62"/>
      <c r="IPD69" s="62"/>
      <c r="IPE69" s="62"/>
      <c r="IPF69" s="62"/>
      <c r="IPG69" s="62"/>
      <c r="IPH69" s="62"/>
      <c r="IPI69" s="62"/>
      <c r="IPJ69" s="62"/>
      <c r="IPK69" s="62"/>
      <c r="IPL69" s="62"/>
      <c r="IPM69" s="62"/>
      <c r="IPN69" s="62"/>
      <c r="IPO69" s="62"/>
      <c r="IPP69" s="62"/>
      <c r="IPQ69" s="62"/>
      <c r="IPR69" s="62"/>
      <c r="IPS69" s="62"/>
      <c r="IPT69" s="62"/>
      <c r="IPU69" s="62"/>
      <c r="IPV69" s="62"/>
      <c r="IPW69" s="62"/>
      <c r="IPX69" s="62"/>
      <c r="IPY69" s="62"/>
      <c r="IPZ69" s="62"/>
      <c r="IQA69" s="62"/>
      <c r="IQB69" s="62"/>
      <c r="IQC69" s="62"/>
      <c r="IQD69" s="62"/>
      <c r="IQE69" s="62"/>
      <c r="IQF69" s="62"/>
      <c r="IQG69" s="62"/>
      <c r="IQH69" s="62"/>
      <c r="IQI69" s="62"/>
      <c r="IQJ69" s="62"/>
      <c r="IQK69" s="62"/>
      <c r="IQL69" s="62"/>
      <c r="IQM69" s="62"/>
      <c r="IQN69" s="62"/>
      <c r="IQO69" s="62"/>
      <c r="IQP69" s="62"/>
      <c r="IQQ69" s="62"/>
      <c r="IQR69" s="62"/>
      <c r="IQS69" s="62"/>
      <c r="IQT69" s="62"/>
      <c r="IQU69" s="62"/>
      <c r="IQV69" s="62"/>
      <c r="IQW69" s="62"/>
      <c r="IQX69" s="62"/>
      <c r="IQY69" s="62"/>
      <c r="IQZ69" s="62"/>
      <c r="IRA69" s="62"/>
      <c r="IRB69" s="62"/>
      <c r="IRC69" s="62"/>
      <c r="IRD69" s="62"/>
      <c r="IRE69" s="62"/>
      <c r="IRF69" s="62"/>
      <c r="IRG69" s="62"/>
      <c r="IRH69" s="62"/>
      <c r="IRI69" s="62"/>
      <c r="IRJ69" s="62"/>
      <c r="IRK69" s="62"/>
      <c r="IRL69" s="62"/>
      <c r="IRM69" s="62"/>
      <c r="IRN69" s="62"/>
      <c r="IRO69" s="62"/>
      <c r="IRP69" s="62"/>
      <c r="IRQ69" s="62"/>
      <c r="IRR69" s="62"/>
      <c r="IRS69" s="62"/>
      <c r="IRT69" s="62"/>
      <c r="IRU69" s="62"/>
      <c r="IRV69" s="62"/>
      <c r="IRW69" s="62"/>
      <c r="IRX69" s="62"/>
      <c r="IRY69" s="62"/>
      <c r="IRZ69" s="62"/>
      <c r="ISA69" s="62"/>
      <c r="ISB69" s="62"/>
      <c r="ISC69" s="62"/>
      <c r="ISD69" s="62"/>
      <c r="ISE69" s="62"/>
      <c r="ISF69" s="62"/>
      <c r="ISG69" s="62"/>
      <c r="ISH69" s="62"/>
      <c r="ISI69" s="62"/>
      <c r="ISJ69" s="62"/>
      <c r="ISK69" s="62"/>
      <c r="ISL69" s="62"/>
      <c r="ISM69" s="62"/>
      <c r="ISN69" s="62"/>
      <c r="ISO69" s="62"/>
      <c r="ISP69" s="62"/>
      <c r="ISQ69" s="62"/>
      <c r="ISR69" s="62"/>
      <c r="ISS69" s="62"/>
      <c r="IST69" s="62"/>
      <c r="ISU69" s="62"/>
      <c r="ISV69" s="62"/>
      <c r="ISW69" s="62"/>
      <c r="ISX69" s="62"/>
      <c r="ISY69" s="62"/>
      <c r="ISZ69" s="62"/>
      <c r="ITA69" s="62"/>
      <c r="ITB69" s="62"/>
      <c r="ITC69" s="62"/>
      <c r="ITD69" s="62"/>
      <c r="ITE69" s="62"/>
      <c r="ITF69" s="62"/>
      <c r="ITG69" s="62"/>
      <c r="ITH69" s="62"/>
      <c r="ITI69" s="62"/>
      <c r="ITJ69" s="62"/>
      <c r="ITK69" s="62"/>
      <c r="ITL69" s="62"/>
      <c r="ITM69" s="62"/>
      <c r="ITN69" s="62"/>
      <c r="ITO69" s="62"/>
      <c r="ITP69" s="62"/>
      <c r="ITQ69" s="62"/>
      <c r="ITR69" s="62"/>
      <c r="ITS69" s="62"/>
      <c r="ITT69" s="62"/>
      <c r="ITU69" s="62"/>
      <c r="ITV69" s="62"/>
      <c r="ITW69" s="62"/>
      <c r="ITX69" s="62"/>
      <c r="ITY69" s="62"/>
      <c r="ITZ69" s="62"/>
      <c r="IUA69" s="62"/>
      <c r="IUB69" s="62"/>
      <c r="IUC69" s="62"/>
      <c r="IUD69" s="62"/>
      <c r="IUE69" s="62"/>
      <c r="IUF69" s="62"/>
      <c r="IUG69" s="62"/>
      <c r="IUH69" s="62"/>
      <c r="IUI69" s="62"/>
      <c r="IUJ69" s="62"/>
      <c r="IUK69" s="62"/>
      <c r="IUL69" s="62"/>
      <c r="IUM69" s="62"/>
      <c r="IUN69" s="62"/>
      <c r="IUO69" s="62"/>
      <c r="IUP69" s="62"/>
      <c r="IUQ69" s="62"/>
      <c r="IUR69" s="62"/>
      <c r="IUS69" s="62"/>
      <c r="IUT69" s="62"/>
      <c r="IUU69" s="62"/>
      <c r="IUV69" s="62"/>
      <c r="IUW69" s="62"/>
      <c r="IUX69" s="62"/>
      <c r="IUY69" s="62"/>
      <c r="IUZ69" s="62"/>
      <c r="IVA69" s="62"/>
      <c r="IVB69" s="62"/>
      <c r="IVC69" s="62"/>
      <c r="IVD69" s="62"/>
      <c r="IVE69" s="62"/>
      <c r="IVF69" s="62"/>
      <c r="IVG69" s="62"/>
      <c r="IVH69" s="62"/>
      <c r="IVI69" s="62"/>
      <c r="IVJ69" s="62"/>
      <c r="IVK69" s="62"/>
      <c r="IVL69" s="62"/>
      <c r="IVM69" s="62"/>
      <c r="IVN69" s="62"/>
      <c r="IVO69" s="62"/>
      <c r="IVP69" s="62"/>
      <c r="IVQ69" s="62"/>
      <c r="IVR69" s="62"/>
      <c r="IVS69" s="62"/>
      <c r="IVT69" s="62"/>
      <c r="IVU69" s="62"/>
      <c r="IVV69" s="62"/>
      <c r="IVW69" s="62"/>
      <c r="IVX69" s="62"/>
      <c r="IVY69" s="62"/>
      <c r="IVZ69" s="62"/>
      <c r="IWA69" s="62"/>
      <c r="IWB69" s="62"/>
      <c r="IWC69" s="62"/>
      <c r="IWD69" s="62"/>
      <c r="IWE69" s="62"/>
      <c r="IWF69" s="62"/>
      <c r="IWG69" s="62"/>
      <c r="IWH69" s="62"/>
      <c r="IWI69" s="62"/>
      <c r="IWJ69" s="62"/>
      <c r="IWK69" s="62"/>
      <c r="IWL69" s="62"/>
      <c r="IWM69" s="62"/>
      <c r="IWN69" s="62"/>
      <c r="IWO69" s="62"/>
      <c r="IWP69" s="62"/>
      <c r="IWQ69" s="62"/>
      <c r="IWR69" s="62"/>
      <c r="IWS69" s="62"/>
      <c r="IWT69" s="62"/>
      <c r="IWU69" s="62"/>
      <c r="IWV69" s="62"/>
      <c r="IWW69" s="62"/>
      <c r="IWX69" s="62"/>
      <c r="IWY69" s="62"/>
      <c r="IWZ69" s="62"/>
      <c r="IXA69" s="62"/>
      <c r="IXB69" s="62"/>
      <c r="IXC69" s="62"/>
      <c r="IXD69" s="62"/>
      <c r="IXE69" s="62"/>
      <c r="IXF69" s="62"/>
      <c r="IXG69" s="62"/>
      <c r="IXH69" s="62"/>
      <c r="IXI69" s="62"/>
      <c r="IXJ69" s="62"/>
      <c r="IXK69" s="62"/>
      <c r="IXL69" s="62"/>
      <c r="IXM69" s="62"/>
      <c r="IXN69" s="62"/>
      <c r="IXO69" s="62"/>
      <c r="IXP69" s="62"/>
      <c r="IXQ69" s="62"/>
      <c r="IXR69" s="62"/>
      <c r="IXS69" s="62"/>
      <c r="IXT69" s="62"/>
      <c r="IXU69" s="62"/>
      <c r="IXV69" s="62"/>
      <c r="IXW69" s="62"/>
      <c r="IXX69" s="62"/>
      <c r="IXY69" s="62"/>
      <c r="IXZ69" s="62"/>
      <c r="IYA69" s="62"/>
      <c r="IYB69" s="62"/>
      <c r="IYC69" s="62"/>
      <c r="IYD69" s="62"/>
      <c r="IYE69" s="62"/>
      <c r="IYF69" s="62"/>
      <c r="IYG69" s="62"/>
      <c r="IYH69" s="62"/>
      <c r="IYI69" s="62"/>
      <c r="IYJ69" s="62"/>
      <c r="IYK69" s="62"/>
      <c r="IYL69" s="62"/>
      <c r="IYM69" s="62"/>
      <c r="IYN69" s="62"/>
      <c r="IYO69" s="62"/>
      <c r="IYP69" s="62"/>
      <c r="IYQ69" s="62"/>
      <c r="IYR69" s="62"/>
      <c r="IYS69" s="62"/>
      <c r="IYT69" s="62"/>
      <c r="IYU69" s="62"/>
      <c r="IYV69" s="62"/>
      <c r="IYW69" s="62"/>
      <c r="IYX69" s="62"/>
      <c r="IYY69" s="62"/>
      <c r="IYZ69" s="62"/>
      <c r="IZA69" s="62"/>
      <c r="IZB69" s="62"/>
      <c r="IZC69" s="62"/>
      <c r="IZD69" s="62"/>
      <c r="IZE69" s="62"/>
      <c r="IZF69" s="62"/>
      <c r="IZG69" s="62"/>
      <c r="IZH69" s="62"/>
      <c r="IZI69" s="62"/>
      <c r="IZJ69" s="62"/>
      <c r="IZK69" s="62"/>
      <c r="IZL69" s="62"/>
      <c r="IZM69" s="62"/>
      <c r="IZN69" s="62"/>
      <c r="IZO69" s="62"/>
      <c r="IZP69" s="62"/>
      <c r="IZQ69" s="62"/>
      <c r="IZR69" s="62"/>
      <c r="IZS69" s="62"/>
      <c r="IZT69" s="62"/>
      <c r="IZU69" s="62"/>
      <c r="IZV69" s="62"/>
      <c r="IZW69" s="62"/>
      <c r="IZX69" s="62"/>
      <c r="IZY69" s="62"/>
      <c r="IZZ69" s="62"/>
      <c r="JAA69" s="62"/>
      <c r="JAB69" s="62"/>
      <c r="JAC69" s="62"/>
      <c r="JAD69" s="62"/>
      <c r="JAE69" s="62"/>
      <c r="JAF69" s="62"/>
      <c r="JAG69" s="62"/>
      <c r="JAH69" s="62"/>
      <c r="JAI69" s="62"/>
      <c r="JAJ69" s="62"/>
      <c r="JAK69" s="62"/>
      <c r="JAL69" s="62"/>
      <c r="JAM69" s="62"/>
      <c r="JAN69" s="62"/>
      <c r="JAO69" s="62"/>
      <c r="JAP69" s="62"/>
      <c r="JAQ69" s="62"/>
      <c r="JAR69" s="62"/>
      <c r="JAS69" s="62"/>
      <c r="JAT69" s="62"/>
      <c r="JAU69" s="62"/>
      <c r="JAV69" s="62"/>
      <c r="JAW69" s="62"/>
      <c r="JAX69" s="62"/>
      <c r="JAY69" s="62"/>
      <c r="JAZ69" s="62"/>
      <c r="JBA69" s="62"/>
      <c r="JBB69" s="62"/>
      <c r="JBC69" s="62"/>
      <c r="JBD69" s="62"/>
      <c r="JBE69" s="62"/>
      <c r="JBF69" s="62"/>
      <c r="JBG69" s="62"/>
      <c r="JBH69" s="62"/>
      <c r="JBI69" s="62"/>
      <c r="JBJ69" s="62"/>
      <c r="JBK69" s="62"/>
      <c r="JBL69" s="62"/>
      <c r="JBM69" s="62"/>
      <c r="JBN69" s="62"/>
      <c r="JBO69" s="62"/>
      <c r="JBP69" s="62"/>
      <c r="JBQ69" s="62"/>
      <c r="JBR69" s="62"/>
      <c r="JBS69" s="62"/>
      <c r="JBT69" s="62"/>
      <c r="JBU69" s="62"/>
      <c r="JBV69" s="62"/>
      <c r="JBW69" s="62"/>
      <c r="JBX69" s="62"/>
      <c r="JBY69" s="62"/>
      <c r="JBZ69" s="62"/>
      <c r="JCA69" s="62"/>
      <c r="JCB69" s="62"/>
      <c r="JCC69" s="62"/>
      <c r="JCD69" s="62"/>
      <c r="JCE69" s="62"/>
      <c r="JCF69" s="62"/>
      <c r="JCG69" s="62"/>
      <c r="JCH69" s="62"/>
      <c r="JCI69" s="62"/>
      <c r="JCJ69" s="62"/>
      <c r="JCK69" s="62"/>
      <c r="JCL69" s="62"/>
      <c r="JCM69" s="62"/>
      <c r="JCN69" s="62"/>
      <c r="JCO69" s="62"/>
      <c r="JCP69" s="62"/>
      <c r="JCQ69" s="62"/>
      <c r="JCR69" s="62"/>
      <c r="JCS69" s="62"/>
      <c r="JCT69" s="62"/>
      <c r="JCU69" s="62"/>
      <c r="JCV69" s="62"/>
      <c r="JCW69" s="62"/>
      <c r="JCX69" s="62"/>
      <c r="JCY69" s="62"/>
      <c r="JCZ69" s="62"/>
      <c r="JDA69" s="62"/>
      <c r="JDB69" s="62"/>
      <c r="JDC69" s="62"/>
      <c r="JDD69" s="62"/>
      <c r="JDE69" s="62"/>
      <c r="JDF69" s="62"/>
      <c r="JDG69" s="62"/>
      <c r="JDH69" s="62"/>
      <c r="JDI69" s="62"/>
      <c r="JDJ69" s="62"/>
      <c r="JDK69" s="62"/>
      <c r="JDL69" s="62"/>
      <c r="JDM69" s="62"/>
      <c r="JDN69" s="62"/>
      <c r="JDO69" s="62"/>
      <c r="JDP69" s="62"/>
      <c r="JDQ69" s="62"/>
      <c r="JDR69" s="62"/>
      <c r="JDS69" s="62"/>
      <c r="JDT69" s="62"/>
      <c r="JDU69" s="62"/>
      <c r="JDV69" s="62"/>
      <c r="JDW69" s="62"/>
      <c r="JDX69" s="62"/>
      <c r="JDY69" s="62"/>
      <c r="JDZ69" s="62"/>
      <c r="JEA69" s="62"/>
      <c r="JEB69" s="62"/>
      <c r="JEC69" s="62"/>
      <c r="JED69" s="62"/>
      <c r="JEE69" s="62"/>
      <c r="JEF69" s="62"/>
      <c r="JEG69" s="62"/>
      <c r="JEH69" s="62"/>
      <c r="JEI69" s="62"/>
      <c r="JEJ69" s="62"/>
      <c r="JEK69" s="62"/>
      <c r="JEL69" s="62"/>
      <c r="JEM69" s="62"/>
      <c r="JEN69" s="62"/>
      <c r="JEO69" s="62"/>
      <c r="JEP69" s="62"/>
      <c r="JEQ69" s="62"/>
      <c r="JER69" s="62"/>
      <c r="JES69" s="62"/>
      <c r="JET69" s="62"/>
      <c r="JEU69" s="62"/>
      <c r="JEV69" s="62"/>
      <c r="JEW69" s="62"/>
      <c r="JEX69" s="62"/>
      <c r="JEY69" s="62"/>
      <c r="JEZ69" s="62"/>
      <c r="JFA69" s="62"/>
      <c r="JFB69" s="62"/>
      <c r="JFC69" s="62"/>
      <c r="JFD69" s="62"/>
      <c r="JFE69" s="62"/>
      <c r="JFF69" s="62"/>
      <c r="JFG69" s="62"/>
      <c r="JFH69" s="62"/>
      <c r="JFI69" s="62"/>
      <c r="JFJ69" s="62"/>
      <c r="JFK69" s="62"/>
      <c r="JFL69" s="62"/>
      <c r="JFM69" s="62"/>
      <c r="JFN69" s="62"/>
      <c r="JFO69" s="62"/>
      <c r="JFP69" s="62"/>
      <c r="JFQ69" s="62"/>
      <c r="JFR69" s="62"/>
      <c r="JFS69" s="62"/>
      <c r="JFT69" s="62"/>
      <c r="JFU69" s="62"/>
      <c r="JFV69" s="62"/>
      <c r="JFW69" s="62"/>
      <c r="JFX69" s="62"/>
      <c r="JFY69" s="62"/>
      <c r="JFZ69" s="62"/>
      <c r="JGA69" s="62"/>
      <c r="JGB69" s="62"/>
      <c r="JGC69" s="62"/>
      <c r="JGD69" s="62"/>
      <c r="JGE69" s="62"/>
      <c r="JGF69" s="62"/>
      <c r="JGG69" s="62"/>
      <c r="JGH69" s="62"/>
      <c r="JGI69" s="62"/>
      <c r="JGJ69" s="62"/>
      <c r="JGK69" s="62"/>
      <c r="JGL69" s="62"/>
      <c r="JGM69" s="62"/>
      <c r="JGN69" s="62"/>
      <c r="JGO69" s="62"/>
      <c r="JGP69" s="62"/>
      <c r="JGQ69" s="62"/>
      <c r="JGR69" s="62"/>
      <c r="JGS69" s="62"/>
      <c r="JGT69" s="62"/>
      <c r="JGU69" s="62"/>
      <c r="JGV69" s="62"/>
      <c r="JGW69" s="62"/>
      <c r="JGX69" s="62"/>
      <c r="JGY69" s="62"/>
      <c r="JGZ69" s="62"/>
      <c r="JHA69" s="62"/>
      <c r="JHB69" s="62"/>
      <c r="JHC69" s="62"/>
      <c r="JHD69" s="62"/>
      <c r="JHE69" s="62"/>
      <c r="JHF69" s="62"/>
      <c r="JHG69" s="62"/>
      <c r="JHH69" s="62"/>
      <c r="JHI69" s="62"/>
      <c r="JHJ69" s="62"/>
      <c r="JHK69" s="62"/>
      <c r="JHL69" s="62"/>
      <c r="JHM69" s="62"/>
      <c r="JHN69" s="62"/>
      <c r="JHO69" s="62"/>
      <c r="JHP69" s="62"/>
      <c r="JHQ69" s="62"/>
      <c r="JHR69" s="62"/>
      <c r="JHS69" s="62"/>
      <c r="JHT69" s="62"/>
      <c r="JHU69" s="62"/>
      <c r="JHV69" s="62"/>
      <c r="JHW69" s="62"/>
      <c r="JHX69" s="62"/>
      <c r="JHY69" s="62"/>
      <c r="JHZ69" s="62"/>
      <c r="JIA69" s="62"/>
      <c r="JIB69" s="62"/>
      <c r="JIC69" s="62"/>
      <c r="JID69" s="62"/>
      <c r="JIE69" s="62"/>
      <c r="JIF69" s="62"/>
      <c r="JIG69" s="62"/>
      <c r="JIH69" s="62"/>
      <c r="JII69" s="62"/>
      <c r="JIJ69" s="62"/>
      <c r="JIK69" s="62"/>
      <c r="JIL69" s="62"/>
      <c r="JIM69" s="62"/>
      <c r="JIN69" s="62"/>
      <c r="JIO69" s="62"/>
      <c r="JIP69" s="62"/>
      <c r="JIQ69" s="62"/>
      <c r="JIR69" s="62"/>
      <c r="JIS69" s="62"/>
      <c r="JIT69" s="62"/>
      <c r="JIU69" s="62"/>
      <c r="JIV69" s="62"/>
      <c r="JIW69" s="62"/>
      <c r="JIX69" s="62"/>
      <c r="JIY69" s="62"/>
      <c r="JIZ69" s="62"/>
      <c r="JJA69" s="62"/>
      <c r="JJB69" s="62"/>
      <c r="JJC69" s="62"/>
      <c r="JJD69" s="62"/>
      <c r="JJE69" s="62"/>
      <c r="JJF69" s="62"/>
      <c r="JJG69" s="62"/>
      <c r="JJH69" s="62"/>
      <c r="JJI69" s="62"/>
      <c r="JJJ69" s="62"/>
      <c r="JJK69" s="62"/>
      <c r="JJL69" s="62"/>
      <c r="JJM69" s="62"/>
      <c r="JJN69" s="62"/>
      <c r="JJO69" s="62"/>
      <c r="JJP69" s="62"/>
      <c r="JJQ69" s="62"/>
      <c r="JJR69" s="62"/>
      <c r="JJS69" s="62"/>
      <c r="JJT69" s="62"/>
      <c r="JJU69" s="62"/>
      <c r="JJV69" s="62"/>
      <c r="JJW69" s="62"/>
      <c r="JJX69" s="62"/>
      <c r="JJY69" s="62"/>
      <c r="JJZ69" s="62"/>
      <c r="JKA69" s="62"/>
      <c r="JKB69" s="62"/>
      <c r="JKC69" s="62"/>
      <c r="JKD69" s="62"/>
      <c r="JKE69" s="62"/>
      <c r="JKF69" s="62"/>
      <c r="JKG69" s="62"/>
      <c r="JKH69" s="62"/>
      <c r="JKI69" s="62"/>
      <c r="JKJ69" s="62"/>
      <c r="JKK69" s="62"/>
      <c r="JKL69" s="62"/>
      <c r="JKM69" s="62"/>
      <c r="JKN69" s="62"/>
      <c r="JKO69" s="62"/>
      <c r="JKP69" s="62"/>
      <c r="JKQ69" s="62"/>
      <c r="JKR69" s="62"/>
      <c r="JKS69" s="62"/>
      <c r="JKT69" s="62"/>
      <c r="JKU69" s="62"/>
      <c r="JKV69" s="62"/>
      <c r="JKW69" s="62"/>
      <c r="JKX69" s="62"/>
      <c r="JKY69" s="62"/>
      <c r="JKZ69" s="62"/>
      <c r="JLA69" s="62"/>
      <c r="JLB69" s="62"/>
      <c r="JLC69" s="62"/>
      <c r="JLD69" s="62"/>
      <c r="JLE69" s="62"/>
      <c r="JLF69" s="62"/>
      <c r="JLG69" s="62"/>
      <c r="JLH69" s="62"/>
      <c r="JLI69" s="62"/>
      <c r="JLJ69" s="62"/>
      <c r="JLK69" s="62"/>
      <c r="JLL69" s="62"/>
      <c r="JLM69" s="62"/>
      <c r="JLN69" s="62"/>
      <c r="JLO69" s="62"/>
      <c r="JLP69" s="62"/>
      <c r="JLQ69" s="62"/>
      <c r="JLR69" s="62"/>
      <c r="JLS69" s="62"/>
      <c r="JLT69" s="62"/>
      <c r="JLU69" s="62"/>
      <c r="JLV69" s="62"/>
      <c r="JLW69" s="62"/>
      <c r="JLX69" s="62"/>
      <c r="JLY69" s="62"/>
      <c r="JLZ69" s="62"/>
      <c r="JMA69" s="62"/>
      <c r="JMB69" s="62"/>
      <c r="JMC69" s="62"/>
      <c r="JMD69" s="62"/>
      <c r="JME69" s="62"/>
      <c r="JMF69" s="62"/>
      <c r="JMG69" s="62"/>
      <c r="JMH69" s="62"/>
      <c r="JMI69" s="62"/>
      <c r="JMJ69" s="62"/>
      <c r="JMK69" s="62"/>
      <c r="JML69" s="62"/>
      <c r="JMM69" s="62"/>
      <c r="JMN69" s="62"/>
      <c r="JMO69" s="62"/>
      <c r="JMP69" s="62"/>
      <c r="JMQ69" s="62"/>
      <c r="JMR69" s="62"/>
      <c r="JMS69" s="62"/>
      <c r="JMT69" s="62"/>
      <c r="JMU69" s="62"/>
      <c r="JMV69" s="62"/>
      <c r="JMW69" s="62"/>
      <c r="JMX69" s="62"/>
      <c r="JMY69" s="62"/>
      <c r="JMZ69" s="62"/>
      <c r="JNA69" s="62"/>
      <c r="JNB69" s="62"/>
      <c r="JNC69" s="62"/>
      <c r="JND69" s="62"/>
      <c r="JNE69" s="62"/>
      <c r="JNF69" s="62"/>
      <c r="JNG69" s="62"/>
      <c r="JNH69" s="62"/>
      <c r="JNI69" s="62"/>
      <c r="JNJ69" s="62"/>
      <c r="JNK69" s="62"/>
      <c r="JNL69" s="62"/>
      <c r="JNM69" s="62"/>
      <c r="JNN69" s="62"/>
      <c r="JNO69" s="62"/>
      <c r="JNP69" s="62"/>
      <c r="JNQ69" s="62"/>
      <c r="JNR69" s="62"/>
      <c r="JNS69" s="62"/>
      <c r="JNT69" s="62"/>
      <c r="JNU69" s="62"/>
      <c r="JNV69" s="62"/>
      <c r="JNW69" s="62"/>
      <c r="JNX69" s="62"/>
      <c r="JNY69" s="62"/>
      <c r="JNZ69" s="62"/>
      <c r="JOA69" s="62"/>
      <c r="JOB69" s="62"/>
      <c r="JOC69" s="62"/>
      <c r="JOD69" s="62"/>
      <c r="JOE69" s="62"/>
      <c r="JOF69" s="62"/>
      <c r="JOG69" s="62"/>
      <c r="JOH69" s="62"/>
      <c r="JOI69" s="62"/>
      <c r="JOJ69" s="62"/>
      <c r="JOK69" s="62"/>
      <c r="JOL69" s="62"/>
      <c r="JOM69" s="62"/>
      <c r="JON69" s="62"/>
      <c r="JOO69" s="62"/>
      <c r="JOP69" s="62"/>
      <c r="JOQ69" s="62"/>
      <c r="JOR69" s="62"/>
      <c r="JOS69" s="62"/>
      <c r="JOT69" s="62"/>
      <c r="JOU69" s="62"/>
      <c r="JOV69" s="62"/>
      <c r="JOW69" s="62"/>
      <c r="JOX69" s="62"/>
      <c r="JOY69" s="62"/>
      <c r="JOZ69" s="62"/>
      <c r="JPA69" s="62"/>
      <c r="JPB69" s="62"/>
      <c r="JPC69" s="62"/>
      <c r="JPD69" s="62"/>
      <c r="JPE69" s="62"/>
      <c r="JPF69" s="62"/>
      <c r="JPG69" s="62"/>
      <c r="JPH69" s="62"/>
      <c r="JPI69" s="62"/>
      <c r="JPJ69" s="62"/>
      <c r="JPK69" s="62"/>
      <c r="JPL69" s="62"/>
      <c r="JPM69" s="62"/>
      <c r="JPN69" s="62"/>
      <c r="JPO69" s="62"/>
      <c r="JPP69" s="62"/>
      <c r="JPQ69" s="62"/>
      <c r="JPR69" s="62"/>
      <c r="JPS69" s="62"/>
      <c r="JPT69" s="62"/>
      <c r="JPU69" s="62"/>
      <c r="JPV69" s="62"/>
      <c r="JPW69" s="62"/>
      <c r="JPX69" s="62"/>
      <c r="JPY69" s="62"/>
      <c r="JPZ69" s="62"/>
      <c r="JQA69" s="62"/>
      <c r="JQB69" s="62"/>
      <c r="JQC69" s="62"/>
      <c r="JQD69" s="62"/>
      <c r="JQE69" s="62"/>
      <c r="JQF69" s="62"/>
      <c r="JQG69" s="62"/>
      <c r="JQH69" s="62"/>
      <c r="JQI69" s="62"/>
      <c r="JQJ69" s="62"/>
      <c r="JQK69" s="62"/>
      <c r="JQL69" s="62"/>
      <c r="JQM69" s="62"/>
      <c r="JQN69" s="62"/>
      <c r="JQO69" s="62"/>
      <c r="JQP69" s="62"/>
      <c r="JQQ69" s="62"/>
      <c r="JQR69" s="62"/>
      <c r="JQS69" s="62"/>
      <c r="JQT69" s="62"/>
      <c r="JQU69" s="62"/>
      <c r="JQV69" s="62"/>
      <c r="JQW69" s="62"/>
      <c r="JQX69" s="62"/>
      <c r="JQY69" s="62"/>
      <c r="JQZ69" s="62"/>
      <c r="JRA69" s="62"/>
      <c r="JRB69" s="62"/>
      <c r="JRC69" s="62"/>
      <c r="JRD69" s="62"/>
      <c r="JRE69" s="62"/>
      <c r="JRF69" s="62"/>
      <c r="JRG69" s="62"/>
      <c r="JRH69" s="62"/>
      <c r="JRI69" s="62"/>
      <c r="JRJ69" s="62"/>
      <c r="JRK69" s="62"/>
      <c r="JRL69" s="62"/>
      <c r="JRM69" s="62"/>
      <c r="JRN69" s="62"/>
      <c r="JRO69" s="62"/>
      <c r="JRP69" s="62"/>
      <c r="JRQ69" s="62"/>
      <c r="JRR69" s="62"/>
      <c r="JRS69" s="62"/>
      <c r="JRT69" s="62"/>
      <c r="JRU69" s="62"/>
      <c r="JRV69" s="62"/>
      <c r="JRW69" s="62"/>
      <c r="JRX69" s="62"/>
      <c r="JRY69" s="62"/>
      <c r="JRZ69" s="62"/>
      <c r="JSA69" s="62"/>
      <c r="JSB69" s="62"/>
      <c r="JSC69" s="62"/>
      <c r="JSD69" s="62"/>
      <c r="JSE69" s="62"/>
      <c r="JSF69" s="62"/>
      <c r="JSG69" s="62"/>
      <c r="JSH69" s="62"/>
      <c r="JSI69" s="62"/>
      <c r="JSJ69" s="62"/>
      <c r="JSK69" s="62"/>
      <c r="JSL69" s="62"/>
      <c r="JSM69" s="62"/>
      <c r="JSN69" s="62"/>
      <c r="JSO69" s="62"/>
      <c r="JSP69" s="62"/>
      <c r="JSQ69" s="62"/>
      <c r="JSR69" s="62"/>
      <c r="JSS69" s="62"/>
      <c r="JST69" s="62"/>
      <c r="JSU69" s="62"/>
      <c r="JSV69" s="62"/>
      <c r="JSW69" s="62"/>
      <c r="JSX69" s="62"/>
      <c r="JSY69" s="62"/>
      <c r="JSZ69" s="62"/>
      <c r="JTA69" s="62"/>
      <c r="JTB69" s="62"/>
      <c r="JTC69" s="62"/>
      <c r="JTD69" s="62"/>
      <c r="JTE69" s="62"/>
      <c r="JTF69" s="62"/>
      <c r="JTG69" s="62"/>
      <c r="JTH69" s="62"/>
      <c r="JTI69" s="62"/>
      <c r="JTJ69" s="62"/>
      <c r="JTK69" s="62"/>
      <c r="JTL69" s="62"/>
      <c r="JTM69" s="62"/>
      <c r="JTN69" s="62"/>
      <c r="JTO69" s="62"/>
      <c r="JTP69" s="62"/>
      <c r="JTQ69" s="62"/>
      <c r="JTR69" s="62"/>
      <c r="JTS69" s="62"/>
      <c r="JTT69" s="62"/>
      <c r="JTU69" s="62"/>
      <c r="JTV69" s="62"/>
      <c r="JTW69" s="62"/>
      <c r="JTX69" s="62"/>
      <c r="JTY69" s="62"/>
      <c r="JTZ69" s="62"/>
      <c r="JUA69" s="62"/>
      <c r="JUB69" s="62"/>
      <c r="JUC69" s="62"/>
      <c r="JUD69" s="62"/>
      <c r="JUE69" s="62"/>
      <c r="JUF69" s="62"/>
      <c r="JUG69" s="62"/>
      <c r="JUH69" s="62"/>
      <c r="JUI69" s="62"/>
      <c r="JUJ69" s="62"/>
      <c r="JUK69" s="62"/>
      <c r="JUL69" s="62"/>
      <c r="JUM69" s="62"/>
      <c r="JUN69" s="62"/>
      <c r="JUO69" s="62"/>
      <c r="JUP69" s="62"/>
      <c r="JUQ69" s="62"/>
      <c r="JUR69" s="62"/>
      <c r="JUS69" s="62"/>
      <c r="JUT69" s="62"/>
      <c r="JUU69" s="62"/>
      <c r="JUV69" s="62"/>
      <c r="JUW69" s="62"/>
      <c r="JUX69" s="62"/>
      <c r="JUY69" s="62"/>
      <c r="JUZ69" s="62"/>
      <c r="JVA69" s="62"/>
      <c r="JVB69" s="62"/>
      <c r="JVC69" s="62"/>
      <c r="JVD69" s="62"/>
      <c r="JVE69" s="62"/>
      <c r="JVF69" s="62"/>
      <c r="JVG69" s="62"/>
      <c r="JVH69" s="62"/>
      <c r="JVI69" s="62"/>
      <c r="JVJ69" s="62"/>
      <c r="JVK69" s="62"/>
      <c r="JVL69" s="62"/>
      <c r="JVM69" s="62"/>
      <c r="JVN69" s="62"/>
      <c r="JVO69" s="62"/>
      <c r="JVP69" s="62"/>
      <c r="JVQ69" s="62"/>
      <c r="JVR69" s="62"/>
      <c r="JVS69" s="62"/>
      <c r="JVT69" s="62"/>
      <c r="JVU69" s="62"/>
      <c r="JVV69" s="62"/>
      <c r="JVW69" s="62"/>
      <c r="JVX69" s="62"/>
      <c r="JVY69" s="62"/>
      <c r="JVZ69" s="62"/>
      <c r="JWA69" s="62"/>
      <c r="JWB69" s="62"/>
      <c r="JWC69" s="62"/>
      <c r="JWD69" s="62"/>
      <c r="JWE69" s="62"/>
      <c r="JWF69" s="62"/>
      <c r="JWG69" s="62"/>
      <c r="JWH69" s="62"/>
      <c r="JWI69" s="62"/>
      <c r="JWJ69" s="62"/>
      <c r="JWK69" s="62"/>
      <c r="JWL69" s="62"/>
      <c r="JWM69" s="62"/>
      <c r="JWN69" s="62"/>
      <c r="JWO69" s="62"/>
      <c r="JWP69" s="62"/>
      <c r="JWQ69" s="62"/>
      <c r="JWR69" s="62"/>
      <c r="JWS69" s="62"/>
      <c r="JWT69" s="62"/>
      <c r="JWU69" s="62"/>
      <c r="JWV69" s="62"/>
      <c r="JWW69" s="62"/>
      <c r="JWX69" s="62"/>
      <c r="JWY69" s="62"/>
      <c r="JWZ69" s="62"/>
      <c r="JXA69" s="62"/>
      <c r="JXB69" s="62"/>
      <c r="JXC69" s="62"/>
      <c r="JXD69" s="62"/>
      <c r="JXE69" s="62"/>
      <c r="JXF69" s="62"/>
      <c r="JXG69" s="62"/>
      <c r="JXH69" s="62"/>
      <c r="JXI69" s="62"/>
      <c r="JXJ69" s="62"/>
      <c r="JXK69" s="62"/>
      <c r="JXL69" s="62"/>
      <c r="JXM69" s="62"/>
      <c r="JXN69" s="62"/>
      <c r="JXO69" s="62"/>
      <c r="JXP69" s="62"/>
      <c r="JXQ69" s="62"/>
      <c r="JXR69" s="62"/>
      <c r="JXS69" s="62"/>
      <c r="JXT69" s="62"/>
      <c r="JXU69" s="62"/>
      <c r="JXV69" s="62"/>
      <c r="JXW69" s="62"/>
      <c r="JXX69" s="62"/>
      <c r="JXY69" s="62"/>
      <c r="JXZ69" s="62"/>
      <c r="JYA69" s="62"/>
      <c r="JYB69" s="62"/>
      <c r="JYC69" s="62"/>
      <c r="JYD69" s="62"/>
      <c r="JYE69" s="62"/>
      <c r="JYF69" s="62"/>
      <c r="JYG69" s="62"/>
      <c r="JYH69" s="62"/>
      <c r="JYI69" s="62"/>
      <c r="JYJ69" s="62"/>
      <c r="JYK69" s="62"/>
      <c r="JYL69" s="62"/>
      <c r="JYM69" s="62"/>
      <c r="JYN69" s="62"/>
      <c r="JYO69" s="62"/>
      <c r="JYP69" s="62"/>
      <c r="JYQ69" s="62"/>
      <c r="JYR69" s="62"/>
      <c r="JYS69" s="62"/>
      <c r="JYT69" s="62"/>
      <c r="JYU69" s="62"/>
      <c r="JYV69" s="62"/>
      <c r="JYW69" s="62"/>
      <c r="JYX69" s="62"/>
      <c r="JYY69" s="62"/>
      <c r="JYZ69" s="62"/>
      <c r="JZA69" s="62"/>
      <c r="JZB69" s="62"/>
      <c r="JZC69" s="62"/>
      <c r="JZD69" s="62"/>
      <c r="JZE69" s="62"/>
      <c r="JZF69" s="62"/>
      <c r="JZG69" s="62"/>
      <c r="JZH69" s="62"/>
      <c r="JZI69" s="62"/>
      <c r="JZJ69" s="62"/>
      <c r="JZK69" s="62"/>
      <c r="JZL69" s="62"/>
      <c r="JZM69" s="62"/>
      <c r="JZN69" s="62"/>
      <c r="JZO69" s="62"/>
      <c r="JZP69" s="62"/>
      <c r="JZQ69" s="62"/>
      <c r="JZR69" s="62"/>
      <c r="JZS69" s="62"/>
      <c r="JZT69" s="62"/>
      <c r="JZU69" s="62"/>
      <c r="JZV69" s="62"/>
      <c r="JZW69" s="62"/>
      <c r="JZX69" s="62"/>
      <c r="JZY69" s="62"/>
      <c r="JZZ69" s="62"/>
      <c r="KAA69" s="62"/>
      <c r="KAB69" s="62"/>
      <c r="KAC69" s="62"/>
      <c r="KAD69" s="62"/>
      <c r="KAE69" s="62"/>
      <c r="KAF69" s="62"/>
      <c r="KAG69" s="62"/>
      <c r="KAH69" s="62"/>
      <c r="KAI69" s="62"/>
      <c r="KAJ69" s="62"/>
      <c r="KAK69" s="62"/>
      <c r="KAL69" s="62"/>
      <c r="KAM69" s="62"/>
      <c r="KAN69" s="62"/>
      <c r="KAO69" s="62"/>
      <c r="KAP69" s="62"/>
      <c r="KAQ69" s="62"/>
      <c r="KAR69" s="62"/>
      <c r="KAS69" s="62"/>
      <c r="KAT69" s="62"/>
      <c r="KAU69" s="62"/>
      <c r="KAV69" s="62"/>
      <c r="KAW69" s="62"/>
      <c r="KAX69" s="62"/>
      <c r="KAY69" s="62"/>
      <c r="KAZ69" s="62"/>
      <c r="KBA69" s="62"/>
      <c r="KBB69" s="62"/>
      <c r="KBC69" s="62"/>
      <c r="KBD69" s="62"/>
      <c r="KBE69" s="62"/>
      <c r="KBF69" s="62"/>
      <c r="KBG69" s="62"/>
      <c r="KBH69" s="62"/>
      <c r="KBI69" s="62"/>
      <c r="KBJ69" s="62"/>
      <c r="KBK69" s="62"/>
      <c r="KBL69" s="62"/>
      <c r="KBM69" s="62"/>
      <c r="KBN69" s="62"/>
      <c r="KBO69" s="62"/>
      <c r="KBP69" s="62"/>
      <c r="KBQ69" s="62"/>
      <c r="KBR69" s="62"/>
      <c r="KBS69" s="62"/>
      <c r="KBT69" s="62"/>
      <c r="KBU69" s="62"/>
      <c r="KBV69" s="62"/>
      <c r="KBW69" s="62"/>
      <c r="KBX69" s="62"/>
      <c r="KBY69" s="62"/>
      <c r="KBZ69" s="62"/>
      <c r="KCA69" s="62"/>
      <c r="KCB69" s="62"/>
      <c r="KCC69" s="62"/>
      <c r="KCD69" s="62"/>
      <c r="KCE69" s="62"/>
      <c r="KCF69" s="62"/>
      <c r="KCG69" s="62"/>
      <c r="KCH69" s="62"/>
      <c r="KCI69" s="62"/>
      <c r="KCJ69" s="62"/>
      <c r="KCK69" s="62"/>
      <c r="KCL69" s="62"/>
      <c r="KCM69" s="62"/>
      <c r="KCN69" s="62"/>
      <c r="KCO69" s="62"/>
      <c r="KCP69" s="62"/>
      <c r="KCQ69" s="62"/>
      <c r="KCR69" s="62"/>
      <c r="KCS69" s="62"/>
      <c r="KCT69" s="62"/>
      <c r="KCU69" s="62"/>
      <c r="KCV69" s="62"/>
      <c r="KCW69" s="62"/>
      <c r="KCX69" s="62"/>
      <c r="KCY69" s="62"/>
      <c r="KCZ69" s="62"/>
      <c r="KDA69" s="62"/>
      <c r="KDB69" s="62"/>
      <c r="KDC69" s="62"/>
      <c r="KDD69" s="62"/>
      <c r="KDE69" s="62"/>
      <c r="KDF69" s="62"/>
      <c r="KDG69" s="62"/>
      <c r="KDH69" s="62"/>
      <c r="KDI69" s="62"/>
      <c r="KDJ69" s="62"/>
      <c r="KDK69" s="62"/>
      <c r="KDL69" s="62"/>
      <c r="KDM69" s="62"/>
      <c r="KDN69" s="62"/>
      <c r="KDO69" s="62"/>
      <c r="KDP69" s="62"/>
      <c r="KDQ69" s="62"/>
      <c r="KDR69" s="62"/>
      <c r="KDS69" s="62"/>
      <c r="KDT69" s="62"/>
      <c r="KDU69" s="62"/>
      <c r="KDV69" s="62"/>
      <c r="KDW69" s="62"/>
      <c r="KDX69" s="62"/>
      <c r="KDY69" s="62"/>
      <c r="KDZ69" s="62"/>
      <c r="KEA69" s="62"/>
      <c r="KEB69" s="62"/>
      <c r="KEC69" s="62"/>
      <c r="KED69" s="62"/>
      <c r="KEE69" s="62"/>
      <c r="KEF69" s="62"/>
      <c r="KEG69" s="62"/>
      <c r="KEH69" s="62"/>
      <c r="KEI69" s="62"/>
      <c r="KEJ69" s="62"/>
      <c r="KEK69" s="62"/>
      <c r="KEL69" s="62"/>
      <c r="KEM69" s="62"/>
      <c r="KEN69" s="62"/>
      <c r="KEO69" s="62"/>
      <c r="KEP69" s="62"/>
      <c r="KEQ69" s="62"/>
      <c r="KER69" s="62"/>
      <c r="KES69" s="62"/>
      <c r="KET69" s="62"/>
      <c r="KEU69" s="62"/>
      <c r="KEV69" s="62"/>
      <c r="KEW69" s="62"/>
      <c r="KEX69" s="62"/>
      <c r="KEY69" s="62"/>
      <c r="KEZ69" s="62"/>
      <c r="KFA69" s="62"/>
      <c r="KFB69" s="62"/>
      <c r="KFC69" s="62"/>
      <c r="KFD69" s="62"/>
      <c r="KFE69" s="62"/>
      <c r="KFF69" s="62"/>
      <c r="KFG69" s="62"/>
      <c r="KFH69" s="62"/>
      <c r="KFI69" s="62"/>
      <c r="KFJ69" s="62"/>
      <c r="KFK69" s="62"/>
      <c r="KFL69" s="62"/>
      <c r="KFM69" s="62"/>
      <c r="KFN69" s="62"/>
      <c r="KFO69" s="62"/>
      <c r="KFP69" s="62"/>
      <c r="KFQ69" s="62"/>
      <c r="KFR69" s="62"/>
      <c r="KFS69" s="62"/>
      <c r="KFT69" s="62"/>
      <c r="KFU69" s="62"/>
      <c r="KFV69" s="62"/>
      <c r="KFW69" s="62"/>
      <c r="KFX69" s="62"/>
      <c r="KFY69" s="62"/>
      <c r="KFZ69" s="62"/>
      <c r="KGA69" s="62"/>
      <c r="KGB69" s="62"/>
      <c r="KGC69" s="62"/>
      <c r="KGD69" s="62"/>
      <c r="KGE69" s="62"/>
      <c r="KGF69" s="62"/>
      <c r="KGG69" s="62"/>
      <c r="KGH69" s="62"/>
      <c r="KGI69" s="62"/>
      <c r="KGJ69" s="62"/>
      <c r="KGK69" s="62"/>
      <c r="KGL69" s="62"/>
      <c r="KGM69" s="62"/>
      <c r="KGN69" s="62"/>
      <c r="KGO69" s="62"/>
      <c r="KGP69" s="62"/>
      <c r="KGQ69" s="62"/>
      <c r="KGR69" s="62"/>
      <c r="KGS69" s="62"/>
      <c r="KGT69" s="62"/>
      <c r="KGU69" s="62"/>
      <c r="KGV69" s="62"/>
      <c r="KGW69" s="62"/>
      <c r="KGX69" s="62"/>
      <c r="KGY69" s="62"/>
      <c r="KGZ69" s="62"/>
      <c r="KHA69" s="62"/>
      <c r="KHB69" s="62"/>
      <c r="KHC69" s="62"/>
      <c r="KHD69" s="62"/>
      <c r="KHE69" s="62"/>
      <c r="KHF69" s="62"/>
      <c r="KHG69" s="62"/>
      <c r="KHH69" s="62"/>
      <c r="KHI69" s="62"/>
      <c r="KHJ69" s="62"/>
      <c r="KHK69" s="62"/>
      <c r="KHL69" s="62"/>
      <c r="KHM69" s="62"/>
      <c r="KHN69" s="62"/>
      <c r="KHO69" s="62"/>
      <c r="KHP69" s="62"/>
      <c r="KHQ69" s="62"/>
      <c r="KHR69" s="62"/>
      <c r="KHS69" s="62"/>
      <c r="KHT69" s="62"/>
      <c r="KHU69" s="62"/>
      <c r="KHV69" s="62"/>
      <c r="KHW69" s="62"/>
      <c r="KHX69" s="62"/>
      <c r="KHY69" s="62"/>
      <c r="KHZ69" s="62"/>
      <c r="KIA69" s="62"/>
      <c r="KIB69" s="62"/>
      <c r="KIC69" s="62"/>
      <c r="KID69" s="62"/>
      <c r="KIE69" s="62"/>
      <c r="KIF69" s="62"/>
      <c r="KIG69" s="62"/>
      <c r="KIH69" s="62"/>
      <c r="KII69" s="62"/>
      <c r="KIJ69" s="62"/>
      <c r="KIK69" s="62"/>
      <c r="KIL69" s="62"/>
      <c r="KIM69" s="62"/>
      <c r="KIN69" s="62"/>
      <c r="KIO69" s="62"/>
      <c r="KIP69" s="62"/>
      <c r="KIQ69" s="62"/>
      <c r="KIR69" s="62"/>
      <c r="KIS69" s="62"/>
      <c r="KIT69" s="62"/>
      <c r="KIU69" s="62"/>
      <c r="KIV69" s="62"/>
      <c r="KIW69" s="62"/>
      <c r="KIX69" s="62"/>
      <c r="KIY69" s="62"/>
      <c r="KIZ69" s="62"/>
      <c r="KJA69" s="62"/>
      <c r="KJB69" s="62"/>
      <c r="KJC69" s="62"/>
      <c r="KJD69" s="62"/>
      <c r="KJE69" s="62"/>
      <c r="KJF69" s="62"/>
      <c r="KJG69" s="62"/>
      <c r="KJH69" s="62"/>
      <c r="KJI69" s="62"/>
      <c r="KJJ69" s="62"/>
      <c r="KJK69" s="62"/>
      <c r="KJL69" s="62"/>
      <c r="KJM69" s="62"/>
      <c r="KJN69" s="62"/>
      <c r="KJO69" s="62"/>
      <c r="KJP69" s="62"/>
      <c r="KJQ69" s="62"/>
      <c r="KJR69" s="62"/>
      <c r="KJS69" s="62"/>
      <c r="KJT69" s="62"/>
      <c r="KJU69" s="62"/>
      <c r="KJV69" s="62"/>
      <c r="KJW69" s="62"/>
      <c r="KJX69" s="62"/>
      <c r="KJY69" s="62"/>
      <c r="KJZ69" s="62"/>
      <c r="KKA69" s="62"/>
      <c r="KKB69" s="62"/>
      <c r="KKC69" s="62"/>
      <c r="KKD69" s="62"/>
      <c r="KKE69" s="62"/>
      <c r="KKF69" s="62"/>
      <c r="KKG69" s="62"/>
      <c r="KKH69" s="62"/>
      <c r="KKI69" s="62"/>
      <c r="KKJ69" s="62"/>
      <c r="KKK69" s="62"/>
      <c r="KKL69" s="62"/>
      <c r="KKM69" s="62"/>
      <c r="KKN69" s="62"/>
      <c r="KKO69" s="62"/>
      <c r="KKP69" s="62"/>
      <c r="KKQ69" s="62"/>
      <c r="KKR69" s="62"/>
      <c r="KKS69" s="62"/>
      <c r="KKT69" s="62"/>
      <c r="KKU69" s="62"/>
      <c r="KKV69" s="62"/>
      <c r="KKW69" s="62"/>
      <c r="KKX69" s="62"/>
      <c r="KKY69" s="62"/>
      <c r="KKZ69" s="62"/>
      <c r="KLA69" s="62"/>
      <c r="KLB69" s="62"/>
      <c r="KLC69" s="62"/>
      <c r="KLD69" s="62"/>
      <c r="KLE69" s="62"/>
      <c r="KLF69" s="62"/>
      <c r="KLG69" s="62"/>
      <c r="KLH69" s="62"/>
      <c r="KLI69" s="62"/>
      <c r="KLJ69" s="62"/>
      <c r="KLK69" s="62"/>
      <c r="KLL69" s="62"/>
      <c r="KLM69" s="62"/>
      <c r="KLN69" s="62"/>
      <c r="KLO69" s="62"/>
      <c r="KLP69" s="62"/>
      <c r="KLQ69" s="62"/>
      <c r="KLR69" s="62"/>
      <c r="KLS69" s="62"/>
      <c r="KLT69" s="62"/>
      <c r="KLU69" s="62"/>
      <c r="KLV69" s="62"/>
      <c r="KLW69" s="62"/>
      <c r="KLX69" s="62"/>
      <c r="KLY69" s="62"/>
      <c r="KLZ69" s="62"/>
      <c r="KMA69" s="62"/>
      <c r="KMB69" s="62"/>
      <c r="KMC69" s="62"/>
      <c r="KMD69" s="62"/>
      <c r="KME69" s="62"/>
      <c r="KMF69" s="62"/>
      <c r="KMG69" s="62"/>
      <c r="KMH69" s="62"/>
      <c r="KMI69" s="62"/>
      <c r="KMJ69" s="62"/>
      <c r="KMK69" s="62"/>
      <c r="KML69" s="62"/>
      <c r="KMM69" s="62"/>
      <c r="KMN69" s="62"/>
      <c r="KMO69" s="62"/>
      <c r="KMP69" s="62"/>
      <c r="KMQ69" s="62"/>
      <c r="KMR69" s="62"/>
      <c r="KMS69" s="62"/>
      <c r="KMT69" s="62"/>
      <c r="KMU69" s="62"/>
      <c r="KMV69" s="62"/>
      <c r="KMW69" s="62"/>
      <c r="KMX69" s="62"/>
      <c r="KMY69" s="62"/>
      <c r="KMZ69" s="62"/>
      <c r="KNA69" s="62"/>
      <c r="KNB69" s="62"/>
      <c r="KNC69" s="62"/>
      <c r="KND69" s="62"/>
      <c r="KNE69" s="62"/>
      <c r="KNF69" s="62"/>
      <c r="KNG69" s="62"/>
      <c r="KNH69" s="62"/>
      <c r="KNI69" s="62"/>
      <c r="KNJ69" s="62"/>
      <c r="KNK69" s="62"/>
      <c r="KNL69" s="62"/>
      <c r="KNM69" s="62"/>
      <c r="KNN69" s="62"/>
      <c r="KNO69" s="62"/>
      <c r="KNP69" s="62"/>
      <c r="KNQ69" s="62"/>
      <c r="KNR69" s="62"/>
      <c r="KNS69" s="62"/>
      <c r="KNT69" s="62"/>
      <c r="KNU69" s="62"/>
      <c r="KNV69" s="62"/>
      <c r="KNW69" s="62"/>
      <c r="KNX69" s="62"/>
      <c r="KNY69" s="62"/>
      <c r="KNZ69" s="62"/>
      <c r="KOA69" s="62"/>
      <c r="KOB69" s="62"/>
      <c r="KOC69" s="62"/>
      <c r="KOD69" s="62"/>
      <c r="KOE69" s="62"/>
      <c r="KOF69" s="62"/>
      <c r="KOG69" s="62"/>
      <c r="KOH69" s="62"/>
      <c r="KOI69" s="62"/>
      <c r="KOJ69" s="62"/>
      <c r="KOK69" s="62"/>
      <c r="KOL69" s="62"/>
      <c r="KOM69" s="62"/>
      <c r="KON69" s="62"/>
      <c r="KOO69" s="62"/>
      <c r="KOP69" s="62"/>
      <c r="KOQ69" s="62"/>
      <c r="KOR69" s="62"/>
      <c r="KOS69" s="62"/>
      <c r="KOT69" s="62"/>
      <c r="KOU69" s="62"/>
      <c r="KOV69" s="62"/>
      <c r="KOW69" s="62"/>
      <c r="KOX69" s="62"/>
      <c r="KOY69" s="62"/>
      <c r="KOZ69" s="62"/>
      <c r="KPA69" s="62"/>
      <c r="KPB69" s="62"/>
      <c r="KPC69" s="62"/>
      <c r="KPD69" s="62"/>
      <c r="KPE69" s="62"/>
      <c r="KPF69" s="62"/>
      <c r="KPG69" s="62"/>
      <c r="KPH69" s="62"/>
      <c r="KPI69" s="62"/>
      <c r="KPJ69" s="62"/>
      <c r="KPK69" s="62"/>
      <c r="KPL69" s="62"/>
      <c r="KPM69" s="62"/>
      <c r="KPN69" s="62"/>
      <c r="KPO69" s="62"/>
      <c r="KPP69" s="62"/>
      <c r="KPQ69" s="62"/>
      <c r="KPR69" s="62"/>
      <c r="KPS69" s="62"/>
      <c r="KPT69" s="62"/>
      <c r="KPU69" s="62"/>
      <c r="KPV69" s="62"/>
      <c r="KPW69" s="62"/>
      <c r="KPX69" s="62"/>
      <c r="KPY69" s="62"/>
      <c r="KPZ69" s="62"/>
      <c r="KQA69" s="62"/>
      <c r="KQB69" s="62"/>
      <c r="KQC69" s="62"/>
      <c r="KQD69" s="62"/>
      <c r="KQE69" s="62"/>
      <c r="KQF69" s="62"/>
      <c r="KQG69" s="62"/>
      <c r="KQH69" s="62"/>
      <c r="KQI69" s="62"/>
      <c r="KQJ69" s="62"/>
      <c r="KQK69" s="62"/>
      <c r="KQL69" s="62"/>
      <c r="KQM69" s="62"/>
      <c r="KQN69" s="62"/>
      <c r="KQO69" s="62"/>
      <c r="KQP69" s="62"/>
      <c r="KQQ69" s="62"/>
      <c r="KQR69" s="62"/>
      <c r="KQS69" s="62"/>
      <c r="KQT69" s="62"/>
      <c r="KQU69" s="62"/>
      <c r="KQV69" s="62"/>
      <c r="KQW69" s="62"/>
      <c r="KQX69" s="62"/>
      <c r="KQY69" s="62"/>
      <c r="KQZ69" s="62"/>
      <c r="KRA69" s="62"/>
      <c r="KRB69" s="62"/>
      <c r="KRC69" s="62"/>
      <c r="KRD69" s="62"/>
      <c r="KRE69" s="62"/>
      <c r="KRF69" s="62"/>
      <c r="KRG69" s="62"/>
      <c r="KRH69" s="62"/>
      <c r="KRI69" s="62"/>
      <c r="KRJ69" s="62"/>
      <c r="KRK69" s="62"/>
      <c r="KRL69" s="62"/>
      <c r="KRM69" s="62"/>
      <c r="KRN69" s="62"/>
      <c r="KRO69" s="62"/>
      <c r="KRP69" s="62"/>
      <c r="KRQ69" s="62"/>
      <c r="KRR69" s="62"/>
      <c r="KRS69" s="62"/>
      <c r="KRT69" s="62"/>
      <c r="KRU69" s="62"/>
      <c r="KRV69" s="62"/>
      <c r="KRW69" s="62"/>
      <c r="KRX69" s="62"/>
      <c r="KRY69" s="62"/>
      <c r="KRZ69" s="62"/>
      <c r="KSA69" s="62"/>
      <c r="KSB69" s="62"/>
      <c r="KSC69" s="62"/>
      <c r="KSD69" s="62"/>
      <c r="KSE69" s="62"/>
      <c r="KSF69" s="62"/>
      <c r="KSG69" s="62"/>
      <c r="KSH69" s="62"/>
      <c r="KSI69" s="62"/>
      <c r="KSJ69" s="62"/>
      <c r="KSK69" s="62"/>
      <c r="KSL69" s="62"/>
      <c r="KSM69" s="62"/>
      <c r="KSN69" s="62"/>
      <c r="KSO69" s="62"/>
      <c r="KSP69" s="62"/>
      <c r="KSQ69" s="62"/>
      <c r="KSR69" s="62"/>
      <c r="KSS69" s="62"/>
      <c r="KST69" s="62"/>
      <c r="KSU69" s="62"/>
      <c r="KSV69" s="62"/>
      <c r="KSW69" s="62"/>
      <c r="KSX69" s="62"/>
      <c r="KSY69" s="62"/>
      <c r="KSZ69" s="62"/>
      <c r="KTA69" s="62"/>
      <c r="KTB69" s="62"/>
      <c r="KTC69" s="62"/>
      <c r="KTD69" s="62"/>
      <c r="KTE69" s="62"/>
      <c r="KTF69" s="62"/>
      <c r="KTG69" s="62"/>
      <c r="KTH69" s="62"/>
      <c r="KTI69" s="62"/>
      <c r="KTJ69" s="62"/>
      <c r="KTK69" s="62"/>
      <c r="KTL69" s="62"/>
      <c r="KTM69" s="62"/>
      <c r="KTN69" s="62"/>
      <c r="KTO69" s="62"/>
      <c r="KTP69" s="62"/>
      <c r="KTQ69" s="62"/>
      <c r="KTR69" s="62"/>
      <c r="KTS69" s="62"/>
      <c r="KTT69" s="62"/>
      <c r="KTU69" s="62"/>
      <c r="KTV69" s="62"/>
      <c r="KTW69" s="62"/>
      <c r="KTX69" s="62"/>
      <c r="KTY69" s="62"/>
      <c r="KTZ69" s="62"/>
      <c r="KUA69" s="62"/>
      <c r="KUB69" s="62"/>
      <c r="KUC69" s="62"/>
      <c r="KUD69" s="62"/>
      <c r="KUE69" s="62"/>
      <c r="KUF69" s="62"/>
      <c r="KUG69" s="62"/>
      <c r="KUH69" s="62"/>
      <c r="KUI69" s="62"/>
      <c r="KUJ69" s="62"/>
      <c r="KUK69" s="62"/>
      <c r="KUL69" s="62"/>
      <c r="KUM69" s="62"/>
      <c r="KUN69" s="62"/>
      <c r="KUO69" s="62"/>
      <c r="KUP69" s="62"/>
      <c r="KUQ69" s="62"/>
      <c r="KUR69" s="62"/>
      <c r="KUS69" s="62"/>
      <c r="KUT69" s="62"/>
      <c r="KUU69" s="62"/>
      <c r="KUV69" s="62"/>
      <c r="KUW69" s="62"/>
      <c r="KUX69" s="62"/>
      <c r="KUY69" s="62"/>
      <c r="KUZ69" s="62"/>
      <c r="KVA69" s="62"/>
      <c r="KVB69" s="62"/>
      <c r="KVC69" s="62"/>
      <c r="KVD69" s="62"/>
      <c r="KVE69" s="62"/>
      <c r="KVF69" s="62"/>
      <c r="KVG69" s="62"/>
      <c r="KVH69" s="62"/>
      <c r="KVI69" s="62"/>
      <c r="KVJ69" s="62"/>
      <c r="KVK69" s="62"/>
      <c r="KVL69" s="62"/>
      <c r="KVM69" s="62"/>
      <c r="KVN69" s="62"/>
      <c r="KVO69" s="62"/>
      <c r="KVP69" s="62"/>
      <c r="KVQ69" s="62"/>
      <c r="KVR69" s="62"/>
      <c r="KVS69" s="62"/>
      <c r="KVT69" s="62"/>
      <c r="KVU69" s="62"/>
      <c r="KVV69" s="62"/>
      <c r="KVW69" s="62"/>
      <c r="KVX69" s="62"/>
      <c r="KVY69" s="62"/>
      <c r="KVZ69" s="62"/>
      <c r="KWA69" s="62"/>
      <c r="KWB69" s="62"/>
      <c r="KWC69" s="62"/>
      <c r="KWD69" s="62"/>
      <c r="KWE69" s="62"/>
      <c r="KWF69" s="62"/>
      <c r="KWG69" s="62"/>
      <c r="KWH69" s="62"/>
      <c r="KWI69" s="62"/>
      <c r="KWJ69" s="62"/>
      <c r="KWK69" s="62"/>
      <c r="KWL69" s="62"/>
      <c r="KWM69" s="62"/>
      <c r="KWN69" s="62"/>
      <c r="KWO69" s="62"/>
      <c r="KWP69" s="62"/>
      <c r="KWQ69" s="62"/>
      <c r="KWR69" s="62"/>
      <c r="KWS69" s="62"/>
      <c r="KWT69" s="62"/>
      <c r="KWU69" s="62"/>
      <c r="KWV69" s="62"/>
      <c r="KWW69" s="62"/>
      <c r="KWX69" s="62"/>
      <c r="KWY69" s="62"/>
      <c r="KWZ69" s="62"/>
      <c r="KXA69" s="62"/>
      <c r="KXB69" s="62"/>
      <c r="KXC69" s="62"/>
      <c r="KXD69" s="62"/>
      <c r="KXE69" s="62"/>
      <c r="KXF69" s="62"/>
      <c r="KXG69" s="62"/>
      <c r="KXH69" s="62"/>
      <c r="KXI69" s="62"/>
      <c r="KXJ69" s="62"/>
      <c r="KXK69" s="62"/>
      <c r="KXL69" s="62"/>
      <c r="KXM69" s="62"/>
      <c r="KXN69" s="62"/>
      <c r="KXO69" s="62"/>
      <c r="KXP69" s="62"/>
      <c r="KXQ69" s="62"/>
      <c r="KXR69" s="62"/>
      <c r="KXS69" s="62"/>
      <c r="KXT69" s="62"/>
      <c r="KXU69" s="62"/>
      <c r="KXV69" s="62"/>
      <c r="KXW69" s="62"/>
      <c r="KXX69" s="62"/>
      <c r="KXY69" s="62"/>
      <c r="KXZ69" s="62"/>
      <c r="KYA69" s="62"/>
      <c r="KYB69" s="62"/>
      <c r="KYC69" s="62"/>
      <c r="KYD69" s="62"/>
      <c r="KYE69" s="62"/>
      <c r="KYF69" s="62"/>
      <c r="KYG69" s="62"/>
      <c r="KYH69" s="62"/>
      <c r="KYI69" s="62"/>
      <c r="KYJ69" s="62"/>
      <c r="KYK69" s="62"/>
      <c r="KYL69" s="62"/>
      <c r="KYM69" s="62"/>
      <c r="KYN69" s="62"/>
      <c r="KYO69" s="62"/>
      <c r="KYP69" s="62"/>
      <c r="KYQ69" s="62"/>
      <c r="KYR69" s="62"/>
      <c r="KYS69" s="62"/>
      <c r="KYT69" s="62"/>
      <c r="KYU69" s="62"/>
      <c r="KYV69" s="62"/>
      <c r="KYW69" s="62"/>
      <c r="KYX69" s="62"/>
      <c r="KYY69" s="62"/>
      <c r="KYZ69" s="62"/>
      <c r="KZA69" s="62"/>
      <c r="KZB69" s="62"/>
      <c r="KZC69" s="62"/>
      <c r="KZD69" s="62"/>
      <c r="KZE69" s="62"/>
      <c r="KZF69" s="62"/>
      <c r="KZG69" s="62"/>
      <c r="KZH69" s="62"/>
      <c r="KZI69" s="62"/>
      <c r="KZJ69" s="62"/>
      <c r="KZK69" s="62"/>
      <c r="KZL69" s="62"/>
      <c r="KZM69" s="62"/>
      <c r="KZN69" s="62"/>
      <c r="KZO69" s="62"/>
      <c r="KZP69" s="62"/>
      <c r="KZQ69" s="62"/>
      <c r="KZR69" s="62"/>
      <c r="KZS69" s="62"/>
      <c r="KZT69" s="62"/>
      <c r="KZU69" s="62"/>
      <c r="KZV69" s="62"/>
      <c r="KZW69" s="62"/>
      <c r="KZX69" s="62"/>
      <c r="KZY69" s="62"/>
      <c r="KZZ69" s="62"/>
      <c r="LAA69" s="62"/>
      <c r="LAB69" s="62"/>
      <c r="LAC69" s="62"/>
      <c r="LAD69" s="62"/>
      <c r="LAE69" s="62"/>
      <c r="LAF69" s="62"/>
      <c r="LAG69" s="62"/>
      <c r="LAH69" s="62"/>
      <c r="LAI69" s="62"/>
      <c r="LAJ69" s="62"/>
      <c r="LAK69" s="62"/>
      <c r="LAL69" s="62"/>
      <c r="LAM69" s="62"/>
      <c r="LAN69" s="62"/>
      <c r="LAO69" s="62"/>
      <c r="LAP69" s="62"/>
      <c r="LAQ69" s="62"/>
      <c r="LAR69" s="62"/>
      <c r="LAS69" s="62"/>
      <c r="LAT69" s="62"/>
      <c r="LAU69" s="62"/>
      <c r="LAV69" s="62"/>
      <c r="LAW69" s="62"/>
      <c r="LAX69" s="62"/>
      <c r="LAY69" s="62"/>
      <c r="LAZ69" s="62"/>
      <c r="LBA69" s="62"/>
      <c r="LBB69" s="62"/>
      <c r="LBC69" s="62"/>
      <c r="LBD69" s="62"/>
      <c r="LBE69" s="62"/>
      <c r="LBF69" s="62"/>
      <c r="LBG69" s="62"/>
      <c r="LBH69" s="62"/>
      <c r="LBI69" s="62"/>
      <c r="LBJ69" s="62"/>
      <c r="LBK69" s="62"/>
      <c r="LBL69" s="62"/>
      <c r="LBM69" s="62"/>
      <c r="LBN69" s="62"/>
      <c r="LBO69" s="62"/>
      <c r="LBP69" s="62"/>
      <c r="LBQ69" s="62"/>
      <c r="LBR69" s="62"/>
      <c r="LBS69" s="62"/>
      <c r="LBT69" s="62"/>
      <c r="LBU69" s="62"/>
      <c r="LBV69" s="62"/>
      <c r="LBW69" s="62"/>
      <c r="LBX69" s="62"/>
      <c r="LBY69" s="62"/>
      <c r="LBZ69" s="62"/>
      <c r="LCA69" s="62"/>
      <c r="LCB69" s="62"/>
      <c r="LCC69" s="62"/>
      <c r="LCD69" s="62"/>
      <c r="LCE69" s="62"/>
      <c r="LCF69" s="62"/>
      <c r="LCG69" s="62"/>
      <c r="LCH69" s="62"/>
      <c r="LCI69" s="62"/>
      <c r="LCJ69" s="62"/>
      <c r="LCK69" s="62"/>
      <c r="LCL69" s="62"/>
      <c r="LCM69" s="62"/>
      <c r="LCN69" s="62"/>
      <c r="LCO69" s="62"/>
      <c r="LCP69" s="62"/>
      <c r="LCQ69" s="62"/>
      <c r="LCR69" s="62"/>
      <c r="LCS69" s="62"/>
      <c r="LCT69" s="62"/>
      <c r="LCU69" s="62"/>
      <c r="LCV69" s="62"/>
      <c r="LCW69" s="62"/>
      <c r="LCX69" s="62"/>
      <c r="LCY69" s="62"/>
      <c r="LCZ69" s="62"/>
      <c r="LDA69" s="62"/>
      <c r="LDB69" s="62"/>
      <c r="LDC69" s="62"/>
      <c r="LDD69" s="62"/>
      <c r="LDE69" s="62"/>
      <c r="LDF69" s="62"/>
      <c r="LDG69" s="62"/>
      <c r="LDH69" s="62"/>
      <c r="LDI69" s="62"/>
      <c r="LDJ69" s="62"/>
      <c r="LDK69" s="62"/>
      <c r="LDL69" s="62"/>
      <c r="LDM69" s="62"/>
      <c r="LDN69" s="62"/>
      <c r="LDO69" s="62"/>
      <c r="LDP69" s="62"/>
      <c r="LDQ69" s="62"/>
      <c r="LDR69" s="62"/>
      <c r="LDS69" s="62"/>
      <c r="LDT69" s="62"/>
      <c r="LDU69" s="62"/>
      <c r="LDV69" s="62"/>
      <c r="LDW69" s="62"/>
      <c r="LDX69" s="62"/>
      <c r="LDY69" s="62"/>
      <c r="LDZ69" s="62"/>
      <c r="LEA69" s="62"/>
      <c r="LEB69" s="62"/>
      <c r="LEC69" s="62"/>
      <c r="LED69" s="62"/>
      <c r="LEE69" s="62"/>
      <c r="LEF69" s="62"/>
      <c r="LEG69" s="62"/>
      <c r="LEH69" s="62"/>
      <c r="LEI69" s="62"/>
      <c r="LEJ69" s="62"/>
      <c r="LEK69" s="62"/>
      <c r="LEL69" s="62"/>
      <c r="LEM69" s="62"/>
      <c r="LEN69" s="62"/>
      <c r="LEO69" s="62"/>
      <c r="LEP69" s="62"/>
      <c r="LEQ69" s="62"/>
      <c r="LER69" s="62"/>
      <c r="LES69" s="62"/>
      <c r="LET69" s="62"/>
      <c r="LEU69" s="62"/>
      <c r="LEV69" s="62"/>
      <c r="LEW69" s="62"/>
      <c r="LEX69" s="62"/>
      <c r="LEY69" s="62"/>
      <c r="LEZ69" s="62"/>
      <c r="LFA69" s="62"/>
      <c r="LFB69" s="62"/>
      <c r="LFC69" s="62"/>
      <c r="LFD69" s="62"/>
      <c r="LFE69" s="62"/>
      <c r="LFF69" s="62"/>
      <c r="LFG69" s="62"/>
      <c r="LFH69" s="62"/>
      <c r="LFI69" s="62"/>
      <c r="LFJ69" s="62"/>
      <c r="LFK69" s="62"/>
      <c r="LFL69" s="62"/>
      <c r="LFM69" s="62"/>
      <c r="LFN69" s="62"/>
      <c r="LFO69" s="62"/>
      <c r="LFP69" s="62"/>
      <c r="LFQ69" s="62"/>
      <c r="LFR69" s="62"/>
      <c r="LFS69" s="62"/>
      <c r="LFT69" s="62"/>
      <c r="LFU69" s="62"/>
      <c r="LFV69" s="62"/>
      <c r="LFW69" s="62"/>
      <c r="LFX69" s="62"/>
      <c r="LFY69" s="62"/>
      <c r="LFZ69" s="62"/>
      <c r="LGA69" s="62"/>
      <c r="LGB69" s="62"/>
      <c r="LGC69" s="62"/>
      <c r="LGD69" s="62"/>
      <c r="LGE69" s="62"/>
      <c r="LGF69" s="62"/>
      <c r="LGG69" s="62"/>
      <c r="LGH69" s="62"/>
      <c r="LGI69" s="62"/>
      <c r="LGJ69" s="62"/>
      <c r="LGK69" s="62"/>
      <c r="LGL69" s="62"/>
      <c r="LGM69" s="62"/>
      <c r="LGN69" s="62"/>
      <c r="LGO69" s="62"/>
      <c r="LGP69" s="62"/>
      <c r="LGQ69" s="62"/>
      <c r="LGR69" s="62"/>
      <c r="LGS69" s="62"/>
      <c r="LGT69" s="62"/>
      <c r="LGU69" s="62"/>
      <c r="LGV69" s="62"/>
      <c r="LGW69" s="62"/>
      <c r="LGX69" s="62"/>
      <c r="LGY69" s="62"/>
      <c r="LGZ69" s="62"/>
      <c r="LHA69" s="62"/>
      <c r="LHB69" s="62"/>
      <c r="LHC69" s="62"/>
      <c r="LHD69" s="62"/>
      <c r="LHE69" s="62"/>
      <c r="LHF69" s="62"/>
      <c r="LHG69" s="62"/>
      <c r="LHH69" s="62"/>
      <c r="LHI69" s="62"/>
      <c r="LHJ69" s="62"/>
      <c r="LHK69" s="62"/>
      <c r="LHL69" s="62"/>
      <c r="LHM69" s="62"/>
      <c r="LHN69" s="62"/>
      <c r="LHO69" s="62"/>
      <c r="LHP69" s="62"/>
      <c r="LHQ69" s="62"/>
      <c r="LHR69" s="62"/>
      <c r="LHS69" s="62"/>
      <c r="LHT69" s="62"/>
      <c r="LHU69" s="62"/>
      <c r="LHV69" s="62"/>
      <c r="LHW69" s="62"/>
      <c r="LHX69" s="62"/>
      <c r="LHY69" s="62"/>
      <c r="LHZ69" s="62"/>
      <c r="LIA69" s="62"/>
      <c r="LIB69" s="62"/>
      <c r="LIC69" s="62"/>
      <c r="LID69" s="62"/>
      <c r="LIE69" s="62"/>
      <c r="LIF69" s="62"/>
      <c r="LIG69" s="62"/>
      <c r="LIH69" s="62"/>
      <c r="LII69" s="62"/>
      <c r="LIJ69" s="62"/>
      <c r="LIK69" s="62"/>
      <c r="LIL69" s="62"/>
      <c r="LIM69" s="62"/>
      <c r="LIN69" s="62"/>
      <c r="LIO69" s="62"/>
      <c r="LIP69" s="62"/>
      <c r="LIQ69" s="62"/>
      <c r="LIR69" s="62"/>
      <c r="LIS69" s="62"/>
      <c r="LIT69" s="62"/>
      <c r="LIU69" s="62"/>
      <c r="LIV69" s="62"/>
      <c r="LIW69" s="62"/>
      <c r="LIX69" s="62"/>
      <c r="LIY69" s="62"/>
      <c r="LIZ69" s="62"/>
      <c r="LJA69" s="62"/>
      <c r="LJB69" s="62"/>
      <c r="LJC69" s="62"/>
      <c r="LJD69" s="62"/>
      <c r="LJE69" s="62"/>
      <c r="LJF69" s="62"/>
      <c r="LJG69" s="62"/>
      <c r="LJH69" s="62"/>
      <c r="LJI69" s="62"/>
      <c r="LJJ69" s="62"/>
      <c r="LJK69" s="62"/>
      <c r="LJL69" s="62"/>
      <c r="LJM69" s="62"/>
      <c r="LJN69" s="62"/>
      <c r="LJO69" s="62"/>
      <c r="LJP69" s="62"/>
      <c r="LJQ69" s="62"/>
      <c r="LJR69" s="62"/>
      <c r="LJS69" s="62"/>
      <c r="LJT69" s="62"/>
      <c r="LJU69" s="62"/>
      <c r="LJV69" s="62"/>
      <c r="LJW69" s="62"/>
      <c r="LJX69" s="62"/>
      <c r="LJY69" s="62"/>
      <c r="LJZ69" s="62"/>
      <c r="LKA69" s="62"/>
      <c r="LKB69" s="62"/>
      <c r="LKC69" s="62"/>
      <c r="LKD69" s="62"/>
      <c r="LKE69" s="62"/>
      <c r="LKF69" s="62"/>
      <c r="LKG69" s="62"/>
      <c r="LKH69" s="62"/>
      <c r="LKI69" s="62"/>
      <c r="LKJ69" s="62"/>
      <c r="LKK69" s="62"/>
      <c r="LKL69" s="62"/>
      <c r="LKM69" s="62"/>
      <c r="LKN69" s="62"/>
      <c r="LKO69" s="62"/>
      <c r="LKP69" s="62"/>
      <c r="LKQ69" s="62"/>
      <c r="LKR69" s="62"/>
      <c r="LKS69" s="62"/>
      <c r="LKT69" s="62"/>
      <c r="LKU69" s="62"/>
      <c r="LKV69" s="62"/>
      <c r="LKW69" s="62"/>
      <c r="LKX69" s="62"/>
      <c r="LKY69" s="62"/>
      <c r="LKZ69" s="62"/>
      <c r="LLA69" s="62"/>
      <c r="LLB69" s="62"/>
      <c r="LLC69" s="62"/>
      <c r="LLD69" s="62"/>
      <c r="LLE69" s="62"/>
      <c r="LLF69" s="62"/>
      <c r="LLG69" s="62"/>
      <c r="LLH69" s="62"/>
      <c r="LLI69" s="62"/>
      <c r="LLJ69" s="62"/>
      <c r="LLK69" s="62"/>
      <c r="LLL69" s="62"/>
      <c r="LLM69" s="62"/>
      <c r="LLN69" s="62"/>
      <c r="LLO69" s="62"/>
      <c r="LLP69" s="62"/>
      <c r="LLQ69" s="62"/>
      <c r="LLR69" s="62"/>
      <c r="LLS69" s="62"/>
      <c r="LLT69" s="62"/>
      <c r="LLU69" s="62"/>
      <c r="LLV69" s="62"/>
      <c r="LLW69" s="62"/>
      <c r="LLX69" s="62"/>
      <c r="LLY69" s="62"/>
      <c r="LLZ69" s="62"/>
      <c r="LMA69" s="62"/>
      <c r="LMB69" s="62"/>
      <c r="LMC69" s="62"/>
      <c r="LMD69" s="62"/>
      <c r="LME69" s="62"/>
      <c r="LMF69" s="62"/>
      <c r="LMG69" s="62"/>
      <c r="LMH69" s="62"/>
      <c r="LMI69" s="62"/>
      <c r="LMJ69" s="62"/>
      <c r="LMK69" s="62"/>
      <c r="LML69" s="62"/>
      <c r="LMM69" s="62"/>
      <c r="LMN69" s="62"/>
      <c r="LMO69" s="62"/>
      <c r="LMP69" s="62"/>
      <c r="LMQ69" s="62"/>
      <c r="LMR69" s="62"/>
      <c r="LMS69" s="62"/>
      <c r="LMT69" s="62"/>
      <c r="LMU69" s="62"/>
      <c r="LMV69" s="62"/>
      <c r="LMW69" s="62"/>
      <c r="LMX69" s="62"/>
      <c r="LMY69" s="62"/>
      <c r="LMZ69" s="62"/>
      <c r="LNA69" s="62"/>
      <c r="LNB69" s="62"/>
      <c r="LNC69" s="62"/>
      <c r="LND69" s="62"/>
      <c r="LNE69" s="62"/>
      <c r="LNF69" s="62"/>
      <c r="LNG69" s="62"/>
      <c r="LNH69" s="62"/>
      <c r="LNI69" s="62"/>
      <c r="LNJ69" s="62"/>
      <c r="LNK69" s="62"/>
      <c r="LNL69" s="62"/>
      <c r="LNM69" s="62"/>
      <c r="LNN69" s="62"/>
      <c r="LNO69" s="62"/>
      <c r="LNP69" s="62"/>
      <c r="LNQ69" s="62"/>
      <c r="LNR69" s="62"/>
      <c r="LNS69" s="62"/>
      <c r="LNT69" s="62"/>
      <c r="LNU69" s="62"/>
      <c r="LNV69" s="62"/>
      <c r="LNW69" s="62"/>
      <c r="LNX69" s="62"/>
      <c r="LNY69" s="62"/>
      <c r="LNZ69" s="62"/>
      <c r="LOA69" s="62"/>
      <c r="LOB69" s="62"/>
      <c r="LOC69" s="62"/>
      <c r="LOD69" s="62"/>
      <c r="LOE69" s="62"/>
      <c r="LOF69" s="62"/>
      <c r="LOG69" s="62"/>
      <c r="LOH69" s="62"/>
      <c r="LOI69" s="62"/>
      <c r="LOJ69" s="62"/>
      <c r="LOK69" s="62"/>
      <c r="LOL69" s="62"/>
      <c r="LOM69" s="62"/>
      <c r="LON69" s="62"/>
      <c r="LOO69" s="62"/>
      <c r="LOP69" s="62"/>
      <c r="LOQ69" s="62"/>
      <c r="LOR69" s="62"/>
      <c r="LOS69" s="62"/>
      <c r="LOT69" s="62"/>
      <c r="LOU69" s="62"/>
      <c r="LOV69" s="62"/>
      <c r="LOW69" s="62"/>
      <c r="LOX69" s="62"/>
      <c r="LOY69" s="62"/>
      <c r="LOZ69" s="62"/>
      <c r="LPA69" s="62"/>
      <c r="LPB69" s="62"/>
      <c r="LPC69" s="62"/>
      <c r="LPD69" s="62"/>
      <c r="LPE69" s="62"/>
      <c r="LPF69" s="62"/>
      <c r="LPG69" s="62"/>
      <c r="LPH69" s="62"/>
      <c r="LPI69" s="62"/>
      <c r="LPJ69" s="62"/>
      <c r="LPK69" s="62"/>
      <c r="LPL69" s="62"/>
      <c r="LPM69" s="62"/>
      <c r="LPN69" s="62"/>
      <c r="LPO69" s="62"/>
      <c r="LPP69" s="62"/>
      <c r="LPQ69" s="62"/>
      <c r="LPR69" s="62"/>
      <c r="LPS69" s="62"/>
      <c r="LPT69" s="62"/>
      <c r="LPU69" s="62"/>
      <c r="LPV69" s="62"/>
      <c r="LPW69" s="62"/>
      <c r="LPX69" s="62"/>
      <c r="LPY69" s="62"/>
      <c r="LPZ69" s="62"/>
      <c r="LQA69" s="62"/>
      <c r="LQB69" s="62"/>
      <c r="LQC69" s="62"/>
      <c r="LQD69" s="62"/>
      <c r="LQE69" s="62"/>
      <c r="LQF69" s="62"/>
      <c r="LQG69" s="62"/>
      <c r="LQH69" s="62"/>
      <c r="LQI69" s="62"/>
      <c r="LQJ69" s="62"/>
      <c r="LQK69" s="62"/>
      <c r="LQL69" s="62"/>
      <c r="LQM69" s="62"/>
      <c r="LQN69" s="62"/>
      <c r="LQO69" s="62"/>
      <c r="LQP69" s="62"/>
      <c r="LQQ69" s="62"/>
      <c r="LQR69" s="62"/>
      <c r="LQS69" s="62"/>
      <c r="LQT69" s="62"/>
      <c r="LQU69" s="62"/>
      <c r="LQV69" s="62"/>
      <c r="LQW69" s="62"/>
      <c r="LQX69" s="62"/>
      <c r="LQY69" s="62"/>
      <c r="LQZ69" s="62"/>
      <c r="LRA69" s="62"/>
      <c r="LRB69" s="62"/>
      <c r="LRC69" s="62"/>
      <c r="LRD69" s="62"/>
      <c r="LRE69" s="62"/>
      <c r="LRF69" s="62"/>
      <c r="LRG69" s="62"/>
      <c r="LRH69" s="62"/>
      <c r="LRI69" s="62"/>
      <c r="LRJ69" s="62"/>
      <c r="LRK69" s="62"/>
      <c r="LRL69" s="62"/>
      <c r="LRM69" s="62"/>
      <c r="LRN69" s="62"/>
      <c r="LRO69" s="62"/>
      <c r="LRP69" s="62"/>
      <c r="LRQ69" s="62"/>
      <c r="LRR69" s="62"/>
      <c r="LRS69" s="62"/>
      <c r="LRT69" s="62"/>
      <c r="LRU69" s="62"/>
      <c r="LRV69" s="62"/>
      <c r="LRW69" s="62"/>
      <c r="LRX69" s="62"/>
      <c r="LRY69" s="62"/>
      <c r="LRZ69" s="62"/>
      <c r="LSA69" s="62"/>
      <c r="LSB69" s="62"/>
      <c r="LSC69" s="62"/>
      <c r="LSD69" s="62"/>
      <c r="LSE69" s="62"/>
      <c r="LSF69" s="62"/>
      <c r="LSG69" s="62"/>
      <c r="LSH69" s="62"/>
      <c r="LSI69" s="62"/>
      <c r="LSJ69" s="62"/>
      <c r="LSK69" s="62"/>
      <c r="LSL69" s="62"/>
      <c r="LSM69" s="62"/>
      <c r="LSN69" s="62"/>
      <c r="LSO69" s="62"/>
      <c r="LSP69" s="62"/>
      <c r="LSQ69" s="62"/>
      <c r="LSR69" s="62"/>
      <c r="LSS69" s="62"/>
      <c r="LST69" s="62"/>
      <c r="LSU69" s="62"/>
      <c r="LSV69" s="62"/>
      <c r="LSW69" s="62"/>
      <c r="LSX69" s="62"/>
      <c r="LSY69" s="62"/>
      <c r="LSZ69" s="62"/>
      <c r="LTA69" s="62"/>
      <c r="LTB69" s="62"/>
      <c r="LTC69" s="62"/>
      <c r="LTD69" s="62"/>
      <c r="LTE69" s="62"/>
      <c r="LTF69" s="62"/>
      <c r="LTG69" s="62"/>
      <c r="LTH69" s="62"/>
      <c r="LTI69" s="62"/>
      <c r="LTJ69" s="62"/>
      <c r="LTK69" s="62"/>
      <c r="LTL69" s="62"/>
      <c r="LTM69" s="62"/>
      <c r="LTN69" s="62"/>
      <c r="LTO69" s="62"/>
      <c r="LTP69" s="62"/>
      <c r="LTQ69" s="62"/>
      <c r="LTR69" s="62"/>
      <c r="LTS69" s="62"/>
      <c r="LTT69" s="62"/>
      <c r="LTU69" s="62"/>
      <c r="LTV69" s="62"/>
      <c r="LTW69" s="62"/>
      <c r="LTX69" s="62"/>
      <c r="LTY69" s="62"/>
      <c r="LTZ69" s="62"/>
      <c r="LUA69" s="62"/>
      <c r="LUB69" s="62"/>
      <c r="LUC69" s="62"/>
      <c r="LUD69" s="62"/>
      <c r="LUE69" s="62"/>
      <c r="LUF69" s="62"/>
      <c r="LUG69" s="62"/>
      <c r="LUH69" s="62"/>
      <c r="LUI69" s="62"/>
      <c r="LUJ69" s="62"/>
      <c r="LUK69" s="62"/>
      <c r="LUL69" s="62"/>
      <c r="LUM69" s="62"/>
      <c r="LUN69" s="62"/>
      <c r="LUO69" s="62"/>
      <c r="LUP69" s="62"/>
      <c r="LUQ69" s="62"/>
      <c r="LUR69" s="62"/>
      <c r="LUS69" s="62"/>
      <c r="LUT69" s="62"/>
      <c r="LUU69" s="62"/>
      <c r="LUV69" s="62"/>
      <c r="LUW69" s="62"/>
      <c r="LUX69" s="62"/>
      <c r="LUY69" s="62"/>
      <c r="LUZ69" s="62"/>
      <c r="LVA69" s="62"/>
      <c r="LVB69" s="62"/>
      <c r="LVC69" s="62"/>
      <c r="LVD69" s="62"/>
      <c r="LVE69" s="62"/>
      <c r="LVF69" s="62"/>
      <c r="LVG69" s="62"/>
      <c r="LVH69" s="62"/>
      <c r="LVI69" s="62"/>
      <c r="LVJ69" s="62"/>
      <c r="LVK69" s="62"/>
      <c r="LVL69" s="62"/>
      <c r="LVM69" s="62"/>
      <c r="LVN69" s="62"/>
      <c r="LVO69" s="62"/>
      <c r="LVP69" s="62"/>
      <c r="LVQ69" s="62"/>
      <c r="LVR69" s="62"/>
      <c r="LVS69" s="62"/>
      <c r="LVT69" s="62"/>
      <c r="LVU69" s="62"/>
      <c r="LVV69" s="62"/>
      <c r="LVW69" s="62"/>
      <c r="LVX69" s="62"/>
      <c r="LVY69" s="62"/>
      <c r="LVZ69" s="62"/>
      <c r="LWA69" s="62"/>
      <c r="LWB69" s="62"/>
      <c r="LWC69" s="62"/>
      <c r="LWD69" s="62"/>
      <c r="LWE69" s="62"/>
      <c r="LWF69" s="62"/>
      <c r="LWG69" s="62"/>
      <c r="LWH69" s="62"/>
      <c r="LWI69" s="62"/>
      <c r="LWJ69" s="62"/>
      <c r="LWK69" s="62"/>
      <c r="LWL69" s="62"/>
      <c r="LWM69" s="62"/>
      <c r="LWN69" s="62"/>
      <c r="LWO69" s="62"/>
      <c r="LWP69" s="62"/>
      <c r="LWQ69" s="62"/>
      <c r="LWR69" s="62"/>
      <c r="LWS69" s="62"/>
      <c r="LWT69" s="62"/>
      <c r="LWU69" s="62"/>
      <c r="LWV69" s="62"/>
      <c r="LWW69" s="62"/>
      <c r="LWX69" s="62"/>
      <c r="LWY69" s="62"/>
      <c r="LWZ69" s="62"/>
      <c r="LXA69" s="62"/>
      <c r="LXB69" s="62"/>
      <c r="LXC69" s="62"/>
      <c r="LXD69" s="62"/>
      <c r="LXE69" s="62"/>
      <c r="LXF69" s="62"/>
      <c r="LXG69" s="62"/>
      <c r="LXH69" s="62"/>
      <c r="LXI69" s="62"/>
      <c r="LXJ69" s="62"/>
      <c r="LXK69" s="62"/>
      <c r="LXL69" s="62"/>
      <c r="LXM69" s="62"/>
      <c r="LXN69" s="62"/>
      <c r="LXO69" s="62"/>
      <c r="LXP69" s="62"/>
      <c r="LXQ69" s="62"/>
      <c r="LXR69" s="62"/>
      <c r="LXS69" s="62"/>
      <c r="LXT69" s="62"/>
      <c r="LXU69" s="62"/>
      <c r="LXV69" s="62"/>
      <c r="LXW69" s="62"/>
      <c r="LXX69" s="62"/>
      <c r="LXY69" s="62"/>
      <c r="LXZ69" s="62"/>
      <c r="LYA69" s="62"/>
      <c r="LYB69" s="62"/>
      <c r="LYC69" s="62"/>
      <c r="LYD69" s="62"/>
      <c r="LYE69" s="62"/>
      <c r="LYF69" s="62"/>
      <c r="LYG69" s="62"/>
      <c r="LYH69" s="62"/>
      <c r="LYI69" s="62"/>
      <c r="LYJ69" s="62"/>
      <c r="LYK69" s="62"/>
      <c r="LYL69" s="62"/>
      <c r="LYM69" s="62"/>
      <c r="LYN69" s="62"/>
      <c r="LYO69" s="62"/>
      <c r="LYP69" s="62"/>
      <c r="LYQ69" s="62"/>
      <c r="LYR69" s="62"/>
      <c r="LYS69" s="62"/>
      <c r="LYT69" s="62"/>
      <c r="LYU69" s="62"/>
      <c r="LYV69" s="62"/>
      <c r="LYW69" s="62"/>
      <c r="LYX69" s="62"/>
      <c r="LYY69" s="62"/>
      <c r="LYZ69" s="62"/>
      <c r="LZA69" s="62"/>
      <c r="LZB69" s="62"/>
      <c r="LZC69" s="62"/>
      <c r="LZD69" s="62"/>
      <c r="LZE69" s="62"/>
      <c r="LZF69" s="62"/>
      <c r="LZG69" s="62"/>
      <c r="LZH69" s="62"/>
      <c r="LZI69" s="62"/>
      <c r="LZJ69" s="62"/>
      <c r="LZK69" s="62"/>
      <c r="LZL69" s="62"/>
      <c r="LZM69" s="62"/>
      <c r="LZN69" s="62"/>
      <c r="LZO69" s="62"/>
      <c r="LZP69" s="62"/>
      <c r="LZQ69" s="62"/>
      <c r="LZR69" s="62"/>
      <c r="LZS69" s="62"/>
      <c r="LZT69" s="62"/>
      <c r="LZU69" s="62"/>
      <c r="LZV69" s="62"/>
      <c r="LZW69" s="62"/>
      <c r="LZX69" s="62"/>
      <c r="LZY69" s="62"/>
      <c r="LZZ69" s="62"/>
      <c r="MAA69" s="62"/>
      <c r="MAB69" s="62"/>
      <c r="MAC69" s="62"/>
      <c r="MAD69" s="62"/>
      <c r="MAE69" s="62"/>
      <c r="MAF69" s="62"/>
      <c r="MAG69" s="62"/>
      <c r="MAH69" s="62"/>
      <c r="MAI69" s="62"/>
      <c r="MAJ69" s="62"/>
      <c r="MAK69" s="62"/>
      <c r="MAL69" s="62"/>
      <c r="MAM69" s="62"/>
      <c r="MAN69" s="62"/>
      <c r="MAO69" s="62"/>
      <c r="MAP69" s="62"/>
      <c r="MAQ69" s="62"/>
      <c r="MAR69" s="62"/>
      <c r="MAS69" s="62"/>
      <c r="MAT69" s="62"/>
      <c r="MAU69" s="62"/>
      <c r="MAV69" s="62"/>
      <c r="MAW69" s="62"/>
      <c r="MAX69" s="62"/>
      <c r="MAY69" s="62"/>
      <c r="MAZ69" s="62"/>
      <c r="MBA69" s="62"/>
      <c r="MBB69" s="62"/>
      <c r="MBC69" s="62"/>
      <c r="MBD69" s="62"/>
      <c r="MBE69" s="62"/>
      <c r="MBF69" s="62"/>
      <c r="MBG69" s="62"/>
      <c r="MBH69" s="62"/>
      <c r="MBI69" s="62"/>
      <c r="MBJ69" s="62"/>
      <c r="MBK69" s="62"/>
      <c r="MBL69" s="62"/>
      <c r="MBM69" s="62"/>
      <c r="MBN69" s="62"/>
      <c r="MBO69" s="62"/>
      <c r="MBP69" s="62"/>
      <c r="MBQ69" s="62"/>
      <c r="MBR69" s="62"/>
      <c r="MBS69" s="62"/>
      <c r="MBT69" s="62"/>
      <c r="MBU69" s="62"/>
      <c r="MBV69" s="62"/>
      <c r="MBW69" s="62"/>
      <c r="MBX69" s="62"/>
      <c r="MBY69" s="62"/>
      <c r="MBZ69" s="62"/>
      <c r="MCA69" s="62"/>
      <c r="MCB69" s="62"/>
      <c r="MCC69" s="62"/>
      <c r="MCD69" s="62"/>
      <c r="MCE69" s="62"/>
      <c r="MCF69" s="62"/>
      <c r="MCG69" s="62"/>
      <c r="MCH69" s="62"/>
      <c r="MCI69" s="62"/>
      <c r="MCJ69" s="62"/>
      <c r="MCK69" s="62"/>
      <c r="MCL69" s="62"/>
      <c r="MCM69" s="62"/>
      <c r="MCN69" s="62"/>
      <c r="MCO69" s="62"/>
      <c r="MCP69" s="62"/>
      <c r="MCQ69" s="62"/>
      <c r="MCR69" s="62"/>
      <c r="MCS69" s="62"/>
      <c r="MCT69" s="62"/>
      <c r="MCU69" s="62"/>
      <c r="MCV69" s="62"/>
      <c r="MCW69" s="62"/>
      <c r="MCX69" s="62"/>
      <c r="MCY69" s="62"/>
      <c r="MCZ69" s="62"/>
      <c r="MDA69" s="62"/>
      <c r="MDB69" s="62"/>
      <c r="MDC69" s="62"/>
      <c r="MDD69" s="62"/>
      <c r="MDE69" s="62"/>
      <c r="MDF69" s="62"/>
      <c r="MDG69" s="62"/>
      <c r="MDH69" s="62"/>
      <c r="MDI69" s="62"/>
      <c r="MDJ69" s="62"/>
      <c r="MDK69" s="62"/>
      <c r="MDL69" s="62"/>
      <c r="MDM69" s="62"/>
      <c r="MDN69" s="62"/>
      <c r="MDO69" s="62"/>
      <c r="MDP69" s="62"/>
      <c r="MDQ69" s="62"/>
      <c r="MDR69" s="62"/>
      <c r="MDS69" s="62"/>
      <c r="MDT69" s="62"/>
      <c r="MDU69" s="62"/>
      <c r="MDV69" s="62"/>
      <c r="MDW69" s="62"/>
      <c r="MDX69" s="62"/>
      <c r="MDY69" s="62"/>
      <c r="MDZ69" s="62"/>
      <c r="MEA69" s="62"/>
      <c r="MEB69" s="62"/>
      <c r="MEC69" s="62"/>
      <c r="MED69" s="62"/>
      <c r="MEE69" s="62"/>
      <c r="MEF69" s="62"/>
      <c r="MEG69" s="62"/>
      <c r="MEH69" s="62"/>
      <c r="MEI69" s="62"/>
      <c r="MEJ69" s="62"/>
      <c r="MEK69" s="62"/>
      <c r="MEL69" s="62"/>
      <c r="MEM69" s="62"/>
      <c r="MEN69" s="62"/>
      <c r="MEO69" s="62"/>
      <c r="MEP69" s="62"/>
      <c r="MEQ69" s="62"/>
      <c r="MER69" s="62"/>
      <c r="MES69" s="62"/>
      <c r="MET69" s="62"/>
      <c r="MEU69" s="62"/>
      <c r="MEV69" s="62"/>
      <c r="MEW69" s="62"/>
      <c r="MEX69" s="62"/>
      <c r="MEY69" s="62"/>
      <c r="MEZ69" s="62"/>
      <c r="MFA69" s="62"/>
      <c r="MFB69" s="62"/>
      <c r="MFC69" s="62"/>
      <c r="MFD69" s="62"/>
      <c r="MFE69" s="62"/>
      <c r="MFF69" s="62"/>
      <c r="MFG69" s="62"/>
      <c r="MFH69" s="62"/>
      <c r="MFI69" s="62"/>
      <c r="MFJ69" s="62"/>
      <c r="MFK69" s="62"/>
      <c r="MFL69" s="62"/>
      <c r="MFM69" s="62"/>
      <c r="MFN69" s="62"/>
      <c r="MFO69" s="62"/>
      <c r="MFP69" s="62"/>
      <c r="MFQ69" s="62"/>
      <c r="MFR69" s="62"/>
      <c r="MFS69" s="62"/>
      <c r="MFT69" s="62"/>
      <c r="MFU69" s="62"/>
      <c r="MFV69" s="62"/>
      <c r="MFW69" s="62"/>
      <c r="MFX69" s="62"/>
      <c r="MFY69" s="62"/>
      <c r="MFZ69" s="62"/>
      <c r="MGA69" s="62"/>
      <c r="MGB69" s="62"/>
      <c r="MGC69" s="62"/>
      <c r="MGD69" s="62"/>
      <c r="MGE69" s="62"/>
      <c r="MGF69" s="62"/>
      <c r="MGG69" s="62"/>
      <c r="MGH69" s="62"/>
      <c r="MGI69" s="62"/>
      <c r="MGJ69" s="62"/>
      <c r="MGK69" s="62"/>
      <c r="MGL69" s="62"/>
      <c r="MGM69" s="62"/>
      <c r="MGN69" s="62"/>
      <c r="MGO69" s="62"/>
      <c r="MGP69" s="62"/>
      <c r="MGQ69" s="62"/>
      <c r="MGR69" s="62"/>
      <c r="MGS69" s="62"/>
      <c r="MGT69" s="62"/>
      <c r="MGU69" s="62"/>
      <c r="MGV69" s="62"/>
      <c r="MGW69" s="62"/>
      <c r="MGX69" s="62"/>
      <c r="MGY69" s="62"/>
      <c r="MGZ69" s="62"/>
      <c r="MHA69" s="62"/>
      <c r="MHB69" s="62"/>
      <c r="MHC69" s="62"/>
      <c r="MHD69" s="62"/>
      <c r="MHE69" s="62"/>
      <c r="MHF69" s="62"/>
      <c r="MHG69" s="62"/>
      <c r="MHH69" s="62"/>
      <c r="MHI69" s="62"/>
      <c r="MHJ69" s="62"/>
      <c r="MHK69" s="62"/>
      <c r="MHL69" s="62"/>
      <c r="MHM69" s="62"/>
      <c r="MHN69" s="62"/>
      <c r="MHO69" s="62"/>
      <c r="MHP69" s="62"/>
      <c r="MHQ69" s="62"/>
      <c r="MHR69" s="62"/>
      <c r="MHS69" s="62"/>
      <c r="MHT69" s="62"/>
      <c r="MHU69" s="62"/>
      <c r="MHV69" s="62"/>
      <c r="MHW69" s="62"/>
      <c r="MHX69" s="62"/>
      <c r="MHY69" s="62"/>
      <c r="MHZ69" s="62"/>
      <c r="MIA69" s="62"/>
      <c r="MIB69" s="62"/>
      <c r="MIC69" s="62"/>
      <c r="MID69" s="62"/>
      <c r="MIE69" s="62"/>
      <c r="MIF69" s="62"/>
      <c r="MIG69" s="62"/>
      <c r="MIH69" s="62"/>
      <c r="MII69" s="62"/>
      <c r="MIJ69" s="62"/>
      <c r="MIK69" s="62"/>
      <c r="MIL69" s="62"/>
      <c r="MIM69" s="62"/>
      <c r="MIN69" s="62"/>
      <c r="MIO69" s="62"/>
      <c r="MIP69" s="62"/>
      <c r="MIQ69" s="62"/>
      <c r="MIR69" s="62"/>
      <c r="MIS69" s="62"/>
      <c r="MIT69" s="62"/>
      <c r="MIU69" s="62"/>
      <c r="MIV69" s="62"/>
      <c r="MIW69" s="62"/>
      <c r="MIX69" s="62"/>
      <c r="MIY69" s="62"/>
      <c r="MIZ69" s="62"/>
      <c r="MJA69" s="62"/>
      <c r="MJB69" s="62"/>
      <c r="MJC69" s="62"/>
      <c r="MJD69" s="62"/>
      <c r="MJE69" s="62"/>
      <c r="MJF69" s="62"/>
      <c r="MJG69" s="62"/>
      <c r="MJH69" s="62"/>
      <c r="MJI69" s="62"/>
      <c r="MJJ69" s="62"/>
      <c r="MJK69" s="62"/>
      <c r="MJL69" s="62"/>
      <c r="MJM69" s="62"/>
      <c r="MJN69" s="62"/>
      <c r="MJO69" s="62"/>
      <c r="MJP69" s="62"/>
      <c r="MJQ69" s="62"/>
      <c r="MJR69" s="62"/>
      <c r="MJS69" s="62"/>
      <c r="MJT69" s="62"/>
      <c r="MJU69" s="62"/>
      <c r="MJV69" s="62"/>
      <c r="MJW69" s="62"/>
      <c r="MJX69" s="62"/>
      <c r="MJY69" s="62"/>
      <c r="MJZ69" s="62"/>
      <c r="MKA69" s="62"/>
      <c r="MKB69" s="62"/>
      <c r="MKC69" s="62"/>
      <c r="MKD69" s="62"/>
      <c r="MKE69" s="62"/>
      <c r="MKF69" s="62"/>
      <c r="MKG69" s="62"/>
      <c r="MKH69" s="62"/>
      <c r="MKI69" s="62"/>
      <c r="MKJ69" s="62"/>
      <c r="MKK69" s="62"/>
      <c r="MKL69" s="62"/>
      <c r="MKM69" s="62"/>
      <c r="MKN69" s="62"/>
      <c r="MKO69" s="62"/>
      <c r="MKP69" s="62"/>
      <c r="MKQ69" s="62"/>
      <c r="MKR69" s="62"/>
      <c r="MKS69" s="62"/>
      <c r="MKT69" s="62"/>
      <c r="MKU69" s="62"/>
      <c r="MKV69" s="62"/>
      <c r="MKW69" s="62"/>
      <c r="MKX69" s="62"/>
      <c r="MKY69" s="62"/>
      <c r="MKZ69" s="62"/>
      <c r="MLA69" s="62"/>
      <c r="MLB69" s="62"/>
      <c r="MLC69" s="62"/>
      <c r="MLD69" s="62"/>
      <c r="MLE69" s="62"/>
      <c r="MLF69" s="62"/>
      <c r="MLG69" s="62"/>
      <c r="MLH69" s="62"/>
      <c r="MLI69" s="62"/>
      <c r="MLJ69" s="62"/>
      <c r="MLK69" s="62"/>
      <c r="MLL69" s="62"/>
      <c r="MLM69" s="62"/>
      <c r="MLN69" s="62"/>
      <c r="MLO69" s="62"/>
      <c r="MLP69" s="62"/>
      <c r="MLQ69" s="62"/>
      <c r="MLR69" s="62"/>
      <c r="MLS69" s="62"/>
      <c r="MLT69" s="62"/>
      <c r="MLU69" s="62"/>
      <c r="MLV69" s="62"/>
      <c r="MLW69" s="62"/>
      <c r="MLX69" s="62"/>
      <c r="MLY69" s="62"/>
      <c r="MLZ69" s="62"/>
      <c r="MMA69" s="62"/>
      <c r="MMB69" s="62"/>
      <c r="MMC69" s="62"/>
      <c r="MMD69" s="62"/>
      <c r="MME69" s="62"/>
      <c r="MMF69" s="62"/>
      <c r="MMG69" s="62"/>
      <c r="MMH69" s="62"/>
      <c r="MMI69" s="62"/>
      <c r="MMJ69" s="62"/>
      <c r="MMK69" s="62"/>
      <c r="MML69" s="62"/>
      <c r="MMM69" s="62"/>
      <c r="MMN69" s="62"/>
      <c r="MMO69" s="62"/>
      <c r="MMP69" s="62"/>
      <c r="MMQ69" s="62"/>
      <c r="MMR69" s="62"/>
      <c r="MMS69" s="62"/>
      <c r="MMT69" s="62"/>
      <c r="MMU69" s="62"/>
      <c r="MMV69" s="62"/>
      <c r="MMW69" s="62"/>
      <c r="MMX69" s="62"/>
      <c r="MMY69" s="62"/>
      <c r="MMZ69" s="62"/>
      <c r="MNA69" s="62"/>
      <c r="MNB69" s="62"/>
      <c r="MNC69" s="62"/>
      <c r="MND69" s="62"/>
      <c r="MNE69" s="62"/>
      <c r="MNF69" s="62"/>
      <c r="MNG69" s="62"/>
      <c r="MNH69" s="62"/>
      <c r="MNI69" s="62"/>
      <c r="MNJ69" s="62"/>
      <c r="MNK69" s="62"/>
      <c r="MNL69" s="62"/>
      <c r="MNM69" s="62"/>
      <c r="MNN69" s="62"/>
      <c r="MNO69" s="62"/>
      <c r="MNP69" s="62"/>
      <c r="MNQ69" s="62"/>
      <c r="MNR69" s="62"/>
      <c r="MNS69" s="62"/>
      <c r="MNT69" s="62"/>
      <c r="MNU69" s="62"/>
      <c r="MNV69" s="62"/>
      <c r="MNW69" s="62"/>
      <c r="MNX69" s="62"/>
      <c r="MNY69" s="62"/>
      <c r="MNZ69" s="62"/>
      <c r="MOA69" s="62"/>
      <c r="MOB69" s="62"/>
      <c r="MOC69" s="62"/>
      <c r="MOD69" s="62"/>
      <c r="MOE69" s="62"/>
      <c r="MOF69" s="62"/>
      <c r="MOG69" s="62"/>
      <c r="MOH69" s="62"/>
      <c r="MOI69" s="62"/>
      <c r="MOJ69" s="62"/>
      <c r="MOK69" s="62"/>
      <c r="MOL69" s="62"/>
      <c r="MOM69" s="62"/>
      <c r="MON69" s="62"/>
      <c r="MOO69" s="62"/>
      <c r="MOP69" s="62"/>
      <c r="MOQ69" s="62"/>
      <c r="MOR69" s="62"/>
      <c r="MOS69" s="62"/>
      <c r="MOT69" s="62"/>
      <c r="MOU69" s="62"/>
      <c r="MOV69" s="62"/>
      <c r="MOW69" s="62"/>
      <c r="MOX69" s="62"/>
      <c r="MOY69" s="62"/>
      <c r="MOZ69" s="62"/>
      <c r="MPA69" s="62"/>
      <c r="MPB69" s="62"/>
      <c r="MPC69" s="62"/>
      <c r="MPD69" s="62"/>
      <c r="MPE69" s="62"/>
      <c r="MPF69" s="62"/>
      <c r="MPG69" s="62"/>
      <c r="MPH69" s="62"/>
      <c r="MPI69" s="62"/>
      <c r="MPJ69" s="62"/>
      <c r="MPK69" s="62"/>
      <c r="MPL69" s="62"/>
      <c r="MPM69" s="62"/>
      <c r="MPN69" s="62"/>
      <c r="MPO69" s="62"/>
      <c r="MPP69" s="62"/>
      <c r="MPQ69" s="62"/>
      <c r="MPR69" s="62"/>
      <c r="MPS69" s="62"/>
      <c r="MPT69" s="62"/>
      <c r="MPU69" s="62"/>
      <c r="MPV69" s="62"/>
      <c r="MPW69" s="62"/>
      <c r="MPX69" s="62"/>
      <c r="MPY69" s="62"/>
      <c r="MPZ69" s="62"/>
      <c r="MQA69" s="62"/>
      <c r="MQB69" s="62"/>
      <c r="MQC69" s="62"/>
      <c r="MQD69" s="62"/>
      <c r="MQE69" s="62"/>
      <c r="MQF69" s="62"/>
      <c r="MQG69" s="62"/>
      <c r="MQH69" s="62"/>
      <c r="MQI69" s="62"/>
      <c r="MQJ69" s="62"/>
      <c r="MQK69" s="62"/>
      <c r="MQL69" s="62"/>
      <c r="MQM69" s="62"/>
      <c r="MQN69" s="62"/>
      <c r="MQO69" s="62"/>
      <c r="MQP69" s="62"/>
      <c r="MQQ69" s="62"/>
      <c r="MQR69" s="62"/>
      <c r="MQS69" s="62"/>
      <c r="MQT69" s="62"/>
      <c r="MQU69" s="62"/>
      <c r="MQV69" s="62"/>
      <c r="MQW69" s="62"/>
      <c r="MQX69" s="62"/>
      <c r="MQY69" s="62"/>
      <c r="MQZ69" s="62"/>
      <c r="MRA69" s="62"/>
      <c r="MRB69" s="62"/>
      <c r="MRC69" s="62"/>
      <c r="MRD69" s="62"/>
      <c r="MRE69" s="62"/>
      <c r="MRF69" s="62"/>
      <c r="MRG69" s="62"/>
      <c r="MRH69" s="62"/>
      <c r="MRI69" s="62"/>
      <c r="MRJ69" s="62"/>
      <c r="MRK69" s="62"/>
      <c r="MRL69" s="62"/>
      <c r="MRM69" s="62"/>
      <c r="MRN69" s="62"/>
      <c r="MRO69" s="62"/>
      <c r="MRP69" s="62"/>
      <c r="MRQ69" s="62"/>
      <c r="MRR69" s="62"/>
      <c r="MRS69" s="62"/>
      <c r="MRT69" s="62"/>
      <c r="MRU69" s="62"/>
      <c r="MRV69" s="62"/>
      <c r="MRW69" s="62"/>
      <c r="MRX69" s="62"/>
      <c r="MRY69" s="62"/>
      <c r="MRZ69" s="62"/>
      <c r="MSA69" s="62"/>
      <c r="MSB69" s="62"/>
      <c r="MSC69" s="62"/>
      <c r="MSD69" s="62"/>
      <c r="MSE69" s="62"/>
      <c r="MSF69" s="62"/>
      <c r="MSG69" s="62"/>
      <c r="MSH69" s="62"/>
      <c r="MSI69" s="62"/>
      <c r="MSJ69" s="62"/>
      <c r="MSK69" s="62"/>
      <c r="MSL69" s="62"/>
      <c r="MSM69" s="62"/>
      <c r="MSN69" s="62"/>
      <c r="MSO69" s="62"/>
      <c r="MSP69" s="62"/>
      <c r="MSQ69" s="62"/>
      <c r="MSR69" s="62"/>
      <c r="MSS69" s="62"/>
      <c r="MST69" s="62"/>
      <c r="MSU69" s="62"/>
      <c r="MSV69" s="62"/>
      <c r="MSW69" s="62"/>
      <c r="MSX69" s="62"/>
      <c r="MSY69" s="62"/>
      <c r="MSZ69" s="62"/>
      <c r="MTA69" s="62"/>
      <c r="MTB69" s="62"/>
      <c r="MTC69" s="62"/>
      <c r="MTD69" s="62"/>
      <c r="MTE69" s="62"/>
      <c r="MTF69" s="62"/>
      <c r="MTG69" s="62"/>
      <c r="MTH69" s="62"/>
      <c r="MTI69" s="62"/>
      <c r="MTJ69" s="62"/>
      <c r="MTK69" s="62"/>
      <c r="MTL69" s="62"/>
      <c r="MTM69" s="62"/>
      <c r="MTN69" s="62"/>
      <c r="MTO69" s="62"/>
      <c r="MTP69" s="62"/>
      <c r="MTQ69" s="62"/>
      <c r="MTR69" s="62"/>
      <c r="MTS69" s="62"/>
      <c r="MTT69" s="62"/>
      <c r="MTU69" s="62"/>
      <c r="MTV69" s="62"/>
      <c r="MTW69" s="62"/>
      <c r="MTX69" s="62"/>
      <c r="MTY69" s="62"/>
      <c r="MTZ69" s="62"/>
      <c r="MUA69" s="62"/>
      <c r="MUB69" s="62"/>
      <c r="MUC69" s="62"/>
      <c r="MUD69" s="62"/>
      <c r="MUE69" s="62"/>
      <c r="MUF69" s="62"/>
      <c r="MUG69" s="62"/>
      <c r="MUH69" s="62"/>
      <c r="MUI69" s="62"/>
      <c r="MUJ69" s="62"/>
      <c r="MUK69" s="62"/>
      <c r="MUL69" s="62"/>
      <c r="MUM69" s="62"/>
      <c r="MUN69" s="62"/>
      <c r="MUO69" s="62"/>
      <c r="MUP69" s="62"/>
      <c r="MUQ69" s="62"/>
      <c r="MUR69" s="62"/>
      <c r="MUS69" s="62"/>
      <c r="MUT69" s="62"/>
      <c r="MUU69" s="62"/>
      <c r="MUV69" s="62"/>
      <c r="MUW69" s="62"/>
      <c r="MUX69" s="62"/>
      <c r="MUY69" s="62"/>
      <c r="MUZ69" s="62"/>
      <c r="MVA69" s="62"/>
      <c r="MVB69" s="62"/>
      <c r="MVC69" s="62"/>
      <c r="MVD69" s="62"/>
      <c r="MVE69" s="62"/>
      <c r="MVF69" s="62"/>
      <c r="MVG69" s="62"/>
      <c r="MVH69" s="62"/>
      <c r="MVI69" s="62"/>
      <c r="MVJ69" s="62"/>
      <c r="MVK69" s="62"/>
      <c r="MVL69" s="62"/>
      <c r="MVM69" s="62"/>
      <c r="MVN69" s="62"/>
      <c r="MVO69" s="62"/>
      <c r="MVP69" s="62"/>
      <c r="MVQ69" s="62"/>
      <c r="MVR69" s="62"/>
      <c r="MVS69" s="62"/>
      <c r="MVT69" s="62"/>
      <c r="MVU69" s="62"/>
      <c r="MVV69" s="62"/>
      <c r="MVW69" s="62"/>
      <c r="MVX69" s="62"/>
      <c r="MVY69" s="62"/>
      <c r="MVZ69" s="62"/>
      <c r="MWA69" s="62"/>
      <c r="MWB69" s="62"/>
      <c r="MWC69" s="62"/>
      <c r="MWD69" s="62"/>
      <c r="MWE69" s="62"/>
      <c r="MWF69" s="62"/>
      <c r="MWG69" s="62"/>
      <c r="MWH69" s="62"/>
      <c r="MWI69" s="62"/>
      <c r="MWJ69" s="62"/>
      <c r="MWK69" s="62"/>
      <c r="MWL69" s="62"/>
      <c r="MWM69" s="62"/>
      <c r="MWN69" s="62"/>
      <c r="MWO69" s="62"/>
      <c r="MWP69" s="62"/>
      <c r="MWQ69" s="62"/>
      <c r="MWR69" s="62"/>
      <c r="MWS69" s="62"/>
      <c r="MWT69" s="62"/>
      <c r="MWU69" s="62"/>
      <c r="MWV69" s="62"/>
      <c r="MWW69" s="62"/>
      <c r="MWX69" s="62"/>
      <c r="MWY69" s="62"/>
      <c r="MWZ69" s="62"/>
      <c r="MXA69" s="62"/>
      <c r="MXB69" s="62"/>
      <c r="MXC69" s="62"/>
      <c r="MXD69" s="62"/>
      <c r="MXE69" s="62"/>
      <c r="MXF69" s="62"/>
      <c r="MXG69" s="62"/>
      <c r="MXH69" s="62"/>
      <c r="MXI69" s="62"/>
      <c r="MXJ69" s="62"/>
      <c r="MXK69" s="62"/>
      <c r="MXL69" s="62"/>
      <c r="MXM69" s="62"/>
      <c r="MXN69" s="62"/>
      <c r="MXO69" s="62"/>
      <c r="MXP69" s="62"/>
      <c r="MXQ69" s="62"/>
      <c r="MXR69" s="62"/>
      <c r="MXS69" s="62"/>
      <c r="MXT69" s="62"/>
      <c r="MXU69" s="62"/>
      <c r="MXV69" s="62"/>
      <c r="MXW69" s="62"/>
      <c r="MXX69" s="62"/>
      <c r="MXY69" s="62"/>
      <c r="MXZ69" s="62"/>
      <c r="MYA69" s="62"/>
      <c r="MYB69" s="62"/>
      <c r="MYC69" s="62"/>
      <c r="MYD69" s="62"/>
      <c r="MYE69" s="62"/>
      <c r="MYF69" s="62"/>
      <c r="MYG69" s="62"/>
      <c r="MYH69" s="62"/>
      <c r="MYI69" s="62"/>
      <c r="MYJ69" s="62"/>
      <c r="MYK69" s="62"/>
      <c r="MYL69" s="62"/>
      <c r="MYM69" s="62"/>
      <c r="MYN69" s="62"/>
      <c r="MYO69" s="62"/>
      <c r="MYP69" s="62"/>
      <c r="MYQ69" s="62"/>
      <c r="MYR69" s="62"/>
      <c r="MYS69" s="62"/>
      <c r="MYT69" s="62"/>
      <c r="MYU69" s="62"/>
      <c r="MYV69" s="62"/>
      <c r="MYW69" s="62"/>
      <c r="MYX69" s="62"/>
      <c r="MYY69" s="62"/>
      <c r="MYZ69" s="62"/>
      <c r="MZA69" s="62"/>
      <c r="MZB69" s="62"/>
      <c r="MZC69" s="62"/>
      <c r="MZD69" s="62"/>
      <c r="MZE69" s="62"/>
      <c r="MZF69" s="62"/>
      <c r="MZG69" s="62"/>
      <c r="MZH69" s="62"/>
      <c r="MZI69" s="62"/>
      <c r="MZJ69" s="62"/>
      <c r="MZK69" s="62"/>
      <c r="MZL69" s="62"/>
      <c r="MZM69" s="62"/>
      <c r="MZN69" s="62"/>
      <c r="MZO69" s="62"/>
      <c r="MZP69" s="62"/>
      <c r="MZQ69" s="62"/>
      <c r="MZR69" s="62"/>
      <c r="MZS69" s="62"/>
      <c r="MZT69" s="62"/>
      <c r="MZU69" s="62"/>
      <c r="MZV69" s="62"/>
      <c r="MZW69" s="62"/>
      <c r="MZX69" s="62"/>
      <c r="MZY69" s="62"/>
      <c r="MZZ69" s="62"/>
      <c r="NAA69" s="62"/>
      <c r="NAB69" s="62"/>
      <c r="NAC69" s="62"/>
      <c r="NAD69" s="62"/>
      <c r="NAE69" s="62"/>
      <c r="NAF69" s="62"/>
      <c r="NAG69" s="62"/>
      <c r="NAH69" s="62"/>
      <c r="NAI69" s="62"/>
      <c r="NAJ69" s="62"/>
      <c r="NAK69" s="62"/>
      <c r="NAL69" s="62"/>
      <c r="NAM69" s="62"/>
      <c r="NAN69" s="62"/>
      <c r="NAO69" s="62"/>
      <c r="NAP69" s="62"/>
      <c r="NAQ69" s="62"/>
      <c r="NAR69" s="62"/>
      <c r="NAS69" s="62"/>
      <c r="NAT69" s="62"/>
      <c r="NAU69" s="62"/>
      <c r="NAV69" s="62"/>
      <c r="NAW69" s="62"/>
      <c r="NAX69" s="62"/>
      <c r="NAY69" s="62"/>
      <c r="NAZ69" s="62"/>
      <c r="NBA69" s="62"/>
      <c r="NBB69" s="62"/>
      <c r="NBC69" s="62"/>
      <c r="NBD69" s="62"/>
      <c r="NBE69" s="62"/>
      <c r="NBF69" s="62"/>
      <c r="NBG69" s="62"/>
      <c r="NBH69" s="62"/>
      <c r="NBI69" s="62"/>
      <c r="NBJ69" s="62"/>
      <c r="NBK69" s="62"/>
      <c r="NBL69" s="62"/>
      <c r="NBM69" s="62"/>
      <c r="NBN69" s="62"/>
      <c r="NBO69" s="62"/>
      <c r="NBP69" s="62"/>
      <c r="NBQ69" s="62"/>
      <c r="NBR69" s="62"/>
      <c r="NBS69" s="62"/>
      <c r="NBT69" s="62"/>
      <c r="NBU69" s="62"/>
      <c r="NBV69" s="62"/>
      <c r="NBW69" s="62"/>
      <c r="NBX69" s="62"/>
      <c r="NBY69" s="62"/>
      <c r="NBZ69" s="62"/>
      <c r="NCA69" s="62"/>
      <c r="NCB69" s="62"/>
      <c r="NCC69" s="62"/>
      <c r="NCD69" s="62"/>
      <c r="NCE69" s="62"/>
      <c r="NCF69" s="62"/>
      <c r="NCG69" s="62"/>
      <c r="NCH69" s="62"/>
      <c r="NCI69" s="62"/>
      <c r="NCJ69" s="62"/>
      <c r="NCK69" s="62"/>
      <c r="NCL69" s="62"/>
      <c r="NCM69" s="62"/>
      <c r="NCN69" s="62"/>
      <c r="NCO69" s="62"/>
      <c r="NCP69" s="62"/>
      <c r="NCQ69" s="62"/>
      <c r="NCR69" s="62"/>
      <c r="NCS69" s="62"/>
      <c r="NCT69" s="62"/>
      <c r="NCU69" s="62"/>
      <c r="NCV69" s="62"/>
      <c r="NCW69" s="62"/>
      <c r="NCX69" s="62"/>
      <c r="NCY69" s="62"/>
      <c r="NCZ69" s="62"/>
      <c r="NDA69" s="62"/>
      <c r="NDB69" s="62"/>
      <c r="NDC69" s="62"/>
      <c r="NDD69" s="62"/>
      <c r="NDE69" s="62"/>
      <c r="NDF69" s="62"/>
      <c r="NDG69" s="62"/>
      <c r="NDH69" s="62"/>
      <c r="NDI69" s="62"/>
      <c r="NDJ69" s="62"/>
      <c r="NDK69" s="62"/>
      <c r="NDL69" s="62"/>
      <c r="NDM69" s="62"/>
      <c r="NDN69" s="62"/>
      <c r="NDO69" s="62"/>
      <c r="NDP69" s="62"/>
      <c r="NDQ69" s="62"/>
      <c r="NDR69" s="62"/>
      <c r="NDS69" s="62"/>
      <c r="NDT69" s="62"/>
      <c r="NDU69" s="62"/>
      <c r="NDV69" s="62"/>
      <c r="NDW69" s="62"/>
      <c r="NDX69" s="62"/>
      <c r="NDY69" s="62"/>
      <c r="NDZ69" s="62"/>
      <c r="NEA69" s="62"/>
      <c r="NEB69" s="62"/>
      <c r="NEC69" s="62"/>
      <c r="NED69" s="62"/>
      <c r="NEE69" s="62"/>
      <c r="NEF69" s="62"/>
      <c r="NEG69" s="62"/>
      <c r="NEH69" s="62"/>
      <c r="NEI69" s="62"/>
      <c r="NEJ69" s="62"/>
      <c r="NEK69" s="62"/>
      <c r="NEL69" s="62"/>
      <c r="NEM69" s="62"/>
      <c r="NEN69" s="62"/>
      <c r="NEO69" s="62"/>
      <c r="NEP69" s="62"/>
      <c r="NEQ69" s="62"/>
      <c r="NER69" s="62"/>
      <c r="NES69" s="62"/>
      <c r="NET69" s="62"/>
      <c r="NEU69" s="62"/>
      <c r="NEV69" s="62"/>
      <c r="NEW69" s="62"/>
      <c r="NEX69" s="62"/>
      <c r="NEY69" s="62"/>
      <c r="NEZ69" s="62"/>
      <c r="NFA69" s="62"/>
      <c r="NFB69" s="62"/>
      <c r="NFC69" s="62"/>
      <c r="NFD69" s="62"/>
      <c r="NFE69" s="62"/>
      <c r="NFF69" s="62"/>
      <c r="NFG69" s="62"/>
      <c r="NFH69" s="62"/>
      <c r="NFI69" s="62"/>
      <c r="NFJ69" s="62"/>
      <c r="NFK69" s="62"/>
      <c r="NFL69" s="62"/>
      <c r="NFM69" s="62"/>
      <c r="NFN69" s="62"/>
      <c r="NFO69" s="62"/>
      <c r="NFP69" s="62"/>
      <c r="NFQ69" s="62"/>
      <c r="NFR69" s="62"/>
      <c r="NFS69" s="62"/>
      <c r="NFT69" s="62"/>
      <c r="NFU69" s="62"/>
      <c r="NFV69" s="62"/>
      <c r="NFW69" s="62"/>
      <c r="NFX69" s="62"/>
      <c r="NFY69" s="62"/>
      <c r="NFZ69" s="62"/>
      <c r="NGA69" s="62"/>
      <c r="NGB69" s="62"/>
      <c r="NGC69" s="62"/>
      <c r="NGD69" s="62"/>
      <c r="NGE69" s="62"/>
      <c r="NGF69" s="62"/>
      <c r="NGG69" s="62"/>
      <c r="NGH69" s="62"/>
      <c r="NGI69" s="62"/>
      <c r="NGJ69" s="62"/>
      <c r="NGK69" s="62"/>
      <c r="NGL69" s="62"/>
      <c r="NGM69" s="62"/>
      <c r="NGN69" s="62"/>
      <c r="NGO69" s="62"/>
      <c r="NGP69" s="62"/>
      <c r="NGQ69" s="62"/>
      <c r="NGR69" s="62"/>
      <c r="NGS69" s="62"/>
      <c r="NGT69" s="62"/>
      <c r="NGU69" s="62"/>
      <c r="NGV69" s="62"/>
      <c r="NGW69" s="62"/>
      <c r="NGX69" s="62"/>
      <c r="NGY69" s="62"/>
      <c r="NGZ69" s="62"/>
      <c r="NHA69" s="62"/>
      <c r="NHB69" s="62"/>
      <c r="NHC69" s="62"/>
      <c r="NHD69" s="62"/>
      <c r="NHE69" s="62"/>
      <c r="NHF69" s="62"/>
      <c r="NHG69" s="62"/>
      <c r="NHH69" s="62"/>
      <c r="NHI69" s="62"/>
      <c r="NHJ69" s="62"/>
      <c r="NHK69" s="62"/>
      <c r="NHL69" s="62"/>
      <c r="NHM69" s="62"/>
      <c r="NHN69" s="62"/>
      <c r="NHO69" s="62"/>
      <c r="NHP69" s="62"/>
      <c r="NHQ69" s="62"/>
      <c r="NHR69" s="62"/>
      <c r="NHS69" s="62"/>
      <c r="NHT69" s="62"/>
      <c r="NHU69" s="62"/>
      <c r="NHV69" s="62"/>
      <c r="NHW69" s="62"/>
      <c r="NHX69" s="62"/>
      <c r="NHY69" s="62"/>
      <c r="NHZ69" s="62"/>
      <c r="NIA69" s="62"/>
      <c r="NIB69" s="62"/>
      <c r="NIC69" s="62"/>
      <c r="NID69" s="62"/>
      <c r="NIE69" s="62"/>
      <c r="NIF69" s="62"/>
      <c r="NIG69" s="62"/>
      <c r="NIH69" s="62"/>
      <c r="NII69" s="62"/>
      <c r="NIJ69" s="62"/>
      <c r="NIK69" s="62"/>
      <c r="NIL69" s="62"/>
      <c r="NIM69" s="62"/>
      <c r="NIN69" s="62"/>
      <c r="NIO69" s="62"/>
      <c r="NIP69" s="62"/>
      <c r="NIQ69" s="62"/>
      <c r="NIR69" s="62"/>
      <c r="NIS69" s="62"/>
      <c r="NIT69" s="62"/>
      <c r="NIU69" s="62"/>
      <c r="NIV69" s="62"/>
      <c r="NIW69" s="62"/>
      <c r="NIX69" s="62"/>
      <c r="NIY69" s="62"/>
      <c r="NIZ69" s="62"/>
      <c r="NJA69" s="62"/>
      <c r="NJB69" s="62"/>
      <c r="NJC69" s="62"/>
      <c r="NJD69" s="62"/>
      <c r="NJE69" s="62"/>
      <c r="NJF69" s="62"/>
      <c r="NJG69" s="62"/>
      <c r="NJH69" s="62"/>
      <c r="NJI69" s="62"/>
      <c r="NJJ69" s="62"/>
      <c r="NJK69" s="62"/>
      <c r="NJL69" s="62"/>
      <c r="NJM69" s="62"/>
      <c r="NJN69" s="62"/>
      <c r="NJO69" s="62"/>
      <c r="NJP69" s="62"/>
      <c r="NJQ69" s="62"/>
      <c r="NJR69" s="62"/>
      <c r="NJS69" s="62"/>
      <c r="NJT69" s="62"/>
      <c r="NJU69" s="62"/>
      <c r="NJV69" s="62"/>
      <c r="NJW69" s="62"/>
      <c r="NJX69" s="62"/>
      <c r="NJY69" s="62"/>
      <c r="NJZ69" s="62"/>
      <c r="NKA69" s="62"/>
      <c r="NKB69" s="62"/>
      <c r="NKC69" s="62"/>
      <c r="NKD69" s="62"/>
      <c r="NKE69" s="62"/>
      <c r="NKF69" s="62"/>
      <c r="NKG69" s="62"/>
      <c r="NKH69" s="62"/>
      <c r="NKI69" s="62"/>
      <c r="NKJ69" s="62"/>
      <c r="NKK69" s="62"/>
      <c r="NKL69" s="62"/>
      <c r="NKM69" s="62"/>
      <c r="NKN69" s="62"/>
      <c r="NKO69" s="62"/>
      <c r="NKP69" s="62"/>
      <c r="NKQ69" s="62"/>
      <c r="NKR69" s="62"/>
      <c r="NKS69" s="62"/>
      <c r="NKT69" s="62"/>
      <c r="NKU69" s="62"/>
      <c r="NKV69" s="62"/>
      <c r="NKW69" s="62"/>
      <c r="NKX69" s="62"/>
      <c r="NKY69" s="62"/>
      <c r="NKZ69" s="62"/>
      <c r="NLA69" s="62"/>
      <c r="NLB69" s="62"/>
      <c r="NLC69" s="62"/>
      <c r="NLD69" s="62"/>
      <c r="NLE69" s="62"/>
      <c r="NLF69" s="62"/>
      <c r="NLG69" s="62"/>
      <c r="NLH69" s="62"/>
      <c r="NLI69" s="62"/>
      <c r="NLJ69" s="62"/>
      <c r="NLK69" s="62"/>
      <c r="NLL69" s="62"/>
      <c r="NLM69" s="62"/>
      <c r="NLN69" s="62"/>
      <c r="NLO69" s="62"/>
      <c r="NLP69" s="62"/>
      <c r="NLQ69" s="62"/>
      <c r="NLR69" s="62"/>
      <c r="NLS69" s="62"/>
      <c r="NLT69" s="62"/>
      <c r="NLU69" s="62"/>
      <c r="NLV69" s="62"/>
      <c r="NLW69" s="62"/>
      <c r="NLX69" s="62"/>
      <c r="NLY69" s="62"/>
      <c r="NLZ69" s="62"/>
      <c r="NMA69" s="62"/>
      <c r="NMB69" s="62"/>
      <c r="NMC69" s="62"/>
      <c r="NMD69" s="62"/>
      <c r="NME69" s="62"/>
      <c r="NMF69" s="62"/>
      <c r="NMG69" s="62"/>
      <c r="NMH69" s="62"/>
      <c r="NMI69" s="62"/>
      <c r="NMJ69" s="62"/>
      <c r="NMK69" s="62"/>
      <c r="NML69" s="62"/>
      <c r="NMM69" s="62"/>
      <c r="NMN69" s="62"/>
      <c r="NMO69" s="62"/>
      <c r="NMP69" s="62"/>
      <c r="NMQ69" s="62"/>
      <c r="NMR69" s="62"/>
      <c r="NMS69" s="62"/>
      <c r="NMT69" s="62"/>
      <c r="NMU69" s="62"/>
      <c r="NMV69" s="62"/>
      <c r="NMW69" s="62"/>
      <c r="NMX69" s="62"/>
      <c r="NMY69" s="62"/>
      <c r="NMZ69" s="62"/>
      <c r="NNA69" s="62"/>
      <c r="NNB69" s="62"/>
      <c r="NNC69" s="62"/>
      <c r="NND69" s="62"/>
      <c r="NNE69" s="62"/>
      <c r="NNF69" s="62"/>
      <c r="NNG69" s="62"/>
      <c r="NNH69" s="62"/>
      <c r="NNI69" s="62"/>
      <c r="NNJ69" s="62"/>
      <c r="NNK69" s="62"/>
      <c r="NNL69" s="62"/>
      <c r="NNM69" s="62"/>
      <c r="NNN69" s="62"/>
      <c r="NNO69" s="62"/>
      <c r="NNP69" s="62"/>
      <c r="NNQ69" s="62"/>
      <c r="NNR69" s="62"/>
      <c r="NNS69" s="62"/>
      <c r="NNT69" s="62"/>
      <c r="NNU69" s="62"/>
      <c r="NNV69" s="62"/>
      <c r="NNW69" s="62"/>
      <c r="NNX69" s="62"/>
      <c r="NNY69" s="62"/>
      <c r="NNZ69" s="62"/>
      <c r="NOA69" s="62"/>
      <c r="NOB69" s="62"/>
      <c r="NOC69" s="62"/>
      <c r="NOD69" s="62"/>
      <c r="NOE69" s="62"/>
      <c r="NOF69" s="62"/>
      <c r="NOG69" s="62"/>
      <c r="NOH69" s="62"/>
      <c r="NOI69" s="62"/>
      <c r="NOJ69" s="62"/>
      <c r="NOK69" s="62"/>
      <c r="NOL69" s="62"/>
      <c r="NOM69" s="62"/>
      <c r="NON69" s="62"/>
      <c r="NOO69" s="62"/>
      <c r="NOP69" s="62"/>
      <c r="NOQ69" s="62"/>
      <c r="NOR69" s="62"/>
      <c r="NOS69" s="62"/>
      <c r="NOT69" s="62"/>
      <c r="NOU69" s="62"/>
      <c r="NOV69" s="62"/>
      <c r="NOW69" s="62"/>
      <c r="NOX69" s="62"/>
      <c r="NOY69" s="62"/>
      <c r="NOZ69" s="62"/>
      <c r="NPA69" s="62"/>
      <c r="NPB69" s="62"/>
      <c r="NPC69" s="62"/>
      <c r="NPD69" s="62"/>
      <c r="NPE69" s="62"/>
      <c r="NPF69" s="62"/>
      <c r="NPG69" s="62"/>
      <c r="NPH69" s="62"/>
      <c r="NPI69" s="62"/>
      <c r="NPJ69" s="62"/>
      <c r="NPK69" s="62"/>
      <c r="NPL69" s="62"/>
      <c r="NPM69" s="62"/>
      <c r="NPN69" s="62"/>
      <c r="NPO69" s="62"/>
      <c r="NPP69" s="62"/>
      <c r="NPQ69" s="62"/>
      <c r="NPR69" s="62"/>
      <c r="NPS69" s="62"/>
      <c r="NPT69" s="62"/>
      <c r="NPU69" s="62"/>
      <c r="NPV69" s="62"/>
      <c r="NPW69" s="62"/>
      <c r="NPX69" s="62"/>
      <c r="NPY69" s="62"/>
      <c r="NPZ69" s="62"/>
      <c r="NQA69" s="62"/>
      <c r="NQB69" s="62"/>
      <c r="NQC69" s="62"/>
      <c r="NQD69" s="62"/>
      <c r="NQE69" s="62"/>
      <c r="NQF69" s="62"/>
      <c r="NQG69" s="62"/>
      <c r="NQH69" s="62"/>
      <c r="NQI69" s="62"/>
      <c r="NQJ69" s="62"/>
      <c r="NQK69" s="62"/>
      <c r="NQL69" s="62"/>
      <c r="NQM69" s="62"/>
      <c r="NQN69" s="62"/>
      <c r="NQO69" s="62"/>
      <c r="NQP69" s="62"/>
      <c r="NQQ69" s="62"/>
      <c r="NQR69" s="62"/>
      <c r="NQS69" s="62"/>
      <c r="NQT69" s="62"/>
      <c r="NQU69" s="62"/>
      <c r="NQV69" s="62"/>
      <c r="NQW69" s="62"/>
      <c r="NQX69" s="62"/>
      <c r="NQY69" s="62"/>
      <c r="NQZ69" s="62"/>
      <c r="NRA69" s="62"/>
      <c r="NRB69" s="62"/>
      <c r="NRC69" s="62"/>
      <c r="NRD69" s="62"/>
      <c r="NRE69" s="62"/>
      <c r="NRF69" s="62"/>
      <c r="NRG69" s="62"/>
      <c r="NRH69" s="62"/>
      <c r="NRI69" s="62"/>
      <c r="NRJ69" s="62"/>
      <c r="NRK69" s="62"/>
      <c r="NRL69" s="62"/>
      <c r="NRM69" s="62"/>
      <c r="NRN69" s="62"/>
      <c r="NRO69" s="62"/>
      <c r="NRP69" s="62"/>
      <c r="NRQ69" s="62"/>
      <c r="NRR69" s="62"/>
      <c r="NRS69" s="62"/>
      <c r="NRT69" s="62"/>
      <c r="NRU69" s="62"/>
      <c r="NRV69" s="62"/>
      <c r="NRW69" s="62"/>
      <c r="NRX69" s="62"/>
      <c r="NRY69" s="62"/>
      <c r="NRZ69" s="62"/>
      <c r="NSA69" s="62"/>
      <c r="NSB69" s="62"/>
      <c r="NSC69" s="62"/>
      <c r="NSD69" s="62"/>
      <c r="NSE69" s="62"/>
      <c r="NSF69" s="62"/>
      <c r="NSG69" s="62"/>
      <c r="NSH69" s="62"/>
      <c r="NSI69" s="62"/>
      <c r="NSJ69" s="62"/>
      <c r="NSK69" s="62"/>
      <c r="NSL69" s="62"/>
      <c r="NSM69" s="62"/>
      <c r="NSN69" s="62"/>
      <c r="NSO69" s="62"/>
      <c r="NSP69" s="62"/>
      <c r="NSQ69" s="62"/>
      <c r="NSR69" s="62"/>
      <c r="NSS69" s="62"/>
      <c r="NST69" s="62"/>
      <c r="NSU69" s="62"/>
      <c r="NSV69" s="62"/>
      <c r="NSW69" s="62"/>
      <c r="NSX69" s="62"/>
      <c r="NSY69" s="62"/>
      <c r="NSZ69" s="62"/>
      <c r="NTA69" s="62"/>
      <c r="NTB69" s="62"/>
      <c r="NTC69" s="62"/>
      <c r="NTD69" s="62"/>
      <c r="NTE69" s="62"/>
      <c r="NTF69" s="62"/>
      <c r="NTG69" s="62"/>
      <c r="NTH69" s="62"/>
      <c r="NTI69" s="62"/>
      <c r="NTJ69" s="62"/>
      <c r="NTK69" s="62"/>
      <c r="NTL69" s="62"/>
      <c r="NTM69" s="62"/>
      <c r="NTN69" s="62"/>
      <c r="NTO69" s="62"/>
      <c r="NTP69" s="62"/>
      <c r="NTQ69" s="62"/>
      <c r="NTR69" s="62"/>
      <c r="NTS69" s="62"/>
      <c r="NTT69" s="62"/>
      <c r="NTU69" s="62"/>
      <c r="NTV69" s="62"/>
      <c r="NTW69" s="62"/>
      <c r="NTX69" s="62"/>
      <c r="NTY69" s="62"/>
      <c r="NTZ69" s="62"/>
      <c r="NUA69" s="62"/>
      <c r="NUB69" s="62"/>
      <c r="NUC69" s="62"/>
      <c r="NUD69" s="62"/>
      <c r="NUE69" s="62"/>
      <c r="NUF69" s="62"/>
      <c r="NUG69" s="62"/>
      <c r="NUH69" s="62"/>
      <c r="NUI69" s="62"/>
      <c r="NUJ69" s="62"/>
      <c r="NUK69" s="62"/>
      <c r="NUL69" s="62"/>
      <c r="NUM69" s="62"/>
      <c r="NUN69" s="62"/>
      <c r="NUO69" s="62"/>
      <c r="NUP69" s="62"/>
      <c r="NUQ69" s="62"/>
      <c r="NUR69" s="62"/>
      <c r="NUS69" s="62"/>
      <c r="NUT69" s="62"/>
      <c r="NUU69" s="62"/>
      <c r="NUV69" s="62"/>
      <c r="NUW69" s="62"/>
      <c r="NUX69" s="62"/>
      <c r="NUY69" s="62"/>
      <c r="NUZ69" s="62"/>
      <c r="NVA69" s="62"/>
      <c r="NVB69" s="62"/>
      <c r="NVC69" s="62"/>
      <c r="NVD69" s="62"/>
      <c r="NVE69" s="62"/>
      <c r="NVF69" s="62"/>
      <c r="NVG69" s="62"/>
      <c r="NVH69" s="62"/>
      <c r="NVI69" s="62"/>
      <c r="NVJ69" s="62"/>
      <c r="NVK69" s="62"/>
      <c r="NVL69" s="62"/>
      <c r="NVM69" s="62"/>
      <c r="NVN69" s="62"/>
      <c r="NVO69" s="62"/>
      <c r="NVP69" s="62"/>
      <c r="NVQ69" s="62"/>
      <c r="NVR69" s="62"/>
      <c r="NVS69" s="62"/>
      <c r="NVT69" s="62"/>
      <c r="NVU69" s="62"/>
      <c r="NVV69" s="62"/>
      <c r="NVW69" s="62"/>
      <c r="NVX69" s="62"/>
      <c r="NVY69" s="62"/>
      <c r="NVZ69" s="62"/>
      <c r="NWA69" s="62"/>
      <c r="NWB69" s="62"/>
      <c r="NWC69" s="62"/>
      <c r="NWD69" s="62"/>
      <c r="NWE69" s="62"/>
      <c r="NWF69" s="62"/>
      <c r="NWG69" s="62"/>
      <c r="NWH69" s="62"/>
      <c r="NWI69" s="62"/>
      <c r="NWJ69" s="62"/>
      <c r="NWK69" s="62"/>
      <c r="NWL69" s="62"/>
      <c r="NWM69" s="62"/>
      <c r="NWN69" s="62"/>
      <c r="NWO69" s="62"/>
      <c r="NWP69" s="62"/>
      <c r="NWQ69" s="62"/>
      <c r="NWR69" s="62"/>
      <c r="NWS69" s="62"/>
      <c r="NWT69" s="62"/>
      <c r="NWU69" s="62"/>
      <c r="NWV69" s="62"/>
      <c r="NWW69" s="62"/>
      <c r="NWX69" s="62"/>
      <c r="NWY69" s="62"/>
      <c r="NWZ69" s="62"/>
      <c r="NXA69" s="62"/>
      <c r="NXB69" s="62"/>
      <c r="NXC69" s="62"/>
      <c r="NXD69" s="62"/>
      <c r="NXE69" s="62"/>
      <c r="NXF69" s="62"/>
      <c r="NXG69" s="62"/>
      <c r="NXH69" s="62"/>
      <c r="NXI69" s="62"/>
      <c r="NXJ69" s="62"/>
      <c r="NXK69" s="62"/>
      <c r="NXL69" s="62"/>
      <c r="NXM69" s="62"/>
      <c r="NXN69" s="62"/>
      <c r="NXO69" s="62"/>
      <c r="NXP69" s="62"/>
      <c r="NXQ69" s="62"/>
      <c r="NXR69" s="62"/>
      <c r="NXS69" s="62"/>
      <c r="NXT69" s="62"/>
      <c r="NXU69" s="62"/>
      <c r="NXV69" s="62"/>
      <c r="NXW69" s="62"/>
      <c r="NXX69" s="62"/>
      <c r="NXY69" s="62"/>
      <c r="NXZ69" s="62"/>
      <c r="NYA69" s="62"/>
      <c r="NYB69" s="62"/>
      <c r="NYC69" s="62"/>
      <c r="NYD69" s="62"/>
      <c r="NYE69" s="62"/>
      <c r="NYF69" s="62"/>
      <c r="NYG69" s="62"/>
      <c r="NYH69" s="62"/>
      <c r="NYI69" s="62"/>
      <c r="NYJ69" s="62"/>
      <c r="NYK69" s="62"/>
      <c r="NYL69" s="62"/>
      <c r="NYM69" s="62"/>
      <c r="NYN69" s="62"/>
      <c r="NYO69" s="62"/>
      <c r="NYP69" s="62"/>
      <c r="NYQ69" s="62"/>
      <c r="NYR69" s="62"/>
      <c r="NYS69" s="62"/>
      <c r="NYT69" s="62"/>
      <c r="NYU69" s="62"/>
      <c r="NYV69" s="62"/>
      <c r="NYW69" s="62"/>
      <c r="NYX69" s="62"/>
      <c r="NYY69" s="62"/>
      <c r="NYZ69" s="62"/>
      <c r="NZA69" s="62"/>
      <c r="NZB69" s="62"/>
      <c r="NZC69" s="62"/>
      <c r="NZD69" s="62"/>
      <c r="NZE69" s="62"/>
      <c r="NZF69" s="62"/>
      <c r="NZG69" s="62"/>
      <c r="NZH69" s="62"/>
      <c r="NZI69" s="62"/>
      <c r="NZJ69" s="62"/>
      <c r="NZK69" s="62"/>
      <c r="NZL69" s="62"/>
      <c r="NZM69" s="62"/>
      <c r="NZN69" s="62"/>
      <c r="NZO69" s="62"/>
      <c r="NZP69" s="62"/>
      <c r="NZQ69" s="62"/>
      <c r="NZR69" s="62"/>
      <c r="NZS69" s="62"/>
      <c r="NZT69" s="62"/>
      <c r="NZU69" s="62"/>
      <c r="NZV69" s="62"/>
      <c r="NZW69" s="62"/>
      <c r="NZX69" s="62"/>
      <c r="NZY69" s="62"/>
      <c r="NZZ69" s="62"/>
      <c r="OAA69" s="62"/>
      <c r="OAB69" s="62"/>
      <c r="OAC69" s="62"/>
      <c r="OAD69" s="62"/>
      <c r="OAE69" s="62"/>
      <c r="OAF69" s="62"/>
      <c r="OAG69" s="62"/>
      <c r="OAH69" s="62"/>
      <c r="OAI69" s="62"/>
      <c r="OAJ69" s="62"/>
      <c r="OAK69" s="62"/>
      <c r="OAL69" s="62"/>
      <c r="OAM69" s="62"/>
      <c r="OAN69" s="62"/>
      <c r="OAO69" s="62"/>
      <c r="OAP69" s="62"/>
      <c r="OAQ69" s="62"/>
      <c r="OAR69" s="62"/>
      <c r="OAS69" s="62"/>
      <c r="OAT69" s="62"/>
      <c r="OAU69" s="62"/>
      <c r="OAV69" s="62"/>
      <c r="OAW69" s="62"/>
      <c r="OAX69" s="62"/>
      <c r="OAY69" s="62"/>
      <c r="OAZ69" s="62"/>
      <c r="OBA69" s="62"/>
      <c r="OBB69" s="62"/>
      <c r="OBC69" s="62"/>
      <c r="OBD69" s="62"/>
      <c r="OBE69" s="62"/>
      <c r="OBF69" s="62"/>
      <c r="OBG69" s="62"/>
      <c r="OBH69" s="62"/>
      <c r="OBI69" s="62"/>
      <c r="OBJ69" s="62"/>
      <c r="OBK69" s="62"/>
      <c r="OBL69" s="62"/>
      <c r="OBM69" s="62"/>
      <c r="OBN69" s="62"/>
      <c r="OBO69" s="62"/>
      <c r="OBP69" s="62"/>
      <c r="OBQ69" s="62"/>
      <c r="OBR69" s="62"/>
      <c r="OBS69" s="62"/>
      <c r="OBT69" s="62"/>
      <c r="OBU69" s="62"/>
      <c r="OBV69" s="62"/>
      <c r="OBW69" s="62"/>
      <c r="OBX69" s="62"/>
      <c r="OBY69" s="62"/>
      <c r="OBZ69" s="62"/>
      <c r="OCA69" s="62"/>
      <c r="OCB69" s="62"/>
      <c r="OCC69" s="62"/>
      <c r="OCD69" s="62"/>
      <c r="OCE69" s="62"/>
      <c r="OCF69" s="62"/>
      <c r="OCG69" s="62"/>
      <c r="OCH69" s="62"/>
      <c r="OCI69" s="62"/>
      <c r="OCJ69" s="62"/>
      <c r="OCK69" s="62"/>
      <c r="OCL69" s="62"/>
      <c r="OCM69" s="62"/>
      <c r="OCN69" s="62"/>
      <c r="OCO69" s="62"/>
      <c r="OCP69" s="62"/>
      <c r="OCQ69" s="62"/>
      <c r="OCR69" s="62"/>
      <c r="OCS69" s="62"/>
      <c r="OCT69" s="62"/>
      <c r="OCU69" s="62"/>
      <c r="OCV69" s="62"/>
      <c r="OCW69" s="62"/>
      <c r="OCX69" s="62"/>
      <c r="OCY69" s="62"/>
      <c r="OCZ69" s="62"/>
      <c r="ODA69" s="62"/>
      <c r="ODB69" s="62"/>
      <c r="ODC69" s="62"/>
      <c r="ODD69" s="62"/>
      <c r="ODE69" s="62"/>
      <c r="ODF69" s="62"/>
      <c r="ODG69" s="62"/>
      <c r="ODH69" s="62"/>
      <c r="ODI69" s="62"/>
      <c r="ODJ69" s="62"/>
      <c r="ODK69" s="62"/>
      <c r="ODL69" s="62"/>
      <c r="ODM69" s="62"/>
      <c r="ODN69" s="62"/>
      <c r="ODO69" s="62"/>
      <c r="ODP69" s="62"/>
      <c r="ODQ69" s="62"/>
      <c r="ODR69" s="62"/>
      <c r="ODS69" s="62"/>
      <c r="ODT69" s="62"/>
      <c r="ODU69" s="62"/>
      <c r="ODV69" s="62"/>
      <c r="ODW69" s="62"/>
      <c r="ODX69" s="62"/>
      <c r="ODY69" s="62"/>
      <c r="ODZ69" s="62"/>
      <c r="OEA69" s="62"/>
      <c r="OEB69" s="62"/>
      <c r="OEC69" s="62"/>
      <c r="OED69" s="62"/>
      <c r="OEE69" s="62"/>
      <c r="OEF69" s="62"/>
      <c r="OEG69" s="62"/>
      <c r="OEH69" s="62"/>
      <c r="OEI69" s="62"/>
      <c r="OEJ69" s="62"/>
      <c r="OEK69" s="62"/>
      <c r="OEL69" s="62"/>
      <c r="OEM69" s="62"/>
      <c r="OEN69" s="62"/>
      <c r="OEO69" s="62"/>
      <c r="OEP69" s="62"/>
      <c r="OEQ69" s="62"/>
      <c r="OER69" s="62"/>
      <c r="OES69" s="62"/>
      <c r="OET69" s="62"/>
      <c r="OEU69" s="62"/>
      <c r="OEV69" s="62"/>
      <c r="OEW69" s="62"/>
      <c r="OEX69" s="62"/>
      <c r="OEY69" s="62"/>
      <c r="OEZ69" s="62"/>
      <c r="OFA69" s="62"/>
      <c r="OFB69" s="62"/>
      <c r="OFC69" s="62"/>
      <c r="OFD69" s="62"/>
      <c r="OFE69" s="62"/>
      <c r="OFF69" s="62"/>
      <c r="OFG69" s="62"/>
      <c r="OFH69" s="62"/>
      <c r="OFI69" s="62"/>
      <c r="OFJ69" s="62"/>
      <c r="OFK69" s="62"/>
      <c r="OFL69" s="62"/>
      <c r="OFM69" s="62"/>
      <c r="OFN69" s="62"/>
      <c r="OFO69" s="62"/>
      <c r="OFP69" s="62"/>
      <c r="OFQ69" s="62"/>
      <c r="OFR69" s="62"/>
      <c r="OFS69" s="62"/>
      <c r="OFT69" s="62"/>
      <c r="OFU69" s="62"/>
      <c r="OFV69" s="62"/>
      <c r="OFW69" s="62"/>
      <c r="OFX69" s="62"/>
      <c r="OFY69" s="62"/>
      <c r="OFZ69" s="62"/>
      <c r="OGA69" s="62"/>
      <c r="OGB69" s="62"/>
      <c r="OGC69" s="62"/>
      <c r="OGD69" s="62"/>
      <c r="OGE69" s="62"/>
      <c r="OGF69" s="62"/>
      <c r="OGG69" s="62"/>
      <c r="OGH69" s="62"/>
      <c r="OGI69" s="62"/>
      <c r="OGJ69" s="62"/>
      <c r="OGK69" s="62"/>
      <c r="OGL69" s="62"/>
      <c r="OGM69" s="62"/>
      <c r="OGN69" s="62"/>
      <c r="OGO69" s="62"/>
      <c r="OGP69" s="62"/>
      <c r="OGQ69" s="62"/>
      <c r="OGR69" s="62"/>
      <c r="OGS69" s="62"/>
      <c r="OGT69" s="62"/>
      <c r="OGU69" s="62"/>
      <c r="OGV69" s="62"/>
      <c r="OGW69" s="62"/>
      <c r="OGX69" s="62"/>
      <c r="OGY69" s="62"/>
      <c r="OGZ69" s="62"/>
      <c r="OHA69" s="62"/>
      <c r="OHB69" s="62"/>
      <c r="OHC69" s="62"/>
      <c r="OHD69" s="62"/>
      <c r="OHE69" s="62"/>
      <c r="OHF69" s="62"/>
      <c r="OHG69" s="62"/>
      <c r="OHH69" s="62"/>
      <c r="OHI69" s="62"/>
      <c r="OHJ69" s="62"/>
      <c r="OHK69" s="62"/>
      <c r="OHL69" s="62"/>
      <c r="OHM69" s="62"/>
      <c r="OHN69" s="62"/>
      <c r="OHO69" s="62"/>
      <c r="OHP69" s="62"/>
      <c r="OHQ69" s="62"/>
      <c r="OHR69" s="62"/>
      <c r="OHS69" s="62"/>
      <c r="OHT69" s="62"/>
      <c r="OHU69" s="62"/>
      <c r="OHV69" s="62"/>
      <c r="OHW69" s="62"/>
      <c r="OHX69" s="62"/>
      <c r="OHY69" s="62"/>
      <c r="OHZ69" s="62"/>
      <c r="OIA69" s="62"/>
      <c r="OIB69" s="62"/>
      <c r="OIC69" s="62"/>
      <c r="OID69" s="62"/>
      <c r="OIE69" s="62"/>
      <c r="OIF69" s="62"/>
      <c r="OIG69" s="62"/>
      <c r="OIH69" s="62"/>
      <c r="OII69" s="62"/>
      <c r="OIJ69" s="62"/>
      <c r="OIK69" s="62"/>
      <c r="OIL69" s="62"/>
      <c r="OIM69" s="62"/>
      <c r="OIN69" s="62"/>
      <c r="OIO69" s="62"/>
      <c r="OIP69" s="62"/>
      <c r="OIQ69" s="62"/>
      <c r="OIR69" s="62"/>
      <c r="OIS69" s="62"/>
      <c r="OIT69" s="62"/>
      <c r="OIU69" s="62"/>
      <c r="OIV69" s="62"/>
      <c r="OIW69" s="62"/>
      <c r="OIX69" s="62"/>
      <c r="OIY69" s="62"/>
      <c r="OIZ69" s="62"/>
      <c r="OJA69" s="62"/>
      <c r="OJB69" s="62"/>
      <c r="OJC69" s="62"/>
      <c r="OJD69" s="62"/>
      <c r="OJE69" s="62"/>
      <c r="OJF69" s="62"/>
      <c r="OJG69" s="62"/>
      <c r="OJH69" s="62"/>
      <c r="OJI69" s="62"/>
      <c r="OJJ69" s="62"/>
      <c r="OJK69" s="62"/>
      <c r="OJL69" s="62"/>
      <c r="OJM69" s="62"/>
      <c r="OJN69" s="62"/>
      <c r="OJO69" s="62"/>
      <c r="OJP69" s="62"/>
      <c r="OJQ69" s="62"/>
      <c r="OJR69" s="62"/>
      <c r="OJS69" s="62"/>
      <c r="OJT69" s="62"/>
      <c r="OJU69" s="62"/>
      <c r="OJV69" s="62"/>
      <c r="OJW69" s="62"/>
      <c r="OJX69" s="62"/>
      <c r="OJY69" s="62"/>
      <c r="OJZ69" s="62"/>
      <c r="OKA69" s="62"/>
      <c r="OKB69" s="62"/>
      <c r="OKC69" s="62"/>
      <c r="OKD69" s="62"/>
      <c r="OKE69" s="62"/>
      <c r="OKF69" s="62"/>
      <c r="OKG69" s="62"/>
      <c r="OKH69" s="62"/>
      <c r="OKI69" s="62"/>
      <c r="OKJ69" s="62"/>
      <c r="OKK69" s="62"/>
      <c r="OKL69" s="62"/>
      <c r="OKM69" s="62"/>
      <c r="OKN69" s="62"/>
      <c r="OKO69" s="62"/>
      <c r="OKP69" s="62"/>
      <c r="OKQ69" s="62"/>
      <c r="OKR69" s="62"/>
      <c r="OKS69" s="62"/>
      <c r="OKT69" s="62"/>
      <c r="OKU69" s="62"/>
      <c r="OKV69" s="62"/>
      <c r="OKW69" s="62"/>
      <c r="OKX69" s="62"/>
      <c r="OKY69" s="62"/>
      <c r="OKZ69" s="62"/>
      <c r="OLA69" s="62"/>
      <c r="OLB69" s="62"/>
      <c r="OLC69" s="62"/>
      <c r="OLD69" s="62"/>
      <c r="OLE69" s="62"/>
      <c r="OLF69" s="62"/>
      <c r="OLG69" s="62"/>
      <c r="OLH69" s="62"/>
      <c r="OLI69" s="62"/>
      <c r="OLJ69" s="62"/>
      <c r="OLK69" s="62"/>
      <c r="OLL69" s="62"/>
      <c r="OLM69" s="62"/>
      <c r="OLN69" s="62"/>
      <c r="OLO69" s="62"/>
      <c r="OLP69" s="62"/>
      <c r="OLQ69" s="62"/>
      <c r="OLR69" s="62"/>
      <c r="OLS69" s="62"/>
      <c r="OLT69" s="62"/>
      <c r="OLU69" s="62"/>
      <c r="OLV69" s="62"/>
      <c r="OLW69" s="62"/>
      <c r="OLX69" s="62"/>
      <c r="OLY69" s="62"/>
      <c r="OLZ69" s="62"/>
      <c r="OMA69" s="62"/>
      <c r="OMB69" s="62"/>
      <c r="OMC69" s="62"/>
      <c r="OMD69" s="62"/>
      <c r="OME69" s="62"/>
      <c r="OMF69" s="62"/>
      <c r="OMG69" s="62"/>
      <c r="OMH69" s="62"/>
      <c r="OMI69" s="62"/>
      <c r="OMJ69" s="62"/>
      <c r="OMK69" s="62"/>
      <c r="OML69" s="62"/>
      <c r="OMM69" s="62"/>
      <c r="OMN69" s="62"/>
      <c r="OMO69" s="62"/>
      <c r="OMP69" s="62"/>
      <c r="OMQ69" s="62"/>
      <c r="OMR69" s="62"/>
      <c r="OMS69" s="62"/>
      <c r="OMT69" s="62"/>
      <c r="OMU69" s="62"/>
      <c r="OMV69" s="62"/>
      <c r="OMW69" s="62"/>
      <c r="OMX69" s="62"/>
      <c r="OMY69" s="62"/>
      <c r="OMZ69" s="62"/>
      <c r="ONA69" s="62"/>
      <c r="ONB69" s="62"/>
      <c r="ONC69" s="62"/>
      <c r="OND69" s="62"/>
      <c r="ONE69" s="62"/>
      <c r="ONF69" s="62"/>
      <c r="ONG69" s="62"/>
      <c r="ONH69" s="62"/>
      <c r="ONI69" s="62"/>
      <c r="ONJ69" s="62"/>
      <c r="ONK69" s="62"/>
      <c r="ONL69" s="62"/>
      <c r="ONM69" s="62"/>
      <c r="ONN69" s="62"/>
      <c r="ONO69" s="62"/>
      <c r="ONP69" s="62"/>
      <c r="ONQ69" s="62"/>
      <c r="ONR69" s="62"/>
      <c r="ONS69" s="62"/>
      <c r="ONT69" s="62"/>
      <c r="ONU69" s="62"/>
      <c r="ONV69" s="62"/>
      <c r="ONW69" s="62"/>
      <c r="ONX69" s="62"/>
      <c r="ONY69" s="62"/>
      <c r="ONZ69" s="62"/>
      <c r="OOA69" s="62"/>
      <c r="OOB69" s="62"/>
      <c r="OOC69" s="62"/>
      <c r="OOD69" s="62"/>
      <c r="OOE69" s="62"/>
      <c r="OOF69" s="62"/>
      <c r="OOG69" s="62"/>
      <c r="OOH69" s="62"/>
      <c r="OOI69" s="62"/>
      <c r="OOJ69" s="62"/>
      <c r="OOK69" s="62"/>
      <c r="OOL69" s="62"/>
      <c r="OOM69" s="62"/>
      <c r="OON69" s="62"/>
      <c r="OOO69" s="62"/>
      <c r="OOP69" s="62"/>
      <c r="OOQ69" s="62"/>
      <c r="OOR69" s="62"/>
      <c r="OOS69" s="62"/>
      <c r="OOT69" s="62"/>
      <c r="OOU69" s="62"/>
      <c r="OOV69" s="62"/>
      <c r="OOW69" s="62"/>
      <c r="OOX69" s="62"/>
      <c r="OOY69" s="62"/>
      <c r="OOZ69" s="62"/>
      <c r="OPA69" s="62"/>
      <c r="OPB69" s="62"/>
      <c r="OPC69" s="62"/>
      <c r="OPD69" s="62"/>
      <c r="OPE69" s="62"/>
      <c r="OPF69" s="62"/>
      <c r="OPG69" s="62"/>
      <c r="OPH69" s="62"/>
      <c r="OPI69" s="62"/>
      <c r="OPJ69" s="62"/>
      <c r="OPK69" s="62"/>
      <c r="OPL69" s="62"/>
      <c r="OPM69" s="62"/>
      <c r="OPN69" s="62"/>
      <c r="OPO69" s="62"/>
      <c r="OPP69" s="62"/>
      <c r="OPQ69" s="62"/>
      <c r="OPR69" s="62"/>
      <c r="OPS69" s="62"/>
      <c r="OPT69" s="62"/>
      <c r="OPU69" s="62"/>
      <c r="OPV69" s="62"/>
      <c r="OPW69" s="62"/>
      <c r="OPX69" s="62"/>
      <c r="OPY69" s="62"/>
      <c r="OPZ69" s="62"/>
      <c r="OQA69" s="62"/>
      <c r="OQB69" s="62"/>
      <c r="OQC69" s="62"/>
      <c r="OQD69" s="62"/>
      <c r="OQE69" s="62"/>
      <c r="OQF69" s="62"/>
      <c r="OQG69" s="62"/>
      <c r="OQH69" s="62"/>
      <c r="OQI69" s="62"/>
      <c r="OQJ69" s="62"/>
      <c r="OQK69" s="62"/>
      <c r="OQL69" s="62"/>
      <c r="OQM69" s="62"/>
      <c r="OQN69" s="62"/>
      <c r="OQO69" s="62"/>
      <c r="OQP69" s="62"/>
      <c r="OQQ69" s="62"/>
      <c r="OQR69" s="62"/>
      <c r="OQS69" s="62"/>
      <c r="OQT69" s="62"/>
      <c r="OQU69" s="62"/>
      <c r="OQV69" s="62"/>
      <c r="OQW69" s="62"/>
      <c r="OQX69" s="62"/>
      <c r="OQY69" s="62"/>
      <c r="OQZ69" s="62"/>
      <c r="ORA69" s="62"/>
      <c r="ORB69" s="62"/>
      <c r="ORC69" s="62"/>
      <c r="ORD69" s="62"/>
      <c r="ORE69" s="62"/>
      <c r="ORF69" s="62"/>
      <c r="ORG69" s="62"/>
      <c r="ORH69" s="62"/>
      <c r="ORI69" s="62"/>
      <c r="ORJ69" s="62"/>
      <c r="ORK69" s="62"/>
      <c r="ORL69" s="62"/>
      <c r="ORM69" s="62"/>
      <c r="ORN69" s="62"/>
      <c r="ORO69" s="62"/>
      <c r="ORP69" s="62"/>
      <c r="ORQ69" s="62"/>
      <c r="ORR69" s="62"/>
      <c r="ORS69" s="62"/>
      <c r="ORT69" s="62"/>
      <c r="ORU69" s="62"/>
      <c r="ORV69" s="62"/>
      <c r="ORW69" s="62"/>
      <c r="ORX69" s="62"/>
      <c r="ORY69" s="62"/>
      <c r="ORZ69" s="62"/>
      <c r="OSA69" s="62"/>
      <c r="OSB69" s="62"/>
      <c r="OSC69" s="62"/>
      <c r="OSD69" s="62"/>
      <c r="OSE69" s="62"/>
      <c r="OSF69" s="62"/>
      <c r="OSG69" s="62"/>
      <c r="OSH69" s="62"/>
      <c r="OSI69" s="62"/>
      <c r="OSJ69" s="62"/>
      <c r="OSK69" s="62"/>
      <c r="OSL69" s="62"/>
      <c r="OSM69" s="62"/>
      <c r="OSN69" s="62"/>
      <c r="OSO69" s="62"/>
      <c r="OSP69" s="62"/>
      <c r="OSQ69" s="62"/>
      <c r="OSR69" s="62"/>
      <c r="OSS69" s="62"/>
      <c r="OST69" s="62"/>
      <c r="OSU69" s="62"/>
      <c r="OSV69" s="62"/>
      <c r="OSW69" s="62"/>
      <c r="OSX69" s="62"/>
      <c r="OSY69" s="62"/>
      <c r="OSZ69" s="62"/>
      <c r="OTA69" s="62"/>
      <c r="OTB69" s="62"/>
      <c r="OTC69" s="62"/>
      <c r="OTD69" s="62"/>
      <c r="OTE69" s="62"/>
      <c r="OTF69" s="62"/>
      <c r="OTG69" s="62"/>
      <c r="OTH69" s="62"/>
      <c r="OTI69" s="62"/>
      <c r="OTJ69" s="62"/>
      <c r="OTK69" s="62"/>
      <c r="OTL69" s="62"/>
      <c r="OTM69" s="62"/>
      <c r="OTN69" s="62"/>
      <c r="OTO69" s="62"/>
      <c r="OTP69" s="62"/>
      <c r="OTQ69" s="62"/>
      <c r="OTR69" s="62"/>
      <c r="OTS69" s="62"/>
      <c r="OTT69" s="62"/>
      <c r="OTU69" s="62"/>
      <c r="OTV69" s="62"/>
      <c r="OTW69" s="62"/>
      <c r="OTX69" s="62"/>
      <c r="OTY69" s="62"/>
      <c r="OTZ69" s="62"/>
      <c r="OUA69" s="62"/>
      <c r="OUB69" s="62"/>
      <c r="OUC69" s="62"/>
      <c r="OUD69" s="62"/>
      <c r="OUE69" s="62"/>
      <c r="OUF69" s="62"/>
      <c r="OUG69" s="62"/>
      <c r="OUH69" s="62"/>
      <c r="OUI69" s="62"/>
      <c r="OUJ69" s="62"/>
      <c r="OUK69" s="62"/>
      <c r="OUL69" s="62"/>
      <c r="OUM69" s="62"/>
      <c r="OUN69" s="62"/>
      <c r="OUO69" s="62"/>
      <c r="OUP69" s="62"/>
      <c r="OUQ69" s="62"/>
      <c r="OUR69" s="62"/>
      <c r="OUS69" s="62"/>
      <c r="OUT69" s="62"/>
      <c r="OUU69" s="62"/>
      <c r="OUV69" s="62"/>
      <c r="OUW69" s="62"/>
      <c r="OUX69" s="62"/>
      <c r="OUY69" s="62"/>
      <c r="OUZ69" s="62"/>
      <c r="OVA69" s="62"/>
      <c r="OVB69" s="62"/>
      <c r="OVC69" s="62"/>
      <c r="OVD69" s="62"/>
      <c r="OVE69" s="62"/>
      <c r="OVF69" s="62"/>
      <c r="OVG69" s="62"/>
      <c r="OVH69" s="62"/>
      <c r="OVI69" s="62"/>
      <c r="OVJ69" s="62"/>
      <c r="OVK69" s="62"/>
      <c r="OVL69" s="62"/>
      <c r="OVM69" s="62"/>
      <c r="OVN69" s="62"/>
      <c r="OVO69" s="62"/>
      <c r="OVP69" s="62"/>
      <c r="OVQ69" s="62"/>
      <c r="OVR69" s="62"/>
      <c r="OVS69" s="62"/>
      <c r="OVT69" s="62"/>
      <c r="OVU69" s="62"/>
      <c r="OVV69" s="62"/>
      <c r="OVW69" s="62"/>
      <c r="OVX69" s="62"/>
      <c r="OVY69" s="62"/>
      <c r="OVZ69" s="62"/>
      <c r="OWA69" s="62"/>
      <c r="OWB69" s="62"/>
      <c r="OWC69" s="62"/>
      <c r="OWD69" s="62"/>
      <c r="OWE69" s="62"/>
      <c r="OWF69" s="62"/>
      <c r="OWG69" s="62"/>
      <c r="OWH69" s="62"/>
      <c r="OWI69" s="62"/>
      <c r="OWJ69" s="62"/>
      <c r="OWK69" s="62"/>
      <c r="OWL69" s="62"/>
      <c r="OWM69" s="62"/>
      <c r="OWN69" s="62"/>
      <c r="OWO69" s="62"/>
      <c r="OWP69" s="62"/>
      <c r="OWQ69" s="62"/>
      <c r="OWR69" s="62"/>
      <c r="OWS69" s="62"/>
      <c r="OWT69" s="62"/>
      <c r="OWU69" s="62"/>
      <c r="OWV69" s="62"/>
      <c r="OWW69" s="62"/>
      <c r="OWX69" s="62"/>
      <c r="OWY69" s="62"/>
      <c r="OWZ69" s="62"/>
      <c r="OXA69" s="62"/>
      <c r="OXB69" s="62"/>
      <c r="OXC69" s="62"/>
      <c r="OXD69" s="62"/>
      <c r="OXE69" s="62"/>
      <c r="OXF69" s="62"/>
      <c r="OXG69" s="62"/>
      <c r="OXH69" s="62"/>
      <c r="OXI69" s="62"/>
      <c r="OXJ69" s="62"/>
      <c r="OXK69" s="62"/>
      <c r="OXL69" s="62"/>
      <c r="OXM69" s="62"/>
      <c r="OXN69" s="62"/>
      <c r="OXO69" s="62"/>
      <c r="OXP69" s="62"/>
      <c r="OXQ69" s="62"/>
      <c r="OXR69" s="62"/>
      <c r="OXS69" s="62"/>
      <c r="OXT69" s="62"/>
      <c r="OXU69" s="62"/>
      <c r="OXV69" s="62"/>
      <c r="OXW69" s="62"/>
      <c r="OXX69" s="62"/>
      <c r="OXY69" s="62"/>
      <c r="OXZ69" s="62"/>
      <c r="OYA69" s="62"/>
      <c r="OYB69" s="62"/>
      <c r="OYC69" s="62"/>
      <c r="OYD69" s="62"/>
      <c r="OYE69" s="62"/>
      <c r="OYF69" s="62"/>
      <c r="OYG69" s="62"/>
      <c r="OYH69" s="62"/>
      <c r="OYI69" s="62"/>
      <c r="OYJ69" s="62"/>
      <c r="OYK69" s="62"/>
      <c r="OYL69" s="62"/>
      <c r="OYM69" s="62"/>
      <c r="OYN69" s="62"/>
      <c r="OYO69" s="62"/>
      <c r="OYP69" s="62"/>
      <c r="OYQ69" s="62"/>
      <c r="OYR69" s="62"/>
      <c r="OYS69" s="62"/>
      <c r="OYT69" s="62"/>
      <c r="OYU69" s="62"/>
      <c r="OYV69" s="62"/>
      <c r="OYW69" s="62"/>
      <c r="OYX69" s="62"/>
      <c r="OYY69" s="62"/>
      <c r="OYZ69" s="62"/>
      <c r="OZA69" s="62"/>
      <c r="OZB69" s="62"/>
      <c r="OZC69" s="62"/>
      <c r="OZD69" s="62"/>
      <c r="OZE69" s="62"/>
      <c r="OZF69" s="62"/>
      <c r="OZG69" s="62"/>
      <c r="OZH69" s="62"/>
      <c r="OZI69" s="62"/>
      <c r="OZJ69" s="62"/>
      <c r="OZK69" s="62"/>
      <c r="OZL69" s="62"/>
      <c r="OZM69" s="62"/>
      <c r="OZN69" s="62"/>
      <c r="OZO69" s="62"/>
      <c r="OZP69" s="62"/>
      <c r="OZQ69" s="62"/>
      <c r="OZR69" s="62"/>
      <c r="OZS69" s="62"/>
      <c r="OZT69" s="62"/>
      <c r="OZU69" s="62"/>
      <c r="OZV69" s="62"/>
      <c r="OZW69" s="62"/>
      <c r="OZX69" s="62"/>
      <c r="OZY69" s="62"/>
      <c r="OZZ69" s="62"/>
      <c r="PAA69" s="62"/>
      <c r="PAB69" s="62"/>
      <c r="PAC69" s="62"/>
      <c r="PAD69" s="62"/>
      <c r="PAE69" s="62"/>
      <c r="PAF69" s="62"/>
      <c r="PAG69" s="62"/>
      <c r="PAH69" s="62"/>
      <c r="PAI69" s="62"/>
      <c r="PAJ69" s="62"/>
      <c r="PAK69" s="62"/>
      <c r="PAL69" s="62"/>
      <c r="PAM69" s="62"/>
      <c r="PAN69" s="62"/>
      <c r="PAO69" s="62"/>
      <c r="PAP69" s="62"/>
      <c r="PAQ69" s="62"/>
      <c r="PAR69" s="62"/>
      <c r="PAS69" s="62"/>
      <c r="PAT69" s="62"/>
      <c r="PAU69" s="62"/>
      <c r="PAV69" s="62"/>
      <c r="PAW69" s="62"/>
      <c r="PAX69" s="62"/>
      <c r="PAY69" s="62"/>
      <c r="PAZ69" s="62"/>
      <c r="PBA69" s="62"/>
      <c r="PBB69" s="62"/>
      <c r="PBC69" s="62"/>
      <c r="PBD69" s="62"/>
      <c r="PBE69" s="62"/>
      <c r="PBF69" s="62"/>
      <c r="PBG69" s="62"/>
      <c r="PBH69" s="62"/>
      <c r="PBI69" s="62"/>
      <c r="PBJ69" s="62"/>
      <c r="PBK69" s="62"/>
      <c r="PBL69" s="62"/>
      <c r="PBM69" s="62"/>
      <c r="PBN69" s="62"/>
      <c r="PBO69" s="62"/>
      <c r="PBP69" s="62"/>
      <c r="PBQ69" s="62"/>
      <c r="PBR69" s="62"/>
      <c r="PBS69" s="62"/>
      <c r="PBT69" s="62"/>
      <c r="PBU69" s="62"/>
      <c r="PBV69" s="62"/>
      <c r="PBW69" s="62"/>
      <c r="PBX69" s="62"/>
      <c r="PBY69" s="62"/>
      <c r="PBZ69" s="62"/>
      <c r="PCA69" s="62"/>
      <c r="PCB69" s="62"/>
      <c r="PCC69" s="62"/>
      <c r="PCD69" s="62"/>
      <c r="PCE69" s="62"/>
      <c r="PCF69" s="62"/>
      <c r="PCG69" s="62"/>
      <c r="PCH69" s="62"/>
      <c r="PCI69" s="62"/>
      <c r="PCJ69" s="62"/>
      <c r="PCK69" s="62"/>
      <c r="PCL69" s="62"/>
      <c r="PCM69" s="62"/>
      <c r="PCN69" s="62"/>
      <c r="PCO69" s="62"/>
      <c r="PCP69" s="62"/>
      <c r="PCQ69" s="62"/>
      <c r="PCR69" s="62"/>
      <c r="PCS69" s="62"/>
      <c r="PCT69" s="62"/>
      <c r="PCU69" s="62"/>
      <c r="PCV69" s="62"/>
      <c r="PCW69" s="62"/>
      <c r="PCX69" s="62"/>
      <c r="PCY69" s="62"/>
      <c r="PCZ69" s="62"/>
      <c r="PDA69" s="62"/>
      <c r="PDB69" s="62"/>
      <c r="PDC69" s="62"/>
      <c r="PDD69" s="62"/>
      <c r="PDE69" s="62"/>
      <c r="PDF69" s="62"/>
      <c r="PDG69" s="62"/>
      <c r="PDH69" s="62"/>
      <c r="PDI69" s="62"/>
      <c r="PDJ69" s="62"/>
      <c r="PDK69" s="62"/>
      <c r="PDL69" s="62"/>
      <c r="PDM69" s="62"/>
      <c r="PDN69" s="62"/>
      <c r="PDO69" s="62"/>
      <c r="PDP69" s="62"/>
      <c r="PDQ69" s="62"/>
      <c r="PDR69" s="62"/>
      <c r="PDS69" s="62"/>
      <c r="PDT69" s="62"/>
      <c r="PDU69" s="62"/>
      <c r="PDV69" s="62"/>
      <c r="PDW69" s="62"/>
      <c r="PDX69" s="62"/>
      <c r="PDY69" s="62"/>
      <c r="PDZ69" s="62"/>
      <c r="PEA69" s="62"/>
      <c r="PEB69" s="62"/>
      <c r="PEC69" s="62"/>
      <c r="PED69" s="62"/>
      <c r="PEE69" s="62"/>
      <c r="PEF69" s="62"/>
      <c r="PEG69" s="62"/>
      <c r="PEH69" s="62"/>
      <c r="PEI69" s="62"/>
      <c r="PEJ69" s="62"/>
      <c r="PEK69" s="62"/>
      <c r="PEL69" s="62"/>
      <c r="PEM69" s="62"/>
      <c r="PEN69" s="62"/>
      <c r="PEO69" s="62"/>
      <c r="PEP69" s="62"/>
      <c r="PEQ69" s="62"/>
      <c r="PER69" s="62"/>
      <c r="PES69" s="62"/>
      <c r="PET69" s="62"/>
      <c r="PEU69" s="62"/>
      <c r="PEV69" s="62"/>
      <c r="PEW69" s="62"/>
      <c r="PEX69" s="62"/>
      <c r="PEY69" s="62"/>
      <c r="PEZ69" s="62"/>
      <c r="PFA69" s="62"/>
      <c r="PFB69" s="62"/>
      <c r="PFC69" s="62"/>
      <c r="PFD69" s="62"/>
      <c r="PFE69" s="62"/>
      <c r="PFF69" s="62"/>
      <c r="PFG69" s="62"/>
      <c r="PFH69" s="62"/>
      <c r="PFI69" s="62"/>
      <c r="PFJ69" s="62"/>
      <c r="PFK69" s="62"/>
      <c r="PFL69" s="62"/>
      <c r="PFM69" s="62"/>
      <c r="PFN69" s="62"/>
      <c r="PFO69" s="62"/>
      <c r="PFP69" s="62"/>
      <c r="PFQ69" s="62"/>
      <c r="PFR69" s="62"/>
      <c r="PFS69" s="62"/>
      <c r="PFT69" s="62"/>
      <c r="PFU69" s="62"/>
      <c r="PFV69" s="62"/>
      <c r="PFW69" s="62"/>
      <c r="PFX69" s="62"/>
      <c r="PFY69" s="62"/>
      <c r="PFZ69" s="62"/>
      <c r="PGA69" s="62"/>
      <c r="PGB69" s="62"/>
      <c r="PGC69" s="62"/>
      <c r="PGD69" s="62"/>
      <c r="PGE69" s="62"/>
      <c r="PGF69" s="62"/>
      <c r="PGG69" s="62"/>
      <c r="PGH69" s="62"/>
      <c r="PGI69" s="62"/>
      <c r="PGJ69" s="62"/>
      <c r="PGK69" s="62"/>
      <c r="PGL69" s="62"/>
      <c r="PGM69" s="62"/>
      <c r="PGN69" s="62"/>
      <c r="PGO69" s="62"/>
      <c r="PGP69" s="62"/>
      <c r="PGQ69" s="62"/>
      <c r="PGR69" s="62"/>
      <c r="PGS69" s="62"/>
      <c r="PGT69" s="62"/>
      <c r="PGU69" s="62"/>
      <c r="PGV69" s="62"/>
      <c r="PGW69" s="62"/>
      <c r="PGX69" s="62"/>
      <c r="PGY69" s="62"/>
      <c r="PGZ69" s="62"/>
      <c r="PHA69" s="62"/>
      <c r="PHB69" s="62"/>
      <c r="PHC69" s="62"/>
      <c r="PHD69" s="62"/>
      <c r="PHE69" s="62"/>
      <c r="PHF69" s="62"/>
      <c r="PHG69" s="62"/>
      <c r="PHH69" s="62"/>
      <c r="PHI69" s="62"/>
      <c r="PHJ69" s="62"/>
      <c r="PHK69" s="62"/>
      <c r="PHL69" s="62"/>
      <c r="PHM69" s="62"/>
      <c r="PHN69" s="62"/>
      <c r="PHO69" s="62"/>
      <c r="PHP69" s="62"/>
      <c r="PHQ69" s="62"/>
      <c r="PHR69" s="62"/>
      <c r="PHS69" s="62"/>
      <c r="PHT69" s="62"/>
      <c r="PHU69" s="62"/>
      <c r="PHV69" s="62"/>
      <c r="PHW69" s="62"/>
      <c r="PHX69" s="62"/>
      <c r="PHY69" s="62"/>
      <c r="PHZ69" s="62"/>
      <c r="PIA69" s="62"/>
      <c r="PIB69" s="62"/>
      <c r="PIC69" s="62"/>
      <c r="PID69" s="62"/>
      <c r="PIE69" s="62"/>
      <c r="PIF69" s="62"/>
      <c r="PIG69" s="62"/>
      <c r="PIH69" s="62"/>
      <c r="PII69" s="62"/>
      <c r="PIJ69" s="62"/>
      <c r="PIK69" s="62"/>
      <c r="PIL69" s="62"/>
      <c r="PIM69" s="62"/>
      <c r="PIN69" s="62"/>
      <c r="PIO69" s="62"/>
      <c r="PIP69" s="62"/>
      <c r="PIQ69" s="62"/>
      <c r="PIR69" s="62"/>
      <c r="PIS69" s="62"/>
      <c r="PIT69" s="62"/>
      <c r="PIU69" s="62"/>
      <c r="PIV69" s="62"/>
      <c r="PIW69" s="62"/>
      <c r="PIX69" s="62"/>
      <c r="PIY69" s="62"/>
      <c r="PIZ69" s="62"/>
      <c r="PJA69" s="62"/>
      <c r="PJB69" s="62"/>
      <c r="PJC69" s="62"/>
      <c r="PJD69" s="62"/>
      <c r="PJE69" s="62"/>
      <c r="PJF69" s="62"/>
      <c r="PJG69" s="62"/>
      <c r="PJH69" s="62"/>
      <c r="PJI69" s="62"/>
      <c r="PJJ69" s="62"/>
      <c r="PJK69" s="62"/>
      <c r="PJL69" s="62"/>
      <c r="PJM69" s="62"/>
      <c r="PJN69" s="62"/>
      <c r="PJO69" s="62"/>
      <c r="PJP69" s="62"/>
      <c r="PJQ69" s="62"/>
      <c r="PJR69" s="62"/>
      <c r="PJS69" s="62"/>
      <c r="PJT69" s="62"/>
      <c r="PJU69" s="62"/>
      <c r="PJV69" s="62"/>
      <c r="PJW69" s="62"/>
      <c r="PJX69" s="62"/>
      <c r="PJY69" s="62"/>
      <c r="PJZ69" s="62"/>
      <c r="PKA69" s="62"/>
      <c r="PKB69" s="62"/>
      <c r="PKC69" s="62"/>
      <c r="PKD69" s="62"/>
      <c r="PKE69" s="62"/>
      <c r="PKF69" s="62"/>
      <c r="PKG69" s="62"/>
      <c r="PKH69" s="62"/>
      <c r="PKI69" s="62"/>
      <c r="PKJ69" s="62"/>
      <c r="PKK69" s="62"/>
      <c r="PKL69" s="62"/>
      <c r="PKM69" s="62"/>
      <c r="PKN69" s="62"/>
      <c r="PKO69" s="62"/>
      <c r="PKP69" s="62"/>
      <c r="PKQ69" s="62"/>
      <c r="PKR69" s="62"/>
      <c r="PKS69" s="62"/>
      <c r="PKT69" s="62"/>
      <c r="PKU69" s="62"/>
      <c r="PKV69" s="62"/>
      <c r="PKW69" s="62"/>
      <c r="PKX69" s="62"/>
      <c r="PKY69" s="62"/>
      <c r="PKZ69" s="62"/>
      <c r="PLA69" s="62"/>
      <c r="PLB69" s="62"/>
      <c r="PLC69" s="62"/>
      <c r="PLD69" s="62"/>
      <c r="PLE69" s="62"/>
      <c r="PLF69" s="62"/>
      <c r="PLG69" s="62"/>
      <c r="PLH69" s="62"/>
      <c r="PLI69" s="62"/>
      <c r="PLJ69" s="62"/>
      <c r="PLK69" s="62"/>
      <c r="PLL69" s="62"/>
      <c r="PLM69" s="62"/>
      <c r="PLN69" s="62"/>
      <c r="PLO69" s="62"/>
      <c r="PLP69" s="62"/>
      <c r="PLQ69" s="62"/>
      <c r="PLR69" s="62"/>
      <c r="PLS69" s="62"/>
      <c r="PLT69" s="62"/>
      <c r="PLU69" s="62"/>
      <c r="PLV69" s="62"/>
      <c r="PLW69" s="62"/>
      <c r="PLX69" s="62"/>
      <c r="PLY69" s="62"/>
      <c r="PLZ69" s="62"/>
      <c r="PMA69" s="62"/>
      <c r="PMB69" s="62"/>
      <c r="PMC69" s="62"/>
      <c r="PMD69" s="62"/>
      <c r="PME69" s="62"/>
      <c r="PMF69" s="62"/>
      <c r="PMG69" s="62"/>
      <c r="PMH69" s="62"/>
      <c r="PMI69" s="62"/>
      <c r="PMJ69" s="62"/>
      <c r="PMK69" s="62"/>
      <c r="PML69" s="62"/>
      <c r="PMM69" s="62"/>
      <c r="PMN69" s="62"/>
      <c r="PMO69" s="62"/>
      <c r="PMP69" s="62"/>
      <c r="PMQ69" s="62"/>
      <c r="PMR69" s="62"/>
      <c r="PMS69" s="62"/>
      <c r="PMT69" s="62"/>
      <c r="PMU69" s="62"/>
      <c r="PMV69" s="62"/>
      <c r="PMW69" s="62"/>
      <c r="PMX69" s="62"/>
      <c r="PMY69" s="62"/>
      <c r="PMZ69" s="62"/>
      <c r="PNA69" s="62"/>
      <c r="PNB69" s="62"/>
      <c r="PNC69" s="62"/>
      <c r="PND69" s="62"/>
      <c r="PNE69" s="62"/>
      <c r="PNF69" s="62"/>
      <c r="PNG69" s="62"/>
      <c r="PNH69" s="62"/>
      <c r="PNI69" s="62"/>
      <c r="PNJ69" s="62"/>
      <c r="PNK69" s="62"/>
      <c r="PNL69" s="62"/>
      <c r="PNM69" s="62"/>
      <c r="PNN69" s="62"/>
      <c r="PNO69" s="62"/>
      <c r="PNP69" s="62"/>
      <c r="PNQ69" s="62"/>
      <c r="PNR69" s="62"/>
      <c r="PNS69" s="62"/>
      <c r="PNT69" s="62"/>
      <c r="PNU69" s="62"/>
      <c r="PNV69" s="62"/>
      <c r="PNW69" s="62"/>
      <c r="PNX69" s="62"/>
      <c r="PNY69" s="62"/>
      <c r="PNZ69" s="62"/>
      <c r="POA69" s="62"/>
      <c r="POB69" s="62"/>
      <c r="POC69" s="62"/>
      <c r="POD69" s="62"/>
      <c r="POE69" s="62"/>
      <c r="POF69" s="62"/>
      <c r="POG69" s="62"/>
      <c r="POH69" s="62"/>
      <c r="POI69" s="62"/>
      <c r="POJ69" s="62"/>
      <c r="POK69" s="62"/>
      <c r="POL69" s="62"/>
      <c r="POM69" s="62"/>
      <c r="PON69" s="62"/>
      <c r="POO69" s="62"/>
      <c r="POP69" s="62"/>
      <c r="POQ69" s="62"/>
      <c r="POR69" s="62"/>
      <c r="POS69" s="62"/>
      <c r="POT69" s="62"/>
      <c r="POU69" s="62"/>
      <c r="POV69" s="62"/>
      <c r="POW69" s="62"/>
      <c r="POX69" s="62"/>
      <c r="POY69" s="62"/>
      <c r="POZ69" s="62"/>
      <c r="PPA69" s="62"/>
      <c r="PPB69" s="62"/>
      <c r="PPC69" s="62"/>
      <c r="PPD69" s="62"/>
      <c r="PPE69" s="62"/>
      <c r="PPF69" s="62"/>
      <c r="PPG69" s="62"/>
      <c r="PPH69" s="62"/>
      <c r="PPI69" s="62"/>
      <c r="PPJ69" s="62"/>
      <c r="PPK69" s="62"/>
      <c r="PPL69" s="62"/>
      <c r="PPM69" s="62"/>
      <c r="PPN69" s="62"/>
      <c r="PPO69" s="62"/>
      <c r="PPP69" s="62"/>
      <c r="PPQ69" s="62"/>
      <c r="PPR69" s="62"/>
      <c r="PPS69" s="62"/>
      <c r="PPT69" s="62"/>
      <c r="PPU69" s="62"/>
      <c r="PPV69" s="62"/>
      <c r="PPW69" s="62"/>
      <c r="PPX69" s="62"/>
      <c r="PPY69" s="62"/>
      <c r="PPZ69" s="62"/>
      <c r="PQA69" s="62"/>
      <c r="PQB69" s="62"/>
      <c r="PQC69" s="62"/>
      <c r="PQD69" s="62"/>
      <c r="PQE69" s="62"/>
      <c r="PQF69" s="62"/>
      <c r="PQG69" s="62"/>
      <c r="PQH69" s="62"/>
      <c r="PQI69" s="62"/>
      <c r="PQJ69" s="62"/>
      <c r="PQK69" s="62"/>
      <c r="PQL69" s="62"/>
      <c r="PQM69" s="62"/>
      <c r="PQN69" s="62"/>
      <c r="PQO69" s="62"/>
      <c r="PQP69" s="62"/>
      <c r="PQQ69" s="62"/>
      <c r="PQR69" s="62"/>
      <c r="PQS69" s="62"/>
      <c r="PQT69" s="62"/>
      <c r="PQU69" s="62"/>
      <c r="PQV69" s="62"/>
      <c r="PQW69" s="62"/>
      <c r="PQX69" s="62"/>
      <c r="PQY69" s="62"/>
      <c r="PQZ69" s="62"/>
      <c r="PRA69" s="62"/>
      <c r="PRB69" s="62"/>
      <c r="PRC69" s="62"/>
      <c r="PRD69" s="62"/>
      <c r="PRE69" s="62"/>
      <c r="PRF69" s="62"/>
      <c r="PRG69" s="62"/>
      <c r="PRH69" s="62"/>
      <c r="PRI69" s="62"/>
      <c r="PRJ69" s="62"/>
      <c r="PRK69" s="62"/>
      <c r="PRL69" s="62"/>
      <c r="PRM69" s="62"/>
      <c r="PRN69" s="62"/>
      <c r="PRO69" s="62"/>
      <c r="PRP69" s="62"/>
      <c r="PRQ69" s="62"/>
      <c r="PRR69" s="62"/>
      <c r="PRS69" s="62"/>
      <c r="PRT69" s="62"/>
      <c r="PRU69" s="62"/>
      <c r="PRV69" s="62"/>
      <c r="PRW69" s="62"/>
      <c r="PRX69" s="62"/>
      <c r="PRY69" s="62"/>
      <c r="PRZ69" s="62"/>
      <c r="PSA69" s="62"/>
      <c r="PSB69" s="62"/>
      <c r="PSC69" s="62"/>
      <c r="PSD69" s="62"/>
      <c r="PSE69" s="62"/>
      <c r="PSF69" s="62"/>
      <c r="PSG69" s="62"/>
      <c r="PSH69" s="62"/>
      <c r="PSI69" s="62"/>
      <c r="PSJ69" s="62"/>
      <c r="PSK69" s="62"/>
      <c r="PSL69" s="62"/>
      <c r="PSM69" s="62"/>
      <c r="PSN69" s="62"/>
      <c r="PSO69" s="62"/>
      <c r="PSP69" s="62"/>
      <c r="PSQ69" s="62"/>
      <c r="PSR69" s="62"/>
      <c r="PSS69" s="62"/>
      <c r="PST69" s="62"/>
      <c r="PSU69" s="62"/>
      <c r="PSV69" s="62"/>
      <c r="PSW69" s="62"/>
      <c r="PSX69" s="62"/>
      <c r="PSY69" s="62"/>
      <c r="PSZ69" s="62"/>
      <c r="PTA69" s="62"/>
      <c r="PTB69" s="62"/>
      <c r="PTC69" s="62"/>
      <c r="PTD69" s="62"/>
      <c r="PTE69" s="62"/>
      <c r="PTF69" s="62"/>
      <c r="PTG69" s="62"/>
      <c r="PTH69" s="62"/>
      <c r="PTI69" s="62"/>
      <c r="PTJ69" s="62"/>
      <c r="PTK69" s="62"/>
      <c r="PTL69" s="62"/>
      <c r="PTM69" s="62"/>
      <c r="PTN69" s="62"/>
      <c r="PTO69" s="62"/>
      <c r="PTP69" s="62"/>
      <c r="PTQ69" s="62"/>
      <c r="PTR69" s="62"/>
      <c r="PTS69" s="62"/>
      <c r="PTT69" s="62"/>
      <c r="PTU69" s="62"/>
      <c r="PTV69" s="62"/>
      <c r="PTW69" s="62"/>
      <c r="PTX69" s="62"/>
      <c r="PTY69" s="62"/>
      <c r="PTZ69" s="62"/>
      <c r="PUA69" s="62"/>
      <c r="PUB69" s="62"/>
      <c r="PUC69" s="62"/>
      <c r="PUD69" s="62"/>
      <c r="PUE69" s="62"/>
      <c r="PUF69" s="62"/>
      <c r="PUG69" s="62"/>
      <c r="PUH69" s="62"/>
      <c r="PUI69" s="62"/>
      <c r="PUJ69" s="62"/>
      <c r="PUK69" s="62"/>
      <c r="PUL69" s="62"/>
      <c r="PUM69" s="62"/>
      <c r="PUN69" s="62"/>
      <c r="PUO69" s="62"/>
      <c r="PUP69" s="62"/>
      <c r="PUQ69" s="62"/>
      <c r="PUR69" s="62"/>
      <c r="PUS69" s="62"/>
      <c r="PUT69" s="62"/>
      <c r="PUU69" s="62"/>
      <c r="PUV69" s="62"/>
      <c r="PUW69" s="62"/>
      <c r="PUX69" s="62"/>
      <c r="PUY69" s="62"/>
      <c r="PUZ69" s="62"/>
      <c r="PVA69" s="62"/>
      <c r="PVB69" s="62"/>
      <c r="PVC69" s="62"/>
      <c r="PVD69" s="62"/>
      <c r="PVE69" s="62"/>
      <c r="PVF69" s="62"/>
      <c r="PVG69" s="62"/>
      <c r="PVH69" s="62"/>
      <c r="PVI69" s="62"/>
      <c r="PVJ69" s="62"/>
      <c r="PVK69" s="62"/>
      <c r="PVL69" s="62"/>
      <c r="PVM69" s="62"/>
      <c r="PVN69" s="62"/>
      <c r="PVO69" s="62"/>
      <c r="PVP69" s="62"/>
      <c r="PVQ69" s="62"/>
      <c r="PVR69" s="62"/>
      <c r="PVS69" s="62"/>
      <c r="PVT69" s="62"/>
      <c r="PVU69" s="62"/>
      <c r="PVV69" s="62"/>
      <c r="PVW69" s="62"/>
      <c r="PVX69" s="62"/>
      <c r="PVY69" s="62"/>
      <c r="PVZ69" s="62"/>
      <c r="PWA69" s="62"/>
      <c r="PWB69" s="62"/>
      <c r="PWC69" s="62"/>
      <c r="PWD69" s="62"/>
      <c r="PWE69" s="62"/>
      <c r="PWF69" s="62"/>
      <c r="PWG69" s="62"/>
      <c r="PWH69" s="62"/>
      <c r="PWI69" s="62"/>
      <c r="PWJ69" s="62"/>
      <c r="PWK69" s="62"/>
      <c r="PWL69" s="62"/>
      <c r="PWM69" s="62"/>
      <c r="PWN69" s="62"/>
      <c r="PWO69" s="62"/>
      <c r="PWP69" s="62"/>
      <c r="PWQ69" s="62"/>
      <c r="PWR69" s="62"/>
      <c r="PWS69" s="62"/>
      <c r="PWT69" s="62"/>
      <c r="PWU69" s="62"/>
      <c r="PWV69" s="62"/>
      <c r="PWW69" s="62"/>
      <c r="PWX69" s="62"/>
      <c r="PWY69" s="62"/>
      <c r="PWZ69" s="62"/>
      <c r="PXA69" s="62"/>
      <c r="PXB69" s="62"/>
      <c r="PXC69" s="62"/>
      <c r="PXD69" s="62"/>
      <c r="PXE69" s="62"/>
      <c r="PXF69" s="62"/>
      <c r="PXG69" s="62"/>
      <c r="PXH69" s="62"/>
      <c r="PXI69" s="62"/>
      <c r="PXJ69" s="62"/>
      <c r="PXK69" s="62"/>
      <c r="PXL69" s="62"/>
      <c r="PXM69" s="62"/>
      <c r="PXN69" s="62"/>
      <c r="PXO69" s="62"/>
      <c r="PXP69" s="62"/>
      <c r="PXQ69" s="62"/>
      <c r="PXR69" s="62"/>
      <c r="PXS69" s="62"/>
      <c r="PXT69" s="62"/>
      <c r="PXU69" s="62"/>
      <c r="PXV69" s="62"/>
      <c r="PXW69" s="62"/>
      <c r="PXX69" s="62"/>
      <c r="PXY69" s="62"/>
      <c r="PXZ69" s="62"/>
      <c r="PYA69" s="62"/>
      <c r="PYB69" s="62"/>
      <c r="PYC69" s="62"/>
      <c r="PYD69" s="62"/>
      <c r="PYE69" s="62"/>
      <c r="PYF69" s="62"/>
      <c r="PYG69" s="62"/>
      <c r="PYH69" s="62"/>
      <c r="PYI69" s="62"/>
      <c r="PYJ69" s="62"/>
      <c r="PYK69" s="62"/>
      <c r="PYL69" s="62"/>
      <c r="PYM69" s="62"/>
      <c r="PYN69" s="62"/>
      <c r="PYO69" s="62"/>
      <c r="PYP69" s="62"/>
      <c r="PYQ69" s="62"/>
      <c r="PYR69" s="62"/>
      <c r="PYS69" s="62"/>
      <c r="PYT69" s="62"/>
      <c r="PYU69" s="62"/>
      <c r="PYV69" s="62"/>
      <c r="PYW69" s="62"/>
      <c r="PYX69" s="62"/>
      <c r="PYY69" s="62"/>
      <c r="PYZ69" s="62"/>
      <c r="PZA69" s="62"/>
      <c r="PZB69" s="62"/>
      <c r="PZC69" s="62"/>
      <c r="PZD69" s="62"/>
      <c r="PZE69" s="62"/>
      <c r="PZF69" s="62"/>
      <c r="PZG69" s="62"/>
      <c r="PZH69" s="62"/>
      <c r="PZI69" s="62"/>
      <c r="PZJ69" s="62"/>
      <c r="PZK69" s="62"/>
      <c r="PZL69" s="62"/>
      <c r="PZM69" s="62"/>
      <c r="PZN69" s="62"/>
      <c r="PZO69" s="62"/>
      <c r="PZP69" s="62"/>
      <c r="PZQ69" s="62"/>
      <c r="PZR69" s="62"/>
      <c r="PZS69" s="62"/>
      <c r="PZT69" s="62"/>
      <c r="PZU69" s="62"/>
      <c r="PZV69" s="62"/>
      <c r="PZW69" s="62"/>
      <c r="PZX69" s="62"/>
      <c r="PZY69" s="62"/>
      <c r="PZZ69" s="62"/>
      <c r="QAA69" s="62"/>
      <c r="QAB69" s="62"/>
      <c r="QAC69" s="62"/>
      <c r="QAD69" s="62"/>
      <c r="QAE69" s="62"/>
      <c r="QAF69" s="62"/>
      <c r="QAG69" s="62"/>
      <c r="QAH69" s="62"/>
      <c r="QAI69" s="62"/>
      <c r="QAJ69" s="62"/>
      <c r="QAK69" s="62"/>
      <c r="QAL69" s="62"/>
      <c r="QAM69" s="62"/>
      <c r="QAN69" s="62"/>
      <c r="QAO69" s="62"/>
      <c r="QAP69" s="62"/>
      <c r="QAQ69" s="62"/>
      <c r="QAR69" s="62"/>
      <c r="QAS69" s="62"/>
      <c r="QAT69" s="62"/>
      <c r="QAU69" s="62"/>
      <c r="QAV69" s="62"/>
      <c r="QAW69" s="62"/>
      <c r="QAX69" s="62"/>
      <c r="QAY69" s="62"/>
      <c r="QAZ69" s="62"/>
      <c r="QBA69" s="62"/>
      <c r="QBB69" s="62"/>
      <c r="QBC69" s="62"/>
      <c r="QBD69" s="62"/>
      <c r="QBE69" s="62"/>
      <c r="QBF69" s="62"/>
      <c r="QBG69" s="62"/>
      <c r="QBH69" s="62"/>
      <c r="QBI69" s="62"/>
      <c r="QBJ69" s="62"/>
      <c r="QBK69" s="62"/>
      <c r="QBL69" s="62"/>
      <c r="QBM69" s="62"/>
      <c r="QBN69" s="62"/>
      <c r="QBO69" s="62"/>
      <c r="QBP69" s="62"/>
      <c r="QBQ69" s="62"/>
      <c r="QBR69" s="62"/>
      <c r="QBS69" s="62"/>
      <c r="QBT69" s="62"/>
      <c r="QBU69" s="62"/>
      <c r="QBV69" s="62"/>
      <c r="QBW69" s="62"/>
      <c r="QBX69" s="62"/>
      <c r="QBY69" s="62"/>
      <c r="QBZ69" s="62"/>
      <c r="QCA69" s="62"/>
      <c r="QCB69" s="62"/>
      <c r="QCC69" s="62"/>
      <c r="QCD69" s="62"/>
      <c r="QCE69" s="62"/>
      <c r="QCF69" s="62"/>
      <c r="QCG69" s="62"/>
      <c r="QCH69" s="62"/>
      <c r="QCI69" s="62"/>
      <c r="QCJ69" s="62"/>
      <c r="QCK69" s="62"/>
      <c r="QCL69" s="62"/>
      <c r="QCM69" s="62"/>
      <c r="QCN69" s="62"/>
      <c r="QCO69" s="62"/>
      <c r="QCP69" s="62"/>
      <c r="QCQ69" s="62"/>
      <c r="QCR69" s="62"/>
      <c r="QCS69" s="62"/>
      <c r="QCT69" s="62"/>
      <c r="QCU69" s="62"/>
      <c r="QCV69" s="62"/>
      <c r="QCW69" s="62"/>
      <c r="QCX69" s="62"/>
      <c r="QCY69" s="62"/>
      <c r="QCZ69" s="62"/>
      <c r="QDA69" s="62"/>
      <c r="QDB69" s="62"/>
      <c r="QDC69" s="62"/>
      <c r="QDD69" s="62"/>
      <c r="QDE69" s="62"/>
      <c r="QDF69" s="62"/>
      <c r="QDG69" s="62"/>
      <c r="QDH69" s="62"/>
      <c r="QDI69" s="62"/>
      <c r="QDJ69" s="62"/>
      <c r="QDK69" s="62"/>
      <c r="QDL69" s="62"/>
      <c r="QDM69" s="62"/>
      <c r="QDN69" s="62"/>
      <c r="QDO69" s="62"/>
      <c r="QDP69" s="62"/>
      <c r="QDQ69" s="62"/>
      <c r="QDR69" s="62"/>
      <c r="QDS69" s="62"/>
      <c r="QDT69" s="62"/>
      <c r="QDU69" s="62"/>
      <c r="QDV69" s="62"/>
      <c r="QDW69" s="62"/>
      <c r="QDX69" s="62"/>
      <c r="QDY69" s="62"/>
      <c r="QDZ69" s="62"/>
      <c r="QEA69" s="62"/>
      <c r="QEB69" s="62"/>
      <c r="QEC69" s="62"/>
      <c r="QED69" s="62"/>
      <c r="QEE69" s="62"/>
      <c r="QEF69" s="62"/>
      <c r="QEG69" s="62"/>
      <c r="QEH69" s="62"/>
      <c r="QEI69" s="62"/>
      <c r="QEJ69" s="62"/>
      <c r="QEK69" s="62"/>
      <c r="QEL69" s="62"/>
      <c r="QEM69" s="62"/>
      <c r="QEN69" s="62"/>
      <c r="QEO69" s="62"/>
      <c r="QEP69" s="62"/>
      <c r="QEQ69" s="62"/>
      <c r="QER69" s="62"/>
      <c r="QES69" s="62"/>
      <c r="QET69" s="62"/>
      <c r="QEU69" s="62"/>
      <c r="QEV69" s="62"/>
      <c r="QEW69" s="62"/>
      <c r="QEX69" s="62"/>
      <c r="QEY69" s="62"/>
      <c r="QEZ69" s="62"/>
      <c r="QFA69" s="62"/>
      <c r="QFB69" s="62"/>
      <c r="QFC69" s="62"/>
      <c r="QFD69" s="62"/>
      <c r="QFE69" s="62"/>
      <c r="QFF69" s="62"/>
      <c r="QFG69" s="62"/>
      <c r="QFH69" s="62"/>
      <c r="QFI69" s="62"/>
      <c r="QFJ69" s="62"/>
      <c r="QFK69" s="62"/>
      <c r="QFL69" s="62"/>
      <c r="QFM69" s="62"/>
      <c r="QFN69" s="62"/>
      <c r="QFO69" s="62"/>
      <c r="QFP69" s="62"/>
      <c r="QFQ69" s="62"/>
      <c r="QFR69" s="62"/>
      <c r="QFS69" s="62"/>
      <c r="QFT69" s="62"/>
      <c r="QFU69" s="62"/>
      <c r="QFV69" s="62"/>
      <c r="QFW69" s="62"/>
      <c r="QFX69" s="62"/>
      <c r="QFY69" s="62"/>
      <c r="QFZ69" s="62"/>
      <c r="QGA69" s="62"/>
      <c r="QGB69" s="62"/>
      <c r="QGC69" s="62"/>
      <c r="QGD69" s="62"/>
      <c r="QGE69" s="62"/>
      <c r="QGF69" s="62"/>
      <c r="QGG69" s="62"/>
      <c r="QGH69" s="62"/>
      <c r="QGI69" s="62"/>
      <c r="QGJ69" s="62"/>
      <c r="QGK69" s="62"/>
      <c r="QGL69" s="62"/>
      <c r="QGM69" s="62"/>
      <c r="QGN69" s="62"/>
      <c r="QGO69" s="62"/>
      <c r="QGP69" s="62"/>
      <c r="QGQ69" s="62"/>
      <c r="QGR69" s="62"/>
      <c r="QGS69" s="62"/>
      <c r="QGT69" s="62"/>
      <c r="QGU69" s="62"/>
      <c r="QGV69" s="62"/>
      <c r="QGW69" s="62"/>
      <c r="QGX69" s="62"/>
      <c r="QGY69" s="62"/>
      <c r="QGZ69" s="62"/>
      <c r="QHA69" s="62"/>
      <c r="QHB69" s="62"/>
      <c r="QHC69" s="62"/>
      <c r="QHD69" s="62"/>
      <c r="QHE69" s="62"/>
      <c r="QHF69" s="62"/>
      <c r="QHG69" s="62"/>
      <c r="QHH69" s="62"/>
      <c r="QHI69" s="62"/>
      <c r="QHJ69" s="62"/>
      <c r="QHK69" s="62"/>
      <c r="QHL69" s="62"/>
      <c r="QHM69" s="62"/>
      <c r="QHN69" s="62"/>
      <c r="QHO69" s="62"/>
      <c r="QHP69" s="62"/>
      <c r="QHQ69" s="62"/>
      <c r="QHR69" s="62"/>
      <c r="QHS69" s="62"/>
      <c r="QHT69" s="62"/>
      <c r="QHU69" s="62"/>
      <c r="QHV69" s="62"/>
      <c r="QHW69" s="62"/>
      <c r="QHX69" s="62"/>
      <c r="QHY69" s="62"/>
      <c r="QHZ69" s="62"/>
      <c r="QIA69" s="62"/>
      <c r="QIB69" s="62"/>
      <c r="QIC69" s="62"/>
      <c r="QID69" s="62"/>
      <c r="QIE69" s="62"/>
      <c r="QIF69" s="62"/>
      <c r="QIG69" s="62"/>
      <c r="QIH69" s="62"/>
      <c r="QII69" s="62"/>
      <c r="QIJ69" s="62"/>
      <c r="QIK69" s="62"/>
      <c r="QIL69" s="62"/>
      <c r="QIM69" s="62"/>
      <c r="QIN69" s="62"/>
      <c r="QIO69" s="62"/>
      <c r="QIP69" s="62"/>
      <c r="QIQ69" s="62"/>
      <c r="QIR69" s="62"/>
      <c r="QIS69" s="62"/>
      <c r="QIT69" s="62"/>
      <c r="QIU69" s="62"/>
      <c r="QIV69" s="62"/>
      <c r="QIW69" s="62"/>
      <c r="QIX69" s="62"/>
      <c r="QIY69" s="62"/>
      <c r="QIZ69" s="62"/>
      <c r="QJA69" s="62"/>
      <c r="QJB69" s="62"/>
      <c r="QJC69" s="62"/>
      <c r="QJD69" s="62"/>
      <c r="QJE69" s="62"/>
      <c r="QJF69" s="62"/>
      <c r="QJG69" s="62"/>
      <c r="QJH69" s="62"/>
      <c r="QJI69" s="62"/>
      <c r="QJJ69" s="62"/>
      <c r="QJK69" s="62"/>
      <c r="QJL69" s="62"/>
      <c r="QJM69" s="62"/>
      <c r="QJN69" s="62"/>
      <c r="QJO69" s="62"/>
      <c r="QJP69" s="62"/>
      <c r="QJQ69" s="62"/>
      <c r="QJR69" s="62"/>
      <c r="QJS69" s="62"/>
      <c r="QJT69" s="62"/>
      <c r="QJU69" s="62"/>
      <c r="QJV69" s="62"/>
      <c r="QJW69" s="62"/>
      <c r="QJX69" s="62"/>
      <c r="QJY69" s="62"/>
      <c r="QJZ69" s="62"/>
      <c r="QKA69" s="62"/>
      <c r="QKB69" s="62"/>
      <c r="QKC69" s="62"/>
      <c r="QKD69" s="62"/>
      <c r="QKE69" s="62"/>
      <c r="QKF69" s="62"/>
      <c r="QKG69" s="62"/>
      <c r="QKH69" s="62"/>
      <c r="QKI69" s="62"/>
      <c r="QKJ69" s="62"/>
      <c r="QKK69" s="62"/>
      <c r="QKL69" s="62"/>
      <c r="QKM69" s="62"/>
      <c r="QKN69" s="62"/>
      <c r="QKO69" s="62"/>
      <c r="QKP69" s="62"/>
      <c r="QKQ69" s="62"/>
      <c r="QKR69" s="62"/>
      <c r="QKS69" s="62"/>
      <c r="QKT69" s="62"/>
      <c r="QKU69" s="62"/>
      <c r="QKV69" s="62"/>
      <c r="QKW69" s="62"/>
      <c r="QKX69" s="62"/>
      <c r="QKY69" s="62"/>
      <c r="QKZ69" s="62"/>
      <c r="QLA69" s="62"/>
      <c r="QLB69" s="62"/>
      <c r="QLC69" s="62"/>
      <c r="QLD69" s="62"/>
      <c r="QLE69" s="62"/>
      <c r="QLF69" s="62"/>
      <c r="QLG69" s="62"/>
      <c r="QLH69" s="62"/>
      <c r="QLI69" s="62"/>
      <c r="QLJ69" s="62"/>
      <c r="QLK69" s="62"/>
      <c r="QLL69" s="62"/>
      <c r="QLM69" s="62"/>
      <c r="QLN69" s="62"/>
      <c r="QLO69" s="62"/>
      <c r="QLP69" s="62"/>
      <c r="QLQ69" s="62"/>
      <c r="QLR69" s="62"/>
      <c r="QLS69" s="62"/>
      <c r="QLT69" s="62"/>
      <c r="QLU69" s="62"/>
      <c r="QLV69" s="62"/>
      <c r="QLW69" s="62"/>
      <c r="QLX69" s="62"/>
      <c r="QLY69" s="62"/>
      <c r="QLZ69" s="62"/>
      <c r="QMA69" s="62"/>
      <c r="QMB69" s="62"/>
      <c r="QMC69" s="62"/>
      <c r="QMD69" s="62"/>
      <c r="QME69" s="62"/>
      <c r="QMF69" s="62"/>
      <c r="QMG69" s="62"/>
      <c r="QMH69" s="62"/>
      <c r="QMI69" s="62"/>
      <c r="QMJ69" s="62"/>
      <c r="QMK69" s="62"/>
      <c r="QML69" s="62"/>
      <c r="QMM69" s="62"/>
      <c r="QMN69" s="62"/>
      <c r="QMO69" s="62"/>
      <c r="QMP69" s="62"/>
      <c r="QMQ69" s="62"/>
      <c r="QMR69" s="62"/>
      <c r="QMS69" s="62"/>
      <c r="QMT69" s="62"/>
      <c r="QMU69" s="62"/>
      <c r="QMV69" s="62"/>
      <c r="QMW69" s="62"/>
      <c r="QMX69" s="62"/>
      <c r="QMY69" s="62"/>
      <c r="QMZ69" s="62"/>
      <c r="QNA69" s="62"/>
      <c r="QNB69" s="62"/>
      <c r="QNC69" s="62"/>
      <c r="QND69" s="62"/>
      <c r="QNE69" s="62"/>
      <c r="QNF69" s="62"/>
      <c r="QNG69" s="62"/>
      <c r="QNH69" s="62"/>
      <c r="QNI69" s="62"/>
      <c r="QNJ69" s="62"/>
      <c r="QNK69" s="62"/>
      <c r="QNL69" s="62"/>
      <c r="QNM69" s="62"/>
      <c r="QNN69" s="62"/>
      <c r="QNO69" s="62"/>
      <c r="QNP69" s="62"/>
      <c r="QNQ69" s="62"/>
      <c r="QNR69" s="62"/>
      <c r="QNS69" s="62"/>
      <c r="QNT69" s="62"/>
      <c r="QNU69" s="62"/>
      <c r="QNV69" s="62"/>
      <c r="QNW69" s="62"/>
      <c r="QNX69" s="62"/>
      <c r="QNY69" s="62"/>
      <c r="QNZ69" s="62"/>
      <c r="QOA69" s="62"/>
      <c r="QOB69" s="62"/>
      <c r="QOC69" s="62"/>
      <c r="QOD69" s="62"/>
      <c r="QOE69" s="62"/>
      <c r="QOF69" s="62"/>
      <c r="QOG69" s="62"/>
      <c r="QOH69" s="62"/>
      <c r="QOI69" s="62"/>
      <c r="QOJ69" s="62"/>
      <c r="QOK69" s="62"/>
      <c r="QOL69" s="62"/>
      <c r="QOM69" s="62"/>
      <c r="QON69" s="62"/>
      <c r="QOO69" s="62"/>
      <c r="QOP69" s="62"/>
      <c r="QOQ69" s="62"/>
      <c r="QOR69" s="62"/>
      <c r="QOS69" s="62"/>
      <c r="QOT69" s="62"/>
      <c r="QOU69" s="62"/>
      <c r="QOV69" s="62"/>
      <c r="QOW69" s="62"/>
      <c r="QOX69" s="62"/>
      <c r="QOY69" s="62"/>
      <c r="QOZ69" s="62"/>
      <c r="QPA69" s="62"/>
      <c r="QPB69" s="62"/>
      <c r="QPC69" s="62"/>
      <c r="QPD69" s="62"/>
      <c r="QPE69" s="62"/>
      <c r="QPF69" s="62"/>
      <c r="QPG69" s="62"/>
      <c r="QPH69" s="62"/>
      <c r="QPI69" s="62"/>
      <c r="QPJ69" s="62"/>
      <c r="QPK69" s="62"/>
      <c r="QPL69" s="62"/>
      <c r="QPM69" s="62"/>
      <c r="QPN69" s="62"/>
      <c r="QPO69" s="62"/>
      <c r="QPP69" s="62"/>
      <c r="QPQ69" s="62"/>
      <c r="QPR69" s="62"/>
      <c r="QPS69" s="62"/>
      <c r="QPT69" s="62"/>
      <c r="QPU69" s="62"/>
      <c r="QPV69" s="62"/>
      <c r="QPW69" s="62"/>
      <c r="QPX69" s="62"/>
      <c r="QPY69" s="62"/>
      <c r="QPZ69" s="62"/>
      <c r="QQA69" s="62"/>
      <c r="QQB69" s="62"/>
      <c r="QQC69" s="62"/>
      <c r="QQD69" s="62"/>
      <c r="QQE69" s="62"/>
      <c r="QQF69" s="62"/>
      <c r="QQG69" s="62"/>
      <c r="QQH69" s="62"/>
      <c r="QQI69" s="62"/>
      <c r="QQJ69" s="62"/>
      <c r="QQK69" s="62"/>
      <c r="QQL69" s="62"/>
      <c r="QQM69" s="62"/>
      <c r="QQN69" s="62"/>
      <c r="QQO69" s="62"/>
      <c r="QQP69" s="62"/>
      <c r="QQQ69" s="62"/>
      <c r="QQR69" s="62"/>
      <c r="QQS69" s="62"/>
      <c r="QQT69" s="62"/>
      <c r="QQU69" s="62"/>
      <c r="QQV69" s="62"/>
      <c r="QQW69" s="62"/>
      <c r="QQX69" s="62"/>
      <c r="QQY69" s="62"/>
      <c r="QQZ69" s="62"/>
      <c r="QRA69" s="62"/>
      <c r="QRB69" s="62"/>
      <c r="QRC69" s="62"/>
      <c r="QRD69" s="62"/>
      <c r="QRE69" s="62"/>
      <c r="QRF69" s="62"/>
      <c r="QRG69" s="62"/>
      <c r="QRH69" s="62"/>
      <c r="QRI69" s="62"/>
      <c r="QRJ69" s="62"/>
      <c r="QRK69" s="62"/>
      <c r="QRL69" s="62"/>
      <c r="QRM69" s="62"/>
      <c r="QRN69" s="62"/>
      <c r="QRO69" s="62"/>
      <c r="QRP69" s="62"/>
      <c r="QRQ69" s="62"/>
      <c r="QRR69" s="62"/>
      <c r="QRS69" s="62"/>
      <c r="QRT69" s="62"/>
      <c r="QRU69" s="62"/>
      <c r="QRV69" s="62"/>
      <c r="QRW69" s="62"/>
      <c r="QRX69" s="62"/>
      <c r="QRY69" s="62"/>
      <c r="QRZ69" s="62"/>
      <c r="QSA69" s="62"/>
      <c r="QSB69" s="62"/>
      <c r="QSC69" s="62"/>
      <c r="QSD69" s="62"/>
      <c r="QSE69" s="62"/>
      <c r="QSF69" s="62"/>
      <c r="QSG69" s="62"/>
      <c r="QSH69" s="62"/>
      <c r="QSI69" s="62"/>
      <c r="QSJ69" s="62"/>
      <c r="QSK69" s="62"/>
      <c r="QSL69" s="62"/>
      <c r="QSM69" s="62"/>
      <c r="QSN69" s="62"/>
      <c r="QSO69" s="62"/>
      <c r="QSP69" s="62"/>
      <c r="QSQ69" s="62"/>
      <c r="QSR69" s="62"/>
      <c r="QSS69" s="62"/>
      <c r="QST69" s="62"/>
      <c r="QSU69" s="62"/>
      <c r="QSV69" s="62"/>
      <c r="QSW69" s="62"/>
      <c r="QSX69" s="62"/>
      <c r="QSY69" s="62"/>
      <c r="QSZ69" s="62"/>
      <c r="QTA69" s="62"/>
      <c r="QTB69" s="62"/>
      <c r="QTC69" s="62"/>
      <c r="QTD69" s="62"/>
      <c r="QTE69" s="62"/>
      <c r="QTF69" s="62"/>
      <c r="QTG69" s="62"/>
      <c r="QTH69" s="62"/>
      <c r="QTI69" s="62"/>
      <c r="QTJ69" s="62"/>
      <c r="QTK69" s="62"/>
      <c r="QTL69" s="62"/>
      <c r="QTM69" s="62"/>
      <c r="QTN69" s="62"/>
      <c r="QTO69" s="62"/>
      <c r="QTP69" s="62"/>
      <c r="QTQ69" s="62"/>
      <c r="QTR69" s="62"/>
      <c r="QTS69" s="62"/>
      <c r="QTT69" s="62"/>
      <c r="QTU69" s="62"/>
      <c r="QTV69" s="62"/>
      <c r="QTW69" s="62"/>
      <c r="QTX69" s="62"/>
      <c r="QTY69" s="62"/>
      <c r="QTZ69" s="62"/>
      <c r="QUA69" s="62"/>
      <c r="QUB69" s="62"/>
      <c r="QUC69" s="62"/>
      <c r="QUD69" s="62"/>
      <c r="QUE69" s="62"/>
      <c r="QUF69" s="62"/>
      <c r="QUG69" s="62"/>
      <c r="QUH69" s="62"/>
      <c r="QUI69" s="62"/>
      <c r="QUJ69" s="62"/>
      <c r="QUK69" s="62"/>
      <c r="QUL69" s="62"/>
      <c r="QUM69" s="62"/>
      <c r="QUN69" s="62"/>
      <c r="QUO69" s="62"/>
      <c r="QUP69" s="62"/>
      <c r="QUQ69" s="62"/>
      <c r="QUR69" s="62"/>
      <c r="QUS69" s="62"/>
      <c r="QUT69" s="62"/>
      <c r="QUU69" s="62"/>
      <c r="QUV69" s="62"/>
      <c r="QUW69" s="62"/>
      <c r="QUX69" s="62"/>
      <c r="QUY69" s="62"/>
      <c r="QUZ69" s="62"/>
      <c r="QVA69" s="62"/>
      <c r="QVB69" s="62"/>
      <c r="QVC69" s="62"/>
      <c r="QVD69" s="62"/>
      <c r="QVE69" s="62"/>
      <c r="QVF69" s="62"/>
      <c r="QVG69" s="62"/>
      <c r="QVH69" s="62"/>
      <c r="QVI69" s="62"/>
      <c r="QVJ69" s="62"/>
      <c r="QVK69" s="62"/>
      <c r="QVL69" s="62"/>
      <c r="QVM69" s="62"/>
      <c r="QVN69" s="62"/>
      <c r="QVO69" s="62"/>
      <c r="QVP69" s="62"/>
      <c r="QVQ69" s="62"/>
      <c r="QVR69" s="62"/>
      <c r="QVS69" s="62"/>
      <c r="QVT69" s="62"/>
      <c r="QVU69" s="62"/>
      <c r="QVV69" s="62"/>
      <c r="QVW69" s="62"/>
      <c r="QVX69" s="62"/>
      <c r="QVY69" s="62"/>
      <c r="QVZ69" s="62"/>
      <c r="QWA69" s="62"/>
      <c r="QWB69" s="62"/>
      <c r="QWC69" s="62"/>
      <c r="QWD69" s="62"/>
      <c r="QWE69" s="62"/>
      <c r="QWF69" s="62"/>
      <c r="QWG69" s="62"/>
      <c r="QWH69" s="62"/>
      <c r="QWI69" s="62"/>
      <c r="QWJ69" s="62"/>
      <c r="QWK69" s="62"/>
      <c r="QWL69" s="62"/>
      <c r="QWM69" s="62"/>
      <c r="QWN69" s="62"/>
      <c r="QWO69" s="62"/>
      <c r="QWP69" s="62"/>
      <c r="QWQ69" s="62"/>
      <c r="QWR69" s="62"/>
      <c r="QWS69" s="62"/>
      <c r="QWT69" s="62"/>
      <c r="QWU69" s="62"/>
      <c r="QWV69" s="62"/>
      <c r="QWW69" s="62"/>
      <c r="QWX69" s="62"/>
      <c r="QWY69" s="62"/>
      <c r="QWZ69" s="62"/>
      <c r="QXA69" s="62"/>
      <c r="QXB69" s="62"/>
      <c r="QXC69" s="62"/>
      <c r="QXD69" s="62"/>
      <c r="QXE69" s="62"/>
      <c r="QXF69" s="62"/>
      <c r="QXG69" s="62"/>
      <c r="QXH69" s="62"/>
      <c r="QXI69" s="62"/>
      <c r="QXJ69" s="62"/>
      <c r="QXK69" s="62"/>
      <c r="QXL69" s="62"/>
      <c r="QXM69" s="62"/>
      <c r="QXN69" s="62"/>
      <c r="QXO69" s="62"/>
      <c r="QXP69" s="62"/>
      <c r="QXQ69" s="62"/>
      <c r="QXR69" s="62"/>
      <c r="QXS69" s="62"/>
      <c r="QXT69" s="62"/>
      <c r="QXU69" s="62"/>
      <c r="QXV69" s="62"/>
      <c r="QXW69" s="62"/>
      <c r="QXX69" s="62"/>
      <c r="QXY69" s="62"/>
      <c r="QXZ69" s="62"/>
      <c r="QYA69" s="62"/>
      <c r="QYB69" s="62"/>
      <c r="QYC69" s="62"/>
      <c r="QYD69" s="62"/>
      <c r="QYE69" s="62"/>
      <c r="QYF69" s="62"/>
      <c r="QYG69" s="62"/>
      <c r="QYH69" s="62"/>
      <c r="QYI69" s="62"/>
      <c r="QYJ69" s="62"/>
      <c r="QYK69" s="62"/>
      <c r="QYL69" s="62"/>
      <c r="QYM69" s="62"/>
      <c r="QYN69" s="62"/>
      <c r="QYO69" s="62"/>
      <c r="QYP69" s="62"/>
      <c r="QYQ69" s="62"/>
      <c r="QYR69" s="62"/>
      <c r="QYS69" s="62"/>
      <c r="QYT69" s="62"/>
      <c r="QYU69" s="62"/>
      <c r="QYV69" s="62"/>
      <c r="QYW69" s="62"/>
      <c r="QYX69" s="62"/>
      <c r="QYY69" s="62"/>
      <c r="QYZ69" s="62"/>
      <c r="QZA69" s="62"/>
      <c r="QZB69" s="62"/>
      <c r="QZC69" s="62"/>
      <c r="QZD69" s="62"/>
      <c r="QZE69" s="62"/>
      <c r="QZF69" s="62"/>
      <c r="QZG69" s="62"/>
      <c r="QZH69" s="62"/>
      <c r="QZI69" s="62"/>
      <c r="QZJ69" s="62"/>
      <c r="QZK69" s="62"/>
      <c r="QZL69" s="62"/>
      <c r="QZM69" s="62"/>
      <c r="QZN69" s="62"/>
      <c r="QZO69" s="62"/>
      <c r="QZP69" s="62"/>
      <c r="QZQ69" s="62"/>
      <c r="QZR69" s="62"/>
      <c r="QZS69" s="62"/>
      <c r="QZT69" s="62"/>
      <c r="QZU69" s="62"/>
      <c r="QZV69" s="62"/>
      <c r="QZW69" s="62"/>
      <c r="QZX69" s="62"/>
      <c r="QZY69" s="62"/>
      <c r="QZZ69" s="62"/>
      <c r="RAA69" s="62"/>
      <c r="RAB69" s="62"/>
      <c r="RAC69" s="62"/>
      <c r="RAD69" s="62"/>
      <c r="RAE69" s="62"/>
      <c r="RAF69" s="62"/>
      <c r="RAG69" s="62"/>
      <c r="RAH69" s="62"/>
      <c r="RAI69" s="62"/>
      <c r="RAJ69" s="62"/>
      <c r="RAK69" s="62"/>
      <c r="RAL69" s="62"/>
      <c r="RAM69" s="62"/>
      <c r="RAN69" s="62"/>
      <c r="RAO69" s="62"/>
      <c r="RAP69" s="62"/>
      <c r="RAQ69" s="62"/>
      <c r="RAR69" s="62"/>
      <c r="RAS69" s="62"/>
      <c r="RAT69" s="62"/>
      <c r="RAU69" s="62"/>
      <c r="RAV69" s="62"/>
      <c r="RAW69" s="62"/>
      <c r="RAX69" s="62"/>
      <c r="RAY69" s="62"/>
      <c r="RAZ69" s="62"/>
      <c r="RBA69" s="62"/>
      <c r="RBB69" s="62"/>
      <c r="RBC69" s="62"/>
      <c r="RBD69" s="62"/>
      <c r="RBE69" s="62"/>
      <c r="RBF69" s="62"/>
      <c r="RBG69" s="62"/>
      <c r="RBH69" s="62"/>
      <c r="RBI69" s="62"/>
      <c r="RBJ69" s="62"/>
      <c r="RBK69" s="62"/>
      <c r="RBL69" s="62"/>
      <c r="RBM69" s="62"/>
      <c r="RBN69" s="62"/>
      <c r="RBO69" s="62"/>
      <c r="RBP69" s="62"/>
      <c r="RBQ69" s="62"/>
      <c r="RBR69" s="62"/>
      <c r="RBS69" s="62"/>
      <c r="RBT69" s="62"/>
      <c r="RBU69" s="62"/>
      <c r="RBV69" s="62"/>
      <c r="RBW69" s="62"/>
      <c r="RBX69" s="62"/>
      <c r="RBY69" s="62"/>
      <c r="RBZ69" s="62"/>
      <c r="RCA69" s="62"/>
      <c r="RCB69" s="62"/>
      <c r="RCC69" s="62"/>
      <c r="RCD69" s="62"/>
      <c r="RCE69" s="62"/>
      <c r="RCF69" s="62"/>
      <c r="RCG69" s="62"/>
      <c r="RCH69" s="62"/>
      <c r="RCI69" s="62"/>
      <c r="RCJ69" s="62"/>
      <c r="RCK69" s="62"/>
      <c r="RCL69" s="62"/>
      <c r="RCM69" s="62"/>
      <c r="RCN69" s="62"/>
      <c r="RCO69" s="62"/>
      <c r="RCP69" s="62"/>
      <c r="RCQ69" s="62"/>
      <c r="RCR69" s="62"/>
      <c r="RCS69" s="62"/>
      <c r="RCT69" s="62"/>
      <c r="RCU69" s="62"/>
      <c r="RCV69" s="62"/>
      <c r="RCW69" s="62"/>
      <c r="RCX69" s="62"/>
      <c r="RCY69" s="62"/>
      <c r="RCZ69" s="62"/>
      <c r="RDA69" s="62"/>
      <c r="RDB69" s="62"/>
      <c r="RDC69" s="62"/>
      <c r="RDD69" s="62"/>
      <c r="RDE69" s="62"/>
      <c r="RDF69" s="62"/>
      <c r="RDG69" s="62"/>
      <c r="RDH69" s="62"/>
      <c r="RDI69" s="62"/>
      <c r="RDJ69" s="62"/>
      <c r="RDK69" s="62"/>
      <c r="RDL69" s="62"/>
      <c r="RDM69" s="62"/>
      <c r="RDN69" s="62"/>
      <c r="RDO69" s="62"/>
      <c r="RDP69" s="62"/>
      <c r="RDQ69" s="62"/>
      <c r="RDR69" s="62"/>
      <c r="RDS69" s="62"/>
      <c r="RDT69" s="62"/>
      <c r="RDU69" s="62"/>
      <c r="RDV69" s="62"/>
      <c r="RDW69" s="62"/>
      <c r="RDX69" s="62"/>
      <c r="RDY69" s="62"/>
      <c r="RDZ69" s="62"/>
      <c r="REA69" s="62"/>
      <c r="REB69" s="62"/>
      <c r="REC69" s="62"/>
      <c r="RED69" s="62"/>
      <c r="REE69" s="62"/>
      <c r="REF69" s="62"/>
      <c r="REG69" s="62"/>
      <c r="REH69" s="62"/>
      <c r="REI69" s="62"/>
      <c r="REJ69" s="62"/>
      <c r="REK69" s="62"/>
      <c r="REL69" s="62"/>
      <c r="REM69" s="62"/>
      <c r="REN69" s="62"/>
      <c r="REO69" s="62"/>
      <c r="REP69" s="62"/>
      <c r="REQ69" s="62"/>
      <c r="RER69" s="62"/>
      <c r="RES69" s="62"/>
      <c r="RET69" s="62"/>
      <c r="REU69" s="62"/>
      <c r="REV69" s="62"/>
      <c r="REW69" s="62"/>
      <c r="REX69" s="62"/>
      <c r="REY69" s="62"/>
      <c r="REZ69" s="62"/>
      <c r="RFA69" s="62"/>
      <c r="RFB69" s="62"/>
      <c r="RFC69" s="62"/>
      <c r="RFD69" s="62"/>
      <c r="RFE69" s="62"/>
      <c r="RFF69" s="62"/>
      <c r="RFG69" s="62"/>
      <c r="RFH69" s="62"/>
      <c r="RFI69" s="62"/>
      <c r="RFJ69" s="62"/>
      <c r="RFK69" s="62"/>
      <c r="RFL69" s="62"/>
      <c r="RFM69" s="62"/>
      <c r="RFN69" s="62"/>
      <c r="RFO69" s="62"/>
      <c r="RFP69" s="62"/>
      <c r="RFQ69" s="62"/>
      <c r="RFR69" s="62"/>
      <c r="RFS69" s="62"/>
      <c r="RFT69" s="62"/>
      <c r="RFU69" s="62"/>
      <c r="RFV69" s="62"/>
      <c r="RFW69" s="62"/>
      <c r="RFX69" s="62"/>
      <c r="RFY69" s="62"/>
      <c r="RFZ69" s="62"/>
      <c r="RGA69" s="62"/>
      <c r="RGB69" s="62"/>
      <c r="RGC69" s="62"/>
      <c r="RGD69" s="62"/>
      <c r="RGE69" s="62"/>
      <c r="RGF69" s="62"/>
      <c r="RGG69" s="62"/>
      <c r="RGH69" s="62"/>
      <c r="RGI69" s="62"/>
      <c r="RGJ69" s="62"/>
      <c r="RGK69" s="62"/>
      <c r="RGL69" s="62"/>
      <c r="RGM69" s="62"/>
      <c r="RGN69" s="62"/>
      <c r="RGO69" s="62"/>
      <c r="RGP69" s="62"/>
      <c r="RGQ69" s="62"/>
      <c r="RGR69" s="62"/>
      <c r="RGS69" s="62"/>
      <c r="RGT69" s="62"/>
      <c r="RGU69" s="62"/>
      <c r="RGV69" s="62"/>
      <c r="RGW69" s="62"/>
      <c r="RGX69" s="62"/>
      <c r="RGY69" s="62"/>
      <c r="RGZ69" s="62"/>
      <c r="RHA69" s="62"/>
      <c r="RHB69" s="62"/>
      <c r="RHC69" s="62"/>
      <c r="RHD69" s="62"/>
      <c r="RHE69" s="62"/>
      <c r="RHF69" s="62"/>
      <c r="RHG69" s="62"/>
      <c r="RHH69" s="62"/>
      <c r="RHI69" s="62"/>
      <c r="RHJ69" s="62"/>
      <c r="RHK69" s="62"/>
      <c r="RHL69" s="62"/>
      <c r="RHM69" s="62"/>
      <c r="RHN69" s="62"/>
      <c r="RHO69" s="62"/>
      <c r="RHP69" s="62"/>
      <c r="RHQ69" s="62"/>
      <c r="RHR69" s="62"/>
      <c r="RHS69" s="62"/>
      <c r="RHT69" s="62"/>
      <c r="RHU69" s="62"/>
      <c r="RHV69" s="62"/>
      <c r="RHW69" s="62"/>
      <c r="RHX69" s="62"/>
      <c r="RHY69" s="62"/>
      <c r="RHZ69" s="62"/>
      <c r="RIA69" s="62"/>
      <c r="RIB69" s="62"/>
      <c r="RIC69" s="62"/>
      <c r="RID69" s="62"/>
      <c r="RIE69" s="62"/>
      <c r="RIF69" s="62"/>
      <c r="RIG69" s="62"/>
      <c r="RIH69" s="62"/>
      <c r="RII69" s="62"/>
      <c r="RIJ69" s="62"/>
      <c r="RIK69" s="62"/>
      <c r="RIL69" s="62"/>
      <c r="RIM69" s="62"/>
      <c r="RIN69" s="62"/>
      <c r="RIO69" s="62"/>
      <c r="RIP69" s="62"/>
      <c r="RIQ69" s="62"/>
      <c r="RIR69" s="62"/>
      <c r="RIS69" s="62"/>
      <c r="RIT69" s="62"/>
      <c r="RIU69" s="62"/>
      <c r="RIV69" s="62"/>
      <c r="RIW69" s="62"/>
      <c r="RIX69" s="62"/>
      <c r="RIY69" s="62"/>
      <c r="RIZ69" s="62"/>
      <c r="RJA69" s="62"/>
      <c r="RJB69" s="62"/>
      <c r="RJC69" s="62"/>
      <c r="RJD69" s="62"/>
      <c r="RJE69" s="62"/>
      <c r="RJF69" s="62"/>
      <c r="RJG69" s="62"/>
      <c r="RJH69" s="62"/>
      <c r="RJI69" s="62"/>
      <c r="RJJ69" s="62"/>
      <c r="RJK69" s="62"/>
      <c r="RJL69" s="62"/>
      <c r="RJM69" s="62"/>
      <c r="RJN69" s="62"/>
      <c r="RJO69" s="62"/>
      <c r="RJP69" s="62"/>
      <c r="RJQ69" s="62"/>
      <c r="RJR69" s="62"/>
      <c r="RJS69" s="62"/>
      <c r="RJT69" s="62"/>
      <c r="RJU69" s="62"/>
      <c r="RJV69" s="62"/>
      <c r="RJW69" s="62"/>
      <c r="RJX69" s="62"/>
      <c r="RJY69" s="62"/>
      <c r="RJZ69" s="62"/>
      <c r="RKA69" s="62"/>
      <c r="RKB69" s="62"/>
      <c r="RKC69" s="62"/>
      <c r="RKD69" s="62"/>
      <c r="RKE69" s="62"/>
      <c r="RKF69" s="62"/>
      <c r="RKG69" s="62"/>
      <c r="RKH69" s="62"/>
      <c r="RKI69" s="62"/>
      <c r="RKJ69" s="62"/>
      <c r="RKK69" s="62"/>
      <c r="RKL69" s="62"/>
      <c r="RKM69" s="62"/>
      <c r="RKN69" s="62"/>
      <c r="RKO69" s="62"/>
      <c r="RKP69" s="62"/>
      <c r="RKQ69" s="62"/>
      <c r="RKR69" s="62"/>
      <c r="RKS69" s="62"/>
      <c r="RKT69" s="62"/>
      <c r="RKU69" s="62"/>
      <c r="RKV69" s="62"/>
      <c r="RKW69" s="62"/>
      <c r="RKX69" s="62"/>
      <c r="RKY69" s="62"/>
      <c r="RKZ69" s="62"/>
      <c r="RLA69" s="62"/>
      <c r="RLB69" s="62"/>
      <c r="RLC69" s="62"/>
      <c r="RLD69" s="62"/>
      <c r="RLE69" s="62"/>
      <c r="RLF69" s="62"/>
      <c r="RLG69" s="62"/>
      <c r="RLH69" s="62"/>
      <c r="RLI69" s="62"/>
      <c r="RLJ69" s="62"/>
      <c r="RLK69" s="62"/>
      <c r="RLL69" s="62"/>
      <c r="RLM69" s="62"/>
      <c r="RLN69" s="62"/>
      <c r="RLO69" s="62"/>
      <c r="RLP69" s="62"/>
      <c r="RLQ69" s="62"/>
      <c r="RLR69" s="62"/>
      <c r="RLS69" s="62"/>
      <c r="RLT69" s="62"/>
      <c r="RLU69" s="62"/>
      <c r="RLV69" s="62"/>
      <c r="RLW69" s="62"/>
      <c r="RLX69" s="62"/>
      <c r="RLY69" s="62"/>
      <c r="RLZ69" s="62"/>
      <c r="RMA69" s="62"/>
      <c r="RMB69" s="62"/>
      <c r="RMC69" s="62"/>
      <c r="RMD69" s="62"/>
      <c r="RME69" s="62"/>
      <c r="RMF69" s="62"/>
      <c r="RMG69" s="62"/>
      <c r="RMH69" s="62"/>
      <c r="RMI69" s="62"/>
      <c r="RMJ69" s="62"/>
      <c r="RMK69" s="62"/>
      <c r="RML69" s="62"/>
      <c r="RMM69" s="62"/>
      <c r="RMN69" s="62"/>
      <c r="RMO69" s="62"/>
      <c r="RMP69" s="62"/>
      <c r="RMQ69" s="62"/>
      <c r="RMR69" s="62"/>
      <c r="RMS69" s="62"/>
      <c r="RMT69" s="62"/>
      <c r="RMU69" s="62"/>
      <c r="RMV69" s="62"/>
      <c r="RMW69" s="62"/>
      <c r="RMX69" s="62"/>
      <c r="RMY69" s="62"/>
      <c r="RMZ69" s="62"/>
      <c r="RNA69" s="62"/>
      <c r="RNB69" s="62"/>
      <c r="RNC69" s="62"/>
      <c r="RND69" s="62"/>
      <c r="RNE69" s="62"/>
      <c r="RNF69" s="62"/>
      <c r="RNG69" s="62"/>
      <c r="RNH69" s="62"/>
      <c r="RNI69" s="62"/>
      <c r="RNJ69" s="62"/>
      <c r="RNK69" s="62"/>
      <c r="RNL69" s="62"/>
      <c r="RNM69" s="62"/>
      <c r="RNN69" s="62"/>
      <c r="RNO69" s="62"/>
      <c r="RNP69" s="62"/>
      <c r="RNQ69" s="62"/>
      <c r="RNR69" s="62"/>
      <c r="RNS69" s="62"/>
      <c r="RNT69" s="62"/>
      <c r="RNU69" s="62"/>
      <c r="RNV69" s="62"/>
      <c r="RNW69" s="62"/>
      <c r="RNX69" s="62"/>
      <c r="RNY69" s="62"/>
      <c r="RNZ69" s="62"/>
      <c r="ROA69" s="62"/>
      <c r="ROB69" s="62"/>
      <c r="ROC69" s="62"/>
      <c r="ROD69" s="62"/>
      <c r="ROE69" s="62"/>
      <c r="ROF69" s="62"/>
      <c r="ROG69" s="62"/>
      <c r="ROH69" s="62"/>
      <c r="ROI69" s="62"/>
      <c r="ROJ69" s="62"/>
      <c r="ROK69" s="62"/>
      <c r="ROL69" s="62"/>
      <c r="ROM69" s="62"/>
      <c r="RON69" s="62"/>
      <c r="ROO69" s="62"/>
      <c r="ROP69" s="62"/>
      <c r="ROQ69" s="62"/>
      <c r="ROR69" s="62"/>
      <c r="ROS69" s="62"/>
      <c r="ROT69" s="62"/>
      <c r="ROU69" s="62"/>
      <c r="ROV69" s="62"/>
      <c r="ROW69" s="62"/>
      <c r="ROX69" s="62"/>
      <c r="ROY69" s="62"/>
      <c r="ROZ69" s="62"/>
      <c r="RPA69" s="62"/>
      <c r="RPB69" s="62"/>
      <c r="RPC69" s="62"/>
      <c r="RPD69" s="62"/>
      <c r="RPE69" s="62"/>
      <c r="RPF69" s="62"/>
      <c r="RPG69" s="62"/>
      <c r="RPH69" s="62"/>
      <c r="RPI69" s="62"/>
      <c r="RPJ69" s="62"/>
      <c r="RPK69" s="62"/>
      <c r="RPL69" s="62"/>
      <c r="RPM69" s="62"/>
      <c r="RPN69" s="62"/>
      <c r="RPO69" s="62"/>
      <c r="RPP69" s="62"/>
      <c r="RPQ69" s="62"/>
      <c r="RPR69" s="62"/>
      <c r="RPS69" s="62"/>
      <c r="RPT69" s="62"/>
      <c r="RPU69" s="62"/>
      <c r="RPV69" s="62"/>
      <c r="RPW69" s="62"/>
      <c r="RPX69" s="62"/>
      <c r="RPY69" s="62"/>
      <c r="RPZ69" s="62"/>
      <c r="RQA69" s="62"/>
      <c r="RQB69" s="62"/>
      <c r="RQC69" s="62"/>
      <c r="RQD69" s="62"/>
      <c r="RQE69" s="62"/>
      <c r="RQF69" s="62"/>
      <c r="RQG69" s="62"/>
      <c r="RQH69" s="62"/>
      <c r="RQI69" s="62"/>
      <c r="RQJ69" s="62"/>
      <c r="RQK69" s="62"/>
      <c r="RQL69" s="62"/>
      <c r="RQM69" s="62"/>
      <c r="RQN69" s="62"/>
      <c r="RQO69" s="62"/>
      <c r="RQP69" s="62"/>
      <c r="RQQ69" s="62"/>
      <c r="RQR69" s="62"/>
      <c r="RQS69" s="62"/>
      <c r="RQT69" s="62"/>
      <c r="RQU69" s="62"/>
      <c r="RQV69" s="62"/>
      <c r="RQW69" s="62"/>
      <c r="RQX69" s="62"/>
      <c r="RQY69" s="62"/>
      <c r="RQZ69" s="62"/>
      <c r="RRA69" s="62"/>
      <c r="RRB69" s="62"/>
      <c r="RRC69" s="62"/>
      <c r="RRD69" s="62"/>
      <c r="RRE69" s="62"/>
      <c r="RRF69" s="62"/>
      <c r="RRG69" s="62"/>
      <c r="RRH69" s="62"/>
      <c r="RRI69" s="62"/>
      <c r="RRJ69" s="62"/>
      <c r="RRK69" s="62"/>
      <c r="RRL69" s="62"/>
      <c r="RRM69" s="62"/>
      <c r="RRN69" s="62"/>
      <c r="RRO69" s="62"/>
      <c r="RRP69" s="62"/>
      <c r="RRQ69" s="62"/>
      <c r="RRR69" s="62"/>
      <c r="RRS69" s="62"/>
      <c r="RRT69" s="62"/>
      <c r="RRU69" s="62"/>
      <c r="RRV69" s="62"/>
      <c r="RRW69" s="62"/>
      <c r="RRX69" s="62"/>
      <c r="RRY69" s="62"/>
      <c r="RRZ69" s="62"/>
      <c r="RSA69" s="62"/>
      <c r="RSB69" s="62"/>
      <c r="RSC69" s="62"/>
      <c r="RSD69" s="62"/>
      <c r="RSE69" s="62"/>
      <c r="RSF69" s="62"/>
      <c r="RSG69" s="62"/>
      <c r="RSH69" s="62"/>
      <c r="RSI69" s="62"/>
      <c r="RSJ69" s="62"/>
      <c r="RSK69" s="62"/>
      <c r="RSL69" s="62"/>
      <c r="RSM69" s="62"/>
      <c r="RSN69" s="62"/>
      <c r="RSO69" s="62"/>
      <c r="RSP69" s="62"/>
      <c r="RSQ69" s="62"/>
      <c r="RSR69" s="62"/>
      <c r="RSS69" s="62"/>
      <c r="RST69" s="62"/>
      <c r="RSU69" s="62"/>
      <c r="RSV69" s="62"/>
      <c r="RSW69" s="62"/>
      <c r="RSX69" s="62"/>
      <c r="RSY69" s="62"/>
      <c r="RSZ69" s="62"/>
      <c r="RTA69" s="62"/>
      <c r="RTB69" s="62"/>
      <c r="RTC69" s="62"/>
      <c r="RTD69" s="62"/>
      <c r="RTE69" s="62"/>
      <c r="RTF69" s="62"/>
      <c r="RTG69" s="62"/>
      <c r="RTH69" s="62"/>
      <c r="RTI69" s="62"/>
      <c r="RTJ69" s="62"/>
      <c r="RTK69" s="62"/>
      <c r="RTL69" s="62"/>
      <c r="RTM69" s="62"/>
      <c r="RTN69" s="62"/>
      <c r="RTO69" s="62"/>
      <c r="RTP69" s="62"/>
      <c r="RTQ69" s="62"/>
      <c r="RTR69" s="62"/>
      <c r="RTS69" s="62"/>
      <c r="RTT69" s="62"/>
      <c r="RTU69" s="62"/>
      <c r="RTV69" s="62"/>
      <c r="RTW69" s="62"/>
      <c r="RTX69" s="62"/>
      <c r="RTY69" s="62"/>
      <c r="RTZ69" s="62"/>
      <c r="RUA69" s="62"/>
      <c r="RUB69" s="62"/>
      <c r="RUC69" s="62"/>
      <c r="RUD69" s="62"/>
      <c r="RUE69" s="62"/>
      <c r="RUF69" s="62"/>
      <c r="RUG69" s="62"/>
      <c r="RUH69" s="62"/>
      <c r="RUI69" s="62"/>
      <c r="RUJ69" s="62"/>
      <c r="RUK69" s="62"/>
      <c r="RUL69" s="62"/>
      <c r="RUM69" s="62"/>
      <c r="RUN69" s="62"/>
      <c r="RUO69" s="62"/>
      <c r="RUP69" s="62"/>
      <c r="RUQ69" s="62"/>
      <c r="RUR69" s="62"/>
      <c r="RUS69" s="62"/>
      <c r="RUT69" s="62"/>
      <c r="RUU69" s="62"/>
      <c r="RUV69" s="62"/>
      <c r="RUW69" s="62"/>
      <c r="RUX69" s="62"/>
      <c r="RUY69" s="62"/>
      <c r="RUZ69" s="62"/>
      <c r="RVA69" s="62"/>
      <c r="RVB69" s="62"/>
      <c r="RVC69" s="62"/>
      <c r="RVD69" s="62"/>
      <c r="RVE69" s="62"/>
      <c r="RVF69" s="62"/>
      <c r="RVG69" s="62"/>
      <c r="RVH69" s="62"/>
      <c r="RVI69" s="62"/>
      <c r="RVJ69" s="62"/>
      <c r="RVK69" s="62"/>
      <c r="RVL69" s="62"/>
      <c r="RVM69" s="62"/>
      <c r="RVN69" s="62"/>
      <c r="RVO69" s="62"/>
      <c r="RVP69" s="62"/>
      <c r="RVQ69" s="62"/>
      <c r="RVR69" s="62"/>
      <c r="RVS69" s="62"/>
      <c r="RVT69" s="62"/>
      <c r="RVU69" s="62"/>
      <c r="RVV69" s="62"/>
      <c r="RVW69" s="62"/>
      <c r="RVX69" s="62"/>
      <c r="RVY69" s="62"/>
      <c r="RVZ69" s="62"/>
      <c r="RWA69" s="62"/>
      <c r="RWB69" s="62"/>
      <c r="RWC69" s="62"/>
      <c r="RWD69" s="62"/>
      <c r="RWE69" s="62"/>
      <c r="RWF69" s="62"/>
      <c r="RWG69" s="62"/>
      <c r="RWH69" s="62"/>
      <c r="RWI69" s="62"/>
      <c r="RWJ69" s="62"/>
      <c r="RWK69" s="62"/>
      <c r="RWL69" s="62"/>
      <c r="RWM69" s="62"/>
      <c r="RWN69" s="62"/>
      <c r="RWO69" s="62"/>
      <c r="RWP69" s="62"/>
      <c r="RWQ69" s="62"/>
      <c r="RWR69" s="62"/>
      <c r="RWS69" s="62"/>
      <c r="RWT69" s="62"/>
      <c r="RWU69" s="62"/>
      <c r="RWV69" s="62"/>
      <c r="RWW69" s="62"/>
      <c r="RWX69" s="62"/>
      <c r="RWY69" s="62"/>
      <c r="RWZ69" s="62"/>
      <c r="RXA69" s="62"/>
      <c r="RXB69" s="62"/>
      <c r="RXC69" s="62"/>
      <c r="RXD69" s="62"/>
      <c r="RXE69" s="62"/>
      <c r="RXF69" s="62"/>
      <c r="RXG69" s="62"/>
      <c r="RXH69" s="62"/>
      <c r="RXI69" s="62"/>
      <c r="RXJ69" s="62"/>
      <c r="RXK69" s="62"/>
      <c r="RXL69" s="62"/>
      <c r="RXM69" s="62"/>
      <c r="RXN69" s="62"/>
      <c r="RXO69" s="62"/>
      <c r="RXP69" s="62"/>
      <c r="RXQ69" s="62"/>
      <c r="RXR69" s="62"/>
      <c r="RXS69" s="62"/>
      <c r="RXT69" s="62"/>
      <c r="RXU69" s="62"/>
      <c r="RXV69" s="62"/>
      <c r="RXW69" s="62"/>
      <c r="RXX69" s="62"/>
      <c r="RXY69" s="62"/>
      <c r="RXZ69" s="62"/>
      <c r="RYA69" s="62"/>
      <c r="RYB69" s="62"/>
      <c r="RYC69" s="62"/>
      <c r="RYD69" s="62"/>
      <c r="RYE69" s="62"/>
      <c r="RYF69" s="62"/>
      <c r="RYG69" s="62"/>
      <c r="RYH69" s="62"/>
      <c r="RYI69" s="62"/>
      <c r="RYJ69" s="62"/>
      <c r="RYK69" s="62"/>
      <c r="RYL69" s="62"/>
      <c r="RYM69" s="62"/>
      <c r="RYN69" s="62"/>
      <c r="RYO69" s="62"/>
      <c r="RYP69" s="62"/>
      <c r="RYQ69" s="62"/>
      <c r="RYR69" s="62"/>
      <c r="RYS69" s="62"/>
      <c r="RYT69" s="62"/>
      <c r="RYU69" s="62"/>
      <c r="RYV69" s="62"/>
      <c r="RYW69" s="62"/>
      <c r="RYX69" s="62"/>
      <c r="RYY69" s="62"/>
      <c r="RYZ69" s="62"/>
      <c r="RZA69" s="62"/>
      <c r="RZB69" s="62"/>
      <c r="RZC69" s="62"/>
      <c r="RZD69" s="62"/>
      <c r="RZE69" s="62"/>
      <c r="RZF69" s="62"/>
      <c r="RZG69" s="62"/>
      <c r="RZH69" s="62"/>
      <c r="RZI69" s="62"/>
      <c r="RZJ69" s="62"/>
      <c r="RZK69" s="62"/>
      <c r="RZL69" s="62"/>
      <c r="RZM69" s="62"/>
      <c r="RZN69" s="62"/>
      <c r="RZO69" s="62"/>
      <c r="RZP69" s="62"/>
      <c r="RZQ69" s="62"/>
      <c r="RZR69" s="62"/>
      <c r="RZS69" s="62"/>
      <c r="RZT69" s="62"/>
      <c r="RZU69" s="62"/>
      <c r="RZV69" s="62"/>
      <c r="RZW69" s="62"/>
      <c r="RZX69" s="62"/>
      <c r="RZY69" s="62"/>
      <c r="RZZ69" s="62"/>
      <c r="SAA69" s="62"/>
      <c r="SAB69" s="62"/>
      <c r="SAC69" s="62"/>
      <c r="SAD69" s="62"/>
      <c r="SAE69" s="62"/>
      <c r="SAF69" s="62"/>
      <c r="SAG69" s="62"/>
      <c r="SAH69" s="62"/>
      <c r="SAI69" s="62"/>
      <c r="SAJ69" s="62"/>
      <c r="SAK69" s="62"/>
      <c r="SAL69" s="62"/>
      <c r="SAM69" s="62"/>
      <c r="SAN69" s="62"/>
      <c r="SAO69" s="62"/>
      <c r="SAP69" s="62"/>
      <c r="SAQ69" s="62"/>
      <c r="SAR69" s="62"/>
      <c r="SAS69" s="62"/>
      <c r="SAT69" s="62"/>
      <c r="SAU69" s="62"/>
      <c r="SAV69" s="62"/>
      <c r="SAW69" s="62"/>
      <c r="SAX69" s="62"/>
      <c r="SAY69" s="62"/>
      <c r="SAZ69" s="62"/>
      <c r="SBA69" s="62"/>
      <c r="SBB69" s="62"/>
      <c r="SBC69" s="62"/>
      <c r="SBD69" s="62"/>
      <c r="SBE69" s="62"/>
      <c r="SBF69" s="62"/>
      <c r="SBG69" s="62"/>
      <c r="SBH69" s="62"/>
      <c r="SBI69" s="62"/>
      <c r="SBJ69" s="62"/>
      <c r="SBK69" s="62"/>
      <c r="SBL69" s="62"/>
      <c r="SBM69" s="62"/>
      <c r="SBN69" s="62"/>
      <c r="SBO69" s="62"/>
      <c r="SBP69" s="62"/>
      <c r="SBQ69" s="62"/>
      <c r="SBR69" s="62"/>
      <c r="SBS69" s="62"/>
      <c r="SBT69" s="62"/>
      <c r="SBU69" s="62"/>
      <c r="SBV69" s="62"/>
      <c r="SBW69" s="62"/>
      <c r="SBX69" s="62"/>
      <c r="SBY69" s="62"/>
      <c r="SBZ69" s="62"/>
      <c r="SCA69" s="62"/>
      <c r="SCB69" s="62"/>
      <c r="SCC69" s="62"/>
      <c r="SCD69" s="62"/>
      <c r="SCE69" s="62"/>
      <c r="SCF69" s="62"/>
      <c r="SCG69" s="62"/>
      <c r="SCH69" s="62"/>
      <c r="SCI69" s="62"/>
      <c r="SCJ69" s="62"/>
      <c r="SCK69" s="62"/>
      <c r="SCL69" s="62"/>
      <c r="SCM69" s="62"/>
      <c r="SCN69" s="62"/>
      <c r="SCO69" s="62"/>
      <c r="SCP69" s="62"/>
      <c r="SCQ69" s="62"/>
      <c r="SCR69" s="62"/>
      <c r="SCS69" s="62"/>
      <c r="SCT69" s="62"/>
      <c r="SCU69" s="62"/>
      <c r="SCV69" s="62"/>
      <c r="SCW69" s="62"/>
      <c r="SCX69" s="62"/>
      <c r="SCY69" s="62"/>
      <c r="SCZ69" s="62"/>
      <c r="SDA69" s="62"/>
      <c r="SDB69" s="62"/>
      <c r="SDC69" s="62"/>
      <c r="SDD69" s="62"/>
      <c r="SDE69" s="62"/>
      <c r="SDF69" s="62"/>
      <c r="SDG69" s="62"/>
      <c r="SDH69" s="62"/>
      <c r="SDI69" s="62"/>
      <c r="SDJ69" s="62"/>
      <c r="SDK69" s="62"/>
      <c r="SDL69" s="62"/>
      <c r="SDM69" s="62"/>
      <c r="SDN69" s="62"/>
      <c r="SDO69" s="62"/>
      <c r="SDP69" s="62"/>
      <c r="SDQ69" s="62"/>
      <c r="SDR69" s="62"/>
      <c r="SDS69" s="62"/>
      <c r="SDT69" s="62"/>
      <c r="SDU69" s="62"/>
      <c r="SDV69" s="62"/>
      <c r="SDW69" s="62"/>
      <c r="SDX69" s="62"/>
      <c r="SDY69" s="62"/>
      <c r="SDZ69" s="62"/>
      <c r="SEA69" s="62"/>
      <c r="SEB69" s="62"/>
      <c r="SEC69" s="62"/>
      <c r="SED69" s="62"/>
      <c r="SEE69" s="62"/>
      <c r="SEF69" s="62"/>
      <c r="SEG69" s="62"/>
      <c r="SEH69" s="62"/>
      <c r="SEI69" s="62"/>
      <c r="SEJ69" s="62"/>
      <c r="SEK69" s="62"/>
      <c r="SEL69" s="62"/>
      <c r="SEM69" s="62"/>
      <c r="SEN69" s="62"/>
      <c r="SEO69" s="62"/>
      <c r="SEP69" s="62"/>
      <c r="SEQ69" s="62"/>
      <c r="SER69" s="62"/>
      <c r="SES69" s="62"/>
      <c r="SET69" s="62"/>
      <c r="SEU69" s="62"/>
      <c r="SEV69" s="62"/>
      <c r="SEW69" s="62"/>
      <c r="SEX69" s="62"/>
      <c r="SEY69" s="62"/>
      <c r="SEZ69" s="62"/>
      <c r="SFA69" s="62"/>
      <c r="SFB69" s="62"/>
      <c r="SFC69" s="62"/>
      <c r="SFD69" s="62"/>
      <c r="SFE69" s="62"/>
      <c r="SFF69" s="62"/>
      <c r="SFG69" s="62"/>
      <c r="SFH69" s="62"/>
      <c r="SFI69" s="62"/>
      <c r="SFJ69" s="62"/>
      <c r="SFK69" s="62"/>
      <c r="SFL69" s="62"/>
      <c r="SFM69" s="62"/>
      <c r="SFN69" s="62"/>
      <c r="SFO69" s="62"/>
      <c r="SFP69" s="62"/>
      <c r="SFQ69" s="62"/>
      <c r="SFR69" s="62"/>
      <c r="SFS69" s="62"/>
      <c r="SFT69" s="62"/>
      <c r="SFU69" s="62"/>
      <c r="SFV69" s="62"/>
      <c r="SFW69" s="62"/>
      <c r="SFX69" s="62"/>
      <c r="SFY69" s="62"/>
      <c r="SFZ69" s="62"/>
      <c r="SGA69" s="62"/>
      <c r="SGB69" s="62"/>
      <c r="SGC69" s="62"/>
      <c r="SGD69" s="62"/>
      <c r="SGE69" s="62"/>
      <c r="SGF69" s="62"/>
      <c r="SGG69" s="62"/>
      <c r="SGH69" s="62"/>
      <c r="SGI69" s="62"/>
      <c r="SGJ69" s="62"/>
      <c r="SGK69" s="62"/>
      <c r="SGL69" s="62"/>
      <c r="SGM69" s="62"/>
      <c r="SGN69" s="62"/>
      <c r="SGO69" s="62"/>
      <c r="SGP69" s="62"/>
      <c r="SGQ69" s="62"/>
      <c r="SGR69" s="62"/>
      <c r="SGS69" s="62"/>
      <c r="SGT69" s="62"/>
      <c r="SGU69" s="62"/>
      <c r="SGV69" s="62"/>
      <c r="SGW69" s="62"/>
      <c r="SGX69" s="62"/>
      <c r="SGY69" s="62"/>
      <c r="SGZ69" s="62"/>
      <c r="SHA69" s="62"/>
      <c r="SHB69" s="62"/>
      <c r="SHC69" s="62"/>
      <c r="SHD69" s="62"/>
      <c r="SHE69" s="62"/>
      <c r="SHF69" s="62"/>
      <c r="SHG69" s="62"/>
      <c r="SHH69" s="62"/>
      <c r="SHI69" s="62"/>
      <c r="SHJ69" s="62"/>
      <c r="SHK69" s="62"/>
      <c r="SHL69" s="62"/>
      <c r="SHM69" s="62"/>
      <c r="SHN69" s="62"/>
      <c r="SHO69" s="62"/>
      <c r="SHP69" s="62"/>
      <c r="SHQ69" s="62"/>
      <c r="SHR69" s="62"/>
      <c r="SHS69" s="62"/>
      <c r="SHT69" s="62"/>
      <c r="SHU69" s="62"/>
      <c r="SHV69" s="62"/>
      <c r="SHW69" s="62"/>
      <c r="SHX69" s="62"/>
      <c r="SHY69" s="62"/>
      <c r="SHZ69" s="62"/>
      <c r="SIA69" s="62"/>
      <c r="SIB69" s="62"/>
      <c r="SIC69" s="62"/>
      <c r="SID69" s="62"/>
      <c r="SIE69" s="62"/>
      <c r="SIF69" s="62"/>
      <c r="SIG69" s="62"/>
      <c r="SIH69" s="62"/>
      <c r="SII69" s="62"/>
      <c r="SIJ69" s="62"/>
      <c r="SIK69" s="62"/>
      <c r="SIL69" s="62"/>
      <c r="SIM69" s="62"/>
      <c r="SIN69" s="62"/>
      <c r="SIO69" s="62"/>
      <c r="SIP69" s="62"/>
      <c r="SIQ69" s="62"/>
      <c r="SIR69" s="62"/>
      <c r="SIS69" s="62"/>
      <c r="SIT69" s="62"/>
      <c r="SIU69" s="62"/>
      <c r="SIV69" s="62"/>
      <c r="SIW69" s="62"/>
      <c r="SIX69" s="62"/>
      <c r="SIY69" s="62"/>
      <c r="SIZ69" s="62"/>
      <c r="SJA69" s="62"/>
      <c r="SJB69" s="62"/>
      <c r="SJC69" s="62"/>
      <c r="SJD69" s="62"/>
      <c r="SJE69" s="62"/>
      <c r="SJF69" s="62"/>
      <c r="SJG69" s="62"/>
      <c r="SJH69" s="62"/>
      <c r="SJI69" s="62"/>
      <c r="SJJ69" s="62"/>
      <c r="SJK69" s="62"/>
      <c r="SJL69" s="62"/>
      <c r="SJM69" s="62"/>
      <c r="SJN69" s="62"/>
      <c r="SJO69" s="62"/>
      <c r="SJP69" s="62"/>
      <c r="SJQ69" s="62"/>
      <c r="SJR69" s="62"/>
      <c r="SJS69" s="62"/>
      <c r="SJT69" s="62"/>
      <c r="SJU69" s="62"/>
      <c r="SJV69" s="62"/>
      <c r="SJW69" s="62"/>
      <c r="SJX69" s="62"/>
      <c r="SJY69" s="62"/>
      <c r="SJZ69" s="62"/>
      <c r="SKA69" s="62"/>
      <c r="SKB69" s="62"/>
      <c r="SKC69" s="62"/>
      <c r="SKD69" s="62"/>
      <c r="SKE69" s="62"/>
      <c r="SKF69" s="62"/>
      <c r="SKG69" s="62"/>
      <c r="SKH69" s="62"/>
      <c r="SKI69" s="62"/>
      <c r="SKJ69" s="62"/>
      <c r="SKK69" s="62"/>
      <c r="SKL69" s="62"/>
      <c r="SKM69" s="62"/>
      <c r="SKN69" s="62"/>
      <c r="SKO69" s="62"/>
      <c r="SKP69" s="62"/>
      <c r="SKQ69" s="62"/>
      <c r="SKR69" s="62"/>
      <c r="SKS69" s="62"/>
      <c r="SKT69" s="62"/>
      <c r="SKU69" s="62"/>
      <c r="SKV69" s="62"/>
      <c r="SKW69" s="62"/>
      <c r="SKX69" s="62"/>
      <c r="SKY69" s="62"/>
      <c r="SKZ69" s="62"/>
      <c r="SLA69" s="62"/>
      <c r="SLB69" s="62"/>
      <c r="SLC69" s="62"/>
      <c r="SLD69" s="62"/>
      <c r="SLE69" s="62"/>
      <c r="SLF69" s="62"/>
      <c r="SLG69" s="62"/>
      <c r="SLH69" s="62"/>
      <c r="SLI69" s="62"/>
      <c r="SLJ69" s="62"/>
      <c r="SLK69" s="62"/>
      <c r="SLL69" s="62"/>
      <c r="SLM69" s="62"/>
      <c r="SLN69" s="62"/>
      <c r="SLO69" s="62"/>
      <c r="SLP69" s="62"/>
      <c r="SLQ69" s="62"/>
      <c r="SLR69" s="62"/>
      <c r="SLS69" s="62"/>
      <c r="SLT69" s="62"/>
      <c r="SLU69" s="62"/>
      <c r="SLV69" s="62"/>
      <c r="SLW69" s="62"/>
      <c r="SLX69" s="62"/>
      <c r="SLY69" s="62"/>
      <c r="SLZ69" s="62"/>
      <c r="SMA69" s="62"/>
      <c r="SMB69" s="62"/>
      <c r="SMC69" s="62"/>
      <c r="SMD69" s="62"/>
      <c r="SME69" s="62"/>
      <c r="SMF69" s="62"/>
      <c r="SMG69" s="62"/>
      <c r="SMH69" s="62"/>
      <c r="SMI69" s="62"/>
      <c r="SMJ69" s="62"/>
      <c r="SMK69" s="62"/>
      <c r="SML69" s="62"/>
      <c r="SMM69" s="62"/>
      <c r="SMN69" s="62"/>
      <c r="SMO69" s="62"/>
      <c r="SMP69" s="62"/>
      <c r="SMQ69" s="62"/>
      <c r="SMR69" s="62"/>
      <c r="SMS69" s="62"/>
      <c r="SMT69" s="62"/>
      <c r="SMU69" s="62"/>
      <c r="SMV69" s="62"/>
      <c r="SMW69" s="62"/>
      <c r="SMX69" s="62"/>
      <c r="SMY69" s="62"/>
      <c r="SMZ69" s="62"/>
      <c r="SNA69" s="62"/>
      <c r="SNB69" s="62"/>
      <c r="SNC69" s="62"/>
      <c r="SND69" s="62"/>
      <c r="SNE69" s="62"/>
      <c r="SNF69" s="62"/>
      <c r="SNG69" s="62"/>
      <c r="SNH69" s="62"/>
      <c r="SNI69" s="62"/>
      <c r="SNJ69" s="62"/>
      <c r="SNK69" s="62"/>
      <c r="SNL69" s="62"/>
      <c r="SNM69" s="62"/>
      <c r="SNN69" s="62"/>
      <c r="SNO69" s="62"/>
      <c r="SNP69" s="62"/>
      <c r="SNQ69" s="62"/>
      <c r="SNR69" s="62"/>
      <c r="SNS69" s="62"/>
      <c r="SNT69" s="62"/>
      <c r="SNU69" s="62"/>
      <c r="SNV69" s="62"/>
      <c r="SNW69" s="62"/>
      <c r="SNX69" s="62"/>
      <c r="SNY69" s="62"/>
      <c r="SNZ69" s="62"/>
      <c r="SOA69" s="62"/>
      <c r="SOB69" s="62"/>
      <c r="SOC69" s="62"/>
      <c r="SOD69" s="62"/>
      <c r="SOE69" s="62"/>
      <c r="SOF69" s="62"/>
      <c r="SOG69" s="62"/>
      <c r="SOH69" s="62"/>
      <c r="SOI69" s="62"/>
      <c r="SOJ69" s="62"/>
      <c r="SOK69" s="62"/>
      <c r="SOL69" s="62"/>
      <c r="SOM69" s="62"/>
      <c r="SON69" s="62"/>
      <c r="SOO69" s="62"/>
      <c r="SOP69" s="62"/>
      <c r="SOQ69" s="62"/>
      <c r="SOR69" s="62"/>
      <c r="SOS69" s="62"/>
      <c r="SOT69" s="62"/>
      <c r="SOU69" s="62"/>
      <c r="SOV69" s="62"/>
      <c r="SOW69" s="62"/>
      <c r="SOX69" s="62"/>
      <c r="SOY69" s="62"/>
      <c r="SOZ69" s="62"/>
      <c r="SPA69" s="62"/>
      <c r="SPB69" s="62"/>
      <c r="SPC69" s="62"/>
      <c r="SPD69" s="62"/>
      <c r="SPE69" s="62"/>
      <c r="SPF69" s="62"/>
      <c r="SPG69" s="62"/>
      <c r="SPH69" s="62"/>
      <c r="SPI69" s="62"/>
      <c r="SPJ69" s="62"/>
      <c r="SPK69" s="62"/>
      <c r="SPL69" s="62"/>
      <c r="SPM69" s="62"/>
      <c r="SPN69" s="62"/>
      <c r="SPO69" s="62"/>
      <c r="SPP69" s="62"/>
      <c r="SPQ69" s="62"/>
      <c r="SPR69" s="62"/>
      <c r="SPS69" s="62"/>
      <c r="SPT69" s="62"/>
      <c r="SPU69" s="62"/>
      <c r="SPV69" s="62"/>
      <c r="SPW69" s="62"/>
      <c r="SPX69" s="62"/>
      <c r="SPY69" s="62"/>
      <c r="SPZ69" s="62"/>
      <c r="SQA69" s="62"/>
      <c r="SQB69" s="62"/>
      <c r="SQC69" s="62"/>
      <c r="SQD69" s="62"/>
      <c r="SQE69" s="62"/>
      <c r="SQF69" s="62"/>
      <c r="SQG69" s="62"/>
      <c r="SQH69" s="62"/>
      <c r="SQI69" s="62"/>
      <c r="SQJ69" s="62"/>
      <c r="SQK69" s="62"/>
      <c r="SQL69" s="62"/>
      <c r="SQM69" s="62"/>
      <c r="SQN69" s="62"/>
      <c r="SQO69" s="62"/>
      <c r="SQP69" s="62"/>
      <c r="SQQ69" s="62"/>
      <c r="SQR69" s="62"/>
      <c r="SQS69" s="62"/>
      <c r="SQT69" s="62"/>
      <c r="SQU69" s="62"/>
      <c r="SQV69" s="62"/>
      <c r="SQW69" s="62"/>
      <c r="SQX69" s="62"/>
      <c r="SQY69" s="62"/>
      <c r="SQZ69" s="62"/>
      <c r="SRA69" s="62"/>
      <c r="SRB69" s="62"/>
      <c r="SRC69" s="62"/>
      <c r="SRD69" s="62"/>
      <c r="SRE69" s="62"/>
      <c r="SRF69" s="62"/>
      <c r="SRG69" s="62"/>
      <c r="SRH69" s="62"/>
      <c r="SRI69" s="62"/>
      <c r="SRJ69" s="62"/>
      <c r="SRK69" s="62"/>
      <c r="SRL69" s="62"/>
      <c r="SRM69" s="62"/>
      <c r="SRN69" s="62"/>
      <c r="SRO69" s="62"/>
      <c r="SRP69" s="62"/>
      <c r="SRQ69" s="62"/>
      <c r="SRR69" s="62"/>
      <c r="SRS69" s="62"/>
      <c r="SRT69" s="62"/>
      <c r="SRU69" s="62"/>
      <c r="SRV69" s="62"/>
      <c r="SRW69" s="62"/>
      <c r="SRX69" s="62"/>
      <c r="SRY69" s="62"/>
      <c r="SRZ69" s="62"/>
      <c r="SSA69" s="62"/>
      <c r="SSB69" s="62"/>
      <c r="SSC69" s="62"/>
      <c r="SSD69" s="62"/>
      <c r="SSE69" s="62"/>
      <c r="SSF69" s="62"/>
      <c r="SSG69" s="62"/>
      <c r="SSH69" s="62"/>
      <c r="SSI69" s="62"/>
      <c r="SSJ69" s="62"/>
      <c r="SSK69" s="62"/>
      <c r="SSL69" s="62"/>
      <c r="SSM69" s="62"/>
      <c r="SSN69" s="62"/>
      <c r="SSO69" s="62"/>
      <c r="SSP69" s="62"/>
      <c r="SSQ69" s="62"/>
      <c r="SSR69" s="62"/>
      <c r="SSS69" s="62"/>
      <c r="SST69" s="62"/>
      <c r="SSU69" s="62"/>
      <c r="SSV69" s="62"/>
      <c r="SSW69" s="62"/>
      <c r="SSX69" s="62"/>
      <c r="SSY69" s="62"/>
      <c r="SSZ69" s="62"/>
      <c r="STA69" s="62"/>
      <c r="STB69" s="62"/>
      <c r="STC69" s="62"/>
      <c r="STD69" s="62"/>
      <c r="STE69" s="62"/>
      <c r="STF69" s="62"/>
      <c r="STG69" s="62"/>
      <c r="STH69" s="62"/>
      <c r="STI69" s="62"/>
      <c r="STJ69" s="62"/>
      <c r="STK69" s="62"/>
      <c r="STL69" s="62"/>
      <c r="STM69" s="62"/>
      <c r="STN69" s="62"/>
      <c r="STO69" s="62"/>
      <c r="STP69" s="62"/>
      <c r="STQ69" s="62"/>
      <c r="STR69" s="62"/>
      <c r="STS69" s="62"/>
      <c r="STT69" s="62"/>
      <c r="STU69" s="62"/>
      <c r="STV69" s="62"/>
      <c r="STW69" s="62"/>
      <c r="STX69" s="62"/>
      <c r="STY69" s="62"/>
      <c r="STZ69" s="62"/>
      <c r="SUA69" s="62"/>
      <c r="SUB69" s="62"/>
      <c r="SUC69" s="62"/>
      <c r="SUD69" s="62"/>
      <c r="SUE69" s="62"/>
      <c r="SUF69" s="62"/>
      <c r="SUG69" s="62"/>
      <c r="SUH69" s="62"/>
      <c r="SUI69" s="62"/>
      <c r="SUJ69" s="62"/>
      <c r="SUK69" s="62"/>
      <c r="SUL69" s="62"/>
      <c r="SUM69" s="62"/>
      <c r="SUN69" s="62"/>
      <c r="SUO69" s="62"/>
      <c r="SUP69" s="62"/>
      <c r="SUQ69" s="62"/>
      <c r="SUR69" s="62"/>
      <c r="SUS69" s="62"/>
      <c r="SUT69" s="62"/>
      <c r="SUU69" s="62"/>
      <c r="SUV69" s="62"/>
      <c r="SUW69" s="62"/>
      <c r="SUX69" s="62"/>
      <c r="SUY69" s="62"/>
      <c r="SUZ69" s="62"/>
      <c r="SVA69" s="62"/>
      <c r="SVB69" s="62"/>
      <c r="SVC69" s="62"/>
      <c r="SVD69" s="62"/>
      <c r="SVE69" s="62"/>
      <c r="SVF69" s="62"/>
      <c r="SVG69" s="62"/>
      <c r="SVH69" s="62"/>
      <c r="SVI69" s="62"/>
      <c r="SVJ69" s="62"/>
      <c r="SVK69" s="62"/>
      <c r="SVL69" s="62"/>
      <c r="SVM69" s="62"/>
      <c r="SVN69" s="62"/>
      <c r="SVO69" s="62"/>
      <c r="SVP69" s="62"/>
      <c r="SVQ69" s="62"/>
      <c r="SVR69" s="62"/>
      <c r="SVS69" s="62"/>
      <c r="SVT69" s="62"/>
      <c r="SVU69" s="62"/>
      <c r="SVV69" s="62"/>
      <c r="SVW69" s="62"/>
      <c r="SVX69" s="62"/>
      <c r="SVY69" s="62"/>
      <c r="SVZ69" s="62"/>
      <c r="SWA69" s="62"/>
      <c r="SWB69" s="62"/>
      <c r="SWC69" s="62"/>
      <c r="SWD69" s="62"/>
      <c r="SWE69" s="62"/>
      <c r="SWF69" s="62"/>
      <c r="SWG69" s="62"/>
      <c r="SWH69" s="62"/>
      <c r="SWI69" s="62"/>
      <c r="SWJ69" s="62"/>
      <c r="SWK69" s="62"/>
      <c r="SWL69" s="62"/>
      <c r="SWM69" s="62"/>
      <c r="SWN69" s="62"/>
      <c r="SWO69" s="62"/>
      <c r="SWP69" s="62"/>
      <c r="SWQ69" s="62"/>
      <c r="SWR69" s="62"/>
      <c r="SWS69" s="62"/>
      <c r="SWT69" s="62"/>
      <c r="SWU69" s="62"/>
      <c r="SWV69" s="62"/>
      <c r="SWW69" s="62"/>
      <c r="SWX69" s="62"/>
      <c r="SWY69" s="62"/>
      <c r="SWZ69" s="62"/>
      <c r="SXA69" s="62"/>
      <c r="SXB69" s="62"/>
      <c r="SXC69" s="62"/>
      <c r="SXD69" s="62"/>
      <c r="SXE69" s="62"/>
      <c r="SXF69" s="62"/>
      <c r="SXG69" s="62"/>
      <c r="SXH69" s="62"/>
      <c r="SXI69" s="62"/>
      <c r="SXJ69" s="62"/>
      <c r="SXK69" s="62"/>
      <c r="SXL69" s="62"/>
      <c r="SXM69" s="62"/>
      <c r="SXN69" s="62"/>
      <c r="SXO69" s="62"/>
      <c r="SXP69" s="62"/>
      <c r="SXQ69" s="62"/>
      <c r="SXR69" s="62"/>
      <c r="SXS69" s="62"/>
      <c r="SXT69" s="62"/>
      <c r="SXU69" s="62"/>
      <c r="SXV69" s="62"/>
      <c r="SXW69" s="62"/>
      <c r="SXX69" s="62"/>
      <c r="SXY69" s="62"/>
      <c r="SXZ69" s="62"/>
      <c r="SYA69" s="62"/>
      <c r="SYB69" s="62"/>
      <c r="SYC69" s="62"/>
      <c r="SYD69" s="62"/>
      <c r="SYE69" s="62"/>
      <c r="SYF69" s="62"/>
      <c r="SYG69" s="62"/>
      <c r="SYH69" s="62"/>
      <c r="SYI69" s="62"/>
      <c r="SYJ69" s="62"/>
      <c r="SYK69" s="62"/>
      <c r="SYL69" s="62"/>
      <c r="SYM69" s="62"/>
      <c r="SYN69" s="62"/>
      <c r="SYO69" s="62"/>
      <c r="SYP69" s="62"/>
      <c r="SYQ69" s="62"/>
      <c r="SYR69" s="62"/>
      <c r="SYS69" s="62"/>
      <c r="SYT69" s="62"/>
      <c r="SYU69" s="62"/>
      <c r="SYV69" s="62"/>
      <c r="SYW69" s="62"/>
      <c r="SYX69" s="62"/>
      <c r="SYY69" s="62"/>
      <c r="SYZ69" s="62"/>
      <c r="SZA69" s="62"/>
      <c r="SZB69" s="62"/>
      <c r="SZC69" s="62"/>
      <c r="SZD69" s="62"/>
      <c r="SZE69" s="62"/>
      <c r="SZF69" s="62"/>
      <c r="SZG69" s="62"/>
      <c r="SZH69" s="62"/>
      <c r="SZI69" s="62"/>
      <c r="SZJ69" s="62"/>
      <c r="SZK69" s="62"/>
      <c r="SZL69" s="62"/>
      <c r="SZM69" s="62"/>
      <c r="SZN69" s="62"/>
      <c r="SZO69" s="62"/>
      <c r="SZP69" s="62"/>
      <c r="SZQ69" s="62"/>
      <c r="SZR69" s="62"/>
      <c r="SZS69" s="62"/>
      <c r="SZT69" s="62"/>
      <c r="SZU69" s="62"/>
      <c r="SZV69" s="62"/>
      <c r="SZW69" s="62"/>
      <c r="SZX69" s="62"/>
      <c r="SZY69" s="62"/>
      <c r="SZZ69" s="62"/>
      <c r="TAA69" s="62"/>
      <c r="TAB69" s="62"/>
      <c r="TAC69" s="62"/>
      <c r="TAD69" s="62"/>
      <c r="TAE69" s="62"/>
      <c r="TAF69" s="62"/>
      <c r="TAG69" s="62"/>
      <c r="TAH69" s="62"/>
      <c r="TAI69" s="62"/>
      <c r="TAJ69" s="62"/>
      <c r="TAK69" s="62"/>
      <c r="TAL69" s="62"/>
      <c r="TAM69" s="62"/>
      <c r="TAN69" s="62"/>
      <c r="TAO69" s="62"/>
      <c r="TAP69" s="62"/>
      <c r="TAQ69" s="62"/>
      <c r="TAR69" s="62"/>
      <c r="TAS69" s="62"/>
      <c r="TAT69" s="62"/>
      <c r="TAU69" s="62"/>
      <c r="TAV69" s="62"/>
      <c r="TAW69" s="62"/>
      <c r="TAX69" s="62"/>
      <c r="TAY69" s="62"/>
      <c r="TAZ69" s="62"/>
      <c r="TBA69" s="62"/>
      <c r="TBB69" s="62"/>
      <c r="TBC69" s="62"/>
      <c r="TBD69" s="62"/>
      <c r="TBE69" s="62"/>
      <c r="TBF69" s="62"/>
      <c r="TBG69" s="62"/>
      <c r="TBH69" s="62"/>
      <c r="TBI69" s="62"/>
      <c r="TBJ69" s="62"/>
      <c r="TBK69" s="62"/>
      <c r="TBL69" s="62"/>
      <c r="TBM69" s="62"/>
      <c r="TBN69" s="62"/>
      <c r="TBO69" s="62"/>
      <c r="TBP69" s="62"/>
      <c r="TBQ69" s="62"/>
      <c r="TBR69" s="62"/>
      <c r="TBS69" s="62"/>
      <c r="TBT69" s="62"/>
      <c r="TBU69" s="62"/>
      <c r="TBV69" s="62"/>
      <c r="TBW69" s="62"/>
      <c r="TBX69" s="62"/>
      <c r="TBY69" s="62"/>
      <c r="TBZ69" s="62"/>
      <c r="TCA69" s="62"/>
      <c r="TCB69" s="62"/>
      <c r="TCC69" s="62"/>
      <c r="TCD69" s="62"/>
      <c r="TCE69" s="62"/>
      <c r="TCF69" s="62"/>
      <c r="TCG69" s="62"/>
      <c r="TCH69" s="62"/>
      <c r="TCI69" s="62"/>
      <c r="TCJ69" s="62"/>
      <c r="TCK69" s="62"/>
      <c r="TCL69" s="62"/>
      <c r="TCM69" s="62"/>
      <c r="TCN69" s="62"/>
      <c r="TCO69" s="62"/>
      <c r="TCP69" s="62"/>
      <c r="TCQ69" s="62"/>
      <c r="TCR69" s="62"/>
      <c r="TCS69" s="62"/>
      <c r="TCT69" s="62"/>
      <c r="TCU69" s="62"/>
      <c r="TCV69" s="62"/>
      <c r="TCW69" s="62"/>
      <c r="TCX69" s="62"/>
      <c r="TCY69" s="62"/>
      <c r="TCZ69" s="62"/>
      <c r="TDA69" s="62"/>
      <c r="TDB69" s="62"/>
      <c r="TDC69" s="62"/>
      <c r="TDD69" s="62"/>
      <c r="TDE69" s="62"/>
      <c r="TDF69" s="62"/>
      <c r="TDG69" s="62"/>
      <c r="TDH69" s="62"/>
      <c r="TDI69" s="62"/>
      <c r="TDJ69" s="62"/>
      <c r="TDK69" s="62"/>
      <c r="TDL69" s="62"/>
      <c r="TDM69" s="62"/>
      <c r="TDN69" s="62"/>
      <c r="TDO69" s="62"/>
      <c r="TDP69" s="62"/>
      <c r="TDQ69" s="62"/>
      <c r="TDR69" s="62"/>
      <c r="TDS69" s="62"/>
      <c r="TDT69" s="62"/>
      <c r="TDU69" s="62"/>
      <c r="TDV69" s="62"/>
      <c r="TDW69" s="62"/>
      <c r="TDX69" s="62"/>
      <c r="TDY69" s="62"/>
      <c r="TDZ69" s="62"/>
      <c r="TEA69" s="62"/>
      <c r="TEB69" s="62"/>
      <c r="TEC69" s="62"/>
      <c r="TED69" s="62"/>
      <c r="TEE69" s="62"/>
      <c r="TEF69" s="62"/>
      <c r="TEG69" s="62"/>
      <c r="TEH69" s="62"/>
      <c r="TEI69" s="62"/>
      <c r="TEJ69" s="62"/>
      <c r="TEK69" s="62"/>
      <c r="TEL69" s="62"/>
      <c r="TEM69" s="62"/>
      <c r="TEN69" s="62"/>
      <c r="TEO69" s="62"/>
      <c r="TEP69" s="62"/>
      <c r="TEQ69" s="62"/>
      <c r="TER69" s="62"/>
      <c r="TES69" s="62"/>
      <c r="TET69" s="62"/>
      <c r="TEU69" s="62"/>
      <c r="TEV69" s="62"/>
      <c r="TEW69" s="62"/>
      <c r="TEX69" s="62"/>
      <c r="TEY69" s="62"/>
      <c r="TEZ69" s="62"/>
      <c r="TFA69" s="62"/>
      <c r="TFB69" s="62"/>
      <c r="TFC69" s="62"/>
      <c r="TFD69" s="62"/>
      <c r="TFE69" s="62"/>
      <c r="TFF69" s="62"/>
      <c r="TFG69" s="62"/>
      <c r="TFH69" s="62"/>
      <c r="TFI69" s="62"/>
      <c r="TFJ69" s="62"/>
      <c r="TFK69" s="62"/>
      <c r="TFL69" s="62"/>
      <c r="TFM69" s="62"/>
      <c r="TFN69" s="62"/>
      <c r="TFO69" s="62"/>
      <c r="TFP69" s="62"/>
      <c r="TFQ69" s="62"/>
      <c r="TFR69" s="62"/>
      <c r="TFS69" s="62"/>
      <c r="TFT69" s="62"/>
      <c r="TFU69" s="62"/>
      <c r="TFV69" s="62"/>
      <c r="TFW69" s="62"/>
      <c r="TFX69" s="62"/>
      <c r="TFY69" s="62"/>
      <c r="TFZ69" s="62"/>
      <c r="TGA69" s="62"/>
      <c r="TGB69" s="62"/>
      <c r="TGC69" s="62"/>
      <c r="TGD69" s="62"/>
      <c r="TGE69" s="62"/>
      <c r="TGF69" s="62"/>
      <c r="TGG69" s="62"/>
      <c r="TGH69" s="62"/>
      <c r="TGI69" s="62"/>
      <c r="TGJ69" s="62"/>
      <c r="TGK69" s="62"/>
      <c r="TGL69" s="62"/>
      <c r="TGM69" s="62"/>
      <c r="TGN69" s="62"/>
      <c r="TGO69" s="62"/>
      <c r="TGP69" s="62"/>
      <c r="TGQ69" s="62"/>
      <c r="TGR69" s="62"/>
      <c r="TGS69" s="62"/>
      <c r="TGT69" s="62"/>
      <c r="TGU69" s="62"/>
      <c r="TGV69" s="62"/>
      <c r="TGW69" s="62"/>
      <c r="TGX69" s="62"/>
      <c r="TGY69" s="62"/>
      <c r="TGZ69" s="62"/>
      <c r="THA69" s="62"/>
      <c r="THB69" s="62"/>
      <c r="THC69" s="62"/>
      <c r="THD69" s="62"/>
      <c r="THE69" s="62"/>
      <c r="THF69" s="62"/>
      <c r="THG69" s="62"/>
      <c r="THH69" s="62"/>
      <c r="THI69" s="62"/>
      <c r="THJ69" s="62"/>
      <c r="THK69" s="62"/>
      <c r="THL69" s="62"/>
      <c r="THM69" s="62"/>
      <c r="THN69" s="62"/>
      <c r="THO69" s="62"/>
      <c r="THP69" s="62"/>
      <c r="THQ69" s="62"/>
      <c r="THR69" s="62"/>
      <c r="THS69" s="62"/>
      <c r="THT69" s="62"/>
      <c r="THU69" s="62"/>
      <c r="THV69" s="62"/>
      <c r="THW69" s="62"/>
      <c r="THX69" s="62"/>
      <c r="THY69" s="62"/>
      <c r="THZ69" s="62"/>
      <c r="TIA69" s="62"/>
      <c r="TIB69" s="62"/>
      <c r="TIC69" s="62"/>
      <c r="TID69" s="62"/>
      <c r="TIE69" s="62"/>
      <c r="TIF69" s="62"/>
      <c r="TIG69" s="62"/>
      <c r="TIH69" s="62"/>
      <c r="TII69" s="62"/>
      <c r="TIJ69" s="62"/>
      <c r="TIK69" s="62"/>
      <c r="TIL69" s="62"/>
      <c r="TIM69" s="62"/>
      <c r="TIN69" s="62"/>
      <c r="TIO69" s="62"/>
      <c r="TIP69" s="62"/>
      <c r="TIQ69" s="62"/>
      <c r="TIR69" s="62"/>
      <c r="TIS69" s="62"/>
      <c r="TIT69" s="62"/>
      <c r="TIU69" s="62"/>
      <c r="TIV69" s="62"/>
      <c r="TIW69" s="62"/>
      <c r="TIX69" s="62"/>
      <c r="TIY69" s="62"/>
      <c r="TIZ69" s="62"/>
      <c r="TJA69" s="62"/>
      <c r="TJB69" s="62"/>
      <c r="TJC69" s="62"/>
      <c r="TJD69" s="62"/>
      <c r="TJE69" s="62"/>
      <c r="TJF69" s="62"/>
      <c r="TJG69" s="62"/>
      <c r="TJH69" s="62"/>
      <c r="TJI69" s="62"/>
      <c r="TJJ69" s="62"/>
      <c r="TJK69" s="62"/>
      <c r="TJL69" s="62"/>
      <c r="TJM69" s="62"/>
      <c r="TJN69" s="62"/>
      <c r="TJO69" s="62"/>
      <c r="TJP69" s="62"/>
      <c r="TJQ69" s="62"/>
      <c r="TJR69" s="62"/>
      <c r="TJS69" s="62"/>
      <c r="TJT69" s="62"/>
      <c r="TJU69" s="62"/>
      <c r="TJV69" s="62"/>
      <c r="TJW69" s="62"/>
      <c r="TJX69" s="62"/>
      <c r="TJY69" s="62"/>
      <c r="TJZ69" s="62"/>
      <c r="TKA69" s="62"/>
      <c r="TKB69" s="62"/>
      <c r="TKC69" s="62"/>
      <c r="TKD69" s="62"/>
      <c r="TKE69" s="62"/>
      <c r="TKF69" s="62"/>
      <c r="TKG69" s="62"/>
      <c r="TKH69" s="62"/>
      <c r="TKI69" s="62"/>
      <c r="TKJ69" s="62"/>
      <c r="TKK69" s="62"/>
      <c r="TKL69" s="62"/>
      <c r="TKM69" s="62"/>
      <c r="TKN69" s="62"/>
      <c r="TKO69" s="62"/>
      <c r="TKP69" s="62"/>
      <c r="TKQ69" s="62"/>
      <c r="TKR69" s="62"/>
      <c r="TKS69" s="62"/>
      <c r="TKT69" s="62"/>
      <c r="TKU69" s="62"/>
      <c r="TKV69" s="62"/>
      <c r="TKW69" s="62"/>
      <c r="TKX69" s="62"/>
      <c r="TKY69" s="62"/>
      <c r="TKZ69" s="62"/>
      <c r="TLA69" s="62"/>
      <c r="TLB69" s="62"/>
      <c r="TLC69" s="62"/>
      <c r="TLD69" s="62"/>
      <c r="TLE69" s="62"/>
      <c r="TLF69" s="62"/>
      <c r="TLG69" s="62"/>
      <c r="TLH69" s="62"/>
      <c r="TLI69" s="62"/>
      <c r="TLJ69" s="62"/>
      <c r="TLK69" s="62"/>
      <c r="TLL69" s="62"/>
      <c r="TLM69" s="62"/>
      <c r="TLN69" s="62"/>
      <c r="TLO69" s="62"/>
      <c r="TLP69" s="62"/>
      <c r="TLQ69" s="62"/>
      <c r="TLR69" s="62"/>
      <c r="TLS69" s="62"/>
      <c r="TLT69" s="62"/>
      <c r="TLU69" s="62"/>
      <c r="TLV69" s="62"/>
      <c r="TLW69" s="62"/>
      <c r="TLX69" s="62"/>
      <c r="TLY69" s="62"/>
      <c r="TLZ69" s="62"/>
      <c r="TMA69" s="62"/>
      <c r="TMB69" s="62"/>
      <c r="TMC69" s="62"/>
      <c r="TMD69" s="62"/>
      <c r="TME69" s="62"/>
      <c r="TMF69" s="62"/>
      <c r="TMG69" s="62"/>
      <c r="TMH69" s="62"/>
      <c r="TMI69" s="62"/>
      <c r="TMJ69" s="62"/>
      <c r="TMK69" s="62"/>
      <c r="TML69" s="62"/>
      <c r="TMM69" s="62"/>
      <c r="TMN69" s="62"/>
      <c r="TMO69" s="62"/>
      <c r="TMP69" s="62"/>
      <c r="TMQ69" s="62"/>
      <c r="TMR69" s="62"/>
      <c r="TMS69" s="62"/>
      <c r="TMT69" s="62"/>
      <c r="TMU69" s="62"/>
      <c r="TMV69" s="62"/>
      <c r="TMW69" s="62"/>
      <c r="TMX69" s="62"/>
      <c r="TMY69" s="62"/>
      <c r="TMZ69" s="62"/>
      <c r="TNA69" s="62"/>
      <c r="TNB69" s="62"/>
      <c r="TNC69" s="62"/>
      <c r="TND69" s="62"/>
      <c r="TNE69" s="62"/>
      <c r="TNF69" s="62"/>
      <c r="TNG69" s="62"/>
      <c r="TNH69" s="62"/>
      <c r="TNI69" s="62"/>
      <c r="TNJ69" s="62"/>
      <c r="TNK69" s="62"/>
      <c r="TNL69" s="62"/>
      <c r="TNM69" s="62"/>
      <c r="TNN69" s="62"/>
      <c r="TNO69" s="62"/>
      <c r="TNP69" s="62"/>
      <c r="TNQ69" s="62"/>
      <c r="TNR69" s="62"/>
      <c r="TNS69" s="62"/>
      <c r="TNT69" s="62"/>
      <c r="TNU69" s="62"/>
      <c r="TNV69" s="62"/>
      <c r="TNW69" s="62"/>
      <c r="TNX69" s="62"/>
      <c r="TNY69" s="62"/>
      <c r="TNZ69" s="62"/>
      <c r="TOA69" s="62"/>
      <c r="TOB69" s="62"/>
      <c r="TOC69" s="62"/>
      <c r="TOD69" s="62"/>
      <c r="TOE69" s="62"/>
      <c r="TOF69" s="62"/>
      <c r="TOG69" s="62"/>
      <c r="TOH69" s="62"/>
      <c r="TOI69" s="62"/>
      <c r="TOJ69" s="62"/>
      <c r="TOK69" s="62"/>
      <c r="TOL69" s="62"/>
      <c r="TOM69" s="62"/>
      <c r="TON69" s="62"/>
      <c r="TOO69" s="62"/>
      <c r="TOP69" s="62"/>
      <c r="TOQ69" s="62"/>
      <c r="TOR69" s="62"/>
      <c r="TOS69" s="62"/>
      <c r="TOT69" s="62"/>
      <c r="TOU69" s="62"/>
      <c r="TOV69" s="62"/>
      <c r="TOW69" s="62"/>
      <c r="TOX69" s="62"/>
      <c r="TOY69" s="62"/>
      <c r="TOZ69" s="62"/>
      <c r="TPA69" s="62"/>
      <c r="TPB69" s="62"/>
      <c r="TPC69" s="62"/>
      <c r="TPD69" s="62"/>
      <c r="TPE69" s="62"/>
      <c r="TPF69" s="62"/>
      <c r="TPG69" s="62"/>
      <c r="TPH69" s="62"/>
      <c r="TPI69" s="62"/>
      <c r="TPJ69" s="62"/>
      <c r="TPK69" s="62"/>
      <c r="TPL69" s="62"/>
      <c r="TPM69" s="62"/>
      <c r="TPN69" s="62"/>
      <c r="TPO69" s="62"/>
      <c r="TPP69" s="62"/>
      <c r="TPQ69" s="62"/>
      <c r="TPR69" s="62"/>
      <c r="TPS69" s="62"/>
      <c r="TPT69" s="62"/>
      <c r="TPU69" s="62"/>
      <c r="TPV69" s="62"/>
      <c r="TPW69" s="62"/>
      <c r="TPX69" s="62"/>
      <c r="TPY69" s="62"/>
      <c r="TPZ69" s="62"/>
      <c r="TQA69" s="62"/>
      <c r="TQB69" s="62"/>
      <c r="TQC69" s="62"/>
      <c r="TQD69" s="62"/>
      <c r="TQE69" s="62"/>
      <c r="TQF69" s="62"/>
      <c r="TQG69" s="62"/>
      <c r="TQH69" s="62"/>
      <c r="TQI69" s="62"/>
      <c r="TQJ69" s="62"/>
      <c r="TQK69" s="62"/>
      <c r="TQL69" s="62"/>
      <c r="TQM69" s="62"/>
      <c r="TQN69" s="62"/>
      <c r="TQO69" s="62"/>
      <c r="TQP69" s="62"/>
      <c r="TQQ69" s="62"/>
      <c r="TQR69" s="62"/>
      <c r="TQS69" s="62"/>
      <c r="TQT69" s="62"/>
      <c r="TQU69" s="62"/>
      <c r="TQV69" s="62"/>
      <c r="TQW69" s="62"/>
      <c r="TQX69" s="62"/>
      <c r="TQY69" s="62"/>
      <c r="TQZ69" s="62"/>
      <c r="TRA69" s="62"/>
      <c r="TRB69" s="62"/>
      <c r="TRC69" s="62"/>
      <c r="TRD69" s="62"/>
      <c r="TRE69" s="62"/>
      <c r="TRF69" s="62"/>
      <c r="TRG69" s="62"/>
      <c r="TRH69" s="62"/>
      <c r="TRI69" s="62"/>
      <c r="TRJ69" s="62"/>
      <c r="TRK69" s="62"/>
      <c r="TRL69" s="62"/>
      <c r="TRM69" s="62"/>
      <c r="TRN69" s="62"/>
      <c r="TRO69" s="62"/>
      <c r="TRP69" s="62"/>
      <c r="TRQ69" s="62"/>
      <c r="TRR69" s="62"/>
      <c r="TRS69" s="62"/>
      <c r="TRT69" s="62"/>
      <c r="TRU69" s="62"/>
      <c r="TRV69" s="62"/>
      <c r="TRW69" s="62"/>
      <c r="TRX69" s="62"/>
      <c r="TRY69" s="62"/>
      <c r="TRZ69" s="62"/>
      <c r="TSA69" s="62"/>
      <c r="TSB69" s="62"/>
      <c r="TSC69" s="62"/>
      <c r="TSD69" s="62"/>
      <c r="TSE69" s="62"/>
      <c r="TSF69" s="62"/>
      <c r="TSG69" s="62"/>
      <c r="TSH69" s="62"/>
      <c r="TSI69" s="62"/>
      <c r="TSJ69" s="62"/>
      <c r="TSK69" s="62"/>
      <c r="TSL69" s="62"/>
      <c r="TSM69" s="62"/>
      <c r="TSN69" s="62"/>
      <c r="TSO69" s="62"/>
      <c r="TSP69" s="62"/>
      <c r="TSQ69" s="62"/>
      <c r="TSR69" s="62"/>
      <c r="TSS69" s="62"/>
      <c r="TST69" s="62"/>
      <c r="TSU69" s="62"/>
      <c r="TSV69" s="62"/>
      <c r="TSW69" s="62"/>
      <c r="TSX69" s="62"/>
      <c r="TSY69" s="62"/>
      <c r="TSZ69" s="62"/>
      <c r="TTA69" s="62"/>
      <c r="TTB69" s="62"/>
      <c r="TTC69" s="62"/>
      <c r="TTD69" s="62"/>
      <c r="TTE69" s="62"/>
      <c r="TTF69" s="62"/>
      <c r="TTG69" s="62"/>
      <c r="TTH69" s="62"/>
      <c r="TTI69" s="62"/>
      <c r="TTJ69" s="62"/>
      <c r="TTK69" s="62"/>
      <c r="TTL69" s="62"/>
      <c r="TTM69" s="62"/>
      <c r="TTN69" s="62"/>
      <c r="TTO69" s="62"/>
      <c r="TTP69" s="62"/>
      <c r="TTQ69" s="62"/>
      <c r="TTR69" s="62"/>
      <c r="TTS69" s="62"/>
      <c r="TTT69" s="62"/>
      <c r="TTU69" s="62"/>
      <c r="TTV69" s="62"/>
      <c r="TTW69" s="62"/>
      <c r="TTX69" s="62"/>
      <c r="TTY69" s="62"/>
      <c r="TTZ69" s="62"/>
      <c r="TUA69" s="62"/>
      <c r="TUB69" s="62"/>
      <c r="TUC69" s="62"/>
      <c r="TUD69" s="62"/>
      <c r="TUE69" s="62"/>
      <c r="TUF69" s="62"/>
      <c r="TUG69" s="62"/>
      <c r="TUH69" s="62"/>
      <c r="TUI69" s="62"/>
      <c r="TUJ69" s="62"/>
      <c r="TUK69" s="62"/>
      <c r="TUL69" s="62"/>
      <c r="TUM69" s="62"/>
      <c r="TUN69" s="62"/>
      <c r="TUO69" s="62"/>
      <c r="TUP69" s="62"/>
      <c r="TUQ69" s="62"/>
      <c r="TUR69" s="62"/>
      <c r="TUS69" s="62"/>
      <c r="TUT69" s="62"/>
      <c r="TUU69" s="62"/>
      <c r="TUV69" s="62"/>
      <c r="TUW69" s="62"/>
      <c r="TUX69" s="62"/>
      <c r="TUY69" s="62"/>
      <c r="TUZ69" s="62"/>
      <c r="TVA69" s="62"/>
      <c r="TVB69" s="62"/>
      <c r="TVC69" s="62"/>
      <c r="TVD69" s="62"/>
      <c r="TVE69" s="62"/>
      <c r="TVF69" s="62"/>
      <c r="TVG69" s="62"/>
      <c r="TVH69" s="62"/>
      <c r="TVI69" s="62"/>
      <c r="TVJ69" s="62"/>
      <c r="TVK69" s="62"/>
      <c r="TVL69" s="62"/>
      <c r="TVM69" s="62"/>
      <c r="TVN69" s="62"/>
      <c r="TVO69" s="62"/>
      <c r="TVP69" s="62"/>
      <c r="TVQ69" s="62"/>
      <c r="TVR69" s="62"/>
      <c r="TVS69" s="62"/>
      <c r="TVT69" s="62"/>
      <c r="TVU69" s="62"/>
      <c r="TVV69" s="62"/>
      <c r="TVW69" s="62"/>
      <c r="TVX69" s="62"/>
      <c r="TVY69" s="62"/>
      <c r="TVZ69" s="62"/>
      <c r="TWA69" s="62"/>
      <c r="TWB69" s="62"/>
      <c r="TWC69" s="62"/>
      <c r="TWD69" s="62"/>
      <c r="TWE69" s="62"/>
      <c r="TWF69" s="62"/>
      <c r="TWG69" s="62"/>
      <c r="TWH69" s="62"/>
      <c r="TWI69" s="62"/>
      <c r="TWJ69" s="62"/>
      <c r="TWK69" s="62"/>
      <c r="TWL69" s="62"/>
      <c r="TWM69" s="62"/>
      <c r="TWN69" s="62"/>
      <c r="TWO69" s="62"/>
      <c r="TWP69" s="62"/>
      <c r="TWQ69" s="62"/>
      <c r="TWR69" s="62"/>
      <c r="TWS69" s="62"/>
      <c r="TWT69" s="62"/>
      <c r="TWU69" s="62"/>
      <c r="TWV69" s="62"/>
      <c r="TWW69" s="62"/>
      <c r="TWX69" s="62"/>
      <c r="TWY69" s="62"/>
      <c r="TWZ69" s="62"/>
      <c r="TXA69" s="62"/>
      <c r="TXB69" s="62"/>
      <c r="TXC69" s="62"/>
      <c r="TXD69" s="62"/>
      <c r="TXE69" s="62"/>
      <c r="TXF69" s="62"/>
      <c r="TXG69" s="62"/>
      <c r="TXH69" s="62"/>
      <c r="TXI69" s="62"/>
      <c r="TXJ69" s="62"/>
      <c r="TXK69" s="62"/>
      <c r="TXL69" s="62"/>
      <c r="TXM69" s="62"/>
      <c r="TXN69" s="62"/>
      <c r="TXO69" s="62"/>
      <c r="TXP69" s="62"/>
      <c r="TXQ69" s="62"/>
      <c r="TXR69" s="62"/>
      <c r="TXS69" s="62"/>
      <c r="TXT69" s="62"/>
      <c r="TXU69" s="62"/>
      <c r="TXV69" s="62"/>
      <c r="TXW69" s="62"/>
      <c r="TXX69" s="62"/>
      <c r="TXY69" s="62"/>
      <c r="TXZ69" s="62"/>
      <c r="TYA69" s="62"/>
      <c r="TYB69" s="62"/>
      <c r="TYC69" s="62"/>
      <c r="TYD69" s="62"/>
      <c r="TYE69" s="62"/>
      <c r="TYF69" s="62"/>
      <c r="TYG69" s="62"/>
      <c r="TYH69" s="62"/>
      <c r="TYI69" s="62"/>
      <c r="TYJ69" s="62"/>
      <c r="TYK69" s="62"/>
      <c r="TYL69" s="62"/>
      <c r="TYM69" s="62"/>
      <c r="TYN69" s="62"/>
      <c r="TYO69" s="62"/>
      <c r="TYP69" s="62"/>
      <c r="TYQ69" s="62"/>
      <c r="TYR69" s="62"/>
      <c r="TYS69" s="62"/>
      <c r="TYT69" s="62"/>
      <c r="TYU69" s="62"/>
      <c r="TYV69" s="62"/>
      <c r="TYW69" s="62"/>
      <c r="TYX69" s="62"/>
      <c r="TYY69" s="62"/>
      <c r="TYZ69" s="62"/>
      <c r="TZA69" s="62"/>
      <c r="TZB69" s="62"/>
      <c r="TZC69" s="62"/>
      <c r="TZD69" s="62"/>
      <c r="TZE69" s="62"/>
      <c r="TZF69" s="62"/>
      <c r="TZG69" s="62"/>
      <c r="TZH69" s="62"/>
      <c r="TZI69" s="62"/>
      <c r="TZJ69" s="62"/>
      <c r="TZK69" s="62"/>
      <c r="TZL69" s="62"/>
      <c r="TZM69" s="62"/>
      <c r="TZN69" s="62"/>
      <c r="TZO69" s="62"/>
      <c r="TZP69" s="62"/>
      <c r="TZQ69" s="62"/>
      <c r="TZR69" s="62"/>
      <c r="TZS69" s="62"/>
      <c r="TZT69" s="62"/>
      <c r="TZU69" s="62"/>
      <c r="TZV69" s="62"/>
      <c r="TZW69" s="62"/>
      <c r="TZX69" s="62"/>
      <c r="TZY69" s="62"/>
      <c r="TZZ69" s="62"/>
      <c r="UAA69" s="62"/>
      <c r="UAB69" s="62"/>
      <c r="UAC69" s="62"/>
      <c r="UAD69" s="62"/>
      <c r="UAE69" s="62"/>
      <c r="UAF69" s="62"/>
      <c r="UAG69" s="62"/>
      <c r="UAH69" s="62"/>
      <c r="UAI69" s="62"/>
      <c r="UAJ69" s="62"/>
      <c r="UAK69" s="62"/>
      <c r="UAL69" s="62"/>
      <c r="UAM69" s="62"/>
      <c r="UAN69" s="62"/>
      <c r="UAO69" s="62"/>
      <c r="UAP69" s="62"/>
      <c r="UAQ69" s="62"/>
      <c r="UAR69" s="62"/>
      <c r="UAS69" s="62"/>
      <c r="UAT69" s="62"/>
      <c r="UAU69" s="62"/>
      <c r="UAV69" s="62"/>
      <c r="UAW69" s="62"/>
      <c r="UAX69" s="62"/>
      <c r="UAY69" s="62"/>
      <c r="UAZ69" s="62"/>
      <c r="UBA69" s="62"/>
      <c r="UBB69" s="62"/>
      <c r="UBC69" s="62"/>
      <c r="UBD69" s="62"/>
      <c r="UBE69" s="62"/>
      <c r="UBF69" s="62"/>
      <c r="UBG69" s="62"/>
      <c r="UBH69" s="62"/>
      <c r="UBI69" s="62"/>
      <c r="UBJ69" s="62"/>
      <c r="UBK69" s="62"/>
      <c r="UBL69" s="62"/>
      <c r="UBM69" s="62"/>
      <c r="UBN69" s="62"/>
      <c r="UBO69" s="62"/>
      <c r="UBP69" s="62"/>
      <c r="UBQ69" s="62"/>
      <c r="UBR69" s="62"/>
      <c r="UBS69" s="62"/>
      <c r="UBT69" s="62"/>
      <c r="UBU69" s="62"/>
      <c r="UBV69" s="62"/>
      <c r="UBW69" s="62"/>
      <c r="UBX69" s="62"/>
      <c r="UBY69" s="62"/>
      <c r="UBZ69" s="62"/>
      <c r="UCA69" s="62"/>
      <c r="UCB69" s="62"/>
      <c r="UCC69" s="62"/>
      <c r="UCD69" s="62"/>
      <c r="UCE69" s="62"/>
      <c r="UCF69" s="62"/>
      <c r="UCG69" s="62"/>
      <c r="UCH69" s="62"/>
      <c r="UCI69" s="62"/>
      <c r="UCJ69" s="62"/>
      <c r="UCK69" s="62"/>
      <c r="UCL69" s="62"/>
      <c r="UCM69" s="62"/>
      <c r="UCN69" s="62"/>
      <c r="UCO69" s="62"/>
      <c r="UCP69" s="62"/>
      <c r="UCQ69" s="62"/>
      <c r="UCR69" s="62"/>
      <c r="UCS69" s="62"/>
      <c r="UCT69" s="62"/>
      <c r="UCU69" s="62"/>
      <c r="UCV69" s="62"/>
      <c r="UCW69" s="62"/>
      <c r="UCX69" s="62"/>
      <c r="UCY69" s="62"/>
      <c r="UCZ69" s="62"/>
      <c r="UDA69" s="62"/>
      <c r="UDB69" s="62"/>
      <c r="UDC69" s="62"/>
      <c r="UDD69" s="62"/>
      <c r="UDE69" s="62"/>
      <c r="UDF69" s="62"/>
      <c r="UDG69" s="62"/>
      <c r="UDH69" s="62"/>
      <c r="UDI69" s="62"/>
      <c r="UDJ69" s="62"/>
      <c r="UDK69" s="62"/>
      <c r="UDL69" s="62"/>
      <c r="UDM69" s="62"/>
      <c r="UDN69" s="62"/>
      <c r="UDO69" s="62"/>
      <c r="UDP69" s="62"/>
      <c r="UDQ69" s="62"/>
      <c r="UDR69" s="62"/>
      <c r="UDS69" s="62"/>
      <c r="UDT69" s="62"/>
      <c r="UDU69" s="62"/>
      <c r="UDV69" s="62"/>
      <c r="UDW69" s="62"/>
      <c r="UDX69" s="62"/>
      <c r="UDY69" s="62"/>
      <c r="UDZ69" s="62"/>
      <c r="UEA69" s="62"/>
      <c r="UEB69" s="62"/>
      <c r="UEC69" s="62"/>
      <c r="UED69" s="62"/>
      <c r="UEE69" s="62"/>
      <c r="UEF69" s="62"/>
      <c r="UEG69" s="62"/>
      <c r="UEH69" s="62"/>
      <c r="UEI69" s="62"/>
      <c r="UEJ69" s="62"/>
      <c r="UEK69" s="62"/>
      <c r="UEL69" s="62"/>
      <c r="UEM69" s="62"/>
      <c r="UEN69" s="62"/>
      <c r="UEO69" s="62"/>
      <c r="UEP69" s="62"/>
      <c r="UEQ69" s="62"/>
      <c r="UER69" s="62"/>
      <c r="UES69" s="62"/>
      <c r="UET69" s="62"/>
      <c r="UEU69" s="62"/>
      <c r="UEV69" s="62"/>
      <c r="UEW69" s="62"/>
      <c r="UEX69" s="62"/>
      <c r="UEY69" s="62"/>
      <c r="UEZ69" s="62"/>
      <c r="UFA69" s="62"/>
      <c r="UFB69" s="62"/>
      <c r="UFC69" s="62"/>
      <c r="UFD69" s="62"/>
      <c r="UFE69" s="62"/>
      <c r="UFF69" s="62"/>
      <c r="UFG69" s="62"/>
      <c r="UFH69" s="62"/>
      <c r="UFI69" s="62"/>
      <c r="UFJ69" s="62"/>
      <c r="UFK69" s="62"/>
      <c r="UFL69" s="62"/>
      <c r="UFM69" s="62"/>
      <c r="UFN69" s="62"/>
      <c r="UFO69" s="62"/>
      <c r="UFP69" s="62"/>
      <c r="UFQ69" s="62"/>
      <c r="UFR69" s="62"/>
      <c r="UFS69" s="62"/>
      <c r="UFT69" s="62"/>
      <c r="UFU69" s="62"/>
      <c r="UFV69" s="62"/>
      <c r="UFW69" s="62"/>
      <c r="UFX69" s="62"/>
      <c r="UFY69" s="62"/>
      <c r="UFZ69" s="62"/>
      <c r="UGA69" s="62"/>
      <c r="UGB69" s="62"/>
      <c r="UGC69" s="62"/>
      <c r="UGD69" s="62"/>
      <c r="UGE69" s="62"/>
      <c r="UGF69" s="62"/>
      <c r="UGG69" s="62"/>
      <c r="UGH69" s="62"/>
      <c r="UGI69" s="62"/>
      <c r="UGJ69" s="62"/>
      <c r="UGK69" s="62"/>
      <c r="UGL69" s="62"/>
      <c r="UGM69" s="62"/>
      <c r="UGN69" s="62"/>
      <c r="UGO69" s="62"/>
      <c r="UGP69" s="62"/>
      <c r="UGQ69" s="62"/>
      <c r="UGR69" s="62"/>
      <c r="UGS69" s="62"/>
      <c r="UGT69" s="62"/>
      <c r="UGU69" s="62"/>
      <c r="UGV69" s="62"/>
      <c r="UGW69" s="62"/>
      <c r="UGX69" s="62"/>
      <c r="UGY69" s="62"/>
      <c r="UGZ69" s="62"/>
      <c r="UHA69" s="62"/>
      <c r="UHB69" s="62"/>
      <c r="UHC69" s="62"/>
      <c r="UHD69" s="62"/>
      <c r="UHE69" s="62"/>
      <c r="UHF69" s="62"/>
      <c r="UHG69" s="62"/>
      <c r="UHH69" s="62"/>
      <c r="UHI69" s="62"/>
      <c r="UHJ69" s="62"/>
      <c r="UHK69" s="62"/>
      <c r="UHL69" s="62"/>
      <c r="UHM69" s="62"/>
      <c r="UHN69" s="62"/>
      <c r="UHO69" s="62"/>
      <c r="UHP69" s="62"/>
      <c r="UHQ69" s="62"/>
      <c r="UHR69" s="62"/>
      <c r="UHS69" s="62"/>
      <c r="UHT69" s="62"/>
      <c r="UHU69" s="62"/>
      <c r="UHV69" s="62"/>
      <c r="UHW69" s="62"/>
      <c r="UHX69" s="62"/>
      <c r="UHY69" s="62"/>
      <c r="UHZ69" s="62"/>
      <c r="UIA69" s="62"/>
      <c r="UIB69" s="62"/>
      <c r="UIC69" s="62"/>
      <c r="UID69" s="62"/>
      <c r="UIE69" s="62"/>
      <c r="UIF69" s="62"/>
      <c r="UIG69" s="62"/>
      <c r="UIH69" s="62"/>
      <c r="UII69" s="62"/>
      <c r="UIJ69" s="62"/>
      <c r="UIK69" s="62"/>
      <c r="UIL69" s="62"/>
      <c r="UIM69" s="62"/>
      <c r="UIN69" s="62"/>
      <c r="UIO69" s="62"/>
      <c r="UIP69" s="62"/>
      <c r="UIQ69" s="62"/>
      <c r="UIR69" s="62"/>
      <c r="UIS69" s="62"/>
      <c r="UIT69" s="62"/>
      <c r="UIU69" s="62"/>
      <c r="UIV69" s="62"/>
      <c r="UIW69" s="62"/>
      <c r="UIX69" s="62"/>
      <c r="UIY69" s="62"/>
      <c r="UIZ69" s="62"/>
      <c r="UJA69" s="62"/>
      <c r="UJB69" s="62"/>
      <c r="UJC69" s="62"/>
      <c r="UJD69" s="62"/>
      <c r="UJE69" s="62"/>
      <c r="UJF69" s="62"/>
      <c r="UJG69" s="62"/>
      <c r="UJH69" s="62"/>
      <c r="UJI69" s="62"/>
      <c r="UJJ69" s="62"/>
      <c r="UJK69" s="62"/>
      <c r="UJL69" s="62"/>
      <c r="UJM69" s="62"/>
      <c r="UJN69" s="62"/>
      <c r="UJO69" s="62"/>
      <c r="UJP69" s="62"/>
      <c r="UJQ69" s="62"/>
      <c r="UJR69" s="62"/>
      <c r="UJS69" s="62"/>
      <c r="UJT69" s="62"/>
      <c r="UJU69" s="62"/>
      <c r="UJV69" s="62"/>
      <c r="UJW69" s="62"/>
      <c r="UJX69" s="62"/>
      <c r="UJY69" s="62"/>
      <c r="UJZ69" s="62"/>
      <c r="UKA69" s="62"/>
      <c r="UKB69" s="62"/>
      <c r="UKC69" s="62"/>
      <c r="UKD69" s="62"/>
      <c r="UKE69" s="62"/>
      <c r="UKF69" s="62"/>
      <c r="UKG69" s="62"/>
      <c r="UKH69" s="62"/>
      <c r="UKI69" s="62"/>
      <c r="UKJ69" s="62"/>
      <c r="UKK69" s="62"/>
      <c r="UKL69" s="62"/>
      <c r="UKM69" s="62"/>
      <c r="UKN69" s="62"/>
      <c r="UKO69" s="62"/>
      <c r="UKP69" s="62"/>
      <c r="UKQ69" s="62"/>
      <c r="UKR69" s="62"/>
      <c r="UKS69" s="62"/>
      <c r="UKT69" s="62"/>
      <c r="UKU69" s="62"/>
      <c r="UKV69" s="62"/>
      <c r="UKW69" s="62"/>
      <c r="UKX69" s="62"/>
      <c r="UKY69" s="62"/>
      <c r="UKZ69" s="62"/>
      <c r="ULA69" s="62"/>
      <c r="ULB69" s="62"/>
      <c r="ULC69" s="62"/>
      <c r="ULD69" s="62"/>
      <c r="ULE69" s="62"/>
      <c r="ULF69" s="62"/>
      <c r="ULG69" s="62"/>
      <c r="ULH69" s="62"/>
      <c r="ULI69" s="62"/>
      <c r="ULJ69" s="62"/>
      <c r="ULK69" s="62"/>
      <c r="ULL69" s="62"/>
      <c r="ULM69" s="62"/>
      <c r="ULN69" s="62"/>
      <c r="ULO69" s="62"/>
      <c r="ULP69" s="62"/>
      <c r="ULQ69" s="62"/>
      <c r="ULR69" s="62"/>
      <c r="ULS69" s="62"/>
      <c r="ULT69" s="62"/>
      <c r="ULU69" s="62"/>
      <c r="ULV69" s="62"/>
      <c r="ULW69" s="62"/>
      <c r="ULX69" s="62"/>
      <c r="ULY69" s="62"/>
      <c r="ULZ69" s="62"/>
      <c r="UMA69" s="62"/>
      <c r="UMB69" s="62"/>
      <c r="UMC69" s="62"/>
      <c r="UMD69" s="62"/>
      <c r="UME69" s="62"/>
      <c r="UMF69" s="62"/>
      <c r="UMG69" s="62"/>
      <c r="UMH69" s="62"/>
      <c r="UMI69" s="62"/>
      <c r="UMJ69" s="62"/>
      <c r="UMK69" s="62"/>
      <c r="UML69" s="62"/>
      <c r="UMM69" s="62"/>
      <c r="UMN69" s="62"/>
      <c r="UMO69" s="62"/>
      <c r="UMP69" s="62"/>
      <c r="UMQ69" s="62"/>
      <c r="UMR69" s="62"/>
      <c r="UMS69" s="62"/>
      <c r="UMT69" s="62"/>
      <c r="UMU69" s="62"/>
      <c r="UMV69" s="62"/>
      <c r="UMW69" s="62"/>
      <c r="UMX69" s="62"/>
      <c r="UMY69" s="62"/>
      <c r="UMZ69" s="62"/>
      <c r="UNA69" s="62"/>
      <c r="UNB69" s="62"/>
      <c r="UNC69" s="62"/>
      <c r="UND69" s="62"/>
      <c r="UNE69" s="62"/>
      <c r="UNF69" s="62"/>
      <c r="UNG69" s="62"/>
      <c r="UNH69" s="62"/>
      <c r="UNI69" s="62"/>
      <c r="UNJ69" s="62"/>
      <c r="UNK69" s="62"/>
      <c r="UNL69" s="62"/>
      <c r="UNM69" s="62"/>
      <c r="UNN69" s="62"/>
      <c r="UNO69" s="62"/>
      <c r="UNP69" s="62"/>
      <c r="UNQ69" s="62"/>
      <c r="UNR69" s="62"/>
      <c r="UNS69" s="62"/>
      <c r="UNT69" s="62"/>
      <c r="UNU69" s="62"/>
      <c r="UNV69" s="62"/>
      <c r="UNW69" s="62"/>
      <c r="UNX69" s="62"/>
      <c r="UNY69" s="62"/>
      <c r="UNZ69" s="62"/>
      <c r="UOA69" s="62"/>
      <c r="UOB69" s="62"/>
      <c r="UOC69" s="62"/>
      <c r="UOD69" s="62"/>
      <c r="UOE69" s="62"/>
      <c r="UOF69" s="62"/>
      <c r="UOG69" s="62"/>
      <c r="UOH69" s="62"/>
      <c r="UOI69" s="62"/>
      <c r="UOJ69" s="62"/>
      <c r="UOK69" s="62"/>
      <c r="UOL69" s="62"/>
      <c r="UOM69" s="62"/>
      <c r="UON69" s="62"/>
      <c r="UOO69" s="62"/>
      <c r="UOP69" s="62"/>
      <c r="UOQ69" s="62"/>
      <c r="UOR69" s="62"/>
      <c r="UOS69" s="62"/>
      <c r="UOT69" s="62"/>
      <c r="UOU69" s="62"/>
      <c r="UOV69" s="62"/>
      <c r="UOW69" s="62"/>
      <c r="UOX69" s="62"/>
      <c r="UOY69" s="62"/>
      <c r="UOZ69" s="62"/>
      <c r="UPA69" s="62"/>
      <c r="UPB69" s="62"/>
      <c r="UPC69" s="62"/>
      <c r="UPD69" s="62"/>
      <c r="UPE69" s="62"/>
      <c r="UPF69" s="62"/>
      <c r="UPG69" s="62"/>
      <c r="UPH69" s="62"/>
      <c r="UPI69" s="62"/>
      <c r="UPJ69" s="62"/>
      <c r="UPK69" s="62"/>
      <c r="UPL69" s="62"/>
      <c r="UPM69" s="62"/>
      <c r="UPN69" s="62"/>
      <c r="UPO69" s="62"/>
      <c r="UPP69" s="62"/>
      <c r="UPQ69" s="62"/>
      <c r="UPR69" s="62"/>
      <c r="UPS69" s="62"/>
      <c r="UPT69" s="62"/>
      <c r="UPU69" s="62"/>
      <c r="UPV69" s="62"/>
      <c r="UPW69" s="62"/>
      <c r="UPX69" s="62"/>
      <c r="UPY69" s="62"/>
      <c r="UPZ69" s="62"/>
      <c r="UQA69" s="62"/>
      <c r="UQB69" s="62"/>
      <c r="UQC69" s="62"/>
      <c r="UQD69" s="62"/>
      <c r="UQE69" s="62"/>
      <c r="UQF69" s="62"/>
      <c r="UQG69" s="62"/>
      <c r="UQH69" s="62"/>
      <c r="UQI69" s="62"/>
      <c r="UQJ69" s="62"/>
      <c r="UQK69" s="62"/>
      <c r="UQL69" s="62"/>
      <c r="UQM69" s="62"/>
      <c r="UQN69" s="62"/>
      <c r="UQO69" s="62"/>
      <c r="UQP69" s="62"/>
      <c r="UQQ69" s="62"/>
      <c r="UQR69" s="62"/>
      <c r="UQS69" s="62"/>
      <c r="UQT69" s="62"/>
      <c r="UQU69" s="62"/>
      <c r="UQV69" s="62"/>
      <c r="UQW69" s="62"/>
      <c r="UQX69" s="62"/>
      <c r="UQY69" s="62"/>
      <c r="UQZ69" s="62"/>
      <c r="URA69" s="62"/>
      <c r="URB69" s="62"/>
      <c r="URC69" s="62"/>
      <c r="URD69" s="62"/>
      <c r="URE69" s="62"/>
      <c r="URF69" s="62"/>
      <c r="URG69" s="62"/>
      <c r="URH69" s="62"/>
      <c r="URI69" s="62"/>
      <c r="URJ69" s="62"/>
      <c r="URK69" s="62"/>
      <c r="URL69" s="62"/>
      <c r="URM69" s="62"/>
      <c r="URN69" s="62"/>
      <c r="URO69" s="62"/>
      <c r="URP69" s="62"/>
      <c r="URQ69" s="62"/>
      <c r="URR69" s="62"/>
      <c r="URS69" s="62"/>
      <c r="URT69" s="62"/>
      <c r="URU69" s="62"/>
      <c r="URV69" s="62"/>
      <c r="URW69" s="62"/>
      <c r="URX69" s="62"/>
      <c r="URY69" s="62"/>
      <c r="URZ69" s="62"/>
      <c r="USA69" s="62"/>
      <c r="USB69" s="62"/>
      <c r="USC69" s="62"/>
      <c r="USD69" s="62"/>
      <c r="USE69" s="62"/>
      <c r="USF69" s="62"/>
      <c r="USG69" s="62"/>
      <c r="USH69" s="62"/>
      <c r="USI69" s="62"/>
      <c r="USJ69" s="62"/>
      <c r="USK69" s="62"/>
      <c r="USL69" s="62"/>
      <c r="USM69" s="62"/>
      <c r="USN69" s="62"/>
      <c r="USO69" s="62"/>
      <c r="USP69" s="62"/>
      <c r="USQ69" s="62"/>
      <c r="USR69" s="62"/>
      <c r="USS69" s="62"/>
      <c r="UST69" s="62"/>
      <c r="USU69" s="62"/>
      <c r="USV69" s="62"/>
      <c r="USW69" s="62"/>
      <c r="USX69" s="62"/>
      <c r="USY69" s="62"/>
      <c r="USZ69" s="62"/>
      <c r="UTA69" s="62"/>
      <c r="UTB69" s="62"/>
      <c r="UTC69" s="62"/>
      <c r="UTD69" s="62"/>
      <c r="UTE69" s="62"/>
      <c r="UTF69" s="62"/>
      <c r="UTG69" s="62"/>
      <c r="UTH69" s="62"/>
      <c r="UTI69" s="62"/>
      <c r="UTJ69" s="62"/>
      <c r="UTK69" s="62"/>
      <c r="UTL69" s="62"/>
      <c r="UTM69" s="62"/>
      <c r="UTN69" s="62"/>
      <c r="UTO69" s="62"/>
      <c r="UTP69" s="62"/>
      <c r="UTQ69" s="62"/>
      <c r="UTR69" s="62"/>
      <c r="UTS69" s="62"/>
      <c r="UTT69" s="62"/>
      <c r="UTU69" s="62"/>
      <c r="UTV69" s="62"/>
      <c r="UTW69" s="62"/>
      <c r="UTX69" s="62"/>
      <c r="UTY69" s="62"/>
      <c r="UTZ69" s="62"/>
      <c r="UUA69" s="62"/>
      <c r="UUB69" s="62"/>
      <c r="UUC69" s="62"/>
      <c r="UUD69" s="62"/>
      <c r="UUE69" s="62"/>
      <c r="UUF69" s="62"/>
      <c r="UUG69" s="62"/>
      <c r="UUH69" s="62"/>
      <c r="UUI69" s="62"/>
      <c r="UUJ69" s="62"/>
      <c r="UUK69" s="62"/>
      <c r="UUL69" s="62"/>
      <c r="UUM69" s="62"/>
      <c r="UUN69" s="62"/>
      <c r="UUO69" s="62"/>
      <c r="UUP69" s="62"/>
      <c r="UUQ69" s="62"/>
      <c r="UUR69" s="62"/>
      <c r="UUS69" s="62"/>
      <c r="UUT69" s="62"/>
      <c r="UUU69" s="62"/>
      <c r="UUV69" s="62"/>
      <c r="UUW69" s="62"/>
      <c r="UUX69" s="62"/>
      <c r="UUY69" s="62"/>
      <c r="UUZ69" s="62"/>
      <c r="UVA69" s="62"/>
      <c r="UVB69" s="62"/>
      <c r="UVC69" s="62"/>
      <c r="UVD69" s="62"/>
      <c r="UVE69" s="62"/>
      <c r="UVF69" s="62"/>
      <c r="UVG69" s="62"/>
      <c r="UVH69" s="62"/>
      <c r="UVI69" s="62"/>
      <c r="UVJ69" s="62"/>
      <c r="UVK69" s="62"/>
      <c r="UVL69" s="62"/>
      <c r="UVM69" s="62"/>
      <c r="UVN69" s="62"/>
      <c r="UVO69" s="62"/>
      <c r="UVP69" s="62"/>
      <c r="UVQ69" s="62"/>
      <c r="UVR69" s="62"/>
      <c r="UVS69" s="62"/>
      <c r="UVT69" s="62"/>
      <c r="UVU69" s="62"/>
      <c r="UVV69" s="62"/>
      <c r="UVW69" s="62"/>
      <c r="UVX69" s="62"/>
      <c r="UVY69" s="62"/>
      <c r="UVZ69" s="62"/>
      <c r="UWA69" s="62"/>
      <c r="UWB69" s="62"/>
      <c r="UWC69" s="62"/>
      <c r="UWD69" s="62"/>
      <c r="UWE69" s="62"/>
      <c r="UWF69" s="62"/>
      <c r="UWG69" s="62"/>
      <c r="UWH69" s="62"/>
      <c r="UWI69" s="62"/>
      <c r="UWJ69" s="62"/>
      <c r="UWK69" s="62"/>
      <c r="UWL69" s="62"/>
      <c r="UWM69" s="62"/>
      <c r="UWN69" s="62"/>
      <c r="UWO69" s="62"/>
      <c r="UWP69" s="62"/>
      <c r="UWQ69" s="62"/>
      <c r="UWR69" s="62"/>
      <c r="UWS69" s="62"/>
      <c r="UWT69" s="62"/>
      <c r="UWU69" s="62"/>
      <c r="UWV69" s="62"/>
      <c r="UWW69" s="62"/>
      <c r="UWX69" s="62"/>
      <c r="UWY69" s="62"/>
      <c r="UWZ69" s="62"/>
      <c r="UXA69" s="62"/>
      <c r="UXB69" s="62"/>
      <c r="UXC69" s="62"/>
      <c r="UXD69" s="62"/>
      <c r="UXE69" s="62"/>
      <c r="UXF69" s="62"/>
      <c r="UXG69" s="62"/>
      <c r="UXH69" s="62"/>
      <c r="UXI69" s="62"/>
      <c r="UXJ69" s="62"/>
      <c r="UXK69" s="62"/>
      <c r="UXL69" s="62"/>
      <c r="UXM69" s="62"/>
      <c r="UXN69" s="62"/>
      <c r="UXO69" s="62"/>
      <c r="UXP69" s="62"/>
      <c r="UXQ69" s="62"/>
      <c r="UXR69" s="62"/>
      <c r="UXS69" s="62"/>
      <c r="UXT69" s="62"/>
      <c r="UXU69" s="62"/>
      <c r="UXV69" s="62"/>
      <c r="UXW69" s="62"/>
      <c r="UXX69" s="62"/>
      <c r="UXY69" s="62"/>
      <c r="UXZ69" s="62"/>
      <c r="UYA69" s="62"/>
      <c r="UYB69" s="62"/>
      <c r="UYC69" s="62"/>
      <c r="UYD69" s="62"/>
      <c r="UYE69" s="62"/>
      <c r="UYF69" s="62"/>
      <c r="UYG69" s="62"/>
      <c r="UYH69" s="62"/>
      <c r="UYI69" s="62"/>
      <c r="UYJ69" s="62"/>
      <c r="UYK69" s="62"/>
      <c r="UYL69" s="62"/>
      <c r="UYM69" s="62"/>
      <c r="UYN69" s="62"/>
      <c r="UYO69" s="62"/>
      <c r="UYP69" s="62"/>
      <c r="UYQ69" s="62"/>
      <c r="UYR69" s="62"/>
      <c r="UYS69" s="62"/>
      <c r="UYT69" s="62"/>
      <c r="UYU69" s="62"/>
      <c r="UYV69" s="62"/>
      <c r="UYW69" s="62"/>
      <c r="UYX69" s="62"/>
      <c r="UYY69" s="62"/>
      <c r="UYZ69" s="62"/>
      <c r="UZA69" s="62"/>
      <c r="UZB69" s="62"/>
      <c r="UZC69" s="62"/>
      <c r="UZD69" s="62"/>
      <c r="UZE69" s="62"/>
      <c r="UZF69" s="62"/>
      <c r="UZG69" s="62"/>
      <c r="UZH69" s="62"/>
      <c r="UZI69" s="62"/>
      <c r="UZJ69" s="62"/>
      <c r="UZK69" s="62"/>
      <c r="UZL69" s="62"/>
      <c r="UZM69" s="62"/>
      <c r="UZN69" s="62"/>
      <c r="UZO69" s="62"/>
      <c r="UZP69" s="62"/>
      <c r="UZQ69" s="62"/>
      <c r="UZR69" s="62"/>
      <c r="UZS69" s="62"/>
      <c r="UZT69" s="62"/>
      <c r="UZU69" s="62"/>
      <c r="UZV69" s="62"/>
      <c r="UZW69" s="62"/>
      <c r="UZX69" s="62"/>
      <c r="UZY69" s="62"/>
      <c r="UZZ69" s="62"/>
      <c r="VAA69" s="62"/>
      <c r="VAB69" s="62"/>
      <c r="VAC69" s="62"/>
      <c r="VAD69" s="62"/>
      <c r="VAE69" s="62"/>
      <c r="VAF69" s="62"/>
      <c r="VAG69" s="62"/>
      <c r="VAH69" s="62"/>
      <c r="VAI69" s="62"/>
      <c r="VAJ69" s="62"/>
      <c r="VAK69" s="62"/>
      <c r="VAL69" s="62"/>
      <c r="VAM69" s="62"/>
      <c r="VAN69" s="62"/>
      <c r="VAO69" s="62"/>
      <c r="VAP69" s="62"/>
      <c r="VAQ69" s="62"/>
      <c r="VAR69" s="62"/>
      <c r="VAS69" s="62"/>
      <c r="VAT69" s="62"/>
      <c r="VAU69" s="62"/>
      <c r="VAV69" s="62"/>
      <c r="VAW69" s="62"/>
      <c r="VAX69" s="62"/>
      <c r="VAY69" s="62"/>
      <c r="VAZ69" s="62"/>
      <c r="VBA69" s="62"/>
      <c r="VBB69" s="62"/>
      <c r="VBC69" s="62"/>
      <c r="VBD69" s="62"/>
      <c r="VBE69" s="62"/>
      <c r="VBF69" s="62"/>
      <c r="VBG69" s="62"/>
      <c r="VBH69" s="62"/>
      <c r="VBI69" s="62"/>
      <c r="VBJ69" s="62"/>
      <c r="VBK69" s="62"/>
      <c r="VBL69" s="62"/>
      <c r="VBM69" s="62"/>
      <c r="VBN69" s="62"/>
      <c r="VBO69" s="62"/>
      <c r="VBP69" s="62"/>
      <c r="VBQ69" s="62"/>
      <c r="VBR69" s="62"/>
      <c r="VBS69" s="62"/>
      <c r="VBT69" s="62"/>
      <c r="VBU69" s="62"/>
      <c r="VBV69" s="62"/>
      <c r="VBW69" s="62"/>
      <c r="VBX69" s="62"/>
      <c r="VBY69" s="62"/>
      <c r="VBZ69" s="62"/>
      <c r="VCA69" s="62"/>
      <c r="VCB69" s="62"/>
      <c r="VCC69" s="62"/>
      <c r="VCD69" s="62"/>
      <c r="VCE69" s="62"/>
      <c r="VCF69" s="62"/>
      <c r="VCG69" s="62"/>
      <c r="VCH69" s="62"/>
      <c r="VCI69" s="62"/>
      <c r="VCJ69" s="62"/>
      <c r="VCK69" s="62"/>
      <c r="VCL69" s="62"/>
      <c r="VCM69" s="62"/>
      <c r="VCN69" s="62"/>
      <c r="VCO69" s="62"/>
      <c r="VCP69" s="62"/>
      <c r="VCQ69" s="62"/>
      <c r="VCR69" s="62"/>
      <c r="VCS69" s="62"/>
      <c r="VCT69" s="62"/>
      <c r="VCU69" s="62"/>
      <c r="VCV69" s="62"/>
      <c r="VCW69" s="62"/>
      <c r="VCX69" s="62"/>
      <c r="VCY69" s="62"/>
      <c r="VCZ69" s="62"/>
      <c r="VDA69" s="62"/>
      <c r="VDB69" s="62"/>
      <c r="VDC69" s="62"/>
      <c r="VDD69" s="62"/>
      <c r="VDE69" s="62"/>
      <c r="VDF69" s="62"/>
      <c r="VDG69" s="62"/>
      <c r="VDH69" s="62"/>
      <c r="VDI69" s="62"/>
      <c r="VDJ69" s="62"/>
      <c r="VDK69" s="62"/>
      <c r="VDL69" s="62"/>
      <c r="VDM69" s="62"/>
      <c r="VDN69" s="62"/>
      <c r="VDO69" s="62"/>
      <c r="VDP69" s="62"/>
      <c r="VDQ69" s="62"/>
      <c r="VDR69" s="62"/>
      <c r="VDS69" s="62"/>
      <c r="VDT69" s="62"/>
      <c r="VDU69" s="62"/>
      <c r="VDV69" s="62"/>
      <c r="VDW69" s="62"/>
      <c r="VDX69" s="62"/>
      <c r="VDY69" s="62"/>
      <c r="VDZ69" s="62"/>
      <c r="VEA69" s="62"/>
      <c r="VEB69" s="62"/>
      <c r="VEC69" s="62"/>
      <c r="VED69" s="62"/>
      <c r="VEE69" s="62"/>
      <c r="VEF69" s="62"/>
      <c r="VEG69" s="62"/>
      <c r="VEH69" s="62"/>
      <c r="VEI69" s="62"/>
      <c r="VEJ69" s="62"/>
      <c r="VEK69" s="62"/>
      <c r="VEL69" s="62"/>
      <c r="VEM69" s="62"/>
      <c r="VEN69" s="62"/>
      <c r="VEO69" s="62"/>
      <c r="VEP69" s="62"/>
      <c r="VEQ69" s="62"/>
      <c r="VER69" s="62"/>
      <c r="VES69" s="62"/>
      <c r="VET69" s="62"/>
      <c r="VEU69" s="62"/>
      <c r="VEV69" s="62"/>
      <c r="VEW69" s="62"/>
      <c r="VEX69" s="62"/>
      <c r="VEY69" s="62"/>
      <c r="VEZ69" s="62"/>
      <c r="VFA69" s="62"/>
      <c r="VFB69" s="62"/>
      <c r="VFC69" s="62"/>
      <c r="VFD69" s="62"/>
      <c r="VFE69" s="62"/>
      <c r="VFF69" s="62"/>
      <c r="VFG69" s="62"/>
      <c r="VFH69" s="62"/>
      <c r="VFI69" s="62"/>
      <c r="VFJ69" s="62"/>
      <c r="VFK69" s="62"/>
      <c r="VFL69" s="62"/>
      <c r="VFM69" s="62"/>
      <c r="VFN69" s="62"/>
      <c r="VFO69" s="62"/>
      <c r="VFP69" s="62"/>
      <c r="VFQ69" s="62"/>
      <c r="VFR69" s="62"/>
      <c r="VFS69" s="62"/>
      <c r="VFT69" s="62"/>
      <c r="VFU69" s="62"/>
      <c r="VFV69" s="62"/>
      <c r="VFW69" s="62"/>
      <c r="VFX69" s="62"/>
      <c r="VFY69" s="62"/>
      <c r="VFZ69" s="62"/>
      <c r="VGA69" s="62"/>
      <c r="VGB69" s="62"/>
      <c r="VGC69" s="62"/>
      <c r="VGD69" s="62"/>
      <c r="VGE69" s="62"/>
      <c r="VGF69" s="62"/>
      <c r="VGG69" s="62"/>
      <c r="VGH69" s="62"/>
      <c r="VGI69" s="62"/>
      <c r="VGJ69" s="62"/>
      <c r="VGK69" s="62"/>
      <c r="VGL69" s="62"/>
      <c r="VGM69" s="62"/>
      <c r="VGN69" s="62"/>
      <c r="VGO69" s="62"/>
      <c r="VGP69" s="62"/>
      <c r="VGQ69" s="62"/>
      <c r="VGR69" s="62"/>
      <c r="VGS69" s="62"/>
      <c r="VGT69" s="62"/>
      <c r="VGU69" s="62"/>
      <c r="VGV69" s="62"/>
      <c r="VGW69" s="62"/>
      <c r="VGX69" s="62"/>
      <c r="VGY69" s="62"/>
      <c r="VGZ69" s="62"/>
      <c r="VHA69" s="62"/>
      <c r="VHB69" s="62"/>
      <c r="VHC69" s="62"/>
      <c r="VHD69" s="62"/>
      <c r="VHE69" s="62"/>
      <c r="VHF69" s="62"/>
      <c r="VHG69" s="62"/>
      <c r="VHH69" s="62"/>
      <c r="VHI69" s="62"/>
      <c r="VHJ69" s="62"/>
      <c r="VHK69" s="62"/>
      <c r="VHL69" s="62"/>
      <c r="VHM69" s="62"/>
      <c r="VHN69" s="62"/>
      <c r="VHO69" s="62"/>
      <c r="VHP69" s="62"/>
      <c r="VHQ69" s="62"/>
      <c r="VHR69" s="62"/>
      <c r="VHS69" s="62"/>
      <c r="VHT69" s="62"/>
      <c r="VHU69" s="62"/>
      <c r="VHV69" s="62"/>
      <c r="VHW69" s="62"/>
      <c r="VHX69" s="62"/>
      <c r="VHY69" s="62"/>
      <c r="VHZ69" s="62"/>
      <c r="VIA69" s="62"/>
      <c r="VIB69" s="62"/>
      <c r="VIC69" s="62"/>
      <c r="VID69" s="62"/>
      <c r="VIE69" s="62"/>
      <c r="VIF69" s="62"/>
      <c r="VIG69" s="62"/>
      <c r="VIH69" s="62"/>
      <c r="VII69" s="62"/>
      <c r="VIJ69" s="62"/>
      <c r="VIK69" s="62"/>
      <c r="VIL69" s="62"/>
      <c r="VIM69" s="62"/>
      <c r="VIN69" s="62"/>
      <c r="VIO69" s="62"/>
      <c r="VIP69" s="62"/>
      <c r="VIQ69" s="62"/>
      <c r="VIR69" s="62"/>
      <c r="VIS69" s="62"/>
      <c r="VIT69" s="62"/>
      <c r="VIU69" s="62"/>
      <c r="VIV69" s="62"/>
      <c r="VIW69" s="62"/>
      <c r="VIX69" s="62"/>
      <c r="VIY69" s="62"/>
      <c r="VIZ69" s="62"/>
      <c r="VJA69" s="62"/>
      <c r="VJB69" s="62"/>
      <c r="VJC69" s="62"/>
      <c r="VJD69" s="62"/>
      <c r="VJE69" s="62"/>
      <c r="VJF69" s="62"/>
      <c r="VJG69" s="62"/>
      <c r="VJH69" s="62"/>
      <c r="VJI69" s="62"/>
      <c r="VJJ69" s="62"/>
      <c r="VJK69" s="62"/>
      <c r="VJL69" s="62"/>
      <c r="VJM69" s="62"/>
      <c r="VJN69" s="62"/>
      <c r="VJO69" s="62"/>
      <c r="VJP69" s="62"/>
      <c r="VJQ69" s="62"/>
      <c r="VJR69" s="62"/>
      <c r="VJS69" s="62"/>
      <c r="VJT69" s="62"/>
      <c r="VJU69" s="62"/>
      <c r="VJV69" s="62"/>
      <c r="VJW69" s="62"/>
      <c r="VJX69" s="62"/>
      <c r="VJY69" s="62"/>
      <c r="VJZ69" s="62"/>
      <c r="VKA69" s="62"/>
      <c r="VKB69" s="62"/>
      <c r="VKC69" s="62"/>
      <c r="VKD69" s="62"/>
      <c r="VKE69" s="62"/>
      <c r="VKF69" s="62"/>
      <c r="VKG69" s="62"/>
      <c r="VKH69" s="62"/>
      <c r="VKI69" s="62"/>
      <c r="VKJ69" s="62"/>
      <c r="VKK69" s="62"/>
      <c r="VKL69" s="62"/>
      <c r="VKM69" s="62"/>
      <c r="VKN69" s="62"/>
      <c r="VKO69" s="62"/>
      <c r="VKP69" s="62"/>
      <c r="VKQ69" s="62"/>
      <c r="VKR69" s="62"/>
      <c r="VKS69" s="62"/>
      <c r="VKT69" s="62"/>
      <c r="VKU69" s="62"/>
      <c r="VKV69" s="62"/>
      <c r="VKW69" s="62"/>
      <c r="VKX69" s="62"/>
      <c r="VKY69" s="62"/>
      <c r="VKZ69" s="62"/>
      <c r="VLA69" s="62"/>
      <c r="VLB69" s="62"/>
      <c r="VLC69" s="62"/>
      <c r="VLD69" s="62"/>
      <c r="VLE69" s="62"/>
      <c r="VLF69" s="62"/>
      <c r="VLG69" s="62"/>
      <c r="VLH69" s="62"/>
      <c r="VLI69" s="62"/>
      <c r="VLJ69" s="62"/>
      <c r="VLK69" s="62"/>
      <c r="VLL69" s="62"/>
      <c r="VLM69" s="62"/>
      <c r="VLN69" s="62"/>
      <c r="VLO69" s="62"/>
      <c r="VLP69" s="62"/>
      <c r="VLQ69" s="62"/>
      <c r="VLR69" s="62"/>
      <c r="VLS69" s="62"/>
      <c r="VLT69" s="62"/>
      <c r="VLU69" s="62"/>
      <c r="VLV69" s="62"/>
      <c r="VLW69" s="62"/>
      <c r="VLX69" s="62"/>
      <c r="VLY69" s="62"/>
      <c r="VLZ69" s="62"/>
      <c r="VMA69" s="62"/>
      <c r="VMB69" s="62"/>
      <c r="VMC69" s="62"/>
      <c r="VMD69" s="62"/>
      <c r="VME69" s="62"/>
      <c r="VMF69" s="62"/>
      <c r="VMG69" s="62"/>
      <c r="VMH69" s="62"/>
      <c r="VMI69" s="62"/>
      <c r="VMJ69" s="62"/>
      <c r="VMK69" s="62"/>
      <c r="VML69" s="62"/>
      <c r="VMM69" s="62"/>
      <c r="VMN69" s="62"/>
      <c r="VMO69" s="62"/>
      <c r="VMP69" s="62"/>
      <c r="VMQ69" s="62"/>
      <c r="VMR69" s="62"/>
      <c r="VMS69" s="62"/>
      <c r="VMT69" s="62"/>
      <c r="VMU69" s="62"/>
      <c r="VMV69" s="62"/>
      <c r="VMW69" s="62"/>
      <c r="VMX69" s="62"/>
      <c r="VMY69" s="62"/>
      <c r="VMZ69" s="62"/>
      <c r="VNA69" s="62"/>
      <c r="VNB69" s="62"/>
      <c r="VNC69" s="62"/>
      <c r="VND69" s="62"/>
      <c r="VNE69" s="62"/>
      <c r="VNF69" s="62"/>
      <c r="VNG69" s="62"/>
      <c r="VNH69" s="62"/>
      <c r="VNI69" s="62"/>
      <c r="VNJ69" s="62"/>
      <c r="VNK69" s="62"/>
      <c r="VNL69" s="62"/>
      <c r="VNM69" s="62"/>
      <c r="VNN69" s="62"/>
      <c r="VNO69" s="62"/>
      <c r="VNP69" s="62"/>
      <c r="VNQ69" s="62"/>
      <c r="VNR69" s="62"/>
      <c r="VNS69" s="62"/>
      <c r="VNT69" s="62"/>
      <c r="VNU69" s="62"/>
      <c r="VNV69" s="62"/>
      <c r="VNW69" s="62"/>
      <c r="VNX69" s="62"/>
      <c r="VNY69" s="62"/>
      <c r="VNZ69" s="62"/>
      <c r="VOA69" s="62"/>
      <c r="VOB69" s="62"/>
      <c r="VOC69" s="62"/>
      <c r="VOD69" s="62"/>
      <c r="VOE69" s="62"/>
      <c r="VOF69" s="62"/>
      <c r="VOG69" s="62"/>
      <c r="VOH69" s="62"/>
      <c r="VOI69" s="62"/>
      <c r="VOJ69" s="62"/>
      <c r="VOK69" s="62"/>
      <c r="VOL69" s="62"/>
      <c r="VOM69" s="62"/>
      <c r="VON69" s="62"/>
      <c r="VOO69" s="62"/>
      <c r="VOP69" s="62"/>
      <c r="VOQ69" s="62"/>
      <c r="VOR69" s="62"/>
      <c r="VOS69" s="62"/>
      <c r="VOT69" s="62"/>
      <c r="VOU69" s="62"/>
      <c r="VOV69" s="62"/>
      <c r="VOW69" s="62"/>
      <c r="VOX69" s="62"/>
      <c r="VOY69" s="62"/>
      <c r="VOZ69" s="62"/>
      <c r="VPA69" s="62"/>
      <c r="VPB69" s="62"/>
      <c r="VPC69" s="62"/>
      <c r="VPD69" s="62"/>
      <c r="VPE69" s="62"/>
      <c r="VPF69" s="62"/>
      <c r="VPG69" s="62"/>
      <c r="VPH69" s="62"/>
      <c r="VPI69" s="62"/>
      <c r="VPJ69" s="62"/>
      <c r="VPK69" s="62"/>
      <c r="VPL69" s="62"/>
      <c r="VPM69" s="62"/>
      <c r="VPN69" s="62"/>
      <c r="VPO69" s="62"/>
      <c r="VPP69" s="62"/>
      <c r="VPQ69" s="62"/>
      <c r="VPR69" s="62"/>
      <c r="VPS69" s="62"/>
      <c r="VPT69" s="62"/>
      <c r="VPU69" s="62"/>
      <c r="VPV69" s="62"/>
      <c r="VPW69" s="62"/>
      <c r="VPX69" s="62"/>
      <c r="VPY69" s="62"/>
      <c r="VPZ69" s="62"/>
      <c r="VQA69" s="62"/>
      <c r="VQB69" s="62"/>
      <c r="VQC69" s="62"/>
      <c r="VQD69" s="62"/>
      <c r="VQE69" s="62"/>
      <c r="VQF69" s="62"/>
      <c r="VQG69" s="62"/>
      <c r="VQH69" s="62"/>
      <c r="VQI69" s="62"/>
      <c r="VQJ69" s="62"/>
      <c r="VQK69" s="62"/>
      <c r="VQL69" s="62"/>
      <c r="VQM69" s="62"/>
      <c r="VQN69" s="62"/>
      <c r="VQO69" s="62"/>
      <c r="VQP69" s="62"/>
      <c r="VQQ69" s="62"/>
      <c r="VQR69" s="62"/>
      <c r="VQS69" s="62"/>
      <c r="VQT69" s="62"/>
      <c r="VQU69" s="62"/>
      <c r="VQV69" s="62"/>
      <c r="VQW69" s="62"/>
      <c r="VQX69" s="62"/>
      <c r="VQY69" s="62"/>
      <c r="VQZ69" s="62"/>
      <c r="VRA69" s="62"/>
      <c r="VRB69" s="62"/>
      <c r="VRC69" s="62"/>
      <c r="VRD69" s="62"/>
      <c r="VRE69" s="62"/>
      <c r="VRF69" s="62"/>
      <c r="VRG69" s="62"/>
      <c r="VRH69" s="62"/>
      <c r="VRI69" s="62"/>
      <c r="VRJ69" s="62"/>
      <c r="VRK69" s="62"/>
      <c r="VRL69" s="62"/>
      <c r="VRM69" s="62"/>
      <c r="VRN69" s="62"/>
      <c r="VRO69" s="62"/>
      <c r="VRP69" s="62"/>
      <c r="VRQ69" s="62"/>
      <c r="VRR69" s="62"/>
      <c r="VRS69" s="62"/>
      <c r="VRT69" s="62"/>
      <c r="VRU69" s="62"/>
      <c r="VRV69" s="62"/>
      <c r="VRW69" s="62"/>
      <c r="VRX69" s="62"/>
      <c r="VRY69" s="62"/>
      <c r="VRZ69" s="62"/>
      <c r="VSA69" s="62"/>
      <c r="VSB69" s="62"/>
      <c r="VSC69" s="62"/>
      <c r="VSD69" s="62"/>
      <c r="VSE69" s="62"/>
      <c r="VSF69" s="62"/>
      <c r="VSG69" s="62"/>
      <c r="VSH69" s="62"/>
      <c r="VSI69" s="62"/>
      <c r="VSJ69" s="62"/>
      <c r="VSK69" s="62"/>
      <c r="VSL69" s="62"/>
      <c r="VSM69" s="62"/>
      <c r="VSN69" s="62"/>
      <c r="VSO69" s="62"/>
      <c r="VSP69" s="62"/>
      <c r="VSQ69" s="62"/>
      <c r="VSR69" s="62"/>
      <c r="VSS69" s="62"/>
      <c r="VST69" s="62"/>
      <c r="VSU69" s="62"/>
      <c r="VSV69" s="62"/>
      <c r="VSW69" s="62"/>
      <c r="VSX69" s="62"/>
      <c r="VSY69" s="62"/>
      <c r="VSZ69" s="62"/>
      <c r="VTA69" s="62"/>
      <c r="VTB69" s="62"/>
      <c r="VTC69" s="62"/>
      <c r="VTD69" s="62"/>
      <c r="VTE69" s="62"/>
      <c r="VTF69" s="62"/>
      <c r="VTG69" s="62"/>
      <c r="VTH69" s="62"/>
      <c r="VTI69" s="62"/>
      <c r="VTJ69" s="62"/>
      <c r="VTK69" s="62"/>
      <c r="VTL69" s="62"/>
      <c r="VTM69" s="62"/>
      <c r="VTN69" s="62"/>
      <c r="VTO69" s="62"/>
      <c r="VTP69" s="62"/>
      <c r="VTQ69" s="62"/>
      <c r="VTR69" s="62"/>
      <c r="VTS69" s="62"/>
      <c r="VTT69" s="62"/>
      <c r="VTU69" s="62"/>
      <c r="VTV69" s="62"/>
      <c r="VTW69" s="62"/>
      <c r="VTX69" s="62"/>
      <c r="VTY69" s="62"/>
      <c r="VTZ69" s="62"/>
      <c r="VUA69" s="62"/>
      <c r="VUB69" s="62"/>
      <c r="VUC69" s="62"/>
      <c r="VUD69" s="62"/>
      <c r="VUE69" s="62"/>
      <c r="VUF69" s="62"/>
      <c r="VUG69" s="62"/>
      <c r="VUH69" s="62"/>
      <c r="VUI69" s="62"/>
      <c r="VUJ69" s="62"/>
      <c r="VUK69" s="62"/>
      <c r="VUL69" s="62"/>
      <c r="VUM69" s="62"/>
      <c r="VUN69" s="62"/>
      <c r="VUO69" s="62"/>
      <c r="VUP69" s="62"/>
      <c r="VUQ69" s="62"/>
      <c r="VUR69" s="62"/>
      <c r="VUS69" s="62"/>
      <c r="VUT69" s="62"/>
      <c r="VUU69" s="62"/>
      <c r="VUV69" s="62"/>
      <c r="VUW69" s="62"/>
      <c r="VUX69" s="62"/>
      <c r="VUY69" s="62"/>
      <c r="VUZ69" s="62"/>
      <c r="VVA69" s="62"/>
      <c r="VVB69" s="62"/>
      <c r="VVC69" s="62"/>
      <c r="VVD69" s="62"/>
      <c r="VVE69" s="62"/>
      <c r="VVF69" s="62"/>
      <c r="VVG69" s="62"/>
      <c r="VVH69" s="62"/>
      <c r="VVI69" s="62"/>
      <c r="VVJ69" s="62"/>
      <c r="VVK69" s="62"/>
      <c r="VVL69" s="62"/>
      <c r="VVM69" s="62"/>
      <c r="VVN69" s="62"/>
      <c r="VVO69" s="62"/>
      <c r="VVP69" s="62"/>
      <c r="VVQ69" s="62"/>
      <c r="VVR69" s="62"/>
      <c r="VVS69" s="62"/>
      <c r="VVT69" s="62"/>
      <c r="VVU69" s="62"/>
      <c r="VVV69" s="62"/>
      <c r="VVW69" s="62"/>
      <c r="VVX69" s="62"/>
      <c r="VVY69" s="62"/>
      <c r="VVZ69" s="62"/>
      <c r="VWA69" s="62"/>
      <c r="VWB69" s="62"/>
      <c r="VWC69" s="62"/>
      <c r="VWD69" s="62"/>
      <c r="VWE69" s="62"/>
      <c r="VWF69" s="62"/>
      <c r="VWG69" s="62"/>
      <c r="VWH69" s="62"/>
      <c r="VWI69" s="62"/>
      <c r="VWJ69" s="62"/>
      <c r="VWK69" s="62"/>
      <c r="VWL69" s="62"/>
      <c r="VWM69" s="62"/>
      <c r="VWN69" s="62"/>
      <c r="VWO69" s="62"/>
      <c r="VWP69" s="62"/>
      <c r="VWQ69" s="62"/>
      <c r="VWR69" s="62"/>
      <c r="VWS69" s="62"/>
      <c r="VWT69" s="62"/>
      <c r="VWU69" s="62"/>
      <c r="VWV69" s="62"/>
      <c r="VWW69" s="62"/>
      <c r="VWX69" s="62"/>
      <c r="VWY69" s="62"/>
      <c r="VWZ69" s="62"/>
      <c r="VXA69" s="62"/>
      <c r="VXB69" s="62"/>
      <c r="VXC69" s="62"/>
      <c r="VXD69" s="62"/>
      <c r="VXE69" s="62"/>
      <c r="VXF69" s="62"/>
      <c r="VXG69" s="62"/>
      <c r="VXH69" s="62"/>
      <c r="VXI69" s="62"/>
      <c r="VXJ69" s="62"/>
      <c r="VXK69" s="62"/>
      <c r="VXL69" s="62"/>
      <c r="VXM69" s="62"/>
      <c r="VXN69" s="62"/>
      <c r="VXO69" s="62"/>
      <c r="VXP69" s="62"/>
      <c r="VXQ69" s="62"/>
      <c r="VXR69" s="62"/>
      <c r="VXS69" s="62"/>
      <c r="VXT69" s="62"/>
      <c r="VXU69" s="62"/>
      <c r="VXV69" s="62"/>
      <c r="VXW69" s="62"/>
      <c r="VXX69" s="62"/>
      <c r="VXY69" s="62"/>
      <c r="VXZ69" s="62"/>
      <c r="VYA69" s="62"/>
      <c r="VYB69" s="62"/>
      <c r="VYC69" s="62"/>
      <c r="VYD69" s="62"/>
      <c r="VYE69" s="62"/>
      <c r="VYF69" s="62"/>
      <c r="VYG69" s="62"/>
      <c r="VYH69" s="62"/>
      <c r="VYI69" s="62"/>
      <c r="VYJ69" s="62"/>
      <c r="VYK69" s="62"/>
      <c r="VYL69" s="62"/>
      <c r="VYM69" s="62"/>
      <c r="VYN69" s="62"/>
      <c r="VYO69" s="62"/>
      <c r="VYP69" s="62"/>
      <c r="VYQ69" s="62"/>
      <c r="VYR69" s="62"/>
      <c r="VYS69" s="62"/>
      <c r="VYT69" s="62"/>
      <c r="VYU69" s="62"/>
      <c r="VYV69" s="62"/>
      <c r="VYW69" s="62"/>
      <c r="VYX69" s="62"/>
      <c r="VYY69" s="62"/>
      <c r="VYZ69" s="62"/>
      <c r="VZA69" s="62"/>
      <c r="VZB69" s="62"/>
      <c r="VZC69" s="62"/>
      <c r="VZD69" s="62"/>
      <c r="VZE69" s="62"/>
      <c r="VZF69" s="62"/>
      <c r="VZG69" s="62"/>
      <c r="VZH69" s="62"/>
      <c r="VZI69" s="62"/>
      <c r="VZJ69" s="62"/>
      <c r="VZK69" s="62"/>
      <c r="VZL69" s="62"/>
      <c r="VZM69" s="62"/>
      <c r="VZN69" s="62"/>
      <c r="VZO69" s="62"/>
      <c r="VZP69" s="62"/>
      <c r="VZQ69" s="62"/>
      <c r="VZR69" s="62"/>
      <c r="VZS69" s="62"/>
      <c r="VZT69" s="62"/>
      <c r="VZU69" s="62"/>
      <c r="VZV69" s="62"/>
      <c r="VZW69" s="62"/>
      <c r="VZX69" s="62"/>
      <c r="VZY69" s="62"/>
      <c r="VZZ69" s="62"/>
      <c r="WAA69" s="62"/>
      <c r="WAB69" s="62"/>
      <c r="WAC69" s="62"/>
      <c r="WAD69" s="62"/>
      <c r="WAE69" s="62"/>
      <c r="WAF69" s="62"/>
      <c r="WAG69" s="62"/>
      <c r="WAH69" s="62"/>
      <c r="WAI69" s="62"/>
      <c r="WAJ69" s="62"/>
      <c r="WAK69" s="62"/>
      <c r="WAL69" s="62"/>
      <c r="WAM69" s="62"/>
      <c r="WAN69" s="62"/>
      <c r="WAO69" s="62"/>
      <c r="WAP69" s="62"/>
      <c r="WAQ69" s="62"/>
      <c r="WAR69" s="62"/>
      <c r="WAS69" s="62"/>
      <c r="WAT69" s="62"/>
      <c r="WAU69" s="62"/>
      <c r="WAV69" s="62"/>
      <c r="WAW69" s="62"/>
      <c r="WAX69" s="62"/>
      <c r="WAY69" s="62"/>
      <c r="WAZ69" s="62"/>
      <c r="WBA69" s="62"/>
      <c r="WBB69" s="62"/>
      <c r="WBC69" s="62"/>
      <c r="WBD69" s="62"/>
      <c r="WBE69" s="62"/>
      <c r="WBF69" s="62"/>
      <c r="WBG69" s="62"/>
      <c r="WBH69" s="62"/>
      <c r="WBI69" s="62"/>
      <c r="WBJ69" s="62"/>
      <c r="WBK69" s="62"/>
      <c r="WBL69" s="62"/>
      <c r="WBM69" s="62"/>
      <c r="WBN69" s="62"/>
      <c r="WBO69" s="62"/>
      <c r="WBP69" s="62"/>
      <c r="WBQ69" s="62"/>
      <c r="WBR69" s="62"/>
      <c r="WBS69" s="62"/>
      <c r="WBT69" s="62"/>
      <c r="WBU69" s="62"/>
      <c r="WBV69" s="62"/>
      <c r="WBW69" s="62"/>
      <c r="WBX69" s="62"/>
      <c r="WBY69" s="62"/>
      <c r="WBZ69" s="62"/>
      <c r="WCA69" s="62"/>
      <c r="WCB69" s="62"/>
      <c r="WCC69" s="62"/>
      <c r="WCD69" s="62"/>
      <c r="WCE69" s="62"/>
      <c r="WCF69" s="62"/>
      <c r="WCG69" s="62"/>
      <c r="WCH69" s="62"/>
      <c r="WCI69" s="62"/>
      <c r="WCJ69" s="62"/>
      <c r="WCK69" s="62"/>
      <c r="WCL69" s="62"/>
      <c r="WCM69" s="62"/>
      <c r="WCN69" s="62"/>
      <c r="WCO69" s="62"/>
      <c r="WCP69" s="62"/>
      <c r="WCQ69" s="62"/>
      <c r="WCR69" s="62"/>
      <c r="WCS69" s="62"/>
      <c r="WCT69" s="62"/>
      <c r="WCU69" s="62"/>
      <c r="WCV69" s="62"/>
      <c r="WCW69" s="62"/>
      <c r="WCX69" s="62"/>
      <c r="WCY69" s="62"/>
      <c r="WCZ69" s="62"/>
      <c r="WDA69" s="62"/>
      <c r="WDB69" s="62"/>
      <c r="WDC69" s="62"/>
      <c r="WDD69" s="62"/>
      <c r="WDE69" s="62"/>
      <c r="WDF69" s="62"/>
      <c r="WDG69" s="62"/>
      <c r="WDH69" s="62"/>
      <c r="WDI69" s="62"/>
      <c r="WDJ69" s="62"/>
      <c r="WDK69" s="62"/>
      <c r="WDL69" s="62"/>
      <c r="WDM69" s="62"/>
      <c r="WDN69" s="62"/>
      <c r="WDO69" s="62"/>
      <c r="WDP69" s="62"/>
      <c r="WDQ69" s="62"/>
      <c r="WDR69" s="62"/>
      <c r="WDS69" s="62"/>
      <c r="WDT69" s="62"/>
      <c r="WDU69" s="62"/>
      <c r="WDV69" s="62"/>
      <c r="WDW69" s="62"/>
      <c r="WDX69" s="62"/>
      <c r="WDY69" s="62"/>
      <c r="WDZ69" s="62"/>
      <c r="WEA69" s="62"/>
      <c r="WEB69" s="62"/>
      <c r="WEC69" s="62"/>
      <c r="WED69" s="62"/>
      <c r="WEE69" s="62"/>
      <c r="WEF69" s="62"/>
      <c r="WEG69" s="62"/>
      <c r="WEH69" s="62"/>
      <c r="WEI69" s="62"/>
      <c r="WEJ69" s="62"/>
      <c r="WEK69" s="62"/>
      <c r="WEL69" s="62"/>
      <c r="WEM69" s="62"/>
      <c r="WEN69" s="62"/>
      <c r="WEO69" s="62"/>
      <c r="WEP69" s="62"/>
      <c r="WEQ69" s="62"/>
      <c r="WER69" s="62"/>
      <c r="WES69" s="62"/>
      <c r="WET69" s="62"/>
      <c r="WEU69" s="62"/>
      <c r="WEV69" s="62"/>
      <c r="WEW69" s="62"/>
      <c r="WEX69" s="62"/>
      <c r="WEY69" s="62"/>
      <c r="WEZ69" s="62"/>
      <c r="WFA69" s="62"/>
      <c r="WFB69" s="62"/>
      <c r="WFC69" s="62"/>
      <c r="WFD69" s="62"/>
      <c r="WFE69" s="62"/>
      <c r="WFF69" s="62"/>
      <c r="WFG69" s="62"/>
      <c r="WFH69" s="62"/>
      <c r="WFI69" s="62"/>
      <c r="WFJ69" s="62"/>
      <c r="WFK69" s="62"/>
      <c r="WFL69" s="62"/>
      <c r="WFM69" s="62"/>
      <c r="WFN69" s="62"/>
      <c r="WFO69" s="62"/>
      <c r="WFP69" s="62"/>
      <c r="WFQ69" s="62"/>
      <c r="WFR69" s="62"/>
      <c r="WFS69" s="62"/>
      <c r="WFT69" s="62"/>
      <c r="WFU69" s="62"/>
      <c r="WFV69" s="62"/>
      <c r="WFW69" s="62"/>
      <c r="WFX69" s="62"/>
      <c r="WFY69" s="62"/>
      <c r="WFZ69" s="62"/>
      <c r="WGA69" s="62"/>
      <c r="WGB69" s="62"/>
      <c r="WGC69" s="62"/>
      <c r="WGD69" s="62"/>
      <c r="WGE69" s="62"/>
      <c r="WGF69" s="62"/>
      <c r="WGG69" s="62"/>
      <c r="WGH69" s="62"/>
      <c r="WGI69" s="62"/>
      <c r="WGJ69" s="62"/>
      <c r="WGK69" s="62"/>
      <c r="WGL69" s="62"/>
      <c r="WGM69" s="62"/>
      <c r="WGN69" s="62"/>
      <c r="WGO69" s="62"/>
      <c r="WGP69" s="62"/>
      <c r="WGQ69" s="62"/>
      <c r="WGR69" s="62"/>
      <c r="WGS69" s="62"/>
      <c r="WGT69" s="62"/>
      <c r="WGU69" s="62"/>
      <c r="WGV69" s="62"/>
      <c r="WGW69" s="62"/>
      <c r="WGX69" s="62"/>
      <c r="WGY69" s="62"/>
      <c r="WGZ69" s="62"/>
      <c r="WHA69" s="62"/>
      <c r="WHB69" s="62"/>
      <c r="WHC69" s="62"/>
      <c r="WHD69" s="62"/>
      <c r="WHE69" s="62"/>
      <c r="WHF69" s="62"/>
      <c r="WHG69" s="62"/>
      <c r="WHH69" s="62"/>
      <c r="WHI69" s="62"/>
      <c r="WHJ69" s="62"/>
      <c r="WHK69" s="62"/>
      <c r="WHL69" s="62"/>
      <c r="WHM69" s="62"/>
      <c r="WHN69" s="62"/>
      <c r="WHO69" s="62"/>
      <c r="WHP69" s="62"/>
      <c r="WHQ69" s="62"/>
      <c r="WHR69" s="62"/>
      <c r="WHS69" s="62"/>
      <c r="WHT69" s="62"/>
      <c r="WHU69" s="62"/>
      <c r="WHV69" s="62"/>
      <c r="WHW69" s="62"/>
      <c r="WHX69" s="62"/>
      <c r="WHY69" s="62"/>
      <c r="WHZ69" s="62"/>
      <c r="WIA69" s="62"/>
      <c r="WIB69" s="62"/>
      <c r="WIC69" s="62"/>
      <c r="WID69" s="62"/>
      <c r="WIE69" s="62"/>
      <c r="WIF69" s="62"/>
      <c r="WIG69" s="62"/>
      <c r="WIH69" s="62"/>
      <c r="WII69" s="62"/>
      <c r="WIJ69" s="62"/>
      <c r="WIK69" s="62"/>
      <c r="WIL69" s="62"/>
      <c r="WIM69" s="62"/>
      <c r="WIN69" s="62"/>
      <c r="WIO69" s="62"/>
      <c r="WIP69" s="62"/>
      <c r="WIQ69" s="62"/>
      <c r="WIR69" s="62"/>
      <c r="WIS69" s="62"/>
      <c r="WIT69" s="62"/>
      <c r="WIU69" s="62"/>
      <c r="WIV69" s="62"/>
      <c r="WIW69" s="62"/>
      <c r="WIX69" s="62"/>
      <c r="WIY69" s="62"/>
      <c r="WIZ69" s="62"/>
      <c r="WJA69" s="62"/>
      <c r="WJB69" s="62"/>
      <c r="WJC69" s="62"/>
      <c r="WJD69" s="62"/>
      <c r="WJE69" s="62"/>
      <c r="WJF69" s="62"/>
      <c r="WJG69" s="62"/>
      <c r="WJH69" s="62"/>
      <c r="WJI69" s="62"/>
      <c r="WJJ69" s="62"/>
      <c r="WJK69" s="62"/>
      <c r="WJL69" s="62"/>
      <c r="WJM69" s="62"/>
      <c r="WJN69" s="62"/>
      <c r="WJO69" s="62"/>
      <c r="WJP69" s="62"/>
      <c r="WJQ69" s="62"/>
      <c r="WJR69" s="62"/>
      <c r="WJS69" s="62"/>
      <c r="WJT69" s="62"/>
      <c r="WJU69" s="62"/>
      <c r="WJV69" s="62"/>
      <c r="WJW69" s="62"/>
      <c r="WJX69" s="62"/>
      <c r="WJY69" s="62"/>
      <c r="WJZ69" s="62"/>
      <c r="WKA69" s="62"/>
      <c r="WKB69" s="62"/>
      <c r="WKC69" s="62"/>
      <c r="WKD69" s="62"/>
      <c r="WKE69" s="62"/>
      <c r="WKF69" s="62"/>
      <c r="WKG69" s="62"/>
      <c r="WKH69" s="62"/>
      <c r="WKI69" s="62"/>
      <c r="WKJ69" s="62"/>
      <c r="WKK69" s="62"/>
      <c r="WKL69" s="62"/>
      <c r="WKM69" s="62"/>
      <c r="WKN69" s="62"/>
      <c r="WKO69" s="62"/>
      <c r="WKP69" s="62"/>
      <c r="WKQ69" s="62"/>
      <c r="WKR69" s="62"/>
      <c r="WKS69" s="62"/>
      <c r="WKT69" s="62"/>
      <c r="WKU69" s="62"/>
      <c r="WKV69" s="62"/>
      <c r="WKW69" s="62"/>
      <c r="WKX69" s="62"/>
      <c r="WKY69" s="62"/>
      <c r="WKZ69" s="62"/>
      <c r="WLA69" s="62"/>
      <c r="WLB69" s="62"/>
      <c r="WLC69" s="62"/>
      <c r="WLD69" s="62"/>
      <c r="WLE69" s="62"/>
      <c r="WLF69" s="62"/>
      <c r="WLG69" s="62"/>
      <c r="WLH69" s="62"/>
      <c r="WLI69" s="62"/>
      <c r="WLJ69" s="62"/>
      <c r="WLK69" s="62"/>
      <c r="WLL69" s="62"/>
      <c r="WLM69" s="62"/>
      <c r="WLN69" s="62"/>
      <c r="WLO69" s="62"/>
      <c r="WLP69" s="62"/>
      <c r="WLQ69" s="62"/>
      <c r="WLR69" s="62"/>
      <c r="WLS69" s="62"/>
      <c r="WLT69" s="62"/>
      <c r="WLU69" s="62"/>
      <c r="WLV69" s="62"/>
      <c r="WLW69" s="62"/>
      <c r="WLX69" s="62"/>
      <c r="WLY69" s="62"/>
      <c r="WLZ69" s="62"/>
      <c r="WMA69" s="62"/>
      <c r="WMB69" s="62"/>
      <c r="WMC69" s="62"/>
      <c r="WMD69" s="62"/>
      <c r="WME69" s="62"/>
      <c r="WMF69" s="62"/>
      <c r="WMG69" s="62"/>
      <c r="WMH69" s="62"/>
      <c r="WMI69" s="62"/>
      <c r="WMJ69" s="62"/>
      <c r="WMK69" s="62"/>
      <c r="WML69" s="62"/>
      <c r="WMM69" s="62"/>
      <c r="WMN69" s="62"/>
      <c r="WMO69" s="62"/>
      <c r="WMP69" s="62"/>
      <c r="WMQ69" s="62"/>
      <c r="WMR69" s="62"/>
      <c r="WMS69" s="62"/>
      <c r="WMT69" s="62"/>
      <c r="WMU69" s="62"/>
      <c r="WMV69" s="62"/>
      <c r="WMW69" s="62"/>
      <c r="WMX69" s="62"/>
      <c r="WMY69" s="62"/>
      <c r="WMZ69" s="62"/>
      <c r="WNA69" s="62"/>
      <c r="WNB69" s="62"/>
      <c r="WNC69" s="62"/>
      <c r="WND69" s="62"/>
      <c r="WNE69" s="62"/>
      <c r="WNF69" s="62"/>
      <c r="WNG69" s="62"/>
      <c r="WNH69" s="62"/>
      <c r="WNI69" s="62"/>
      <c r="WNJ69" s="62"/>
      <c r="WNK69" s="62"/>
      <c r="WNL69" s="62"/>
      <c r="WNM69" s="62"/>
      <c r="WNN69" s="62"/>
      <c r="WNO69" s="62"/>
      <c r="WNP69" s="62"/>
      <c r="WNQ69" s="62"/>
      <c r="WNR69" s="62"/>
      <c r="WNS69" s="62"/>
      <c r="WNT69" s="62"/>
      <c r="WNU69" s="62"/>
      <c r="WNV69" s="62"/>
      <c r="WNW69" s="62"/>
      <c r="WNX69" s="62"/>
      <c r="WNY69" s="62"/>
      <c r="WNZ69" s="62"/>
      <c r="WOA69" s="62"/>
      <c r="WOB69" s="62"/>
      <c r="WOC69" s="62"/>
      <c r="WOD69" s="62"/>
      <c r="WOE69" s="62"/>
      <c r="WOF69" s="62"/>
      <c r="WOG69" s="62"/>
      <c r="WOH69" s="62"/>
      <c r="WOI69" s="62"/>
      <c r="WOJ69" s="62"/>
      <c r="WOK69" s="62"/>
      <c r="WOL69" s="62"/>
      <c r="WOM69" s="62"/>
      <c r="WON69" s="62"/>
      <c r="WOO69" s="62"/>
      <c r="WOP69" s="62"/>
      <c r="WOQ69" s="62"/>
      <c r="WOR69" s="62"/>
      <c r="WOS69" s="62"/>
      <c r="WOT69" s="62"/>
      <c r="WOU69" s="62"/>
      <c r="WOV69" s="62"/>
      <c r="WOW69" s="62"/>
      <c r="WOX69" s="62"/>
      <c r="WOY69" s="62"/>
      <c r="WOZ69" s="62"/>
      <c r="WPA69" s="62"/>
      <c r="WPB69" s="62"/>
      <c r="WPC69" s="62"/>
      <c r="WPD69" s="62"/>
      <c r="WPE69" s="62"/>
      <c r="WPF69" s="62"/>
      <c r="WPG69" s="62"/>
      <c r="WPH69" s="62"/>
      <c r="WPI69" s="62"/>
      <c r="WPJ69" s="62"/>
      <c r="WPK69" s="62"/>
      <c r="WPL69" s="62"/>
      <c r="WPM69" s="62"/>
      <c r="WPN69" s="62"/>
      <c r="WPO69" s="62"/>
      <c r="WPP69" s="62"/>
      <c r="WPQ69" s="62"/>
      <c r="WPR69" s="62"/>
      <c r="WPS69" s="62"/>
      <c r="WPT69" s="62"/>
      <c r="WPU69" s="62"/>
      <c r="WPV69" s="62"/>
      <c r="WPW69" s="62"/>
      <c r="WPX69" s="62"/>
      <c r="WPY69" s="62"/>
      <c r="WPZ69" s="62"/>
      <c r="WQA69" s="62"/>
      <c r="WQB69" s="62"/>
      <c r="WQC69" s="62"/>
      <c r="WQD69" s="62"/>
      <c r="WQE69" s="62"/>
      <c r="WQF69" s="62"/>
      <c r="WQG69" s="62"/>
      <c r="WQH69" s="62"/>
      <c r="WQI69" s="62"/>
      <c r="WQJ69" s="62"/>
      <c r="WQK69" s="62"/>
      <c r="WQL69" s="62"/>
      <c r="WQM69" s="62"/>
      <c r="WQN69" s="62"/>
      <c r="WQO69" s="62"/>
      <c r="WQP69" s="62"/>
      <c r="WQQ69" s="62"/>
      <c r="WQR69" s="62"/>
      <c r="WQS69" s="62"/>
      <c r="WQT69" s="62"/>
      <c r="WQU69" s="62"/>
      <c r="WQV69" s="62"/>
      <c r="WQW69" s="62"/>
      <c r="WQX69" s="62"/>
      <c r="WQY69" s="62"/>
      <c r="WQZ69" s="62"/>
      <c r="WRA69" s="62"/>
      <c r="WRB69" s="62"/>
      <c r="WRC69" s="62"/>
      <c r="WRD69" s="62"/>
      <c r="WRE69" s="62"/>
      <c r="WRF69" s="62"/>
      <c r="WRG69" s="62"/>
      <c r="WRH69" s="62"/>
      <c r="WRI69" s="62"/>
      <c r="WRJ69" s="62"/>
      <c r="WRK69" s="62"/>
      <c r="WRL69" s="62"/>
      <c r="WRM69" s="62"/>
      <c r="WRN69" s="62"/>
      <c r="WRO69" s="62"/>
      <c r="WRP69" s="62"/>
      <c r="WRQ69" s="62"/>
      <c r="WRR69" s="62"/>
      <c r="WRS69" s="62"/>
      <c r="WRT69" s="62"/>
      <c r="WRU69" s="62"/>
      <c r="WRV69" s="62"/>
      <c r="WRW69" s="62"/>
      <c r="WRX69" s="62"/>
      <c r="WRY69" s="62"/>
      <c r="WRZ69" s="62"/>
      <c r="WSA69" s="62"/>
      <c r="WSB69" s="62"/>
      <c r="WSC69" s="62"/>
      <c r="WSD69" s="62"/>
      <c r="WSE69" s="62"/>
      <c r="WSF69" s="62"/>
      <c r="WSG69" s="62"/>
      <c r="WSH69" s="62"/>
      <c r="WSI69" s="62"/>
      <c r="WSJ69" s="62"/>
      <c r="WSK69" s="62"/>
      <c r="WSL69" s="62"/>
      <c r="WSM69" s="62"/>
      <c r="WSN69" s="62"/>
      <c r="WSO69" s="62"/>
      <c r="WSP69" s="62"/>
      <c r="WSQ69" s="62"/>
      <c r="WSR69" s="62"/>
      <c r="WSS69" s="62"/>
      <c r="WST69" s="62"/>
      <c r="WSU69" s="62"/>
      <c r="WSV69" s="62"/>
      <c r="WSW69" s="62"/>
      <c r="WSX69" s="62"/>
      <c r="WSY69" s="62"/>
      <c r="WSZ69" s="62"/>
      <c r="WTA69" s="62"/>
      <c r="WTB69" s="62"/>
      <c r="WTC69" s="62"/>
      <c r="WTD69" s="62"/>
      <c r="WTE69" s="62"/>
      <c r="WTF69" s="62"/>
      <c r="WTG69" s="62"/>
      <c r="WTH69" s="62"/>
      <c r="WTI69" s="62"/>
      <c r="WTJ69" s="62"/>
      <c r="WTK69" s="62"/>
      <c r="WTL69" s="62"/>
      <c r="WTM69" s="62"/>
      <c r="WTN69" s="62"/>
      <c r="WTO69" s="62"/>
      <c r="WTP69" s="62"/>
      <c r="WTQ69" s="62"/>
      <c r="WTR69" s="62"/>
      <c r="WTS69" s="62"/>
      <c r="WTT69" s="62"/>
      <c r="WTU69" s="62"/>
      <c r="WTV69" s="62"/>
      <c r="WTW69" s="62"/>
      <c r="WTX69" s="62"/>
      <c r="WTY69" s="62"/>
      <c r="WTZ69" s="62"/>
      <c r="WUA69" s="62"/>
      <c r="WUB69" s="62"/>
      <c r="WUC69" s="62"/>
      <c r="WUD69" s="62"/>
      <c r="WUE69" s="62"/>
      <c r="WUF69" s="62"/>
      <c r="WUG69" s="62"/>
      <c r="WUH69" s="62"/>
      <c r="WUI69" s="62"/>
      <c r="WUJ69" s="62"/>
      <c r="WUK69" s="62"/>
      <c r="WUL69" s="62"/>
      <c r="WUM69" s="62"/>
      <c r="WUN69" s="62"/>
      <c r="WUO69" s="62"/>
      <c r="WUP69" s="62"/>
      <c r="WUQ69" s="62"/>
      <c r="WUR69" s="62"/>
      <c r="WUS69" s="62"/>
      <c r="WUT69" s="62"/>
      <c r="WUU69" s="62"/>
      <c r="WUV69" s="62"/>
      <c r="WUW69" s="62"/>
      <c r="WUX69" s="62"/>
      <c r="WUY69" s="62"/>
      <c r="WUZ69" s="62"/>
      <c r="WVA69" s="62"/>
      <c r="WVB69" s="62"/>
      <c r="WVC69" s="62"/>
      <c r="WVD69" s="62"/>
      <c r="WVE69" s="62"/>
      <c r="WVF69" s="62"/>
      <c r="WVG69" s="62"/>
      <c r="WVH69" s="62"/>
      <c r="WVI69" s="62"/>
      <c r="WVJ69" s="62"/>
      <c r="WVK69" s="62"/>
      <c r="WVL69" s="62"/>
      <c r="WVM69" s="62"/>
      <c r="WVN69" s="62"/>
      <c r="WVO69" s="62"/>
      <c r="WVP69" s="62"/>
      <c r="WVQ69" s="62"/>
      <c r="WVR69" s="62"/>
      <c r="WVS69" s="62"/>
      <c r="WVT69" s="62"/>
      <c r="WVU69" s="62"/>
      <c r="WVV69" s="62"/>
      <c r="WVW69" s="62"/>
      <c r="WVX69" s="62"/>
      <c r="WVY69" s="62"/>
      <c r="WVZ69" s="62"/>
      <c r="WWA69" s="62"/>
      <c r="WWB69" s="62"/>
      <c r="WWC69" s="62"/>
      <c r="WWD69" s="62"/>
      <c r="WWE69" s="62"/>
      <c r="WWF69" s="62"/>
      <c r="WWG69" s="62"/>
      <c r="WWH69" s="62"/>
      <c r="WWI69" s="62"/>
      <c r="WWJ69" s="62"/>
      <c r="WWK69" s="62"/>
      <c r="WWL69" s="62"/>
      <c r="WWM69" s="62"/>
      <c r="WWN69" s="62"/>
      <c r="WWO69" s="62"/>
      <c r="WWP69" s="62"/>
      <c r="WWQ69" s="62"/>
      <c r="WWR69" s="62"/>
      <c r="WWS69" s="62"/>
      <c r="WWT69" s="62"/>
      <c r="WWU69" s="62"/>
      <c r="WWV69" s="62"/>
      <c r="WWW69" s="62"/>
      <c r="WWX69" s="62"/>
      <c r="WWY69" s="62"/>
      <c r="WWZ69" s="62"/>
      <c r="WXA69" s="62"/>
      <c r="WXB69" s="62"/>
      <c r="WXC69" s="62"/>
      <c r="WXD69" s="62"/>
      <c r="WXE69" s="62"/>
      <c r="WXF69" s="62"/>
      <c r="WXG69" s="62"/>
      <c r="WXH69" s="62"/>
      <c r="WXI69" s="62"/>
      <c r="WXJ69" s="62"/>
      <c r="WXK69" s="62"/>
      <c r="WXL69" s="62"/>
      <c r="WXM69" s="62"/>
      <c r="WXN69" s="62"/>
      <c r="WXO69" s="62"/>
      <c r="WXP69" s="62"/>
      <c r="WXQ69" s="62"/>
      <c r="WXR69" s="62"/>
      <c r="WXS69" s="62"/>
      <c r="WXT69" s="62"/>
      <c r="WXU69" s="62"/>
      <c r="WXV69" s="62"/>
      <c r="WXW69" s="62"/>
      <c r="WXX69" s="62"/>
      <c r="WXY69" s="62"/>
      <c r="WXZ69" s="62"/>
      <c r="WYA69" s="62"/>
      <c r="WYB69" s="62"/>
      <c r="WYC69" s="62"/>
      <c r="WYD69" s="62"/>
      <c r="WYE69" s="62"/>
      <c r="WYF69" s="62"/>
      <c r="WYG69" s="62"/>
      <c r="WYH69" s="62"/>
      <c r="WYI69" s="62"/>
      <c r="WYJ69" s="62"/>
      <c r="WYK69" s="62"/>
      <c r="WYL69" s="62"/>
      <c r="WYM69" s="62"/>
      <c r="WYN69" s="62"/>
      <c r="WYO69" s="62"/>
      <c r="WYP69" s="62"/>
      <c r="WYQ69" s="62"/>
      <c r="WYR69" s="62"/>
      <c r="WYS69" s="62"/>
      <c r="WYT69" s="62"/>
      <c r="WYU69" s="62"/>
      <c r="WYV69" s="62"/>
      <c r="WYW69" s="62"/>
      <c r="WYX69" s="62"/>
      <c r="WYY69" s="62"/>
      <c r="WYZ69" s="62"/>
      <c r="WZA69" s="62"/>
      <c r="WZB69" s="62"/>
      <c r="WZC69" s="62"/>
      <c r="WZD69" s="62"/>
      <c r="WZE69" s="62"/>
      <c r="WZF69" s="62"/>
      <c r="WZG69" s="62"/>
      <c r="WZH69" s="62"/>
      <c r="WZI69" s="62"/>
      <c r="WZJ69" s="62"/>
      <c r="WZK69" s="62"/>
      <c r="WZL69" s="62"/>
      <c r="WZM69" s="62"/>
      <c r="WZN69" s="62"/>
      <c r="WZO69" s="62"/>
      <c r="WZP69" s="62"/>
      <c r="WZQ69" s="62"/>
      <c r="WZR69" s="62"/>
      <c r="WZS69" s="62"/>
      <c r="WZT69" s="62"/>
      <c r="WZU69" s="62"/>
      <c r="WZV69" s="62"/>
      <c r="WZW69" s="62"/>
      <c r="WZX69" s="62"/>
      <c r="WZY69" s="62"/>
      <c r="WZZ69" s="62"/>
      <c r="XAA69" s="62"/>
      <c r="XAB69" s="62"/>
      <c r="XAC69" s="62"/>
      <c r="XAD69" s="62"/>
      <c r="XAE69" s="62"/>
      <c r="XAF69" s="62"/>
      <c r="XAG69" s="62"/>
      <c r="XAH69" s="62"/>
      <c r="XAI69" s="62"/>
      <c r="XAJ69" s="62"/>
      <c r="XAK69" s="62"/>
      <c r="XAL69" s="62"/>
      <c r="XAM69" s="62"/>
      <c r="XAN69" s="62"/>
      <c r="XAO69" s="62"/>
      <c r="XAP69" s="62"/>
      <c r="XAQ69" s="62"/>
      <c r="XAR69" s="62"/>
      <c r="XAS69" s="62"/>
      <c r="XAT69" s="62"/>
      <c r="XAU69" s="62"/>
      <c r="XAV69" s="62"/>
      <c r="XAW69" s="62"/>
      <c r="XAX69" s="62"/>
      <c r="XAY69" s="62"/>
      <c r="XAZ69" s="62"/>
      <c r="XBA69" s="62"/>
      <c r="XBB69" s="62"/>
      <c r="XBC69" s="62"/>
      <c r="XBD69" s="62"/>
      <c r="XBE69" s="62"/>
      <c r="XBF69" s="62"/>
      <c r="XBG69" s="62"/>
      <c r="XBH69" s="62"/>
      <c r="XBI69" s="62"/>
      <c r="XBJ69" s="62"/>
      <c r="XBK69" s="62"/>
      <c r="XBL69" s="62"/>
      <c r="XBM69" s="62"/>
      <c r="XBN69" s="62"/>
      <c r="XBO69" s="62"/>
      <c r="XBP69" s="62"/>
      <c r="XBQ69" s="62"/>
      <c r="XBR69" s="62"/>
      <c r="XBS69" s="62"/>
      <c r="XBT69" s="62"/>
      <c r="XBU69" s="62"/>
      <c r="XBV69" s="62"/>
      <c r="XBW69" s="62"/>
      <c r="XBX69" s="62"/>
      <c r="XBY69" s="62"/>
      <c r="XBZ69" s="62"/>
      <c r="XCA69" s="62"/>
      <c r="XCB69" s="62"/>
      <c r="XCC69" s="62"/>
      <c r="XCD69" s="62"/>
      <c r="XCE69" s="62"/>
      <c r="XCF69" s="62"/>
      <c r="XCG69" s="62"/>
      <c r="XCH69" s="62"/>
      <c r="XCI69" s="62"/>
      <c r="XCJ69" s="62"/>
      <c r="XCK69" s="62"/>
      <c r="XCL69" s="62"/>
      <c r="XCM69" s="62"/>
      <c r="XCN69" s="62"/>
      <c r="XCO69" s="62"/>
      <c r="XCP69" s="62"/>
      <c r="XCQ69" s="62"/>
      <c r="XCR69" s="62"/>
      <c r="XCS69" s="62"/>
      <c r="XCT69" s="62"/>
      <c r="XCU69" s="62"/>
      <c r="XCV69" s="62"/>
      <c r="XCW69" s="62"/>
      <c r="XCX69" s="62"/>
      <c r="XCY69" s="62"/>
      <c r="XCZ69" s="62"/>
      <c r="XDA69" s="62"/>
      <c r="XDB69" s="62"/>
      <c r="XDC69" s="62"/>
      <c r="XDD69" s="62"/>
      <c r="XDE69" s="62"/>
      <c r="XDF69" s="62"/>
      <c r="XDG69" s="62"/>
      <c r="XDH69" s="62"/>
      <c r="XDI69" s="62"/>
      <c r="XDJ69" s="62"/>
      <c r="XDK69" s="62"/>
      <c r="XDL69" s="62"/>
      <c r="XDM69" s="62"/>
      <c r="XDN69" s="62"/>
      <c r="XDO69" s="62"/>
      <c r="XDP69" s="62"/>
      <c r="XDQ69" s="62"/>
      <c r="XDR69" s="62"/>
      <c r="XDS69" s="62"/>
      <c r="XDT69" s="62"/>
      <c r="XDU69" s="62"/>
      <c r="XDV69" s="62"/>
      <c r="XDW69" s="62"/>
      <c r="XDX69" s="62"/>
      <c r="XDY69" s="62"/>
      <c r="XDZ69" s="62"/>
      <c r="XEA69" s="62"/>
      <c r="XEB69" s="62"/>
      <c r="XEC69" s="62"/>
      <c r="XED69" s="62"/>
      <c r="XEE69" s="62"/>
      <c r="XEF69" s="62"/>
      <c r="XEG69" s="62"/>
      <c r="XEH69" s="62"/>
      <c r="XEI69" s="62"/>
      <c r="XEJ69" s="62"/>
      <c r="XEK69" s="62"/>
      <c r="XEL69" s="62"/>
      <c r="XEM69" s="62"/>
      <c r="XEN69" s="62"/>
      <c r="XEO69" s="62"/>
      <c r="XEP69" s="62"/>
      <c r="XEQ69" s="62"/>
      <c r="XER69" s="62"/>
      <c r="XES69" s="62"/>
      <c r="XET69" s="62"/>
      <c r="XEU69" s="62"/>
      <c r="XEV69" s="62"/>
      <c r="XEW69" s="62"/>
      <c r="XEX69" s="62"/>
      <c r="XEY69" s="62"/>
      <c r="XEZ69" s="62"/>
      <c r="XFA69" s="62"/>
      <c r="XFB69" s="62"/>
      <c r="XFC69" s="62"/>
      <c r="XFD69" s="62"/>
    </row>
    <row r="70" spans="1:16384" x14ac:dyDescent="0.25">
      <c r="A70" s="49">
        <f t="shared" si="2"/>
        <v>10</v>
      </c>
      <c r="B70" s="62" t="s">
        <v>144</v>
      </c>
      <c r="C70" s="51"/>
      <c r="D70" s="51"/>
      <c r="E70" s="51"/>
      <c r="F70" s="51"/>
      <c r="G70" s="51"/>
      <c r="H70" s="51"/>
      <c r="I70" s="51"/>
      <c r="J70" s="51"/>
      <c r="K70" s="51" t="s">
        <v>59</v>
      </c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2"/>
    </row>
    <row r="71" spans="1:16384" x14ac:dyDescent="0.25">
      <c r="A71" s="49">
        <f t="shared" si="2"/>
        <v>11</v>
      </c>
      <c r="B71" s="62" t="s">
        <v>145</v>
      </c>
      <c r="C71" s="51"/>
      <c r="D71" s="51"/>
      <c r="E71" s="51"/>
      <c r="F71" s="51"/>
      <c r="G71" s="51"/>
      <c r="H71" s="51"/>
      <c r="I71" s="51"/>
      <c r="J71" s="51"/>
      <c r="K71" s="51"/>
      <c r="L71" s="51" t="s">
        <v>59</v>
      </c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2"/>
    </row>
    <row r="72" spans="1:16384" x14ac:dyDescent="0.25">
      <c r="A72" s="49">
        <f t="shared" si="2"/>
        <v>12</v>
      </c>
      <c r="B72" s="62" t="s">
        <v>146</v>
      </c>
      <c r="C72" s="51"/>
      <c r="D72" s="51"/>
      <c r="E72" s="51"/>
      <c r="F72" s="51"/>
      <c r="G72" s="51"/>
      <c r="H72" s="51"/>
      <c r="I72" s="51"/>
      <c r="J72" s="51"/>
      <c r="K72" s="51"/>
      <c r="L72" s="51" t="s">
        <v>57</v>
      </c>
      <c r="M72" s="51" t="s">
        <v>59</v>
      </c>
      <c r="N72" s="51" t="s">
        <v>59</v>
      </c>
      <c r="O72" s="51"/>
      <c r="P72" s="51"/>
      <c r="Q72" s="51"/>
      <c r="R72" s="51"/>
      <c r="S72" s="51" t="s">
        <v>59</v>
      </c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2"/>
    </row>
    <row r="73" spans="1:16384" x14ac:dyDescent="0.25">
      <c r="A73" s="49">
        <f t="shared" si="2"/>
        <v>13</v>
      </c>
      <c r="B73" s="62" t="s">
        <v>147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 t="s">
        <v>59</v>
      </c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2"/>
    </row>
    <row r="74" spans="1:16384" x14ac:dyDescent="0.25">
      <c r="A74" s="49">
        <f t="shared" si="2"/>
        <v>14</v>
      </c>
      <c r="B74" s="62" t="s">
        <v>148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 t="s">
        <v>58</v>
      </c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 t="s">
        <v>58</v>
      </c>
      <c r="AD74" s="51"/>
      <c r="AE74" s="51"/>
      <c r="AF74" s="51"/>
      <c r="AG74" s="51"/>
      <c r="AH74" s="52"/>
    </row>
    <row r="75" spans="1:16384" x14ac:dyDescent="0.25">
      <c r="A75" s="49">
        <f t="shared" si="2"/>
        <v>15</v>
      </c>
      <c r="B75" s="62" t="s">
        <v>149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 t="s">
        <v>59</v>
      </c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2"/>
    </row>
    <row r="76" spans="1:16384" x14ac:dyDescent="0.25">
      <c r="A76" s="49">
        <f t="shared" si="2"/>
        <v>16</v>
      </c>
      <c r="B76" s="62" t="s">
        <v>150</v>
      </c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 t="s">
        <v>57</v>
      </c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 t="s">
        <v>58</v>
      </c>
      <c r="AD76" s="51"/>
      <c r="AE76" s="51"/>
      <c r="AF76" s="51"/>
      <c r="AG76" s="51"/>
      <c r="AH76" s="52"/>
    </row>
    <row r="77" spans="1:16384" x14ac:dyDescent="0.25">
      <c r="A77" s="49">
        <f t="shared" si="2"/>
        <v>17</v>
      </c>
      <c r="B77" s="62" t="s">
        <v>151</v>
      </c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 t="s">
        <v>58</v>
      </c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2"/>
    </row>
    <row r="78" spans="1:16384" x14ac:dyDescent="0.25">
      <c r="A78" s="49">
        <f t="shared" si="2"/>
        <v>18</v>
      </c>
      <c r="B78" s="62" t="s">
        <v>143</v>
      </c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 t="s">
        <v>59</v>
      </c>
      <c r="S78" s="51"/>
      <c r="T78" s="51" t="s">
        <v>57</v>
      </c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2"/>
    </row>
    <row r="79" spans="1:16384" x14ac:dyDescent="0.25">
      <c r="A79" s="49">
        <f t="shared" si="2"/>
        <v>19</v>
      </c>
      <c r="B79" s="62" t="s">
        <v>152</v>
      </c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 t="s">
        <v>57</v>
      </c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2"/>
    </row>
    <row r="80" spans="1:16384" x14ac:dyDescent="0.25">
      <c r="A80" s="49">
        <f t="shared" si="2"/>
        <v>20</v>
      </c>
      <c r="B80" s="62" t="s">
        <v>153</v>
      </c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 t="s">
        <v>58</v>
      </c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 t="s">
        <v>59</v>
      </c>
      <c r="AH80" s="52"/>
    </row>
    <row r="81" spans="1:16384" x14ac:dyDescent="0.25">
      <c r="A81" s="49">
        <f t="shared" si="2"/>
        <v>21</v>
      </c>
      <c r="B81" s="62" t="s">
        <v>154</v>
      </c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 t="s">
        <v>57</v>
      </c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2"/>
    </row>
    <row r="82" spans="1:16384" x14ac:dyDescent="0.25">
      <c r="A82" s="49">
        <f t="shared" si="2"/>
        <v>22</v>
      </c>
      <c r="B82" s="62" t="s">
        <v>155</v>
      </c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 t="s">
        <v>58</v>
      </c>
      <c r="T82" s="51"/>
      <c r="U82" s="51"/>
      <c r="V82" s="51"/>
      <c r="W82" s="51"/>
      <c r="X82" s="51"/>
      <c r="Y82" s="51"/>
      <c r="Z82" s="51"/>
      <c r="AA82" s="51"/>
      <c r="AB82" s="51"/>
      <c r="AC82" s="51" t="s">
        <v>58</v>
      </c>
      <c r="AD82" s="51"/>
      <c r="AE82" s="51"/>
      <c r="AF82" s="51"/>
      <c r="AG82" s="51"/>
      <c r="AH82" s="52"/>
    </row>
    <row r="83" spans="1:16384" x14ac:dyDescent="0.25">
      <c r="A83" s="49">
        <f t="shared" si="2"/>
        <v>23</v>
      </c>
      <c r="B83" s="62" t="s">
        <v>156</v>
      </c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 t="s">
        <v>58</v>
      </c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2"/>
    </row>
    <row r="84" spans="1:16384" x14ac:dyDescent="0.25">
      <c r="A84" s="49">
        <f t="shared" si="2"/>
        <v>24</v>
      </c>
      <c r="B84" s="62" t="s">
        <v>157</v>
      </c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 t="s">
        <v>59</v>
      </c>
      <c r="AD84" s="51"/>
      <c r="AE84" s="51"/>
      <c r="AF84" s="51"/>
      <c r="AG84" s="51"/>
      <c r="AH84" s="52"/>
    </row>
    <row r="85" spans="1:16384" x14ac:dyDescent="0.25">
      <c r="A85" s="49">
        <f t="shared" si="2"/>
        <v>25</v>
      </c>
      <c r="B85" s="62" t="s">
        <v>158</v>
      </c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 t="s">
        <v>57</v>
      </c>
      <c r="AD85" s="51"/>
      <c r="AE85" s="51"/>
      <c r="AF85" s="51"/>
      <c r="AG85" s="51"/>
      <c r="AH85" s="52"/>
    </row>
    <row r="86" spans="1:16384" x14ac:dyDescent="0.25">
      <c r="A86" s="49">
        <f t="shared" si="2"/>
        <v>26</v>
      </c>
      <c r="B86" s="62" t="s">
        <v>159</v>
      </c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 t="s">
        <v>58</v>
      </c>
      <c r="AD86" s="51"/>
      <c r="AE86" s="51"/>
      <c r="AF86" s="51"/>
      <c r="AG86" s="51"/>
      <c r="AH86" s="52"/>
    </row>
    <row r="87" spans="1:16384" x14ac:dyDescent="0.25">
      <c r="A87" s="49">
        <f t="shared" si="2"/>
        <v>27</v>
      </c>
      <c r="B87" s="62" t="s">
        <v>160</v>
      </c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 t="s">
        <v>58</v>
      </c>
      <c r="AD87" s="51"/>
      <c r="AE87" s="51"/>
      <c r="AF87" s="51"/>
      <c r="AG87" s="51"/>
      <c r="AH87" s="52"/>
    </row>
    <row r="88" spans="1:16384" x14ac:dyDescent="0.25">
      <c r="A88" s="49">
        <f t="shared" si="2"/>
        <v>28</v>
      </c>
      <c r="B88" s="62" t="s">
        <v>161</v>
      </c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 t="s">
        <v>58</v>
      </c>
      <c r="AD88" s="51"/>
      <c r="AE88" s="51"/>
      <c r="AF88" s="51"/>
      <c r="AG88" s="51"/>
      <c r="AH88" s="52"/>
    </row>
    <row r="89" spans="1:16384" x14ac:dyDescent="0.25">
      <c r="A89" s="49">
        <f t="shared" si="2"/>
        <v>29</v>
      </c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62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  <c r="DK89" s="62"/>
      <c r="DL89" s="62"/>
      <c r="DM89" s="62"/>
      <c r="DN89" s="62"/>
      <c r="DO89" s="62"/>
      <c r="DP89" s="62"/>
      <c r="DQ89" s="62"/>
      <c r="DR89" s="62"/>
      <c r="DS89" s="62"/>
      <c r="DT89" s="62"/>
      <c r="DU89" s="62"/>
      <c r="DV89" s="62"/>
      <c r="DW89" s="62"/>
      <c r="DX89" s="62"/>
      <c r="DY89" s="62"/>
      <c r="DZ89" s="62"/>
      <c r="EA89" s="62"/>
      <c r="EB89" s="62"/>
      <c r="EC89" s="62"/>
      <c r="ED89" s="62"/>
      <c r="EE89" s="62"/>
      <c r="EF89" s="62"/>
      <c r="EG89" s="62"/>
      <c r="EH89" s="62"/>
      <c r="EI89" s="62"/>
      <c r="EJ89" s="62"/>
      <c r="EK89" s="62"/>
      <c r="EL89" s="62"/>
      <c r="EM89" s="62"/>
      <c r="EN89" s="62"/>
      <c r="EO89" s="62"/>
      <c r="EP89" s="62"/>
      <c r="EQ89" s="62"/>
      <c r="ER89" s="62"/>
      <c r="ES89" s="62"/>
      <c r="ET89" s="62"/>
      <c r="EU89" s="62"/>
      <c r="EV89" s="62"/>
      <c r="EW89" s="62"/>
      <c r="EX89" s="62"/>
      <c r="EY89" s="62"/>
      <c r="EZ89" s="62"/>
      <c r="FA89" s="62"/>
      <c r="FB89" s="62"/>
      <c r="FC89" s="62"/>
      <c r="FD89" s="62"/>
      <c r="FE89" s="62"/>
      <c r="FF89" s="62"/>
      <c r="FG89" s="62"/>
      <c r="FH89" s="62"/>
      <c r="FI89" s="62"/>
      <c r="FJ89" s="62"/>
      <c r="FK89" s="62"/>
      <c r="FL89" s="62"/>
      <c r="FM89" s="62"/>
      <c r="FN89" s="62"/>
      <c r="FO89" s="62"/>
      <c r="FP89" s="62"/>
      <c r="FQ89" s="62"/>
      <c r="FR89" s="62"/>
      <c r="FS89" s="62"/>
      <c r="FT89" s="62"/>
      <c r="FU89" s="62"/>
      <c r="FV89" s="62"/>
      <c r="FW89" s="62"/>
      <c r="FX89" s="62"/>
      <c r="FY89" s="62"/>
      <c r="FZ89" s="62"/>
      <c r="GA89" s="62"/>
      <c r="GB89" s="62"/>
      <c r="GC89" s="62"/>
      <c r="GD89" s="62"/>
      <c r="GE89" s="62"/>
      <c r="GF89" s="62"/>
      <c r="GG89" s="62"/>
      <c r="GH89" s="62"/>
      <c r="GI89" s="62"/>
      <c r="GJ89" s="62"/>
      <c r="GK89" s="62"/>
      <c r="GL89" s="62"/>
      <c r="GM89" s="62"/>
      <c r="GN89" s="62"/>
      <c r="GO89" s="62"/>
      <c r="GP89" s="62"/>
      <c r="GQ89" s="62"/>
      <c r="GR89" s="62"/>
      <c r="GS89" s="62"/>
      <c r="GT89" s="62"/>
      <c r="GU89" s="62"/>
      <c r="GV89" s="62"/>
      <c r="GW89" s="62"/>
      <c r="GX89" s="62"/>
      <c r="GY89" s="62"/>
      <c r="GZ89" s="62"/>
      <c r="HA89" s="62"/>
      <c r="HB89" s="62"/>
      <c r="HC89" s="62"/>
      <c r="HD89" s="62"/>
      <c r="HE89" s="62"/>
      <c r="HF89" s="62"/>
      <c r="HG89" s="62"/>
      <c r="HH89" s="62"/>
      <c r="HI89" s="62"/>
      <c r="HJ89" s="62"/>
      <c r="HK89" s="62"/>
      <c r="HL89" s="62"/>
      <c r="HM89" s="62"/>
      <c r="HN89" s="62"/>
      <c r="HO89" s="62"/>
      <c r="HP89" s="62"/>
      <c r="HQ89" s="62"/>
      <c r="HR89" s="62"/>
      <c r="HS89" s="62"/>
      <c r="HT89" s="62"/>
      <c r="HU89" s="62"/>
      <c r="HV89" s="62"/>
      <c r="HW89" s="62"/>
      <c r="HX89" s="62"/>
      <c r="HY89" s="62"/>
      <c r="HZ89" s="62"/>
      <c r="IA89" s="62"/>
      <c r="IB89" s="62"/>
      <c r="IC89" s="62"/>
      <c r="ID89" s="62"/>
      <c r="IE89" s="62"/>
      <c r="IF89" s="62"/>
      <c r="IG89" s="62"/>
      <c r="IH89" s="62"/>
      <c r="II89" s="62"/>
      <c r="IJ89" s="62"/>
      <c r="IK89" s="62"/>
      <c r="IL89" s="62"/>
      <c r="IM89" s="62"/>
      <c r="IN89" s="62"/>
      <c r="IO89" s="62"/>
      <c r="IP89" s="62"/>
      <c r="IQ89" s="62"/>
      <c r="IR89" s="62"/>
      <c r="IS89" s="62"/>
      <c r="IT89" s="62"/>
      <c r="IU89" s="62"/>
      <c r="IV89" s="62"/>
      <c r="IW89" s="62"/>
      <c r="IX89" s="62"/>
      <c r="IY89" s="62"/>
      <c r="IZ89" s="62"/>
      <c r="JA89" s="62"/>
      <c r="JB89" s="62"/>
      <c r="JC89" s="62"/>
      <c r="JD89" s="62"/>
      <c r="JE89" s="62"/>
      <c r="JF89" s="62"/>
      <c r="JG89" s="62"/>
      <c r="JH89" s="62"/>
      <c r="JI89" s="62"/>
      <c r="JJ89" s="62"/>
      <c r="JK89" s="62"/>
      <c r="JL89" s="62"/>
      <c r="JM89" s="62"/>
      <c r="JN89" s="62"/>
      <c r="JO89" s="62"/>
      <c r="JP89" s="62"/>
      <c r="JQ89" s="62"/>
      <c r="JR89" s="62"/>
      <c r="JS89" s="62"/>
      <c r="JT89" s="62"/>
      <c r="JU89" s="62"/>
      <c r="JV89" s="62"/>
      <c r="JW89" s="62"/>
      <c r="JX89" s="62"/>
      <c r="JY89" s="62"/>
      <c r="JZ89" s="62"/>
      <c r="KA89" s="62"/>
      <c r="KB89" s="62"/>
      <c r="KC89" s="62"/>
      <c r="KD89" s="62"/>
      <c r="KE89" s="62"/>
      <c r="KF89" s="62"/>
      <c r="KG89" s="62"/>
      <c r="KH89" s="62"/>
      <c r="KI89" s="62"/>
      <c r="KJ89" s="62"/>
      <c r="KK89" s="62"/>
      <c r="KL89" s="62"/>
      <c r="KM89" s="62"/>
      <c r="KN89" s="62"/>
      <c r="KO89" s="62"/>
      <c r="KP89" s="62"/>
      <c r="KQ89" s="62"/>
      <c r="KR89" s="62"/>
      <c r="KS89" s="62"/>
      <c r="KT89" s="62"/>
      <c r="KU89" s="62"/>
      <c r="KV89" s="62"/>
      <c r="KW89" s="62"/>
      <c r="KX89" s="62"/>
      <c r="KY89" s="62"/>
      <c r="KZ89" s="62"/>
      <c r="LA89" s="62"/>
      <c r="LB89" s="62"/>
      <c r="LC89" s="62"/>
      <c r="LD89" s="62"/>
      <c r="LE89" s="62"/>
      <c r="LF89" s="62"/>
      <c r="LG89" s="62"/>
      <c r="LH89" s="62"/>
      <c r="LI89" s="62"/>
      <c r="LJ89" s="62"/>
      <c r="LK89" s="62"/>
      <c r="LL89" s="62"/>
      <c r="LM89" s="62"/>
      <c r="LN89" s="62"/>
      <c r="LO89" s="62"/>
      <c r="LP89" s="62"/>
      <c r="LQ89" s="62"/>
      <c r="LR89" s="62"/>
      <c r="LS89" s="62"/>
      <c r="LT89" s="62"/>
      <c r="LU89" s="62"/>
      <c r="LV89" s="62"/>
      <c r="LW89" s="62"/>
      <c r="LX89" s="62"/>
      <c r="LY89" s="62"/>
      <c r="LZ89" s="62"/>
      <c r="MA89" s="62"/>
      <c r="MB89" s="62"/>
      <c r="MC89" s="62"/>
      <c r="MD89" s="62"/>
      <c r="ME89" s="62"/>
      <c r="MF89" s="62"/>
      <c r="MG89" s="62"/>
      <c r="MH89" s="62"/>
      <c r="MI89" s="62"/>
      <c r="MJ89" s="62"/>
      <c r="MK89" s="62"/>
      <c r="ML89" s="62"/>
      <c r="MM89" s="62"/>
      <c r="MN89" s="62"/>
      <c r="MO89" s="62"/>
      <c r="MP89" s="62"/>
      <c r="MQ89" s="62"/>
      <c r="MR89" s="62"/>
      <c r="MS89" s="62"/>
      <c r="MT89" s="62"/>
      <c r="MU89" s="62"/>
      <c r="MV89" s="62"/>
      <c r="MW89" s="62"/>
      <c r="MX89" s="62"/>
      <c r="MY89" s="62"/>
      <c r="MZ89" s="62"/>
      <c r="NA89" s="62"/>
      <c r="NB89" s="62"/>
      <c r="NC89" s="62"/>
      <c r="ND89" s="62"/>
      <c r="NE89" s="62"/>
      <c r="NF89" s="62"/>
      <c r="NG89" s="62"/>
      <c r="NH89" s="62"/>
      <c r="NI89" s="62"/>
      <c r="NJ89" s="62"/>
      <c r="NK89" s="62"/>
      <c r="NL89" s="62"/>
      <c r="NM89" s="62"/>
      <c r="NN89" s="62"/>
      <c r="NO89" s="62"/>
      <c r="NP89" s="62"/>
      <c r="NQ89" s="62"/>
      <c r="NR89" s="62"/>
      <c r="NS89" s="62"/>
      <c r="NT89" s="62"/>
      <c r="NU89" s="62"/>
      <c r="NV89" s="62"/>
      <c r="NW89" s="62"/>
      <c r="NX89" s="62"/>
      <c r="NY89" s="62"/>
      <c r="NZ89" s="62"/>
      <c r="OA89" s="62"/>
      <c r="OB89" s="62"/>
      <c r="OC89" s="62"/>
      <c r="OD89" s="62"/>
      <c r="OE89" s="62"/>
      <c r="OF89" s="62"/>
      <c r="OG89" s="62"/>
      <c r="OH89" s="62"/>
      <c r="OI89" s="62"/>
      <c r="OJ89" s="62"/>
      <c r="OK89" s="62"/>
      <c r="OL89" s="62"/>
      <c r="OM89" s="62"/>
      <c r="ON89" s="62"/>
      <c r="OO89" s="62"/>
      <c r="OP89" s="62"/>
      <c r="OQ89" s="62"/>
      <c r="OR89" s="62"/>
      <c r="OS89" s="62"/>
      <c r="OT89" s="62"/>
      <c r="OU89" s="62"/>
      <c r="OV89" s="62"/>
      <c r="OW89" s="62"/>
      <c r="OX89" s="62"/>
      <c r="OY89" s="62"/>
      <c r="OZ89" s="62"/>
      <c r="PA89" s="62"/>
      <c r="PB89" s="62"/>
      <c r="PC89" s="62"/>
      <c r="PD89" s="62"/>
      <c r="PE89" s="62"/>
      <c r="PF89" s="62"/>
      <c r="PG89" s="62"/>
      <c r="PH89" s="62"/>
      <c r="PI89" s="62"/>
      <c r="PJ89" s="62"/>
      <c r="PK89" s="62"/>
      <c r="PL89" s="62"/>
      <c r="PM89" s="62"/>
      <c r="PN89" s="62"/>
      <c r="PO89" s="62"/>
      <c r="PP89" s="62"/>
      <c r="PQ89" s="62"/>
      <c r="PR89" s="62"/>
      <c r="PS89" s="62"/>
      <c r="PT89" s="62"/>
      <c r="PU89" s="62"/>
      <c r="PV89" s="62"/>
      <c r="PW89" s="62"/>
      <c r="PX89" s="62"/>
      <c r="PY89" s="62"/>
      <c r="PZ89" s="62"/>
      <c r="QA89" s="62"/>
      <c r="QB89" s="62"/>
      <c r="QC89" s="62"/>
      <c r="QD89" s="62"/>
      <c r="QE89" s="62"/>
      <c r="QF89" s="62"/>
      <c r="QG89" s="62"/>
      <c r="QH89" s="62"/>
      <c r="QI89" s="62"/>
      <c r="QJ89" s="62"/>
      <c r="QK89" s="62"/>
      <c r="QL89" s="62"/>
      <c r="QM89" s="62"/>
      <c r="QN89" s="62"/>
      <c r="QO89" s="62"/>
      <c r="QP89" s="62"/>
      <c r="QQ89" s="62"/>
      <c r="QR89" s="62"/>
      <c r="QS89" s="62"/>
      <c r="QT89" s="62"/>
      <c r="QU89" s="62"/>
      <c r="QV89" s="62"/>
      <c r="QW89" s="62"/>
      <c r="QX89" s="62"/>
      <c r="QY89" s="62"/>
      <c r="QZ89" s="62"/>
      <c r="RA89" s="62"/>
      <c r="RB89" s="62"/>
      <c r="RC89" s="62"/>
      <c r="RD89" s="62"/>
      <c r="RE89" s="62"/>
      <c r="RF89" s="62"/>
      <c r="RG89" s="62"/>
      <c r="RH89" s="62"/>
      <c r="RI89" s="62"/>
      <c r="RJ89" s="62"/>
      <c r="RK89" s="62"/>
      <c r="RL89" s="62"/>
      <c r="RM89" s="62"/>
      <c r="RN89" s="62"/>
      <c r="RO89" s="62"/>
      <c r="RP89" s="62"/>
      <c r="RQ89" s="62"/>
      <c r="RR89" s="62"/>
      <c r="RS89" s="62"/>
      <c r="RT89" s="62"/>
      <c r="RU89" s="62"/>
      <c r="RV89" s="62"/>
      <c r="RW89" s="62"/>
      <c r="RX89" s="62"/>
      <c r="RY89" s="62"/>
      <c r="RZ89" s="62"/>
      <c r="SA89" s="62"/>
      <c r="SB89" s="62"/>
      <c r="SC89" s="62"/>
      <c r="SD89" s="62"/>
      <c r="SE89" s="62"/>
      <c r="SF89" s="62"/>
      <c r="SG89" s="62"/>
      <c r="SH89" s="62"/>
      <c r="SI89" s="62"/>
      <c r="SJ89" s="62"/>
      <c r="SK89" s="62"/>
      <c r="SL89" s="62"/>
      <c r="SM89" s="62"/>
      <c r="SN89" s="62"/>
      <c r="SO89" s="62"/>
      <c r="SP89" s="62"/>
      <c r="SQ89" s="62"/>
      <c r="SR89" s="62"/>
      <c r="SS89" s="62"/>
      <c r="ST89" s="62"/>
      <c r="SU89" s="62"/>
      <c r="SV89" s="62"/>
      <c r="SW89" s="62"/>
      <c r="SX89" s="62"/>
      <c r="SY89" s="62"/>
      <c r="SZ89" s="62"/>
      <c r="TA89" s="62"/>
      <c r="TB89" s="62"/>
      <c r="TC89" s="62"/>
      <c r="TD89" s="62"/>
      <c r="TE89" s="62"/>
      <c r="TF89" s="62"/>
      <c r="TG89" s="62"/>
      <c r="TH89" s="62"/>
      <c r="TI89" s="62"/>
      <c r="TJ89" s="62"/>
      <c r="TK89" s="62"/>
      <c r="TL89" s="62"/>
      <c r="TM89" s="62"/>
      <c r="TN89" s="62"/>
      <c r="TO89" s="62"/>
      <c r="TP89" s="62"/>
      <c r="TQ89" s="62"/>
      <c r="TR89" s="62"/>
      <c r="TS89" s="62"/>
      <c r="TT89" s="62"/>
      <c r="TU89" s="62"/>
      <c r="TV89" s="62"/>
      <c r="TW89" s="62"/>
      <c r="TX89" s="62"/>
      <c r="TY89" s="62"/>
      <c r="TZ89" s="62"/>
      <c r="UA89" s="62"/>
      <c r="UB89" s="62"/>
      <c r="UC89" s="62"/>
      <c r="UD89" s="62"/>
      <c r="UE89" s="62"/>
      <c r="UF89" s="62"/>
      <c r="UG89" s="62"/>
      <c r="UH89" s="62"/>
      <c r="UI89" s="62"/>
      <c r="UJ89" s="62"/>
      <c r="UK89" s="62"/>
      <c r="UL89" s="62"/>
      <c r="UM89" s="62"/>
      <c r="UN89" s="62"/>
      <c r="UO89" s="62"/>
      <c r="UP89" s="62"/>
      <c r="UQ89" s="62"/>
      <c r="UR89" s="62"/>
      <c r="US89" s="62"/>
      <c r="UT89" s="62"/>
      <c r="UU89" s="62"/>
      <c r="UV89" s="62"/>
      <c r="UW89" s="62"/>
      <c r="UX89" s="62"/>
      <c r="UY89" s="62"/>
      <c r="UZ89" s="62"/>
      <c r="VA89" s="62"/>
      <c r="VB89" s="62"/>
      <c r="VC89" s="62"/>
      <c r="VD89" s="62"/>
      <c r="VE89" s="62"/>
      <c r="VF89" s="62"/>
      <c r="VG89" s="62"/>
      <c r="VH89" s="62"/>
      <c r="VI89" s="62"/>
      <c r="VJ89" s="62"/>
      <c r="VK89" s="62"/>
      <c r="VL89" s="62"/>
      <c r="VM89" s="62"/>
      <c r="VN89" s="62"/>
      <c r="VO89" s="62"/>
      <c r="VP89" s="62"/>
      <c r="VQ89" s="62"/>
      <c r="VR89" s="62"/>
      <c r="VS89" s="62"/>
      <c r="VT89" s="62"/>
      <c r="VU89" s="62"/>
      <c r="VV89" s="62"/>
      <c r="VW89" s="62"/>
      <c r="VX89" s="62"/>
      <c r="VY89" s="62"/>
      <c r="VZ89" s="62"/>
      <c r="WA89" s="62"/>
      <c r="WB89" s="62"/>
      <c r="WC89" s="62"/>
      <c r="WD89" s="62"/>
      <c r="WE89" s="62"/>
      <c r="WF89" s="62"/>
      <c r="WG89" s="62"/>
      <c r="WH89" s="62"/>
      <c r="WI89" s="62"/>
      <c r="WJ89" s="62"/>
      <c r="WK89" s="62"/>
      <c r="WL89" s="62"/>
      <c r="WM89" s="62"/>
      <c r="WN89" s="62"/>
      <c r="WO89" s="62"/>
      <c r="WP89" s="62"/>
      <c r="WQ89" s="62"/>
      <c r="WR89" s="62"/>
      <c r="WS89" s="62"/>
      <c r="WT89" s="62"/>
      <c r="WU89" s="62"/>
      <c r="WV89" s="62"/>
      <c r="WW89" s="62"/>
      <c r="WX89" s="62"/>
      <c r="WY89" s="62"/>
      <c r="WZ89" s="62"/>
      <c r="XA89" s="62"/>
      <c r="XB89" s="62"/>
      <c r="XC89" s="62"/>
      <c r="XD89" s="62"/>
      <c r="XE89" s="62"/>
      <c r="XF89" s="62"/>
      <c r="XG89" s="62"/>
      <c r="XH89" s="62"/>
      <c r="XI89" s="62"/>
      <c r="XJ89" s="62"/>
      <c r="XK89" s="62"/>
      <c r="XL89" s="62"/>
      <c r="XM89" s="62"/>
      <c r="XN89" s="62"/>
      <c r="XO89" s="62"/>
      <c r="XP89" s="62"/>
      <c r="XQ89" s="62"/>
      <c r="XR89" s="62"/>
      <c r="XS89" s="62"/>
      <c r="XT89" s="62"/>
      <c r="XU89" s="62"/>
      <c r="XV89" s="62"/>
      <c r="XW89" s="62"/>
      <c r="XX89" s="62"/>
      <c r="XY89" s="62"/>
      <c r="XZ89" s="62"/>
      <c r="YA89" s="62"/>
      <c r="YB89" s="62"/>
      <c r="YC89" s="62"/>
      <c r="YD89" s="62"/>
      <c r="YE89" s="62"/>
      <c r="YF89" s="62"/>
      <c r="YG89" s="62"/>
      <c r="YH89" s="62"/>
      <c r="YI89" s="62"/>
      <c r="YJ89" s="62"/>
      <c r="YK89" s="62"/>
      <c r="YL89" s="62"/>
      <c r="YM89" s="62"/>
      <c r="YN89" s="62"/>
      <c r="YO89" s="62"/>
      <c r="YP89" s="62"/>
      <c r="YQ89" s="62"/>
      <c r="YR89" s="62"/>
      <c r="YS89" s="62"/>
      <c r="YT89" s="62"/>
      <c r="YU89" s="62"/>
      <c r="YV89" s="62"/>
      <c r="YW89" s="62"/>
      <c r="YX89" s="62"/>
      <c r="YY89" s="62"/>
      <c r="YZ89" s="62"/>
      <c r="ZA89" s="62"/>
      <c r="ZB89" s="62"/>
      <c r="ZC89" s="62"/>
      <c r="ZD89" s="62"/>
      <c r="ZE89" s="62"/>
      <c r="ZF89" s="62"/>
      <c r="ZG89" s="62"/>
      <c r="ZH89" s="62"/>
      <c r="ZI89" s="62"/>
      <c r="ZJ89" s="62"/>
      <c r="ZK89" s="62"/>
      <c r="ZL89" s="62"/>
      <c r="ZM89" s="62"/>
      <c r="ZN89" s="62"/>
      <c r="ZO89" s="62"/>
      <c r="ZP89" s="62"/>
      <c r="ZQ89" s="62"/>
      <c r="ZR89" s="62"/>
      <c r="ZS89" s="62"/>
      <c r="ZT89" s="62"/>
      <c r="ZU89" s="62"/>
      <c r="ZV89" s="62"/>
      <c r="ZW89" s="62"/>
      <c r="ZX89" s="62"/>
      <c r="ZY89" s="62"/>
      <c r="ZZ89" s="62"/>
      <c r="AAA89" s="62"/>
      <c r="AAB89" s="62"/>
      <c r="AAC89" s="62"/>
      <c r="AAD89" s="62"/>
      <c r="AAE89" s="62"/>
      <c r="AAF89" s="62"/>
      <c r="AAG89" s="62"/>
      <c r="AAH89" s="62"/>
      <c r="AAI89" s="62"/>
      <c r="AAJ89" s="62"/>
      <c r="AAK89" s="62"/>
      <c r="AAL89" s="62"/>
      <c r="AAM89" s="62"/>
      <c r="AAN89" s="62"/>
      <c r="AAO89" s="62"/>
      <c r="AAP89" s="62"/>
      <c r="AAQ89" s="62"/>
      <c r="AAR89" s="62"/>
      <c r="AAS89" s="62"/>
      <c r="AAT89" s="62"/>
      <c r="AAU89" s="62"/>
      <c r="AAV89" s="62"/>
      <c r="AAW89" s="62"/>
      <c r="AAX89" s="62"/>
      <c r="AAY89" s="62"/>
      <c r="AAZ89" s="62"/>
      <c r="ABA89" s="62"/>
      <c r="ABB89" s="62"/>
      <c r="ABC89" s="62"/>
      <c r="ABD89" s="62"/>
      <c r="ABE89" s="62"/>
      <c r="ABF89" s="62"/>
      <c r="ABG89" s="62"/>
      <c r="ABH89" s="62"/>
      <c r="ABI89" s="62"/>
      <c r="ABJ89" s="62"/>
      <c r="ABK89" s="62"/>
      <c r="ABL89" s="62"/>
      <c r="ABM89" s="62"/>
      <c r="ABN89" s="62"/>
      <c r="ABO89" s="62"/>
      <c r="ABP89" s="62"/>
      <c r="ABQ89" s="62"/>
      <c r="ABR89" s="62"/>
      <c r="ABS89" s="62"/>
      <c r="ABT89" s="62"/>
      <c r="ABU89" s="62"/>
      <c r="ABV89" s="62"/>
      <c r="ABW89" s="62"/>
      <c r="ABX89" s="62"/>
      <c r="ABY89" s="62"/>
      <c r="ABZ89" s="62"/>
      <c r="ACA89" s="62"/>
      <c r="ACB89" s="62"/>
      <c r="ACC89" s="62"/>
      <c r="ACD89" s="62"/>
      <c r="ACE89" s="62"/>
      <c r="ACF89" s="62"/>
      <c r="ACG89" s="62"/>
      <c r="ACH89" s="62"/>
      <c r="ACI89" s="62"/>
      <c r="ACJ89" s="62"/>
      <c r="ACK89" s="62"/>
      <c r="ACL89" s="62"/>
      <c r="ACM89" s="62"/>
      <c r="ACN89" s="62"/>
      <c r="ACO89" s="62"/>
      <c r="ACP89" s="62"/>
      <c r="ACQ89" s="62"/>
      <c r="ACR89" s="62"/>
      <c r="ACS89" s="62"/>
      <c r="ACT89" s="62"/>
      <c r="ACU89" s="62"/>
      <c r="ACV89" s="62"/>
      <c r="ACW89" s="62"/>
      <c r="ACX89" s="62"/>
      <c r="ACY89" s="62"/>
      <c r="ACZ89" s="62"/>
      <c r="ADA89" s="62"/>
      <c r="ADB89" s="62"/>
      <c r="ADC89" s="62"/>
      <c r="ADD89" s="62"/>
      <c r="ADE89" s="62"/>
      <c r="ADF89" s="62"/>
      <c r="ADG89" s="62"/>
      <c r="ADH89" s="62"/>
      <c r="ADI89" s="62"/>
      <c r="ADJ89" s="62"/>
      <c r="ADK89" s="62"/>
      <c r="ADL89" s="62"/>
      <c r="ADM89" s="62"/>
      <c r="ADN89" s="62"/>
      <c r="ADO89" s="62"/>
      <c r="ADP89" s="62"/>
      <c r="ADQ89" s="62"/>
      <c r="ADR89" s="62"/>
      <c r="ADS89" s="62"/>
      <c r="ADT89" s="62"/>
      <c r="ADU89" s="62"/>
      <c r="ADV89" s="62"/>
      <c r="ADW89" s="62"/>
      <c r="ADX89" s="62"/>
      <c r="ADY89" s="62"/>
      <c r="ADZ89" s="62"/>
      <c r="AEA89" s="62"/>
      <c r="AEB89" s="62"/>
      <c r="AEC89" s="62"/>
      <c r="AED89" s="62"/>
      <c r="AEE89" s="62"/>
      <c r="AEF89" s="62"/>
      <c r="AEG89" s="62"/>
      <c r="AEH89" s="62"/>
      <c r="AEI89" s="62"/>
      <c r="AEJ89" s="62"/>
      <c r="AEK89" s="62"/>
      <c r="AEL89" s="62"/>
      <c r="AEM89" s="62"/>
      <c r="AEN89" s="62"/>
      <c r="AEO89" s="62"/>
      <c r="AEP89" s="62"/>
      <c r="AEQ89" s="62"/>
      <c r="AER89" s="62"/>
      <c r="AES89" s="62"/>
      <c r="AET89" s="62"/>
      <c r="AEU89" s="62"/>
      <c r="AEV89" s="62"/>
      <c r="AEW89" s="62"/>
      <c r="AEX89" s="62"/>
      <c r="AEY89" s="62"/>
      <c r="AEZ89" s="62"/>
      <c r="AFA89" s="62"/>
      <c r="AFB89" s="62"/>
      <c r="AFC89" s="62"/>
      <c r="AFD89" s="62"/>
      <c r="AFE89" s="62"/>
      <c r="AFF89" s="62"/>
      <c r="AFG89" s="62"/>
      <c r="AFH89" s="62"/>
      <c r="AFI89" s="62"/>
      <c r="AFJ89" s="62"/>
      <c r="AFK89" s="62"/>
      <c r="AFL89" s="62"/>
      <c r="AFM89" s="62"/>
      <c r="AFN89" s="62"/>
      <c r="AFO89" s="62"/>
      <c r="AFP89" s="62"/>
      <c r="AFQ89" s="62"/>
      <c r="AFR89" s="62"/>
      <c r="AFS89" s="62"/>
      <c r="AFT89" s="62"/>
      <c r="AFU89" s="62"/>
      <c r="AFV89" s="62"/>
      <c r="AFW89" s="62"/>
      <c r="AFX89" s="62"/>
      <c r="AFY89" s="62"/>
      <c r="AFZ89" s="62"/>
      <c r="AGA89" s="62"/>
      <c r="AGB89" s="62"/>
      <c r="AGC89" s="62"/>
      <c r="AGD89" s="62"/>
      <c r="AGE89" s="62"/>
      <c r="AGF89" s="62"/>
      <c r="AGG89" s="62"/>
      <c r="AGH89" s="62"/>
      <c r="AGI89" s="62"/>
      <c r="AGJ89" s="62"/>
      <c r="AGK89" s="62"/>
      <c r="AGL89" s="62"/>
      <c r="AGM89" s="62"/>
      <c r="AGN89" s="62"/>
      <c r="AGO89" s="62"/>
      <c r="AGP89" s="62"/>
      <c r="AGQ89" s="62"/>
      <c r="AGR89" s="62"/>
      <c r="AGS89" s="62"/>
      <c r="AGT89" s="62"/>
      <c r="AGU89" s="62"/>
      <c r="AGV89" s="62"/>
      <c r="AGW89" s="62"/>
      <c r="AGX89" s="62"/>
      <c r="AGY89" s="62"/>
      <c r="AGZ89" s="62"/>
      <c r="AHA89" s="62"/>
      <c r="AHB89" s="62"/>
      <c r="AHC89" s="62"/>
      <c r="AHD89" s="62"/>
      <c r="AHE89" s="62"/>
      <c r="AHF89" s="62"/>
      <c r="AHG89" s="62"/>
      <c r="AHH89" s="62"/>
      <c r="AHI89" s="62"/>
      <c r="AHJ89" s="62"/>
      <c r="AHK89" s="62"/>
      <c r="AHL89" s="62"/>
      <c r="AHM89" s="62"/>
      <c r="AHN89" s="62"/>
      <c r="AHO89" s="62"/>
      <c r="AHP89" s="62"/>
      <c r="AHQ89" s="62"/>
      <c r="AHR89" s="62"/>
      <c r="AHS89" s="62"/>
      <c r="AHT89" s="62"/>
      <c r="AHU89" s="62"/>
      <c r="AHV89" s="62"/>
      <c r="AHW89" s="62"/>
      <c r="AHX89" s="62"/>
      <c r="AHY89" s="62"/>
      <c r="AHZ89" s="62"/>
      <c r="AIA89" s="62"/>
      <c r="AIB89" s="62"/>
      <c r="AIC89" s="62"/>
      <c r="AID89" s="62"/>
      <c r="AIE89" s="62"/>
      <c r="AIF89" s="62"/>
      <c r="AIG89" s="62"/>
      <c r="AIH89" s="62"/>
      <c r="AII89" s="62"/>
      <c r="AIJ89" s="62"/>
      <c r="AIK89" s="62"/>
      <c r="AIL89" s="62"/>
      <c r="AIM89" s="62"/>
      <c r="AIN89" s="62"/>
      <c r="AIO89" s="62"/>
      <c r="AIP89" s="62"/>
      <c r="AIQ89" s="62"/>
      <c r="AIR89" s="62"/>
      <c r="AIS89" s="62"/>
      <c r="AIT89" s="62"/>
      <c r="AIU89" s="62"/>
      <c r="AIV89" s="62"/>
      <c r="AIW89" s="62"/>
      <c r="AIX89" s="62"/>
      <c r="AIY89" s="62"/>
      <c r="AIZ89" s="62"/>
      <c r="AJA89" s="62"/>
      <c r="AJB89" s="62"/>
      <c r="AJC89" s="62"/>
      <c r="AJD89" s="62"/>
      <c r="AJE89" s="62"/>
      <c r="AJF89" s="62"/>
      <c r="AJG89" s="62"/>
      <c r="AJH89" s="62"/>
      <c r="AJI89" s="62"/>
      <c r="AJJ89" s="62"/>
      <c r="AJK89" s="62"/>
      <c r="AJL89" s="62"/>
      <c r="AJM89" s="62"/>
      <c r="AJN89" s="62"/>
      <c r="AJO89" s="62"/>
      <c r="AJP89" s="62"/>
      <c r="AJQ89" s="62"/>
      <c r="AJR89" s="62"/>
      <c r="AJS89" s="62"/>
      <c r="AJT89" s="62"/>
      <c r="AJU89" s="62"/>
      <c r="AJV89" s="62"/>
      <c r="AJW89" s="62"/>
      <c r="AJX89" s="62"/>
      <c r="AJY89" s="62"/>
      <c r="AJZ89" s="62"/>
      <c r="AKA89" s="62"/>
      <c r="AKB89" s="62"/>
      <c r="AKC89" s="62"/>
      <c r="AKD89" s="62"/>
      <c r="AKE89" s="62"/>
      <c r="AKF89" s="62"/>
      <c r="AKG89" s="62"/>
      <c r="AKH89" s="62"/>
      <c r="AKI89" s="62"/>
      <c r="AKJ89" s="62"/>
      <c r="AKK89" s="62"/>
      <c r="AKL89" s="62"/>
      <c r="AKM89" s="62"/>
      <c r="AKN89" s="62"/>
      <c r="AKO89" s="62"/>
      <c r="AKP89" s="62"/>
      <c r="AKQ89" s="62"/>
      <c r="AKR89" s="62"/>
      <c r="AKS89" s="62"/>
      <c r="AKT89" s="62"/>
      <c r="AKU89" s="62"/>
      <c r="AKV89" s="62"/>
      <c r="AKW89" s="62"/>
      <c r="AKX89" s="62"/>
      <c r="AKY89" s="62"/>
      <c r="AKZ89" s="62"/>
      <c r="ALA89" s="62"/>
      <c r="ALB89" s="62"/>
      <c r="ALC89" s="62"/>
      <c r="ALD89" s="62"/>
      <c r="ALE89" s="62"/>
      <c r="ALF89" s="62"/>
      <c r="ALG89" s="62"/>
      <c r="ALH89" s="62"/>
      <c r="ALI89" s="62"/>
      <c r="ALJ89" s="62"/>
      <c r="ALK89" s="62"/>
      <c r="ALL89" s="62"/>
      <c r="ALM89" s="62"/>
      <c r="ALN89" s="62"/>
      <c r="ALO89" s="62"/>
      <c r="ALP89" s="62"/>
      <c r="ALQ89" s="62"/>
      <c r="ALR89" s="62"/>
      <c r="ALS89" s="62"/>
      <c r="ALT89" s="62"/>
      <c r="ALU89" s="62"/>
      <c r="ALV89" s="62"/>
      <c r="ALW89" s="62"/>
      <c r="ALX89" s="62"/>
      <c r="ALY89" s="62"/>
      <c r="ALZ89" s="62"/>
      <c r="AMA89" s="62"/>
      <c r="AMB89" s="62"/>
      <c r="AMC89" s="62"/>
      <c r="AMD89" s="62"/>
      <c r="AME89" s="62"/>
      <c r="AMF89" s="62"/>
      <c r="AMG89" s="62"/>
      <c r="AMH89" s="62"/>
      <c r="AMI89" s="62"/>
      <c r="AMJ89" s="62"/>
      <c r="AMK89" s="62"/>
      <c r="AML89" s="62"/>
      <c r="AMM89" s="62"/>
      <c r="AMN89" s="62"/>
      <c r="AMO89" s="62"/>
      <c r="AMP89" s="62"/>
      <c r="AMQ89" s="62"/>
      <c r="AMR89" s="62"/>
      <c r="AMS89" s="62"/>
      <c r="AMT89" s="62"/>
      <c r="AMU89" s="62"/>
      <c r="AMV89" s="62"/>
      <c r="AMW89" s="62"/>
      <c r="AMX89" s="62"/>
      <c r="AMY89" s="62"/>
      <c r="AMZ89" s="62"/>
      <c r="ANA89" s="62"/>
      <c r="ANB89" s="62"/>
      <c r="ANC89" s="62"/>
      <c r="AND89" s="62"/>
      <c r="ANE89" s="62"/>
      <c r="ANF89" s="62"/>
      <c r="ANG89" s="62"/>
      <c r="ANH89" s="62"/>
      <c r="ANI89" s="62"/>
      <c r="ANJ89" s="62"/>
      <c r="ANK89" s="62"/>
      <c r="ANL89" s="62"/>
      <c r="ANM89" s="62"/>
      <c r="ANN89" s="62"/>
      <c r="ANO89" s="62"/>
      <c r="ANP89" s="62"/>
      <c r="ANQ89" s="62"/>
      <c r="ANR89" s="62"/>
      <c r="ANS89" s="62"/>
      <c r="ANT89" s="62"/>
      <c r="ANU89" s="62"/>
      <c r="ANV89" s="62"/>
      <c r="ANW89" s="62"/>
      <c r="ANX89" s="62"/>
      <c r="ANY89" s="62"/>
      <c r="ANZ89" s="62"/>
      <c r="AOA89" s="62"/>
      <c r="AOB89" s="62"/>
      <c r="AOC89" s="62"/>
      <c r="AOD89" s="62"/>
      <c r="AOE89" s="62"/>
      <c r="AOF89" s="62"/>
      <c r="AOG89" s="62"/>
      <c r="AOH89" s="62"/>
      <c r="AOI89" s="62"/>
      <c r="AOJ89" s="62"/>
      <c r="AOK89" s="62"/>
      <c r="AOL89" s="62"/>
      <c r="AOM89" s="62"/>
      <c r="AON89" s="62"/>
      <c r="AOO89" s="62"/>
      <c r="AOP89" s="62"/>
      <c r="AOQ89" s="62"/>
      <c r="AOR89" s="62"/>
      <c r="AOS89" s="62"/>
      <c r="AOT89" s="62"/>
      <c r="AOU89" s="62"/>
      <c r="AOV89" s="62"/>
      <c r="AOW89" s="62"/>
      <c r="AOX89" s="62"/>
      <c r="AOY89" s="62"/>
      <c r="AOZ89" s="62"/>
      <c r="APA89" s="62"/>
      <c r="APB89" s="62"/>
      <c r="APC89" s="62"/>
      <c r="APD89" s="62"/>
      <c r="APE89" s="62"/>
      <c r="APF89" s="62"/>
      <c r="APG89" s="62"/>
      <c r="APH89" s="62"/>
      <c r="API89" s="62"/>
      <c r="APJ89" s="62"/>
      <c r="APK89" s="62"/>
      <c r="APL89" s="62"/>
      <c r="APM89" s="62"/>
      <c r="APN89" s="62"/>
      <c r="APO89" s="62"/>
      <c r="APP89" s="62"/>
      <c r="APQ89" s="62"/>
      <c r="APR89" s="62"/>
      <c r="APS89" s="62"/>
      <c r="APT89" s="62"/>
      <c r="APU89" s="62"/>
      <c r="APV89" s="62"/>
      <c r="APW89" s="62"/>
      <c r="APX89" s="62"/>
      <c r="APY89" s="62"/>
      <c r="APZ89" s="62"/>
      <c r="AQA89" s="62"/>
      <c r="AQB89" s="62"/>
      <c r="AQC89" s="62"/>
      <c r="AQD89" s="62"/>
      <c r="AQE89" s="62"/>
      <c r="AQF89" s="62"/>
      <c r="AQG89" s="62"/>
      <c r="AQH89" s="62"/>
      <c r="AQI89" s="62"/>
      <c r="AQJ89" s="62"/>
      <c r="AQK89" s="62"/>
      <c r="AQL89" s="62"/>
      <c r="AQM89" s="62"/>
      <c r="AQN89" s="62"/>
      <c r="AQO89" s="62"/>
      <c r="AQP89" s="62"/>
      <c r="AQQ89" s="62"/>
      <c r="AQR89" s="62"/>
      <c r="AQS89" s="62"/>
      <c r="AQT89" s="62"/>
      <c r="AQU89" s="62"/>
      <c r="AQV89" s="62"/>
      <c r="AQW89" s="62"/>
      <c r="AQX89" s="62"/>
      <c r="AQY89" s="62"/>
      <c r="AQZ89" s="62"/>
      <c r="ARA89" s="62"/>
      <c r="ARB89" s="62"/>
      <c r="ARC89" s="62"/>
      <c r="ARD89" s="62"/>
      <c r="ARE89" s="62"/>
      <c r="ARF89" s="62"/>
      <c r="ARG89" s="62"/>
      <c r="ARH89" s="62"/>
      <c r="ARI89" s="62"/>
      <c r="ARJ89" s="62"/>
      <c r="ARK89" s="62"/>
      <c r="ARL89" s="62"/>
      <c r="ARM89" s="62"/>
      <c r="ARN89" s="62"/>
      <c r="ARO89" s="62"/>
      <c r="ARP89" s="62"/>
      <c r="ARQ89" s="62"/>
      <c r="ARR89" s="62"/>
      <c r="ARS89" s="62"/>
      <c r="ART89" s="62"/>
      <c r="ARU89" s="62"/>
      <c r="ARV89" s="62"/>
      <c r="ARW89" s="62"/>
      <c r="ARX89" s="62"/>
      <c r="ARY89" s="62"/>
      <c r="ARZ89" s="62"/>
      <c r="ASA89" s="62"/>
      <c r="ASB89" s="62"/>
      <c r="ASC89" s="62"/>
      <c r="ASD89" s="62"/>
      <c r="ASE89" s="62"/>
      <c r="ASF89" s="62"/>
      <c r="ASG89" s="62"/>
      <c r="ASH89" s="62"/>
      <c r="ASI89" s="62"/>
      <c r="ASJ89" s="62"/>
      <c r="ASK89" s="62"/>
      <c r="ASL89" s="62"/>
      <c r="ASM89" s="62"/>
      <c r="ASN89" s="62"/>
      <c r="ASO89" s="62"/>
      <c r="ASP89" s="62"/>
      <c r="ASQ89" s="62"/>
      <c r="ASR89" s="62"/>
      <c r="ASS89" s="62"/>
      <c r="AST89" s="62"/>
      <c r="ASU89" s="62"/>
      <c r="ASV89" s="62"/>
      <c r="ASW89" s="62"/>
      <c r="ASX89" s="62"/>
      <c r="ASY89" s="62"/>
      <c r="ASZ89" s="62"/>
      <c r="ATA89" s="62"/>
      <c r="ATB89" s="62"/>
      <c r="ATC89" s="62"/>
      <c r="ATD89" s="62"/>
      <c r="ATE89" s="62"/>
      <c r="ATF89" s="62"/>
      <c r="ATG89" s="62"/>
      <c r="ATH89" s="62"/>
      <c r="ATI89" s="62"/>
      <c r="ATJ89" s="62"/>
      <c r="ATK89" s="62"/>
      <c r="ATL89" s="62"/>
      <c r="ATM89" s="62"/>
      <c r="ATN89" s="62"/>
      <c r="ATO89" s="62"/>
      <c r="ATP89" s="62"/>
      <c r="ATQ89" s="62"/>
      <c r="ATR89" s="62"/>
      <c r="ATS89" s="62"/>
      <c r="ATT89" s="62"/>
      <c r="ATU89" s="62"/>
      <c r="ATV89" s="62"/>
      <c r="ATW89" s="62"/>
      <c r="ATX89" s="62"/>
      <c r="ATY89" s="62"/>
      <c r="ATZ89" s="62"/>
      <c r="AUA89" s="62"/>
      <c r="AUB89" s="62"/>
      <c r="AUC89" s="62"/>
      <c r="AUD89" s="62"/>
      <c r="AUE89" s="62"/>
      <c r="AUF89" s="62"/>
      <c r="AUG89" s="62"/>
      <c r="AUH89" s="62"/>
      <c r="AUI89" s="62"/>
      <c r="AUJ89" s="62"/>
      <c r="AUK89" s="62"/>
      <c r="AUL89" s="62"/>
      <c r="AUM89" s="62"/>
      <c r="AUN89" s="62"/>
      <c r="AUO89" s="62"/>
      <c r="AUP89" s="62"/>
      <c r="AUQ89" s="62"/>
      <c r="AUR89" s="62"/>
      <c r="AUS89" s="62"/>
      <c r="AUT89" s="62"/>
      <c r="AUU89" s="62"/>
      <c r="AUV89" s="62"/>
      <c r="AUW89" s="62"/>
      <c r="AUX89" s="62"/>
      <c r="AUY89" s="62"/>
      <c r="AUZ89" s="62"/>
      <c r="AVA89" s="62"/>
      <c r="AVB89" s="62"/>
      <c r="AVC89" s="62"/>
      <c r="AVD89" s="62"/>
      <c r="AVE89" s="62"/>
      <c r="AVF89" s="62"/>
      <c r="AVG89" s="62"/>
      <c r="AVH89" s="62"/>
      <c r="AVI89" s="62"/>
      <c r="AVJ89" s="62"/>
      <c r="AVK89" s="62"/>
      <c r="AVL89" s="62"/>
      <c r="AVM89" s="62"/>
      <c r="AVN89" s="62"/>
      <c r="AVO89" s="62"/>
      <c r="AVP89" s="62"/>
      <c r="AVQ89" s="62"/>
      <c r="AVR89" s="62"/>
      <c r="AVS89" s="62"/>
      <c r="AVT89" s="62"/>
      <c r="AVU89" s="62"/>
      <c r="AVV89" s="62"/>
      <c r="AVW89" s="62"/>
      <c r="AVX89" s="62"/>
      <c r="AVY89" s="62"/>
      <c r="AVZ89" s="62"/>
      <c r="AWA89" s="62"/>
      <c r="AWB89" s="62"/>
      <c r="AWC89" s="62"/>
      <c r="AWD89" s="62"/>
      <c r="AWE89" s="62"/>
      <c r="AWF89" s="62"/>
      <c r="AWG89" s="62"/>
      <c r="AWH89" s="62"/>
      <c r="AWI89" s="62"/>
      <c r="AWJ89" s="62"/>
      <c r="AWK89" s="62"/>
      <c r="AWL89" s="62"/>
      <c r="AWM89" s="62"/>
      <c r="AWN89" s="62"/>
      <c r="AWO89" s="62"/>
      <c r="AWP89" s="62"/>
      <c r="AWQ89" s="62"/>
      <c r="AWR89" s="62"/>
      <c r="AWS89" s="62"/>
      <c r="AWT89" s="62"/>
      <c r="AWU89" s="62"/>
      <c r="AWV89" s="62"/>
      <c r="AWW89" s="62"/>
      <c r="AWX89" s="62"/>
      <c r="AWY89" s="62"/>
      <c r="AWZ89" s="62"/>
      <c r="AXA89" s="62"/>
      <c r="AXB89" s="62"/>
      <c r="AXC89" s="62"/>
      <c r="AXD89" s="62"/>
      <c r="AXE89" s="62"/>
      <c r="AXF89" s="62"/>
      <c r="AXG89" s="62"/>
      <c r="AXH89" s="62"/>
      <c r="AXI89" s="62"/>
      <c r="AXJ89" s="62"/>
      <c r="AXK89" s="62"/>
      <c r="AXL89" s="62"/>
      <c r="AXM89" s="62"/>
      <c r="AXN89" s="62"/>
      <c r="AXO89" s="62"/>
      <c r="AXP89" s="62"/>
      <c r="AXQ89" s="62"/>
      <c r="AXR89" s="62"/>
      <c r="AXS89" s="62"/>
      <c r="AXT89" s="62"/>
      <c r="AXU89" s="62"/>
      <c r="AXV89" s="62"/>
      <c r="AXW89" s="62"/>
      <c r="AXX89" s="62"/>
      <c r="AXY89" s="62"/>
      <c r="AXZ89" s="62"/>
      <c r="AYA89" s="62"/>
      <c r="AYB89" s="62"/>
      <c r="AYC89" s="62"/>
      <c r="AYD89" s="62"/>
      <c r="AYE89" s="62"/>
      <c r="AYF89" s="62"/>
      <c r="AYG89" s="62"/>
      <c r="AYH89" s="62"/>
      <c r="AYI89" s="62"/>
      <c r="AYJ89" s="62"/>
      <c r="AYK89" s="62"/>
      <c r="AYL89" s="62"/>
      <c r="AYM89" s="62"/>
      <c r="AYN89" s="62"/>
      <c r="AYO89" s="62"/>
      <c r="AYP89" s="62"/>
      <c r="AYQ89" s="62"/>
      <c r="AYR89" s="62"/>
      <c r="AYS89" s="62"/>
      <c r="AYT89" s="62"/>
      <c r="AYU89" s="62"/>
      <c r="AYV89" s="62"/>
      <c r="AYW89" s="62"/>
      <c r="AYX89" s="62"/>
      <c r="AYY89" s="62"/>
      <c r="AYZ89" s="62"/>
      <c r="AZA89" s="62"/>
      <c r="AZB89" s="62"/>
      <c r="AZC89" s="62"/>
      <c r="AZD89" s="62"/>
      <c r="AZE89" s="62"/>
      <c r="AZF89" s="62"/>
      <c r="AZG89" s="62"/>
      <c r="AZH89" s="62"/>
      <c r="AZI89" s="62"/>
      <c r="AZJ89" s="62"/>
      <c r="AZK89" s="62"/>
      <c r="AZL89" s="62"/>
      <c r="AZM89" s="62"/>
      <c r="AZN89" s="62"/>
      <c r="AZO89" s="62"/>
      <c r="AZP89" s="62"/>
      <c r="AZQ89" s="62"/>
      <c r="AZR89" s="62"/>
      <c r="AZS89" s="62"/>
      <c r="AZT89" s="62"/>
      <c r="AZU89" s="62"/>
      <c r="AZV89" s="62"/>
      <c r="AZW89" s="62"/>
      <c r="AZX89" s="62"/>
      <c r="AZY89" s="62"/>
      <c r="AZZ89" s="62"/>
      <c r="BAA89" s="62"/>
      <c r="BAB89" s="62"/>
      <c r="BAC89" s="62"/>
      <c r="BAD89" s="62"/>
      <c r="BAE89" s="62"/>
      <c r="BAF89" s="62"/>
      <c r="BAG89" s="62"/>
      <c r="BAH89" s="62"/>
      <c r="BAI89" s="62"/>
      <c r="BAJ89" s="62"/>
      <c r="BAK89" s="62"/>
      <c r="BAL89" s="62"/>
      <c r="BAM89" s="62"/>
      <c r="BAN89" s="62"/>
      <c r="BAO89" s="62"/>
      <c r="BAP89" s="62"/>
      <c r="BAQ89" s="62"/>
      <c r="BAR89" s="62"/>
      <c r="BAS89" s="62"/>
      <c r="BAT89" s="62"/>
      <c r="BAU89" s="62"/>
      <c r="BAV89" s="62"/>
      <c r="BAW89" s="62"/>
      <c r="BAX89" s="62"/>
      <c r="BAY89" s="62"/>
      <c r="BAZ89" s="62"/>
      <c r="BBA89" s="62"/>
      <c r="BBB89" s="62"/>
      <c r="BBC89" s="62"/>
      <c r="BBD89" s="62"/>
      <c r="BBE89" s="62"/>
      <c r="BBF89" s="62"/>
      <c r="BBG89" s="62"/>
      <c r="BBH89" s="62"/>
      <c r="BBI89" s="62"/>
      <c r="BBJ89" s="62"/>
      <c r="BBK89" s="62"/>
      <c r="BBL89" s="62"/>
      <c r="BBM89" s="62"/>
      <c r="BBN89" s="62"/>
      <c r="BBO89" s="62"/>
      <c r="BBP89" s="62"/>
      <c r="BBQ89" s="62"/>
      <c r="BBR89" s="62"/>
      <c r="BBS89" s="62"/>
      <c r="BBT89" s="62"/>
      <c r="BBU89" s="62"/>
      <c r="BBV89" s="62"/>
      <c r="BBW89" s="62"/>
      <c r="BBX89" s="62"/>
      <c r="BBY89" s="62"/>
      <c r="BBZ89" s="62"/>
      <c r="BCA89" s="62"/>
      <c r="BCB89" s="62"/>
      <c r="BCC89" s="62"/>
      <c r="BCD89" s="62"/>
      <c r="BCE89" s="62"/>
      <c r="BCF89" s="62"/>
      <c r="BCG89" s="62"/>
      <c r="BCH89" s="62"/>
      <c r="BCI89" s="62"/>
      <c r="BCJ89" s="62"/>
      <c r="BCK89" s="62"/>
      <c r="BCL89" s="62"/>
      <c r="BCM89" s="62"/>
      <c r="BCN89" s="62"/>
      <c r="BCO89" s="62"/>
      <c r="BCP89" s="62"/>
      <c r="BCQ89" s="62"/>
      <c r="BCR89" s="62"/>
      <c r="BCS89" s="62"/>
      <c r="BCT89" s="62"/>
      <c r="BCU89" s="62"/>
      <c r="BCV89" s="62"/>
      <c r="BCW89" s="62"/>
      <c r="BCX89" s="62"/>
      <c r="BCY89" s="62"/>
      <c r="BCZ89" s="62"/>
      <c r="BDA89" s="62"/>
      <c r="BDB89" s="62"/>
      <c r="BDC89" s="62"/>
      <c r="BDD89" s="62"/>
      <c r="BDE89" s="62"/>
      <c r="BDF89" s="62"/>
      <c r="BDG89" s="62"/>
      <c r="BDH89" s="62"/>
      <c r="BDI89" s="62"/>
      <c r="BDJ89" s="62"/>
      <c r="BDK89" s="62"/>
      <c r="BDL89" s="62"/>
      <c r="BDM89" s="62"/>
      <c r="BDN89" s="62"/>
      <c r="BDO89" s="62"/>
      <c r="BDP89" s="62"/>
      <c r="BDQ89" s="62"/>
      <c r="BDR89" s="62"/>
      <c r="BDS89" s="62"/>
      <c r="BDT89" s="62"/>
      <c r="BDU89" s="62"/>
      <c r="BDV89" s="62"/>
      <c r="BDW89" s="62"/>
      <c r="BDX89" s="62"/>
      <c r="BDY89" s="62"/>
      <c r="BDZ89" s="62"/>
      <c r="BEA89" s="62"/>
      <c r="BEB89" s="62"/>
      <c r="BEC89" s="62"/>
      <c r="BED89" s="62"/>
      <c r="BEE89" s="62"/>
      <c r="BEF89" s="62"/>
      <c r="BEG89" s="62"/>
      <c r="BEH89" s="62"/>
      <c r="BEI89" s="62"/>
      <c r="BEJ89" s="62"/>
      <c r="BEK89" s="62"/>
      <c r="BEL89" s="62"/>
      <c r="BEM89" s="62"/>
      <c r="BEN89" s="62"/>
      <c r="BEO89" s="62"/>
      <c r="BEP89" s="62"/>
      <c r="BEQ89" s="62"/>
      <c r="BER89" s="62"/>
      <c r="BES89" s="62"/>
      <c r="BET89" s="62"/>
      <c r="BEU89" s="62"/>
      <c r="BEV89" s="62"/>
      <c r="BEW89" s="62"/>
      <c r="BEX89" s="62"/>
      <c r="BEY89" s="62"/>
      <c r="BEZ89" s="62"/>
      <c r="BFA89" s="62"/>
      <c r="BFB89" s="62"/>
      <c r="BFC89" s="62"/>
      <c r="BFD89" s="62"/>
      <c r="BFE89" s="62"/>
      <c r="BFF89" s="62"/>
      <c r="BFG89" s="62"/>
      <c r="BFH89" s="62"/>
      <c r="BFI89" s="62"/>
      <c r="BFJ89" s="62"/>
      <c r="BFK89" s="62"/>
      <c r="BFL89" s="62"/>
      <c r="BFM89" s="62"/>
      <c r="BFN89" s="62"/>
      <c r="BFO89" s="62"/>
      <c r="BFP89" s="62"/>
      <c r="BFQ89" s="62"/>
      <c r="BFR89" s="62"/>
      <c r="BFS89" s="62"/>
      <c r="BFT89" s="62"/>
      <c r="BFU89" s="62"/>
      <c r="BFV89" s="62"/>
      <c r="BFW89" s="62"/>
      <c r="BFX89" s="62"/>
      <c r="BFY89" s="62"/>
      <c r="BFZ89" s="62"/>
      <c r="BGA89" s="62"/>
      <c r="BGB89" s="62"/>
      <c r="BGC89" s="62"/>
      <c r="BGD89" s="62"/>
      <c r="BGE89" s="62"/>
      <c r="BGF89" s="62"/>
      <c r="BGG89" s="62"/>
      <c r="BGH89" s="62"/>
      <c r="BGI89" s="62"/>
      <c r="BGJ89" s="62"/>
      <c r="BGK89" s="62"/>
      <c r="BGL89" s="62"/>
      <c r="BGM89" s="62"/>
      <c r="BGN89" s="62"/>
      <c r="BGO89" s="62"/>
      <c r="BGP89" s="62"/>
      <c r="BGQ89" s="62"/>
      <c r="BGR89" s="62"/>
      <c r="BGS89" s="62"/>
      <c r="BGT89" s="62"/>
      <c r="BGU89" s="62"/>
      <c r="BGV89" s="62"/>
      <c r="BGW89" s="62"/>
      <c r="BGX89" s="62"/>
      <c r="BGY89" s="62"/>
      <c r="BGZ89" s="62"/>
      <c r="BHA89" s="62"/>
      <c r="BHB89" s="62"/>
      <c r="BHC89" s="62"/>
      <c r="BHD89" s="62"/>
      <c r="BHE89" s="62"/>
      <c r="BHF89" s="62"/>
      <c r="BHG89" s="62"/>
      <c r="BHH89" s="62"/>
      <c r="BHI89" s="62"/>
      <c r="BHJ89" s="62"/>
      <c r="BHK89" s="62"/>
      <c r="BHL89" s="62"/>
      <c r="BHM89" s="62"/>
      <c r="BHN89" s="62"/>
      <c r="BHO89" s="62"/>
      <c r="BHP89" s="62"/>
      <c r="BHQ89" s="62"/>
      <c r="BHR89" s="62"/>
      <c r="BHS89" s="62"/>
      <c r="BHT89" s="62"/>
      <c r="BHU89" s="62"/>
      <c r="BHV89" s="62"/>
      <c r="BHW89" s="62"/>
      <c r="BHX89" s="62"/>
      <c r="BHY89" s="62"/>
      <c r="BHZ89" s="62"/>
      <c r="BIA89" s="62"/>
      <c r="BIB89" s="62"/>
      <c r="BIC89" s="62"/>
      <c r="BID89" s="62"/>
      <c r="BIE89" s="62"/>
      <c r="BIF89" s="62"/>
      <c r="BIG89" s="62"/>
      <c r="BIH89" s="62"/>
      <c r="BII89" s="62"/>
      <c r="BIJ89" s="62"/>
      <c r="BIK89" s="62"/>
      <c r="BIL89" s="62"/>
      <c r="BIM89" s="62"/>
      <c r="BIN89" s="62"/>
      <c r="BIO89" s="62"/>
      <c r="BIP89" s="62"/>
      <c r="BIQ89" s="62"/>
      <c r="BIR89" s="62"/>
      <c r="BIS89" s="62"/>
      <c r="BIT89" s="62"/>
      <c r="BIU89" s="62"/>
      <c r="BIV89" s="62"/>
      <c r="BIW89" s="62"/>
      <c r="BIX89" s="62"/>
      <c r="BIY89" s="62"/>
      <c r="BIZ89" s="62"/>
      <c r="BJA89" s="62"/>
      <c r="BJB89" s="62"/>
      <c r="BJC89" s="62"/>
      <c r="BJD89" s="62"/>
      <c r="BJE89" s="62"/>
      <c r="BJF89" s="62"/>
      <c r="BJG89" s="62"/>
      <c r="BJH89" s="62"/>
      <c r="BJI89" s="62"/>
      <c r="BJJ89" s="62"/>
      <c r="BJK89" s="62"/>
      <c r="BJL89" s="62"/>
      <c r="BJM89" s="62"/>
      <c r="BJN89" s="62"/>
      <c r="BJO89" s="62"/>
      <c r="BJP89" s="62"/>
      <c r="BJQ89" s="62"/>
      <c r="BJR89" s="62"/>
      <c r="BJS89" s="62"/>
      <c r="BJT89" s="62"/>
      <c r="BJU89" s="62"/>
      <c r="BJV89" s="62"/>
      <c r="BJW89" s="62"/>
      <c r="BJX89" s="62"/>
      <c r="BJY89" s="62"/>
      <c r="BJZ89" s="62"/>
      <c r="BKA89" s="62"/>
      <c r="BKB89" s="62"/>
      <c r="BKC89" s="62"/>
      <c r="BKD89" s="62"/>
      <c r="BKE89" s="62"/>
      <c r="BKF89" s="62"/>
      <c r="BKG89" s="62"/>
      <c r="BKH89" s="62"/>
      <c r="BKI89" s="62"/>
      <c r="BKJ89" s="62"/>
      <c r="BKK89" s="62"/>
      <c r="BKL89" s="62"/>
      <c r="BKM89" s="62"/>
      <c r="BKN89" s="62"/>
      <c r="BKO89" s="62"/>
      <c r="BKP89" s="62"/>
      <c r="BKQ89" s="62"/>
      <c r="BKR89" s="62"/>
      <c r="BKS89" s="62"/>
      <c r="BKT89" s="62"/>
      <c r="BKU89" s="62"/>
      <c r="BKV89" s="62"/>
      <c r="BKW89" s="62"/>
      <c r="BKX89" s="62"/>
      <c r="BKY89" s="62"/>
      <c r="BKZ89" s="62"/>
      <c r="BLA89" s="62"/>
      <c r="BLB89" s="62"/>
      <c r="BLC89" s="62"/>
      <c r="BLD89" s="62"/>
      <c r="BLE89" s="62"/>
      <c r="BLF89" s="62"/>
      <c r="BLG89" s="62"/>
      <c r="BLH89" s="62"/>
      <c r="BLI89" s="62"/>
      <c r="BLJ89" s="62"/>
      <c r="BLK89" s="62"/>
      <c r="BLL89" s="62"/>
      <c r="BLM89" s="62"/>
      <c r="BLN89" s="62"/>
      <c r="BLO89" s="62"/>
      <c r="BLP89" s="62"/>
      <c r="BLQ89" s="62"/>
      <c r="BLR89" s="62"/>
      <c r="BLS89" s="62"/>
      <c r="BLT89" s="62"/>
      <c r="BLU89" s="62"/>
      <c r="BLV89" s="62"/>
      <c r="BLW89" s="62"/>
      <c r="BLX89" s="62"/>
      <c r="BLY89" s="62"/>
      <c r="BLZ89" s="62"/>
      <c r="BMA89" s="62"/>
      <c r="BMB89" s="62"/>
      <c r="BMC89" s="62"/>
      <c r="BMD89" s="62"/>
      <c r="BME89" s="62"/>
      <c r="BMF89" s="62"/>
      <c r="BMG89" s="62"/>
      <c r="BMH89" s="62"/>
      <c r="BMI89" s="62"/>
      <c r="BMJ89" s="62"/>
      <c r="BMK89" s="62"/>
      <c r="BML89" s="62"/>
      <c r="BMM89" s="62"/>
      <c r="BMN89" s="62"/>
      <c r="BMO89" s="62"/>
      <c r="BMP89" s="62"/>
      <c r="BMQ89" s="62"/>
      <c r="BMR89" s="62"/>
      <c r="BMS89" s="62"/>
      <c r="BMT89" s="62"/>
      <c r="BMU89" s="62"/>
      <c r="BMV89" s="62"/>
      <c r="BMW89" s="62"/>
      <c r="BMX89" s="62"/>
      <c r="BMY89" s="62"/>
      <c r="BMZ89" s="62"/>
      <c r="BNA89" s="62"/>
      <c r="BNB89" s="62"/>
      <c r="BNC89" s="62"/>
      <c r="BND89" s="62"/>
      <c r="BNE89" s="62"/>
      <c r="BNF89" s="62"/>
      <c r="BNG89" s="62"/>
      <c r="BNH89" s="62"/>
      <c r="BNI89" s="62"/>
      <c r="BNJ89" s="62"/>
      <c r="BNK89" s="62"/>
      <c r="BNL89" s="62"/>
      <c r="BNM89" s="62"/>
      <c r="BNN89" s="62"/>
      <c r="BNO89" s="62"/>
      <c r="BNP89" s="62"/>
      <c r="BNQ89" s="62"/>
      <c r="BNR89" s="62"/>
      <c r="BNS89" s="62"/>
      <c r="BNT89" s="62"/>
      <c r="BNU89" s="62"/>
      <c r="BNV89" s="62"/>
      <c r="BNW89" s="62"/>
      <c r="BNX89" s="62"/>
      <c r="BNY89" s="62"/>
      <c r="BNZ89" s="62"/>
      <c r="BOA89" s="62"/>
      <c r="BOB89" s="62"/>
      <c r="BOC89" s="62"/>
      <c r="BOD89" s="62"/>
      <c r="BOE89" s="62"/>
      <c r="BOF89" s="62"/>
      <c r="BOG89" s="62"/>
      <c r="BOH89" s="62"/>
      <c r="BOI89" s="62"/>
      <c r="BOJ89" s="62"/>
      <c r="BOK89" s="62"/>
      <c r="BOL89" s="62"/>
      <c r="BOM89" s="62"/>
      <c r="BON89" s="62"/>
      <c r="BOO89" s="62"/>
      <c r="BOP89" s="62"/>
      <c r="BOQ89" s="62"/>
      <c r="BOR89" s="62"/>
      <c r="BOS89" s="62"/>
      <c r="BOT89" s="62"/>
      <c r="BOU89" s="62"/>
      <c r="BOV89" s="62"/>
      <c r="BOW89" s="62"/>
      <c r="BOX89" s="62"/>
      <c r="BOY89" s="62"/>
      <c r="BOZ89" s="62"/>
      <c r="BPA89" s="62"/>
      <c r="BPB89" s="62"/>
      <c r="BPC89" s="62"/>
      <c r="BPD89" s="62"/>
      <c r="BPE89" s="62"/>
      <c r="BPF89" s="62"/>
      <c r="BPG89" s="62"/>
      <c r="BPH89" s="62"/>
      <c r="BPI89" s="62"/>
      <c r="BPJ89" s="62"/>
      <c r="BPK89" s="62"/>
      <c r="BPL89" s="62"/>
      <c r="BPM89" s="62"/>
      <c r="BPN89" s="62"/>
      <c r="BPO89" s="62"/>
      <c r="BPP89" s="62"/>
      <c r="BPQ89" s="62"/>
      <c r="BPR89" s="62"/>
      <c r="BPS89" s="62"/>
      <c r="BPT89" s="62"/>
      <c r="BPU89" s="62"/>
      <c r="BPV89" s="62"/>
      <c r="BPW89" s="62"/>
      <c r="BPX89" s="62"/>
      <c r="BPY89" s="62"/>
      <c r="BPZ89" s="62"/>
      <c r="BQA89" s="62"/>
      <c r="BQB89" s="62"/>
      <c r="BQC89" s="62"/>
      <c r="BQD89" s="62"/>
      <c r="BQE89" s="62"/>
      <c r="BQF89" s="62"/>
      <c r="BQG89" s="62"/>
      <c r="BQH89" s="62"/>
      <c r="BQI89" s="62"/>
      <c r="BQJ89" s="62"/>
      <c r="BQK89" s="62"/>
      <c r="BQL89" s="62"/>
      <c r="BQM89" s="62"/>
      <c r="BQN89" s="62"/>
      <c r="BQO89" s="62"/>
      <c r="BQP89" s="62"/>
      <c r="BQQ89" s="62"/>
      <c r="BQR89" s="62"/>
      <c r="BQS89" s="62"/>
      <c r="BQT89" s="62"/>
      <c r="BQU89" s="62"/>
      <c r="BQV89" s="62"/>
      <c r="BQW89" s="62"/>
      <c r="BQX89" s="62"/>
      <c r="BQY89" s="62"/>
      <c r="BQZ89" s="62"/>
      <c r="BRA89" s="62"/>
      <c r="BRB89" s="62"/>
      <c r="BRC89" s="62"/>
      <c r="BRD89" s="62"/>
      <c r="BRE89" s="62"/>
      <c r="BRF89" s="62"/>
      <c r="BRG89" s="62"/>
      <c r="BRH89" s="62"/>
      <c r="BRI89" s="62"/>
      <c r="BRJ89" s="62"/>
      <c r="BRK89" s="62"/>
      <c r="BRL89" s="62"/>
      <c r="BRM89" s="62"/>
      <c r="BRN89" s="62"/>
      <c r="BRO89" s="62"/>
      <c r="BRP89" s="62"/>
      <c r="BRQ89" s="62"/>
      <c r="BRR89" s="62"/>
      <c r="BRS89" s="62"/>
      <c r="BRT89" s="62"/>
      <c r="BRU89" s="62"/>
      <c r="BRV89" s="62"/>
      <c r="BRW89" s="62"/>
      <c r="BRX89" s="62"/>
      <c r="BRY89" s="62"/>
      <c r="BRZ89" s="62"/>
      <c r="BSA89" s="62"/>
      <c r="BSB89" s="62"/>
      <c r="BSC89" s="62"/>
      <c r="BSD89" s="62"/>
      <c r="BSE89" s="62"/>
      <c r="BSF89" s="62"/>
      <c r="BSG89" s="62"/>
      <c r="BSH89" s="62"/>
      <c r="BSI89" s="62"/>
      <c r="BSJ89" s="62"/>
      <c r="BSK89" s="62"/>
      <c r="BSL89" s="62"/>
      <c r="BSM89" s="62"/>
      <c r="BSN89" s="62"/>
      <c r="BSO89" s="62"/>
      <c r="BSP89" s="62"/>
      <c r="BSQ89" s="62"/>
      <c r="BSR89" s="62"/>
      <c r="BSS89" s="62"/>
      <c r="BST89" s="62"/>
      <c r="BSU89" s="62"/>
      <c r="BSV89" s="62"/>
      <c r="BSW89" s="62"/>
      <c r="BSX89" s="62"/>
      <c r="BSY89" s="62"/>
      <c r="BSZ89" s="62"/>
      <c r="BTA89" s="62"/>
      <c r="BTB89" s="62"/>
      <c r="BTC89" s="62"/>
      <c r="BTD89" s="62"/>
      <c r="BTE89" s="62"/>
      <c r="BTF89" s="62"/>
      <c r="BTG89" s="62"/>
      <c r="BTH89" s="62"/>
      <c r="BTI89" s="62"/>
      <c r="BTJ89" s="62"/>
      <c r="BTK89" s="62"/>
      <c r="BTL89" s="62"/>
      <c r="BTM89" s="62"/>
      <c r="BTN89" s="62"/>
      <c r="BTO89" s="62"/>
      <c r="BTP89" s="62"/>
      <c r="BTQ89" s="62"/>
      <c r="BTR89" s="62"/>
      <c r="BTS89" s="62"/>
      <c r="BTT89" s="62"/>
      <c r="BTU89" s="62"/>
      <c r="BTV89" s="62"/>
      <c r="BTW89" s="62"/>
      <c r="BTX89" s="62"/>
      <c r="BTY89" s="62"/>
      <c r="BTZ89" s="62"/>
      <c r="BUA89" s="62"/>
      <c r="BUB89" s="62"/>
      <c r="BUC89" s="62"/>
      <c r="BUD89" s="62"/>
      <c r="BUE89" s="62"/>
      <c r="BUF89" s="62"/>
      <c r="BUG89" s="62"/>
      <c r="BUH89" s="62"/>
      <c r="BUI89" s="62"/>
      <c r="BUJ89" s="62"/>
      <c r="BUK89" s="62"/>
      <c r="BUL89" s="62"/>
      <c r="BUM89" s="62"/>
      <c r="BUN89" s="62"/>
      <c r="BUO89" s="62"/>
      <c r="BUP89" s="62"/>
      <c r="BUQ89" s="62"/>
      <c r="BUR89" s="62"/>
      <c r="BUS89" s="62"/>
      <c r="BUT89" s="62"/>
      <c r="BUU89" s="62"/>
      <c r="BUV89" s="62"/>
      <c r="BUW89" s="62"/>
      <c r="BUX89" s="62"/>
      <c r="BUY89" s="62"/>
      <c r="BUZ89" s="62"/>
      <c r="BVA89" s="62"/>
      <c r="BVB89" s="62"/>
      <c r="BVC89" s="62"/>
      <c r="BVD89" s="62"/>
      <c r="BVE89" s="62"/>
      <c r="BVF89" s="62"/>
      <c r="BVG89" s="62"/>
      <c r="BVH89" s="62"/>
      <c r="BVI89" s="62"/>
      <c r="BVJ89" s="62"/>
      <c r="BVK89" s="62"/>
      <c r="BVL89" s="62"/>
      <c r="BVM89" s="62"/>
      <c r="BVN89" s="62"/>
      <c r="BVO89" s="62"/>
      <c r="BVP89" s="62"/>
      <c r="BVQ89" s="62"/>
      <c r="BVR89" s="62"/>
      <c r="BVS89" s="62"/>
      <c r="BVT89" s="62"/>
      <c r="BVU89" s="62"/>
      <c r="BVV89" s="62"/>
      <c r="BVW89" s="62"/>
      <c r="BVX89" s="62"/>
      <c r="BVY89" s="62"/>
      <c r="BVZ89" s="62"/>
      <c r="BWA89" s="62"/>
      <c r="BWB89" s="62"/>
      <c r="BWC89" s="62"/>
      <c r="BWD89" s="62"/>
      <c r="BWE89" s="62"/>
      <c r="BWF89" s="62"/>
      <c r="BWG89" s="62"/>
      <c r="BWH89" s="62"/>
      <c r="BWI89" s="62"/>
      <c r="BWJ89" s="62"/>
      <c r="BWK89" s="62"/>
      <c r="BWL89" s="62"/>
      <c r="BWM89" s="62"/>
      <c r="BWN89" s="62"/>
      <c r="BWO89" s="62"/>
      <c r="BWP89" s="62"/>
      <c r="BWQ89" s="62"/>
      <c r="BWR89" s="62"/>
      <c r="BWS89" s="62"/>
      <c r="BWT89" s="62"/>
      <c r="BWU89" s="62"/>
      <c r="BWV89" s="62"/>
      <c r="BWW89" s="62"/>
      <c r="BWX89" s="62"/>
      <c r="BWY89" s="62"/>
      <c r="BWZ89" s="62"/>
      <c r="BXA89" s="62"/>
      <c r="BXB89" s="62"/>
      <c r="BXC89" s="62"/>
      <c r="BXD89" s="62"/>
      <c r="BXE89" s="62"/>
      <c r="BXF89" s="62"/>
      <c r="BXG89" s="62"/>
      <c r="BXH89" s="62"/>
      <c r="BXI89" s="62"/>
      <c r="BXJ89" s="62"/>
      <c r="BXK89" s="62"/>
      <c r="BXL89" s="62"/>
      <c r="BXM89" s="62"/>
      <c r="BXN89" s="62"/>
      <c r="BXO89" s="62"/>
      <c r="BXP89" s="62"/>
      <c r="BXQ89" s="62"/>
      <c r="BXR89" s="62"/>
      <c r="BXS89" s="62"/>
      <c r="BXT89" s="62"/>
      <c r="BXU89" s="62"/>
      <c r="BXV89" s="62"/>
      <c r="BXW89" s="62"/>
      <c r="BXX89" s="62"/>
      <c r="BXY89" s="62"/>
      <c r="BXZ89" s="62"/>
      <c r="BYA89" s="62"/>
      <c r="BYB89" s="62"/>
      <c r="BYC89" s="62"/>
      <c r="BYD89" s="62"/>
      <c r="BYE89" s="62"/>
      <c r="BYF89" s="62"/>
      <c r="BYG89" s="62"/>
      <c r="BYH89" s="62"/>
      <c r="BYI89" s="62"/>
      <c r="BYJ89" s="62"/>
      <c r="BYK89" s="62"/>
      <c r="BYL89" s="62"/>
      <c r="BYM89" s="62"/>
      <c r="BYN89" s="62"/>
      <c r="BYO89" s="62"/>
      <c r="BYP89" s="62"/>
      <c r="BYQ89" s="62"/>
      <c r="BYR89" s="62"/>
      <c r="BYS89" s="62"/>
      <c r="BYT89" s="62"/>
      <c r="BYU89" s="62"/>
      <c r="BYV89" s="62"/>
      <c r="BYW89" s="62"/>
      <c r="BYX89" s="62"/>
      <c r="BYY89" s="62"/>
      <c r="BYZ89" s="62"/>
      <c r="BZA89" s="62"/>
      <c r="BZB89" s="62"/>
      <c r="BZC89" s="62"/>
      <c r="BZD89" s="62"/>
      <c r="BZE89" s="62"/>
      <c r="BZF89" s="62"/>
      <c r="BZG89" s="62"/>
      <c r="BZH89" s="62"/>
      <c r="BZI89" s="62"/>
      <c r="BZJ89" s="62"/>
      <c r="BZK89" s="62"/>
      <c r="BZL89" s="62"/>
      <c r="BZM89" s="62"/>
      <c r="BZN89" s="62"/>
      <c r="BZO89" s="62"/>
      <c r="BZP89" s="62"/>
      <c r="BZQ89" s="62"/>
      <c r="BZR89" s="62"/>
      <c r="BZS89" s="62"/>
      <c r="BZT89" s="62"/>
      <c r="BZU89" s="62"/>
      <c r="BZV89" s="62"/>
      <c r="BZW89" s="62"/>
      <c r="BZX89" s="62"/>
      <c r="BZY89" s="62"/>
      <c r="BZZ89" s="62"/>
      <c r="CAA89" s="62"/>
      <c r="CAB89" s="62"/>
      <c r="CAC89" s="62"/>
      <c r="CAD89" s="62"/>
      <c r="CAE89" s="62"/>
      <c r="CAF89" s="62"/>
      <c r="CAG89" s="62"/>
      <c r="CAH89" s="62"/>
      <c r="CAI89" s="62"/>
      <c r="CAJ89" s="62"/>
      <c r="CAK89" s="62"/>
      <c r="CAL89" s="62"/>
      <c r="CAM89" s="62"/>
      <c r="CAN89" s="62"/>
      <c r="CAO89" s="62"/>
      <c r="CAP89" s="62"/>
      <c r="CAQ89" s="62"/>
      <c r="CAR89" s="62"/>
      <c r="CAS89" s="62"/>
      <c r="CAT89" s="62"/>
      <c r="CAU89" s="62"/>
      <c r="CAV89" s="62"/>
      <c r="CAW89" s="62"/>
      <c r="CAX89" s="62"/>
      <c r="CAY89" s="62"/>
      <c r="CAZ89" s="62"/>
      <c r="CBA89" s="62"/>
      <c r="CBB89" s="62"/>
      <c r="CBC89" s="62"/>
      <c r="CBD89" s="62"/>
      <c r="CBE89" s="62"/>
      <c r="CBF89" s="62"/>
      <c r="CBG89" s="62"/>
      <c r="CBH89" s="62"/>
      <c r="CBI89" s="62"/>
      <c r="CBJ89" s="62"/>
      <c r="CBK89" s="62"/>
      <c r="CBL89" s="62"/>
      <c r="CBM89" s="62"/>
      <c r="CBN89" s="62"/>
      <c r="CBO89" s="62"/>
      <c r="CBP89" s="62"/>
      <c r="CBQ89" s="62"/>
      <c r="CBR89" s="62"/>
      <c r="CBS89" s="62"/>
      <c r="CBT89" s="62"/>
      <c r="CBU89" s="62"/>
      <c r="CBV89" s="62"/>
      <c r="CBW89" s="62"/>
      <c r="CBX89" s="62"/>
      <c r="CBY89" s="62"/>
      <c r="CBZ89" s="62"/>
      <c r="CCA89" s="62"/>
      <c r="CCB89" s="62"/>
      <c r="CCC89" s="62"/>
      <c r="CCD89" s="62"/>
      <c r="CCE89" s="62"/>
      <c r="CCF89" s="62"/>
      <c r="CCG89" s="62"/>
      <c r="CCH89" s="62"/>
      <c r="CCI89" s="62"/>
      <c r="CCJ89" s="62"/>
      <c r="CCK89" s="62"/>
      <c r="CCL89" s="62"/>
      <c r="CCM89" s="62"/>
      <c r="CCN89" s="62"/>
      <c r="CCO89" s="62"/>
      <c r="CCP89" s="62"/>
      <c r="CCQ89" s="62"/>
      <c r="CCR89" s="62"/>
      <c r="CCS89" s="62"/>
      <c r="CCT89" s="62"/>
      <c r="CCU89" s="62"/>
      <c r="CCV89" s="62"/>
      <c r="CCW89" s="62"/>
      <c r="CCX89" s="62"/>
      <c r="CCY89" s="62"/>
      <c r="CCZ89" s="62"/>
      <c r="CDA89" s="62"/>
      <c r="CDB89" s="62"/>
      <c r="CDC89" s="62"/>
      <c r="CDD89" s="62"/>
      <c r="CDE89" s="62"/>
      <c r="CDF89" s="62"/>
      <c r="CDG89" s="62"/>
      <c r="CDH89" s="62"/>
      <c r="CDI89" s="62"/>
      <c r="CDJ89" s="62"/>
      <c r="CDK89" s="62"/>
      <c r="CDL89" s="62"/>
      <c r="CDM89" s="62"/>
      <c r="CDN89" s="62"/>
      <c r="CDO89" s="62"/>
      <c r="CDP89" s="62"/>
      <c r="CDQ89" s="62"/>
      <c r="CDR89" s="62"/>
      <c r="CDS89" s="62"/>
      <c r="CDT89" s="62"/>
      <c r="CDU89" s="62"/>
      <c r="CDV89" s="62"/>
      <c r="CDW89" s="62"/>
      <c r="CDX89" s="62"/>
      <c r="CDY89" s="62"/>
      <c r="CDZ89" s="62"/>
      <c r="CEA89" s="62"/>
      <c r="CEB89" s="62"/>
      <c r="CEC89" s="62"/>
      <c r="CED89" s="62"/>
      <c r="CEE89" s="62"/>
      <c r="CEF89" s="62"/>
      <c r="CEG89" s="62"/>
      <c r="CEH89" s="62"/>
      <c r="CEI89" s="62"/>
      <c r="CEJ89" s="62"/>
      <c r="CEK89" s="62"/>
      <c r="CEL89" s="62"/>
      <c r="CEM89" s="62"/>
      <c r="CEN89" s="62"/>
      <c r="CEO89" s="62"/>
      <c r="CEP89" s="62"/>
      <c r="CEQ89" s="62"/>
      <c r="CER89" s="62"/>
      <c r="CES89" s="62"/>
      <c r="CET89" s="62"/>
      <c r="CEU89" s="62"/>
      <c r="CEV89" s="62"/>
      <c r="CEW89" s="62"/>
      <c r="CEX89" s="62"/>
      <c r="CEY89" s="62"/>
      <c r="CEZ89" s="62"/>
      <c r="CFA89" s="62"/>
      <c r="CFB89" s="62"/>
      <c r="CFC89" s="62"/>
      <c r="CFD89" s="62"/>
      <c r="CFE89" s="62"/>
      <c r="CFF89" s="62"/>
      <c r="CFG89" s="62"/>
      <c r="CFH89" s="62"/>
      <c r="CFI89" s="62"/>
      <c r="CFJ89" s="62"/>
      <c r="CFK89" s="62"/>
      <c r="CFL89" s="62"/>
      <c r="CFM89" s="62"/>
      <c r="CFN89" s="62"/>
      <c r="CFO89" s="62"/>
      <c r="CFP89" s="62"/>
      <c r="CFQ89" s="62"/>
      <c r="CFR89" s="62"/>
      <c r="CFS89" s="62"/>
      <c r="CFT89" s="62"/>
      <c r="CFU89" s="62"/>
      <c r="CFV89" s="62"/>
      <c r="CFW89" s="62"/>
      <c r="CFX89" s="62"/>
      <c r="CFY89" s="62"/>
      <c r="CFZ89" s="62"/>
      <c r="CGA89" s="62"/>
      <c r="CGB89" s="62"/>
      <c r="CGC89" s="62"/>
      <c r="CGD89" s="62"/>
      <c r="CGE89" s="62"/>
      <c r="CGF89" s="62"/>
      <c r="CGG89" s="62"/>
      <c r="CGH89" s="62"/>
      <c r="CGI89" s="62"/>
      <c r="CGJ89" s="62"/>
      <c r="CGK89" s="62"/>
      <c r="CGL89" s="62"/>
      <c r="CGM89" s="62"/>
      <c r="CGN89" s="62"/>
      <c r="CGO89" s="62"/>
      <c r="CGP89" s="62"/>
      <c r="CGQ89" s="62"/>
      <c r="CGR89" s="62"/>
      <c r="CGS89" s="62"/>
      <c r="CGT89" s="62"/>
      <c r="CGU89" s="62"/>
      <c r="CGV89" s="62"/>
      <c r="CGW89" s="62"/>
      <c r="CGX89" s="62"/>
      <c r="CGY89" s="62"/>
      <c r="CGZ89" s="62"/>
      <c r="CHA89" s="62"/>
      <c r="CHB89" s="62"/>
      <c r="CHC89" s="62"/>
      <c r="CHD89" s="62"/>
      <c r="CHE89" s="62"/>
      <c r="CHF89" s="62"/>
      <c r="CHG89" s="62"/>
      <c r="CHH89" s="62"/>
      <c r="CHI89" s="62"/>
      <c r="CHJ89" s="62"/>
      <c r="CHK89" s="62"/>
      <c r="CHL89" s="62"/>
      <c r="CHM89" s="62"/>
      <c r="CHN89" s="62"/>
      <c r="CHO89" s="62"/>
      <c r="CHP89" s="62"/>
      <c r="CHQ89" s="62"/>
      <c r="CHR89" s="62"/>
      <c r="CHS89" s="62"/>
      <c r="CHT89" s="62"/>
      <c r="CHU89" s="62"/>
      <c r="CHV89" s="62"/>
      <c r="CHW89" s="62"/>
      <c r="CHX89" s="62"/>
      <c r="CHY89" s="62"/>
      <c r="CHZ89" s="62"/>
      <c r="CIA89" s="62"/>
      <c r="CIB89" s="62"/>
      <c r="CIC89" s="62"/>
      <c r="CID89" s="62"/>
      <c r="CIE89" s="62"/>
      <c r="CIF89" s="62"/>
      <c r="CIG89" s="62"/>
      <c r="CIH89" s="62"/>
      <c r="CII89" s="62"/>
      <c r="CIJ89" s="62"/>
      <c r="CIK89" s="62"/>
      <c r="CIL89" s="62"/>
      <c r="CIM89" s="62"/>
      <c r="CIN89" s="62"/>
      <c r="CIO89" s="62"/>
      <c r="CIP89" s="62"/>
      <c r="CIQ89" s="62"/>
      <c r="CIR89" s="62"/>
      <c r="CIS89" s="62"/>
      <c r="CIT89" s="62"/>
      <c r="CIU89" s="62"/>
      <c r="CIV89" s="62"/>
      <c r="CIW89" s="62"/>
      <c r="CIX89" s="62"/>
      <c r="CIY89" s="62"/>
      <c r="CIZ89" s="62"/>
      <c r="CJA89" s="62"/>
      <c r="CJB89" s="62"/>
      <c r="CJC89" s="62"/>
      <c r="CJD89" s="62"/>
      <c r="CJE89" s="62"/>
      <c r="CJF89" s="62"/>
      <c r="CJG89" s="62"/>
      <c r="CJH89" s="62"/>
      <c r="CJI89" s="62"/>
      <c r="CJJ89" s="62"/>
      <c r="CJK89" s="62"/>
      <c r="CJL89" s="62"/>
      <c r="CJM89" s="62"/>
      <c r="CJN89" s="62"/>
      <c r="CJO89" s="62"/>
      <c r="CJP89" s="62"/>
      <c r="CJQ89" s="62"/>
      <c r="CJR89" s="62"/>
      <c r="CJS89" s="62"/>
      <c r="CJT89" s="62"/>
      <c r="CJU89" s="62"/>
      <c r="CJV89" s="62"/>
      <c r="CJW89" s="62"/>
      <c r="CJX89" s="62"/>
      <c r="CJY89" s="62"/>
      <c r="CJZ89" s="62"/>
      <c r="CKA89" s="62"/>
      <c r="CKB89" s="62"/>
      <c r="CKC89" s="62"/>
      <c r="CKD89" s="62"/>
      <c r="CKE89" s="62"/>
      <c r="CKF89" s="62"/>
      <c r="CKG89" s="62"/>
      <c r="CKH89" s="62"/>
      <c r="CKI89" s="62"/>
      <c r="CKJ89" s="62"/>
      <c r="CKK89" s="62"/>
      <c r="CKL89" s="62"/>
      <c r="CKM89" s="62"/>
      <c r="CKN89" s="62"/>
      <c r="CKO89" s="62"/>
      <c r="CKP89" s="62"/>
      <c r="CKQ89" s="62"/>
      <c r="CKR89" s="62"/>
      <c r="CKS89" s="62"/>
      <c r="CKT89" s="62"/>
      <c r="CKU89" s="62"/>
      <c r="CKV89" s="62"/>
      <c r="CKW89" s="62"/>
      <c r="CKX89" s="62"/>
      <c r="CKY89" s="62"/>
      <c r="CKZ89" s="62"/>
      <c r="CLA89" s="62"/>
      <c r="CLB89" s="62"/>
      <c r="CLC89" s="62"/>
      <c r="CLD89" s="62"/>
      <c r="CLE89" s="62"/>
      <c r="CLF89" s="62"/>
      <c r="CLG89" s="62"/>
      <c r="CLH89" s="62"/>
      <c r="CLI89" s="62"/>
      <c r="CLJ89" s="62"/>
      <c r="CLK89" s="62"/>
      <c r="CLL89" s="62"/>
      <c r="CLM89" s="62"/>
      <c r="CLN89" s="62"/>
      <c r="CLO89" s="62"/>
      <c r="CLP89" s="62"/>
      <c r="CLQ89" s="62"/>
      <c r="CLR89" s="62"/>
      <c r="CLS89" s="62"/>
      <c r="CLT89" s="62"/>
      <c r="CLU89" s="62"/>
      <c r="CLV89" s="62"/>
      <c r="CLW89" s="62"/>
      <c r="CLX89" s="62"/>
      <c r="CLY89" s="62"/>
      <c r="CLZ89" s="62"/>
      <c r="CMA89" s="62"/>
      <c r="CMB89" s="62"/>
      <c r="CMC89" s="62"/>
      <c r="CMD89" s="62"/>
      <c r="CME89" s="62"/>
      <c r="CMF89" s="62"/>
      <c r="CMG89" s="62"/>
      <c r="CMH89" s="62"/>
      <c r="CMI89" s="62"/>
      <c r="CMJ89" s="62"/>
      <c r="CMK89" s="62"/>
      <c r="CML89" s="62"/>
      <c r="CMM89" s="62"/>
      <c r="CMN89" s="62"/>
      <c r="CMO89" s="62"/>
      <c r="CMP89" s="62"/>
      <c r="CMQ89" s="62"/>
      <c r="CMR89" s="62"/>
      <c r="CMS89" s="62"/>
      <c r="CMT89" s="62"/>
      <c r="CMU89" s="62"/>
      <c r="CMV89" s="62"/>
      <c r="CMW89" s="62"/>
      <c r="CMX89" s="62"/>
      <c r="CMY89" s="62"/>
      <c r="CMZ89" s="62"/>
      <c r="CNA89" s="62"/>
      <c r="CNB89" s="62"/>
      <c r="CNC89" s="62"/>
      <c r="CND89" s="62"/>
      <c r="CNE89" s="62"/>
      <c r="CNF89" s="62"/>
      <c r="CNG89" s="62"/>
      <c r="CNH89" s="62"/>
      <c r="CNI89" s="62"/>
      <c r="CNJ89" s="62"/>
      <c r="CNK89" s="62"/>
      <c r="CNL89" s="62"/>
      <c r="CNM89" s="62"/>
      <c r="CNN89" s="62"/>
      <c r="CNO89" s="62"/>
      <c r="CNP89" s="62"/>
      <c r="CNQ89" s="62"/>
      <c r="CNR89" s="62"/>
      <c r="CNS89" s="62"/>
      <c r="CNT89" s="62"/>
      <c r="CNU89" s="62"/>
      <c r="CNV89" s="62"/>
      <c r="CNW89" s="62"/>
      <c r="CNX89" s="62"/>
      <c r="CNY89" s="62"/>
      <c r="CNZ89" s="62"/>
      <c r="COA89" s="62"/>
      <c r="COB89" s="62"/>
      <c r="COC89" s="62"/>
      <c r="COD89" s="62"/>
      <c r="COE89" s="62"/>
      <c r="COF89" s="62"/>
      <c r="COG89" s="62"/>
      <c r="COH89" s="62"/>
      <c r="COI89" s="62"/>
      <c r="COJ89" s="62"/>
      <c r="COK89" s="62"/>
      <c r="COL89" s="62"/>
      <c r="COM89" s="62"/>
      <c r="CON89" s="62"/>
      <c r="COO89" s="62"/>
      <c r="COP89" s="62"/>
      <c r="COQ89" s="62"/>
      <c r="COR89" s="62"/>
      <c r="COS89" s="62"/>
      <c r="COT89" s="62"/>
      <c r="COU89" s="62"/>
      <c r="COV89" s="62"/>
      <c r="COW89" s="62"/>
      <c r="COX89" s="62"/>
      <c r="COY89" s="62"/>
      <c r="COZ89" s="62"/>
      <c r="CPA89" s="62"/>
      <c r="CPB89" s="62"/>
      <c r="CPC89" s="62"/>
      <c r="CPD89" s="62"/>
      <c r="CPE89" s="62"/>
      <c r="CPF89" s="62"/>
      <c r="CPG89" s="62"/>
      <c r="CPH89" s="62"/>
      <c r="CPI89" s="62"/>
      <c r="CPJ89" s="62"/>
      <c r="CPK89" s="62"/>
      <c r="CPL89" s="62"/>
      <c r="CPM89" s="62"/>
      <c r="CPN89" s="62"/>
      <c r="CPO89" s="62"/>
      <c r="CPP89" s="62"/>
      <c r="CPQ89" s="62"/>
      <c r="CPR89" s="62"/>
      <c r="CPS89" s="62"/>
      <c r="CPT89" s="62"/>
      <c r="CPU89" s="62"/>
      <c r="CPV89" s="62"/>
      <c r="CPW89" s="62"/>
      <c r="CPX89" s="62"/>
      <c r="CPY89" s="62"/>
      <c r="CPZ89" s="62"/>
      <c r="CQA89" s="62"/>
      <c r="CQB89" s="62"/>
      <c r="CQC89" s="62"/>
      <c r="CQD89" s="62"/>
      <c r="CQE89" s="62"/>
      <c r="CQF89" s="62"/>
      <c r="CQG89" s="62"/>
      <c r="CQH89" s="62"/>
      <c r="CQI89" s="62"/>
      <c r="CQJ89" s="62"/>
      <c r="CQK89" s="62"/>
      <c r="CQL89" s="62"/>
      <c r="CQM89" s="62"/>
      <c r="CQN89" s="62"/>
      <c r="CQO89" s="62"/>
      <c r="CQP89" s="62"/>
      <c r="CQQ89" s="62"/>
      <c r="CQR89" s="62"/>
      <c r="CQS89" s="62"/>
      <c r="CQT89" s="62"/>
      <c r="CQU89" s="62"/>
      <c r="CQV89" s="62"/>
      <c r="CQW89" s="62"/>
      <c r="CQX89" s="62"/>
      <c r="CQY89" s="62"/>
      <c r="CQZ89" s="62"/>
      <c r="CRA89" s="62"/>
      <c r="CRB89" s="62"/>
      <c r="CRC89" s="62"/>
      <c r="CRD89" s="62"/>
      <c r="CRE89" s="62"/>
      <c r="CRF89" s="62"/>
      <c r="CRG89" s="62"/>
      <c r="CRH89" s="62"/>
      <c r="CRI89" s="62"/>
      <c r="CRJ89" s="62"/>
      <c r="CRK89" s="62"/>
      <c r="CRL89" s="62"/>
      <c r="CRM89" s="62"/>
      <c r="CRN89" s="62"/>
      <c r="CRO89" s="62"/>
      <c r="CRP89" s="62"/>
      <c r="CRQ89" s="62"/>
      <c r="CRR89" s="62"/>
      <c r="CRS89" s="62"/>
      <c r="CRT89" s="62"/>
      <c r="CRU89" s="62"/>
      <c r="CRV89" s="62"/>
      <c r="CRW89" s="62"/>
      <c r="CRX89" s="62"/>
      <c r="CRY89" s="62"/>
      <c r="CRZ89" s="62"/>
      <c r="CSA89" s="62"/>
      <c r="CSB89" s="62"/>
      <c r="CSC89" s="62"/>
      <c r="CSD89" s="62"/>
      <c r="CSE89" s="62"/>
      <c r="CSF89" s="62"/>
      <c r="CSG89" s="62"/>
      <c r="CSH89" s="62"/>
      <c r="CSI89" s="62"/>
      <c r="CSJ89" s="62"/>
      <c r="CSK89" s="62"/>
      <c r="CSL89" s="62"/>
      <c r="CSM89" s="62"/>
      <c r="CSN89" s="62"/>
      <c r="CSO89" s="62"/>
      <c r="CSP89" s="62"/>
      <c r="CSQ89" s="62"/>
      <c r="CSR89" s="62"/>
      <c r="CSS89" s="62"/>
      <c r="CST89" s="62"/>
      <c r="CSU89" s="62"/>
      <c r="CSV89" s="62"/>
      <c r="CSW89" s="62"/>
      <c r="CSX89" s="62"/>
      <c r="CSY89" s="62"/>
      <c r="CSZ89" s="62"/>
      <c r="CTA89" s="62"/>
      <c r="CTB89" s="62"/>
      <c r="CTC89" s="62"/>
      <c r="CTD89" s="62"/>
      <c r="CTE89" s="62"/>
      <c r="CTF89" s="62"/>
      <c r="CTG89" s="62"/>
      <c r="CTH89" s="62"/>
      <c r="CTI89" s="62"/>
      <c r="CTJ89" s="62"/>
      <c r="CTK89" s="62"/>
      <c r="CTL89" s="62"/>
      <c r="CTM89" s="62"/>
      <c r="CTN89" s="62"/>
      <c r="CTO89" s="62"/>
      <c r="CTP89" s="62"/>
      <c r="CTQ89" s="62"/>
      <c r="CTR89" s="62"/>
      <c r="CTS89" s="62"/>
      <c r="CTT89" s="62"/>
      <c r="CTU89" s="62"/>
      <c r="CTV89" s="62"/>
      <c r="CTW89" s="62"/>
      <c r="CTX89" s="62"/>
      <c r="CTY89" s="62"/>
      <c r="CTZ89" s="62"/>
      <c r="CUA89" s="62"/>
      <c r="CUB89" s="62"/>
      <c r="CUC89" s="62"/>
      <c r="CUD89" s="62"/>
      <c r="CUE89" s="62"/>
      <c r="CUF89" s="62"/>
      <c r="CUG89" s="62"/>
      <c r="CUH89" s="62"/>
      <c r="CUI89" s="62"/>
      <c r="CUJ89" s="62"/>
      <c r="CUK89" s="62"/>
      <c r="CUL89" s="62"/>
      <c r="CUM89" s="62"/>
      <c r="CUN89" s="62"/>
      <c r="CUO89" s="62"/>
      <c r="CUP89" s="62"/>
      <c r="CUQ89" s="62"/>
      <c r="CUR89" s="62"/>
      <c r="CUS89" s="62"/>
      <c r="CUT89" s="62"/>
      <c r="CUU89" s="62"/>
      <c r="CUV89" s="62"/>
      <c r="CUW89" s="62"/>
      <c r="CUX89" s="62"/>
      <c r="CUY89" s="62"/>
      <c r="CUZ89" s="62"/>
      <c r="CVA89" s="62"/>
      <c r="CVB89" s="62"/>
      <c r="CVC89" s="62"/>
      <c r="CVD89" s="62"/>
      <c r="CVE89" s="62"/>
      <c r="CVF89" s="62"/>
      <c r="CVG89" s="62"/>
      <c r="CVH89" s="62"/>
      <c r="CVI89" s="62"/>
      <c r="CVJ89" s="62"/>
      <c r="CVK89" s="62"/>
      <c r="CVL89" s="62"/>
      <c r="CVM89" s="62"/>
      <c r="CVN89" s="62"/>
      <c r="CVO89" s="62"/>
      <c r="CVP89" s="62"/>
      <c r="CVQ89" s="62"/>
      <c r="CVR89" s="62"/>
      <c r="CVS89" s="62"/>
      <c r="CVT89" s="62"/>
      <c r="CVU89" s="62"/>
      <c r="CVV89" s="62"/>
      <c r="CVW89" s="62"/>
      <c r="CVX89" s="62"/>
      <c r="CVY89" s="62"/>
      <c r="CVZ89" s="62"/>
      <c r="CWA89" s="62"/>
      <c r="CWB89" s="62"/>
      <c r="CWC89" s="62"/>
      <c r="CWD89" s="62"/>
      <c r="CWE89" s="62"/>
      <c r="CWF89" s="62"/>
      <c r="CWG89" s="62"/>
      <c r="CWH89" s="62"/>
      <c r="CWI89" s="62"/>
      <c r="CWJ89" s="62"/>
      <c r="CWK89" s="62"/>
      <c r="CWL89" s="62"/>
      <c r="CWM89" s="62"/>
      <c r="CWN89" s="62"/>
      <c r="CWO89" s="62"/>
      <c r="CWP89" s="62"/>
      <c r="CWQ89" s="62"/>
      <c r="CWR89" s="62"/>
      <c r="CWS89" s="62"/>
      <c r="CWT89" s="62"/>
      <c r="CWU89" s="62"/>
      <c r="CWV89" s="62"/>
      <c r="CWW89" s="62"/>
      <c r="CWX89" s="62"/>
      <c r="CWY89" s="62"/>
      <c r="CWZ89" s="62"/>
      <c r="CXA89" s="62"/>
      <c r="CXB89" s="62"/>
      <c r="CXC89" s="62"/>
      <c r="CXD89" s="62"/>
      <c r="CXE89" s="62"/>
      <c r="CXF89" s="62"/>
      <c r="CXG89" s="62"/>
      <c r="CXH89" s="62"/>
      <c r="CXI89" s="62"/>
      <c r="CXJ89" s="62"/>
      <c r="CXK89" s="62"/>
      <c r="CXL89" s="62"/>
      <c r="CXM89" s="62"/>
      <c r="CXN89" s="62"/>
      <c r="CXO89" s="62"/>
      <c r="CXP89" s="62"/>
      <c r="CXQ89" s="62"/>
      <c r="CXR89" s="62"/>
      <c r="CXS89" s="62"/>
      <c r="CXT89" s="62"/>
      <c r="CXU89" s="62"/>
      <c r="CXV89" s="62"/>
      <c r="CXW89" s="62"/>
      <c r="CXX89" s="62"/>
      <c r="CXY89" s="62"/>
      <c r="CXZ89" s="62"/>
      <c r="CYA89" s="62"/>
      <c r="CYB89" s="62"/>
      <c r="CYC89" s="62"/>
      <c r="CYD89" s="62"/>
      <c r="CYE89" s="62"/>
      <c r="CYF89" s="62"/>
      <c r="CYG89" s="62"/>
      <c r="CYH89" s="62"/>
      <c r="CYI89" s="62"/>
      <c r="CYJ89" s="62"/>
      <c r="CYK89" s="62"/>
      <c r="CYL89" s="62"/>
      <c r="CYM89" s="62"/>
      <c r="CYN89" s="62"/>
      <c r="CYO89" s="62"/>
      <c r="CYP89" s="62"/>
      <c r="CYQ89" s="62"/>
      <c r="CYR89" s="62"/>
      <c r="CYS89" s="62"/>
      <c r="CYT89" s="62"/>
      <c r="CYU89" s="62"/>
      <c r="CYV89" s="62"/>
      <c r="CYW89" s="62"/>
      <c r="CYX89" s="62"/>
      <c r="CYY89" s="62"/>
      <c r="CYZ89" s="62"/>
      <c r="CZA89" s="62"/>
      <c r="CZB89" s="62"/>
      <c r="CZC89" s="62"/>
      <c r="CZD89" s="62"/>
      <c r="CZE89" s="62"/>
      <c r="CZF89" s="62"/>
      <c r="CZG89" s="62"/>
      <c r="CZH89" s="62"/>
      <c r="CZI89" s="62"/>
      <c r="CZJ89" s="62"/>
      <c r="CZK89" s="62"/>
      <c r="CZL89" s="62"/>
      <c r="CZM89" s="62"/>
      <c r="CZN89" s="62"/>
      <c r="CZO89" s="62"/>
      <c r="CZP89" s="62"/>
      <c r="CZQ89" s="62"/>
      <c r="CZR89" s="62"/>
      <c r="CZS89" s="62"/>
      <c r="CZT89" s="62"/>
      <c r="CZU89" s="62"/>
      <c r="CZV89" s="62"/>
      <c r="CZW89" s="62"/>
      <c r="CZX89" s="62"/>
      <c r="CZY89" s="62"/>
      <c r="CZZ89" s="62"/>
      <c r="DAA89" s="62"/>
      <c r="DAB89" s="62"/>
      <c r="DAC89" s="62"/>
      <c r="DAD89" s="62"/>
      <c r="DAE89" s="62"/>
      <c r="DAF89" s="62"/>
      <c r="DAG89" s="62"/>
      <c r="DAH89" s="62"/>
      <c r="DAI89" s="62"/>
      <c r="DAJ89" s="62"/>
      <c r="DAK89" s="62"/>
      <c r="DAL89" s="62"/>
      <c r="DAM89" s="62"/>
      <c r="DAN89" s="62"/>
      <c r="DAO89" s="62"/>
      <c r="DAP89" s="62"/>
      <c r="DAQ89" s="62"/>
      <c r="DAR89" s="62"/>
      <c r="DAS89" s="62"/>
      <c r="DAT89" s="62"/>
      <c r="DAU89" s="62"/>
      <c r="DAV89" s="62"/>
      <c r="DAW89" s="62"/>
      <c r="DAX89" s="62"/>
      <c r="DAY89" s="62"/>
      <c r="DAZ89" s="62"/>
      <c r="DBA89" s="62"/>
      <c r="DBB89" s="62"/>
      <c r="DBC89" s="62"/>
      <c r="DBD89" s="62"/>
      <c r="DBE89" s="62"/>
      <c r="DBF89" s="62"/>
      <c r="DBG89" s="62"/>
      <c r="DBH89" s="62"/>
      <c r="DBI89" s="62"/>
      <c r="DBJ89" s="62"/>
      <c r="DBK89" s="62"/>
      <c r="DBL89" s="62"/>
      <c r="DBM89" s="62"/>
      <c r="DBN89" s="62"/>
      <c r="DBO89" s="62"/>
      <c r="DBP89" s="62"/>
      <c r="DBQ89" s="62"/>
      <c r="DBR89" s="62"/>
      <c r="DBS89" s="62"/>
      <c r="DBT89" s="62"/>
      <c r="DBU89" s="62"/>
      <c r="DBV89" s="62"/>
      <c r="DBW89" s="62"/>
      <c r="DBX89" s="62"/>
      <c r="DBY89" s="62"/>
      <c r="DBZ89" s="62"/>
      <c r="DCA89" s="62"/>
      <c r="DCB89" s="62"/>
      <c r="DCC89" s="62"/>
      <c r="DCD89" s="62"/>
      <c r="DCE89" s="62"/>
      <c r="DCF89" s="62"/>
      <c r="DCG89" s="62"/>
      <c r="DCH89" s="62"/>
      <c r="DCI89" s="62"/>
      <c r="DCJ89" s="62"/>
      <c r="DCK89" s="62"/>
      <c r="DCL89" s="62"/>
      <c r="DCM89" s="62"/>
      <c r="DCN89" s="62"/>
      <c r="DCO89" s="62"/>
      <c r="DCP89" s="62"/>
      <c r="DCQ89" s="62"/>
      <c r="DCR89" s="62"/>
      <c r="DCS89" s="62"/>
      <c r="DCT89" s="62"/>
      <c r="DCU89" s="62"/>
      <c r="DCV89" s="62"/>
      <c r="DCW89" s="62"/>
      <c r="DCX89" s="62"/>
      <c r="DCY89" s="62"/>
      <c r="DCZ89" s="62"/>
      <c r="DDA89" s="62"/>
      <c r="DDB89" s="62"/>
      <c r="DDC89" s="62"/>
      <c r="DDD89" s="62"/>
      <c r="DDE89" s="62"/>
      <c r="DDF89" s="62"/>
      <c r="DDG89" s="62"/>
      <c r="DDH89" s="62"/>
      <c r="DDI89" s="62"/>
      <c r="DDJ89" s="62"/>
      <c r="DDK89" s="62"/>
      <c r="DDL89" s="62"/>
      <c r="DDM89" s="62"/>
      <c r="DDN89" s="62"/>
      <c r="DDO89" s="62"/>
      <c r="DDP89" s="62"/>
      <c r="DDQ89" s="62"/>
      <c r="DDR89" s="62"/>
      <c r="DDS89" s="62"/>
      <c r="DDT89" s="62"/>
      <c r="DDU89" s="62"/>
      <c r="DDV89" s="62"/>
      <c r="DDW89" s="62"/>
      <c r="DDX89" s="62"/>
      <c r="DDY89" s="62"/>
      <c r="DDZ89" s="62"/>
      <c r="DEA89" s="62"/>
      <c r="DEB89" s="62"/>
      <c r="DEC89" s="62"/>
      <c r="DED89" s="62"/>
      <c r="DEE89" s="62"/>
      <c r="DEF89" s="62"/>
      <c r="DEG89" s="62"/>
      <c r="DEH89" s="62"/>
      <c r="DEI89" s="62"/>
      <c r="DEJ89" s="62"/>
      <c r="DEK89" s="62"/>
      <c r="DEL89" s="62"/>
      <c r="DEM89" s="62"/>
      <c r="DEN89" s="62"/>
      <c r="DEO89" s="62"/>
      <c r="DEP89" s="62"/>
      <c r="DEQ89" s="62"/>
      <c r="DER89" s="62"/>
      <c r="DES89" s="62"/>
      <c r="DET89" s="62"/>
      <c r="DEU89" s="62"/>
      <c r="DEV89" s="62"/>
      <c r="DEW89" s="62"/>
      <c r="DEX89" s="62"/>
      <c r="DEY89" s="62"/>
      <c r="DEZ89" s="62"/>
      <c r="DFA89" s="62"/>
      <c r="DFB89" s="62"/>
      <c r="DFC89" s="62"/>
      <c r="DFD89" s="62"/>
      <c r="DFE89" s="62"/>
      <c r="DFF89" s="62"/>
      <c r="DFG89" s="62"/>
      <c r="DFH89" s="62"/>
      <c r="DFI89" s="62"/>
      <c r="DFJ89" s="62"/>
      <c r="DFK89" s="62"/>
      <c r="DFL89" s="62"/>
      <c r="DFM89" s="62"/>
      <c r="DFN89" s="62"/>
      <c r="DFO89" s="62"/>
      <c r="DFP89" s="62"/>
      <c r="DFQ89" s="62"/>
      <c r="DFR89" s="62"/>
      <c r="DFS89" s="62"/>
      <c r="DFT89" s="62"/>
      <c r="DFU89" s="62"/>
      <c r="DFV89" s="62"/>
      <c r="DFW89" s="62"/>
      <c r="DFX89" s="62"/>
      <c r="DFY89" s="62"/>
      <c r="DFZ89" s="62"/>
      <c r="DGA89" s="62"/>
      <c r="DGB89" s="62"/>
      <c r="DGC89" s="62"/>
      <c r="DGD89" s="62"/>
      <c r="DGE89" s="62"/>
      <c r="DGF89" s="62"/>
      <c r="DGG89" s="62"/>
      <c r="DGH89" s="62"/>
      <c r="DGI89" s="62"/>
      <c r="DGJ89" s="62"/>
      <c r="DGK89" s="62"/>
      <c r="DGL89" s="62"/>
      <c r="DGM89" s="62"/>
      <c r="DGN89" s="62"/>
      <c r="DGO89" s="62"/>
      <c r="DGP89" s="62"/>
      <c r="DGQ89" s="62"/>
      <c r="DGR89" s="62"/>
      <c r="DGS89" s="62"/>
      <c r="DGT89" s="62"/>
      <c r="DGU89" s="62"/>
      <c r="DGV89" s="62"/>
      <c r="DGW89" s="62"/>
      <c r="DGX89" s="62"/>
      <c r="DGY89" s="62"/>
      <c r="DGZ89" s="62"/>
      <c r="DHA89" s="62"/>
      <c r="DHB89" s="62"/>
      <c r="DHC89" s="62"/>
      <c r="DHD89" s="62"/>
      <c r="DHE89" s="62"/>
      <c r="DHF89" s="62"/>
      <c r="DHG89" s="62"/>
      <c r="DHH89" s="62"/>
      <c r="DHI89" s="62"/>
      <c r="DHJ89" s="62"/>
      <c r="DHK89" s="62"/>
      <c r="DHL89" s="62"/>
      <c r="DHM89" s="62"/>
      <c r="DHN89" s="62"/>
      <c r="DHO89" s="62"/>
      <c r="DHP89" s="62"/>
      <c r="DHQ89" s="62"/>
      <c r="DHR89" s="62"/>
      <c r="DHS89" s="62"/>
      <c r="DHT89" s="62"/>
      <c r="DHU89" s="62"/>
      <c r="DHV89" s="62"/>
      <c r="DHW89" s="62"/>
      <c r="DHX89" s="62"/>
      <c r="DHY89" s="62"/>
      <c r="DHZ89" s="62"/>
      <c r="DIA89" s="62"/>
      <c r="DIB89" s="62"/>
      <c r="DIC89" s="62"/>
      <c r="DID89" s="62"/>
      <c r="DIE89" s="62"/>
      <c r="DIF89" s="62"/>
      <c r="DIG89" s="62"/>
      <c r="DIH89" s="62"/>
      <c r="DII89" s="62"/>
      <c r="DIJ89" s="62"/>
      <c r="DIK89" s="62"/>
      <c r="DIL89" s="62"/>
      <c r="DIM89" s="62"/>
      <c r="DIN89" s="62"/>
      <c r="DIO89" s="62"/>
      <c r="DIP89" s="62"/>
      <c r="DIQ89" s="62"/>
      <c r="DIR89" s="62"/>
      <c r="DIS89" s="62"/>
      <c r="DIT89" s="62"/>
      <c r="DIU89" s="62"/>
      <c r="DIV89" s="62"/>
      <c r="DIW89" s="62"/>
      <c r="DIX89" s="62"/>
      <c r="DIY89" s="62"/>
      <c r="DIZ89" s="62"/>
      <c r="DJA89" s="62"/>
      <c r="DJB89" s="62"/>
      <c r="DJC89" s="62"/>
      <c r="DJD89" s="62"/>
      <c r="DJE89" s="62"/>
      <c r="DJF89" s="62"/>
      <c r="DJG89" s="62"/>
      <c r="DJH89" s="62"/>
      <c r="DJI89" s="62"/>
      <c r="DJJ89" s="62"/>
      <c r="DJK89" s="62"/>
      <c r="DJL89" s="62"/>
      <c r="DJM89" s="62"/>
      <c r="DJN89" s="62"/>
      <c r="DJO89" s="62"/>
      <c r="DJP89" s="62"/>
      <c r="DJQ89" s="62"/>
      <c r="DJR89" s="62"/>
      <c r="DJS89" s="62"/>
      <c r="DJT89" s="62"/>
      <c r="DJU89" s="62"/>
      <c r="DJV89" s="62"/>
      <c r="DJW89" s="62"/>
      <c r="DJX89" s="62"/>
      <c r="DJY89" s="62"/>
      <c r="DJZ89" s="62"/>
      <c r="DKA89" s="62"/>
      <c r="DKB89" s="62"/>
      <c r="DKC89" s="62"/>
      <c r="DKD89" s="62"/>
      <c r="DKE89" s="62"/>
      <c r="DKF89" s="62"/>
      <c r="DKG89" s="62"/>
      <c r="DKH89" s="62"/>
      <c r="DKI89" s="62"/>
      <c r="DKJ89" s="62"/>
      <c r="DKK89" s="62"/>
      <c r="DKL89" s="62"/>
      <c r="DKM89" s="62"/>
      <c r="DKN89" s="62"/>
      <c r="DKO89" s="62"/>
      <c r="DKP89" s="62"/>
      <c r="DKQ89" s="62"/>
      <c r="DKR89" s="62"/>
      <c r="DKS89" s="62"/>
      <c r="DKT89" s="62"/>
      <c r="DKU89" s="62"/>
      <c r="DKV89" s="62"/>
      <c r="DKW89" s="62"/>
      <c r="DKX89" s="62"/>
      <c r="DKY89" s="62"/>
      <c r="DKZ89" s="62"/>
      <c r="DLA89" s="62"/>
      <c r="DLB89" s="62"/>
      <c r="DLC89" s="62"/>
      <c r="DLD89" s="62"/>
      <c r="DLE89" s="62"/>
      <c r="DLF89" s="62"/>
      <c r="DLG89" s="62"/>
      <c r="DLH89" s="62"/>
      <c r="DLI89" s="62"/>
      <c r="DLJ89" s="62"/>
      <c r="DLK89" s="62"/>
      <c r="DLL89" s="62"/>
      <c r="DLM89" s="62"/>
      <c r="DLN89" s="62"/>
      <c r="DLO89" s="62"/>
      <c r="DLP89" s="62"/>
      <c r="DLQ89" s="62"/>
      <c r="DLR89" s="62"/>
      <c r="DLS89" s="62"/>
      <c r="DLT89" s="62"/>
      <c r="DLU89" s="62"/>
      <c r="DLV89" s="62"/>
      <c r="DLW89" s="62"/>
      <c r="DLX89" s="62"/>
      <c r="DLY89" s="62"/>
      <c r="DLZ89" s="62"/>
      <c r="DMA89" s="62"/>
      <c r="DMB89" s="62"/>
      <c r="DMC89" s="62"/>
      <c r="DMD89" s="62"/>
      <c r="DME89" s="62"/>
      <c r="DMF89" s="62"/>
      <c r="DMG89" s="62"/>
      <c r="DMH89" s="62"/>
      <c r="DMI89" s="62"/>
      <c r="DMJ89" s="62"/>
      <c r="DMK89" s="62"/>
      <c r="DML89" s="62"/>
      <c r="DMM89" s="62"/>
      <c r="DMN89" s="62"/>
      <c r="DMO89" s="62"/>
      <c r="DMP89" s="62"/>
      <c r="DMQ89" s="62"/>
      <c r="DMR89" s="62"/>
      <c r="DMS89" s="62"/>
      <c r="DMT89" s="62"/>
      <c r="DMU89" s="62"/>
      <c r="DMV89" s="62"/>
      <c r="DMW89" s="62"/>
      <c r="DMX89" s="62"/>
      <c r="DMY89" s="62"/>
      <c r="DMZ89" s="62"/>
      <c r="DNA89" s="62"/>
      <c r="DNB89" s="62"/>
      <c r="DNC89" s="62"/>
      <c r="DND89" s="62"/>
      <c r="DNE89" s="62"/>
      <c r="DNF89" s="62"/>
      <c r="DNG89" s="62"/>
      <c r="DNH89" s="62"/>
      <c r="DNI89" s="62"/>
      <c r="DNJ89" s="62"/>
      <c r="DNK89" s="62"/>
      <c r="DNL89" s="62"/>
      <c r="DNM89" s="62"/>
      <c r="DNN89" s="62"/>
      <c r="DNO89" s="62"/>
      <c r="DNP89" s="62"/>
      <c r="DNQ89" s="62"/>
      <c r="DNR89" s="62"/>
      <c r="DNS89" s="62"/>
      <c r="DNT89" s="62"/>
      <c r="DNU89" s="62"/>
      <c r="DNV89" s="62"/>
      <c r="DNW89" s="62"/>
      <c r="DNX89" s="62"/>
      <c r="DNY89" s="62"/>
      <c r="DNZ89" s="62"/>
      <c r="DOA89" s="62"/>
      <c r="DOB89" s="62"/>
      <c r="DOC89" s="62"/>
      <c r="DOD89" s="62"/>
      <c r="DOE89" s="62"/>
      <c r="DOF89" s="62"/>
      <c r="DOG89" s="62"/>
      <c r="DOH89" s="62"/>
      <c r="DOI89" s="62"/>
      <c r="DOJ89" s="62"/>
      <c r="DOK89" s="62"/>
      <c r="DOL89" s="62"/>
      <c r="DOM89" s="62"/>
      <c r="DON89" s="62"/>
      <c r="DOO89" s="62"/>
      <c r="DOP89" s="62"/>
      <c r="DOQ89" s="62"/>
      <c r="DOR89" s="62"/>
      <c r="DOS89" s="62"/>
      <c r="DOT89" s="62"/>
      <c r="DOU89" s="62"/>
      <c r="DOV89" s="62"/>
      <c r="DOW89" s="62"/>
      <c r="DOX89" s="62"/>
      <c r="DOY89" s="62"/>
      <c r="DOZ89" s="62"/>
      <c r="DPA89" s="62"/>
      <c r="DPB89" s="62"/>
      <c r="DPC89" s="62"/>
      <c r="DPD89" s="62"/>
      <c r="DPE89" s="62"/>
      <c r="DPF89" s="62"/>
      <c r="DPG89" s="62"/>
      <c r="DPH89" s="62"/>
      <c r="DPI89" s="62"/>
      <c r="DPJ89" s="62"/>
      <c r="DPK89" s="62"/>
      <c r="DPL89" s="62"/>
      <c r="DPM89" s="62"/>
      <c r="DPN89" s="62"/>
      <c r="DPO89" s="62"/>
      <c r="DPP89" s="62"/>
      <c r="DPQ89" s="62"/>
      <c r="DPR89" s="62"/>
      <c r="DPS89" s="62"/>
      <c r="DPT89" s="62"/>
      <c r="DPU89" s="62"/>
      <c r="DPV89" s="62"/>
      <c r="DPW89" s="62"/>
      <c r="DPX89" s="62"/>
      <c r="DPY89" s="62"/>
      <c r="DPZ89" s="62"/>
      <c r="DQA89" s="62"/>
      <c r="DQB89" s="62"/>
      <c r="DQC89" s="62"/>
      <c r="DQD89" s="62"/>
      <c r="DQE89" s="62"/>
      <c r="DQF89" s="62"/>
      <c r="DQG89" s="62"/>
      <c r="DQH89" s="62"/>
      <c r="DQI89" s="62"/>
      <c r="DQJ89" s="62"/>
      <c r="DQK89" s="62"/>
      <c r="DQL89" s="62"/>
      <c r="DQM89" s="62"/>
      <c r="DQN89" s="62"/>
      <c r="DQO89" s="62"/>
      <c r="DQP89" s="62"/>
      <c r="DQQ89" s="62"/>
      <c r="DQR89" s="62"/>
      <c r="DQS89" s="62"/>
      <c r="DQT89" s="62"/>
      <c r="DQU89" s="62"/>
      <c r="DQV89" s="62"/>
      <c r="DQW89" s="62"/>
      <c r="DQX89" s="62"/>
      <c r="DQY89" s="62"/>
      <c r="DQZ89" s="62"/>
      <c r="DRA89" s="62"/>
      <c r="DRB89" s="62"/>
      <c r="DRC89" s="62"/>
      <c r="DRD89" s="62"/>
      <c r="DRE89" s="62"/>
      <c r="DRF89" s="62"/>
      <c r="DRG89" s="62"/>
      <c r="DRH89" s="62"/>
      <c r="DRI89" s="62"/>
      <c r="DRJ89" s="62"/>
      <c r="DRK89" s="62"/>
      <c r="DRL89" s="62"/>
      <c r="DRM89" s="62"/>
      <c r="DRN89" s="62"/>
      <c r="DRO89" s="62"/>
      <c r="DRP89" s="62"/>
      <c r="DRQ89" s="62"/>
      <c r="DRR89" s="62"/>
      <c r="DRS89" s="62"/>
      <c r="DRT89" s="62"/>
      <c r="DRU89" s="62"/>
      <c r="DRV89" s="62"/>
      <c r="DRW89" s="62"/>
      <c r="DRX89" s="62"/>
      <c r="DRY89" s="62"/>
      <c r="DRZ89" s="62"/>
      <c r="DSA89" s="62"/>
      <c r="DSB89" s="62"/>
      <c r="DSC89" s="62"/>
      <c r="DSD89" s="62"/>
      <c r="DSE89" s="62"/>
      <c r="DSF89" s="62"/>
      <c r="DSG89" s="62"/>
      <c r="DSH89" s="62"/>
      <c r="DSI89" s="62"/>
      <c r="DSJ89" s="62"/>
      <c r="DSK89" s="62"/>
      <c r="DSL89" s="62"/>
      <c r="DSM89" s="62"/>
      <c r="DSN89" s="62"/>
      <c r="DSO89" s="62"/>
      <c r="DSP89" s="62"/>
      <c r="DSQ89" s="62"/>
      <c r="DSR89" s="62"/>
      <c r="DSS89" s="62"/>
      <c r="DST89" s="62"/>
      <c r="DSU89" s="62"/>
      <c r="DSV89" s="62"/>
      <c r="DSW89" s="62"/>
      <c r="DSX89" s="62"/>
      <c r="DSY89" s="62"/>
      <c r="DSZ89" s="62"/>
      <c r="DTA89" s="62"/>
      <c r="DTB89" s="62"/>
      <c r="DTC89" s="62"/>
      <c r="DTD89" s="62"/>
      <c r="DTE89" s="62"/>
      <c r="DTF89" s="62"/>
      <c r="DTG89" s="62"/>
      <c r="DTH89" s="62"/>
      <c r="DTI89" s="62"/>
      <c r="DTJ89" s="62"/>
      <c r="DTK89" s="62"/>
      <c r="DTL89" s="62"/>
      <c r="DTM89" s="62"/>
      <c r="DTN89" s="62"/>
      <c r="DTO89" s="62"/>
      <c r="DTP89" s="62"/>
      <c r="DTQ89" s="62"/>
      <c r="DTR89" s="62"/>
      <c r="DTS89" s="62"/>
      <c r="DTT89" s="62"/>
      <c r="DTU89" s="62"/>
      <c r="DTV89" s="62"/>
      <c r="DTW89" s="62"/>
      <c r="DTX89" s="62"/>
      <c r="DTY89" s="62"/>
      <c r="DTZ89" s="62"/>
      <c r="DUA89" s="62"/>
      <c r="DUB89" s="62"/>
      <c r="DUC89" s="62"/>
      <c r="DUD89" s="62"/>
      <c r="DUE89" s="62"/>
      <c r="DUF89" s="62"/>
      <c r="DUG89" s="62"/>
      <c r="DUH89" s="62"/>
      <c r="DUI89" s="62"/>
      <c r="DUJ89" s="62"/>
      <c r="DUK89" s="62"/>
      <c r="DUL89" s="62"/>
      <c r="DUM89" s="62"/>
      <c r="DUN89" s="62"/>
      <c r="DUO89" s="62"/>
      <c r="DUP89" s="62"/>
      <c r="DUQ89" s="62"/>
      <c r="DUR89" s="62"/>
      <c r="DUS89" s="62"/>
      <c r="DUT89" s="62"/>
      <c r="DUU89" s="62"/>
      <c r="DUV89" s="62"/>
      <c r="DUW89" s="62"/>
      <c r="DUX89" s="62"/>
      <c r="DUY89" s="62"/>
      <c r="DUZ89" s="62"/>
      <c r="DVA89" s="62"/>
      <c r="DVB89" s="62"/>
      <c r="DVC89" s="62"/>
      <c r="DVD89" s="62"/>
      <c r="DVE89" s="62"/>
      <c r="DVF89" s="62"/>
      <c r="DVG89" s="62"/>
      <c r="DVH89" s="62"/>
      <c r="DVI89" s="62"/>
      <c r="DVJ89" s="62"/>
      <c r="DVK89" s="62"/>
      <c r="DVL89" s="62"/>
      <c r="DVM89" s="62"/>
      <c r="DVN89" s="62"/>
      <c r="DVO89" s="62"/>
      <c r="DVP89" s="62"/>
      <c r="DVQ89" s="62"/>
      <c r="DVR89" s="62"/>
      <c r="DVS89" s="62"/>
      <c r="DVT89" s="62"/>
      <c r="DVU89" s="62"/>
      <c r="DVV89" s="62"/>
      <c r="DVW89" s="62"/>
      <c r="DVX89" s="62"/>
      <c r="DVY89" s="62"/>
      <c r="DVZ89" s="62"/>
      <c r="DWA89" s="62"/>
      <c r="DWB89" s="62"/>
      <c r="DWC89" s="62"/>
      <c r="DWD89" s="62"/>
      <c r="DWE89" s="62"/>
      <c r="DWF89" s="62"/>
      <c r="DWG89" s="62"/>
      <c r="DWH89" s="62"/>
      <c r="DWI89" s="62"/>
      <c r="DWJ89" s="62"/>
      <c r="DWK89" s="62"/>
      <c r="DWL89" s="62"/>
      <c r="DWM89" s="62"/>
      <c r="DWN89" s="62"/>
      <c r="DWO89" s="62"/>
      <c r="DWP89" s="62"/>
      <c r="DWQ89" s="62"/>
      <c r="DWR89" s="62"/>
      <c r="DWS89" s="62"/>
      <c r="DWT89" s="62"/>
      <c r="DWU89" s="62"/>
      <c r="DWV89" s="62"/>
      <c r="DWW89" s="62"/>
      <c r="DWX89" s="62"/>
      <c r="DWY89" s="62"/>
      <c r="DWZ89" s="62"/>
      <c r="DXA89" s="62"/>
      <c r="DXB89" s="62"/>
      <c r="DXC89" s="62"/>
      <c r="DXD89" s="62"/>
      <c r="DXE89" s="62"/>
      <c r="DXF89" s="62"/>
      <c r="DXG89" s="62"/>
      <c r="DXH89" s="62"/>
      <c r="DXI89" s="62"/>
      <c r="DXJ89" s="62"/>
      <c r="DXK89" s="62"/>
      <c r="DXL89" s="62"/>
      <c r="DXM89" s="62"/>
      <c r="DXN89" s="62"/>
      <c r="DXO89" s="62"/>
      <c r="DXP89" s="62"/>
      <c r="DXQ89" s="62"/>
      <c r="DXR89" s="62"/>
      <c r="DXS89" s="62"/>
      <c r="DXT89" s="62"/>
      <c r="DXU89" s="62"/>
      <c r="DXV89" s="62"/>
      <c r="DXW89" s="62"/>
      <c r="DXX89" s="62"/>
      <c r="DXY89" s="62"/>
      <c r="DXZ89" s="62"/>
      <c r="DYA89" s="62"/>
      <c r="DYB89" s="62"/>
      <c r="DYC89" s="62"/>
      <c r="DYD89" s="62"/>
      <c r="DYE89" s="62"/>
      <c r="DYF89" s="62"/>
      <c r="DYG89" s="62"/>
      <c r="DYH89" s="62"/>
      <c r="DYI89" s="62"/>
      <c r="DYJ89" s="62"/>
      <c r="DYK89" s="62"/>
      <c r="DYL89" s="62"/>
      <c r="DYM89" s="62"/>
      <c r="DYN89" s="62"/>
      <c r="DYO89" s="62"/>
      <c r="DYP89" s="62"/>
      <c r="DYQ89" s="62"/>
      <c r="DYR89" s="62"/>
      <c r="DYS89" s="62"/>
      <c r="DYT89" s="62"/>
      <c r="DYU89" s="62"/>
      <c r="DYV89" s="62"/>
      <c r="DYW89" s="62"/>
      <c r="DYX89" s="62"/>
      <c r="DYY89" s="62"/>
      <c r="DYZ89" s="62"/>
      <c r="DZA89" s="62"/>
      <c r="DZB89" s="62"/>
      <c r="DZC89" s="62"/>
      <c r="DZD89" s="62"/>
      <c r="DZE89" s="62"/>
      <c r="DZF89" s="62"/>
      <c r="DZG89" s="62"/>
      <c r="DZH89" s="62"/>
      <c r="DZI89" s="62"/>
      <c r="DZJ89" s="62"/>
      <c r="DZK89" s="62"/>
      <c r="DZL89" s="62"/>
      <c r="DZM89" s="62"/>
      <c r="DZN89" s="62"/>
      <c r="DZO89" s="62"/>
      <c r="DZP89" s="62"/>
      <c r="DZQ89" s="62"/>
      <c r="DZR89" s="62"/>
      <c r="DZS89" s="62"/>
      <c r="DZT89" s="62"/>
      <c r="DZU89" s="62"/>
      <c r="DZV89" s="62"/>
      <c r="DZW89" s="62"/>
      <c r="DZX89" s="62"/>
      <c r="DZY89" s="62"/>
      <c r="DZZ89" s="62"/>
      <c r="EAA89" s="62"/>
      <c r="EAB89" s="62"/>
      <c r="EAC89" s="62"/>
      <c r="EAD89" s="62"/>
      <c r="EAE89" s="62"/>
      <c r="EAF89" s="62"/>
      <c r="EAG89" s="62"/>
      <c r="EAH89" s="62"/>
      <c r="EAI89" s="62"/>
      <c r="EAJ89" s="62"/>
      <c r="EAK89" s="62"/>
      <c r="EAL89" s="62"/>
      <c r="EAM89" s="62"/>
      <c r="EAN89" s="62"/>
      <c r="EAO89" s="62"/>
      <c r="EAP89" s="62"/>
      <c r="EAQ89" s="62"/>
      <c r="EAR89" s="62"/>
      <c r="EAS89" s="62"/>
      <c r="EAT89" s="62"/>
      <c r="EAU89" s="62"/>
      <c r="EAV89" s="62"/>
      <c r="EAW89" s="62"/>
      <c r="EAX89" s="62"/>
      <c r="EAY89" s="62"/>
      <c r="EAZ89" s="62"/>
      <c r="EBA89" s="62"/>
      <c r="EBB89" s="62"/>
      <c r="EBC89" s="62"/>
      <c r="EBD89" s="62"/>
      <c r="EBE89" s="62"/>
      <c r="EBF89" s="62"/>
      <c r="EBG89" s="62"/>
      <c r="EBH89" s="62"/>
      <c r="EBI89" s="62"/>
      <c r="EBJ89" s="62"/>
      <c r="EBK89" s="62"/>
      <c r="EBL89" s="62"/>
      <c r="EBM89" s="62"/>
      <c r="EBN89" s="62"/>
      <c r="EBO89" s="62"/>
      <c r="EBP89" s="62"/>
      <c r="EBQ89" s="62"/>
      <c r="EBR89" s="62"/>
      <c r="EBS89" s="62"/>
      <c r="EBT89" s="62"/>
      <c r="EBU89" s="62"/>
      <c r="EBV89" s="62"/>
      <c r="EBW89" s="62"/>
      <c r="EBX89" s="62"/>
      <c r="EBY89" s="62"/>
      <c r="EBZ89" s="62"/>
      <c r="ECA89" s="62"/>
      <c r="ECB89" s="62"/>
      <c r="ECC89" s="62"/>
      <c r="ECD89" s="62"/>
      <c r="ECE89" s="62"/>
      <c r="ECF89" s="62"/>
      <c r="ECG89" s="62"/>
      <c r="ECH89" s="62"/>
      <c r="ECI89" s="62"/>
      <c r="ECJ89" s="62"/>
      <c r="ECK89" s="62"/>
      <c r="ECL89" s="62"/>
      <c r="ECM89" s="62"/>
      <c r="ECN89" s="62"/>
      <c r="ECO89" s="62"/>
      <c r="ECP89" s="62"/>
      <c r="ECQ89" s="62"/>
      <c r="ECR89" s="62"/>
      <c r="ECS89" s="62"/>
      <c r="ECT89" s="62"/>
      <c r="ECU89" s="62"/>
      <c r="ECV89" s="62"/>
      <c r="ECW89" s="62"/>
      <c r="ECX89" s="62"/>
      <c r="ECY89" s="62"/>
      <c r="ECZ89" s="62"/>
      <c r="EDA89" s="62"/>
      <c r="EDB89" s="62"/>
      <c r="EDC89" s="62"/>
      <c r="EDD89" s="62"/>
      <c r="EDE89" s="62"/>
      <c r="EDF89" s="62"/>
      <c r="EDG89" s="62"/>
      <c r="EDH89" s="62"/>
      <c r="EDI89" s="62"/>
      <c r="EDJ89" s="62"/>
      <c r="EDK89" s="62"/>
      <c r="EDL89" s="62"/>
      <c r="EDM89" s="62"/>
      <c r="EDN89" s="62"/>
      <c r="EDO89" s="62"/>
      <c r="EDP89" s="62"/>
      <c r="EDQ89" s="62"/>
      <c r="EDR89" s="62"/>
      <c r="EDS89" s="62"/>
      <c r="EDT89" s="62"/>
      <c r="EDU89" s="62"/>
      <c r="EDV89" s="62"/>
      <c r="EDW89" s="62"/>
      <c r="EDX89" s="62"/>
      <c r="EDY89" s="62"/>
      <c r="EDZ89" s="62"/>
      <c r="EEA89" s="62"/>
      <c r="EEB89" s="62"/>
      <c r="EEC89" s="62"/>
      <c r="EED89" s="62"/>
      <c r="EEE89" s="62"/>
      <c r="EEF89" s="62"/>
      <c r="EEG89" s="62"/>
      <c r="EEH89" s="62"/>
      <c r="EEI89" s="62"/>
      <c r="EEJ89" s="62"/>
      <c r="EEK89" s="62"/>
      <c r="EEL89" s="62"/>
      <c r="EEM89" s="62"/>
      <c r="EEN89" s="62"/>
      <c r="EEO89" s="62"/>
      <c r="EEP89" s="62"/>
      <c r="EEQ89" s="62"/>
      <c r="EER89" s="62"/>
      <c r="EES89" s="62"/>
      <c r="EET89" s="62"/>
      <c r="EEU89" s="62"/>
      <c r="EEV89" s="62"/>
      <c r="EEW89" s="62"/>
      <c r="EEX89" s="62"/>
      <c r="EEY89" s="62"/>
      <c r="EEZ89" s="62"/>
      <c r="EFA89" s="62"/>
      <c r="EFB89" s="62"/>
      <c r="EFC89" s="62"/>
      <c r="EFD89" s="62"/>
      <c r="EFE89" s="62"/>
      <c r="EFF89" s="62"/>
      <c r="EFG89" s="62"/>
      <c r="EFH89" s="62"/>
      <c r="EFI89" s="62"/>
      <c r="EFJ89" s="62"/>
      <c r="EFK89" s="62"/>
      <c r="EFL89" s="62"/>
      <c r="EFM89" s="62"/>
      <c r="EFN89" s="62"/>
      <c r="EFO89" s="62"/>
      <c r="EFP89" s="62"/>
      <c r="EFQ89" s="62"/>
      <c r="EFR89" s="62"/>
      <c r="EFS89" s="62"/>
      <c r="EFT89" s="62"/>
      <c r="EFU89" s="62"/>
      <c r="EFV89" s="62"/>
      <c r="EFW89" s="62"/>
      <c r="EFX89" s="62"/>
      <c r="EFY89" s="62"/>
      <c r="EFZ89" s="62"/>
      <c r="EGA89" s="62"/>
      <c r="EGB89" s="62"/>
      <c r="EGC89" s="62"/>
      <c r="EGD89" s="62"/>
      <c r="EGE89" s="62"/>
      <c r="EGF89" s="62"/>
      <c r="EGG89" s="62"/>
      <c r="EGH89" s="62"/>
      <c r="EGI89" s="62"/>
      <c r="EGJ89" s="62"/>
      <c r="EGK89" s="62"/>
      <c r="EGL89" s="62"/>
      <c r="EGM89" s="62"/>
      <c r="EGN89" s="62"/>
      <c r="EGO89" s="62"/>
      <c r="EGP89" s="62"/>
      <c r="EGQ89" s="62"/>
      <c r="EGR89" s="62"/>
      <c r="EGS89" s="62"/>
      <c r="EGT89" s="62"/>
      <c r="EGU89" s="62"/>
      <c r="EGV89" s="62"/>
      <c r="EGW89" s="62"/>
      <c r="EGX89" s="62"/>
      <c r="EGY89" s="62"/>
      <c r="EGZ89" s="62"/>
      <c r="EHA89" s="62"/>
      <c r="EHB89" s="62"/>
      <c r="EHC89" s="62"/>
      <c r="EHD89" s="62"/>
      <c r="EHE89" s="62"/>
      <c r="EHF89" s="62"/>
      <c r="EHG89" s="62"/>
      <c r="EHH89" s="62"/>
      <c r="EHI89" s="62"/>
      <c r="EHJ89" s="62"/>
      <c r="EHK89" s="62"/>
      <c r="EHL89" s="62"/>
      <c r="EHM89" s="62"/>
      <c r="EHN89" s="62"/>
      <c r="EHO89" s="62"/>
      <c r="EHP89" s="62"/>
      <c r="EHQ89" s="62"/>
      <c r="EHR89" s="62"/>
      <c r="EHS89" s="62"/>
      <c r="EHT89" s="62"/>
      <c r="EHU89" s="62"/>
      <c r="EHV89" s="62"/>
      <c r="EHW89" s="62"/>
      <c r="EHX89" s="62"/>
      <c r="EHY89" s="62"/>
      <c r="EHZ89" s="62"/>
      <c r="EIA89" s="62"/>
      <c r="EIB89" s="62"/>
      <c r="EIC89" s="62"/>
      <c r="EID89" s="62"/>
      <c r="EIE89" s="62"/>
      <c r="EIF89" s="62"/>
      <c r="EIG89" s="62"/>
      <c r="EIH89" s="62"/>
      <c r="EII89" s="62"/>
      <c r="EIJ89" s="62"/>
      <c r="EIK89" s="62"/>
      <c r="EIL89" s="62"/>
      <c r="EIM89" s="62"/>
      <c r="EIN89" s="62"/>
      <c r="EIO89" s="62"/>
      <c r="EIP89" s="62"/>
      <c r="EIQ89" s="62"/>
      <c r="EIR89" s="62"/>
      <c r="EIS89" s="62"/>
      <c r="EIT89" s="62"/>
      <c r="EIU89" s="62"/>
      <c r="EIV89" s="62"/>
      <c r="EIW89" s="62"/>
      <c r="EIX89" s="62"/>
      <c r="EIY89" s="62"/>
      <c r="EIZ89" s="62"/>
      <c r="EJA89" s="62"/>
      <c r="EJB89" s="62"/>
      <c r="EJC89" s="62"/>
      <c r="EJD89" s="62"/>
      <c r="EJE89" s="62"/>
      <c r="EJF89" s="62"/>
      <c r="EJG89" s="62"/>
      <c r="EJH89" s="62"/>
      <c r="EJI89" s="62"/>
      <c r="EJJ89" s="62"/>
      <c r="EJK89" s="62"/>
      <c r="EJL89" s="62"/>
      <c r="EJM89" s="62"/>
      <c r="EJN89" s="62"/>
      <c r="EJO89" s="62"/>
      <c r="EJP89" s="62"/>
      <c r="EJQ89" s="62"/>
      <c r="EJR89" s="62"/>
      <c r="EJS89" s="62"/>
      <c r="EJT89" s="62"/>
      <c r="EJU89" s="62"/>
      <c r="EJV89" s="62"/>
      <c r="EJW89" s="62"/>
      <c r="EJX89" s="62"/>
      <c r="EJY89" s="62"/>
      <c r="EJZ89" s="62"/>
      <c r="EKA89" s="62"/>
      <c r="EKB89" s="62"/>
      <c r="EKC89" s="62"/>
      <c r="EKD89" s="62"/>
      <c r="EKE89" s="62"/>
      <c r="EKF89" s="62"/>
      <c r="EKG89" s="62"/>
      <c r="EKH89" s="62"/>
      <c r="EKI89" s="62"/>
      <c r="EKJ89" s="62"/>
      <c r="EKK89" s="62"/>
      <c r="EKL89" s="62"/>
      <c r="EKM89" s="62"/>
      <c r="EKN89" s="62"/>
      <c r="EKO89" s="62"/>
      <c r="EKP89" s="62"/>
      <c r="EKQ89" s="62"/>
      <c r="EKR89" s="62"/>
      <c r="EKS89" s="62"/>
      <c r="EKT89" s="62"/>
      <c r="EKU89" s="62"/>
      <c r="EKV89" s="62"/>
      <c r="EKW89" s="62"/>
      <c r="EKX89" s="62"/>
      <c r="EKY89" s="62"/>
      <c r="EKZ89" s="62"/>
      <c r="ELA89" s="62"/>
      <c r="ELB89" s="62"/>
      <c r="ELC89" s="62"/>
      <c r="ELD89" s="62"/>
      <c r="ELE89" s="62"/>
      <c r="ELF89" s="62"/>
      <c r="ELG89" s="62"/>
      <c r="ELH89" s="62"/>
      <c r="ELI89" s="62"/>
      <c r="ELJ89" s="62"/>
      <c r="ELK89" s="62"/>
      <c r="ELL89" s="62"/>
      <c r="ELM89" s="62"/>
      <c r="ELN89" s="62"/>
      <c r="ELO89" s="62"/>
      <c r="ELP89" s="62"/>
      <c r="ELQ89" s="62"/>
      <c r="ELR89" s="62"/>
      <c r="ELS89" s="62"/>
      <c r="ELT89" s="62"/>
      <c r="ELU89" s="62"/>
      <c r="ELV89" s="62"/>
      <c r="ELW89" s="62"/>
      <c r="ELX89" s="62"/>
      <c r="ELY89" s="62"/>
      <c r="ELZ89" s="62"/>
      <c r="EMA89" s="62"/>
      <c r="EMB89" s="62"/>
      <c r="EMC89" s="62"/>
      <c r="EMD89" s="62"/>
      <c r="EME89" s="62"/>
      <c r="EMF89" s="62"/>
      <c r="EMG89" s="62"/>
      <c r="EMH89" s="62"/>
      <c r="EMI89" s="62"/>
      <c r="EMJ89" s="62"/>
      <c r="EMK89" s="62"/>
      <c r="EML89" s="62"/>
      <c r="EMM89" s="62"/>
      <c r="EMN89" s="62"/>
      <c r="EMO89" s="62"/>
      <c r="EMP89" s="62"/>
      <c r="EMQ89" s="62"/>
      <c r="EMR89" s="62"/>
      <c r="EMS89" s="62"/>
      <c r="EMT89" s="62"/>
      <c r="EMU89" s="62"/>
      <c r="EMV89" s="62"/>
      <c r="EMW89" s="62"/>
      <c r="EMX89" s="62"/>
      <c r="EMY89" s="62"/>
      <c r="EMZ89" s="62"/>
      <c r="ENA89" s="62"/>
      <c r="ENB89" s="62"/>
      <c r="ENC89" s="62"/>
      <c r="END89" s="62"/>
      <c r="ENE89" s="62"/>
      <c r="ENF89" s="62"/>
      <c r="ENG89" s="62"/>
      <c r="ENH89" s="62"/>
      <c r="ENI89" s="62"/>
      <c r="ENJ89" s="62"/>
      <c r="ENK89" s="62"/>
      <c r="ENL89" s="62"/>
      <c r="ENM89" s="62"/>
      <c r="ENN89" s="62"/>
      <c r="ENO89" s="62"/>
      <c r="ENP89" s="62"/>
      <c r="ENQ89" s="62"/>
      <c r="ENR89" s="62"/>
      <c r="ENS89" s="62"/>
      <c r="ENT89" s="62"/>
      <c r="ENU89" s="62"/>
      <c r="ENV89" s="62"/>
      <c r="ENW89" s="62"/>
      <c r="ENX89" s="62"/>
      <c r="ENY89" s="62"/>
      <c r="ENZ89" s="62"/>
      <c r="EOA89" s="62"/>
      <c r="EOB89" s="62"/>
      <c r="EOC89" s="62"/>
      <c r="EOD89" s="62"/>
      <c r="EOE89" s="62"/>
      <c r="EOF89" s="62"/>
      <c r="EOG89" s="62"/>
      <c r="EOH89" s="62"/>
      <c r="EOI89" s="62"/>
      <c r="EOJ89" s="62"/>
      <c r="EOK89" s="62"/>
      <c r="EOL89" s="62"/>
      <c r="EOM89" s="62"/>
      <c r="EON89" s="62"/>
      <c r="EOO89" s="62"/>
      <c r="EOP89" s="62"/>
      <c r="EOQ89" s="62"/>
      <c r="EOR89" s="62"/>
      <c r="EOS89" s="62"/>
      <c r="EOT89" s="62"/>
      <c r="EOU89" s="62"/>
      <c r="EOV89" s="62"/>
      <c r="EOW89" s="62"/>
      <c r="EOX89" s="62"/>
      <c r="EOY89" s="62"/>
      <c r="EOZ89" s="62"/>
      <c r="EPA89" s="62"/>
      <c r="EPB89" s="62"/>
      <c r="EPC89" s="62"/>
      <c r="EPD89" s="62"/>
      <c r="EPE89" s="62"/>
      <c r="EPF89" s="62"/>
      <c r="EPG89" s="62"/>
      <c r="EPH89" s="62"/>
      <c r="EPI89" s="62"/>
      <c r="EPJ89" s="62"/>
      <c r="EPK89" s="62"/>
      <c r="EPL89" s="62"/>
      <c r="EPM89" s="62"/>
      <c r="EPN89" s="62"/>
      <c r="EPO89" s="62"/>
      <c r="EPP89" s="62"/>
      <c r="EPQ89" s="62"/>
      <c r="EPR89" s="62"/>
      <c r="EPS89" s="62"/>
      <c r="EPT89" s="62"/>
      <c r="EPU89" s="62"/>
      <c r="EPV89" s="62"/>
      <c r="EPW89" s="62"/>
      <c r="EPX89" s="62"/>
      <c r="EPY89" s="62"/>
      <c r="EPZ89" s="62"/>
      <c r="EQA89" s="62"/>
      <c r="EQB89" s="62"/>
      <c r="EQC89" s="62"/>
      <c r="EQD89" s="62"/>
      <c r="EQE89" s="62"/>
      <c r="EQF89" s="62"/>
      <c r="EQG89" s="62"/>
      <c r="EQH89" s="62"/>
      <c r="EQI89" s="62"/>
      <c r="EQJ89" s="62"/>
      <c r="EQK89" s="62"/>
      <c r="EQL89" s="62"/>
      <c r="EQM89" s="62"/>
      <c r="EQN89" s="62"/>
      <c r="EQO89" s="62"/>
      <c r="EQP89" s="62"/>
      <c r="EQQ89" s="62"/>
      <c r="EQR89" s="62"/>
      <c r="EQS89" s="62"/>
      <c r="EQT89" s="62"/>
      <c r="EQU89" s="62"/>
      <c r="EQV89" s="62"/>
      <c r="EQW89" s="62"/>
      <c r="EQX89" s="62"/>
      <c r="EQY89" s="62"/>
      <c r="EQZ89" s="62"/>
      <c r="ERA89" s="62"/>
      <c r="ERB89" s="62"/>
      <c r="ERC89" s="62"/>
      <c r="ERD89" s="62"/>
      <c r="ERE89" s="62"/>
      <c r="ERF89" s="62"/>
      <c r="ERG89" s="62"/>
      <c r="ERH89" s="62"/>
      <c r="ERI89" s="62"/>
      <c r="ERJ89" s="62"/>
      <c r="ERK89" s="62"/>
      <c r="ERL89" s="62"/>
      <c r="ERM89" s="62"/>
      <c r="ERN89" s="62"/>
      <c r="ERO89" s="62"/>
      <c r="ERP89" s="62"/>
      <c r="ERQ89" s="62"/>
      <c r="ERR89" s="62"/>
      <c r="ERS89" s="62"/>
      <c r="ERT89" s="62"/>
      <c r="ERU89" s="62"/>
      <c r="ERV89" s="62"/>
      <c r="ERW89" s="62"/>
      <c r="ERX89" s="62"/>
      <c r="ERY89" s="62"/>
      <c r="ERZ89" s="62"/>
      <c r="ESA89" s="62"/>
      <c r="ESB89" s="62"/>
      <c r="ESC89" s="62"/>
      <c r="ESD89" s="62"/>
      <c r="ESE89" s="62"/>
      <c r="ESF89" s="62"/>
      <c r="ESG89" s="62"/>
      <c r="ESH89" s="62"/>
      <c r="ESI89" s="62"/>
      <c r="ESJ89" s="62"/>
      <c r="ESK89" s="62"/>
      <c r="ESL89" s="62"/>
      <c r="ESM89" s="62"/>
      <c r="ESN89" s="62"/>
      <c r="ESO89" s="62"/>
      <c r="ESP89" s="62"/>
      <c r="ESQ89" s="62"/>
      <c r="ESR89" s="62"/>
      <c r="ESS89" s="62"/>
      <c r="EST89" s="62"/>
      <c r="ESU89" s="62"/>
      <c r="ESV89" s="62"/>
      <c r="ESW89" s="62"/>
      <c r="ESX89" s="62"/>
      <c r="ESY89" s="62"/>
      <c r="ESZ89" s="62"/>
      <c r="ETA89" s="62"/>
      <c r="ETB89" s="62"/>
      <c r="ETC89" s="62"/>
      <c r="ETD89" s="62"/>
      <c r="ETE89" s="62"/>
      <c r="ETF89" s="62"/>
      <c r="ETG89" s="62"/>
      <c r="ETH89" s="62"/>
      <c r="ETI89" s="62"/>
      <c r="ETJ89" s="62"/>
      <c r="ETK89" s="62"/>
      <c r="ETL89" s="62"/>
      <c r="ETM89" s="62"/>
      <c r="ETN89" s="62"/>
      <c r="ETO89" s="62"/>
      <c r="ETP89" s="62"/>
      <c r="ETQ89" s="62"/>
      <c r="ETR89" s="62"/>
      <c r="ETS89" s="62"/>
      <c r="ETT89" s="62"/>
      <c r="ETU89" s="62"/>
      <c r="ETV89" s="62"/>
      <c r="ETW89" s="62"/>
      <c r="ETX89" s="62"/>
      <c r="ETY89" s="62"/>
      <c r="ETZ89" s="62"/>
      <c r="EUA89" s="62"/>
      <c r="EUB89" s="62"/>
      <c r="EUC89" s="62"/>
      <c r="EUD89" s="62"/>
      <c r="EUE89" s="62"/>
      <c r="EUF89" s="62"/>
      <c r="EUG89" s="62"/>
      <c r="EUH89" s="62"/>
      <c r="EUI89" s="62"/>
      <c r="EUJ89" s="62"/>
      <c r="EUK89" s="62"/>
      <c r="EUL89" s="62"/>
      <c r="EUM89" s="62"/>
      <c r="EUN89" s="62"/>
      <c r="EUO89" s="62"/>
      <c r="EUP89" s="62"/>
      <c r="EUQ89" s="62"/>
      <c r="EUR89" s="62"/>
      <c r="EUS89" s="62"/>
      <c r="EUT89" s="62"/>
      <c r="EUU89" s="62"/>
      <c r="EUV89" s="62"/>
      <c r="EUW89" s="62"/>
      <c r="EUX89" s="62"/>
      <c r="EUY89" s="62"/>
      <c r="EUZ89" s="62"/>
      <c r="EVA89" s="62"/>
      <c r="EVB89" s="62"/>
      <c r="EVC89" s="62"/>
      <c r="EVD89" s="62"/>
      <c r="EVE89" s="62"/>
      <c r="EVF89" s="62"/>
      <c r="EVG89" s="62"/>
      <c r="EVH89" s="62"/>
      <c r="EVI89" s="62"/>
      <c r="EVJ89" s="62"/>
      <c r="EVK89" s="62"/>
      <c r="EVL89" s="62"/>
      <c r="EVM89" s="62"/>
      <c r="EVN89" s="62"/>
      <c r="EVO89" s="62"/>
      <c r="EVP89" s="62"/>
      <c r="EVQ89" s="62"/>
      <c r="EVR89" s="62"/>
      <c r="EVS89" s="62"/>
      <c r="EVT89" s="62"/>
      <c r="EVU89" s="62"/>
      <c r="EVV89" s="62"/>
      <c r="EVW89" s="62"/>
      <c r="EVX89" s="62"/>
      <c r="EVY89" s="62"/>
      <c r="EVZ89" s="62"/>
      <c r="EWA89" s="62"/>
      <c r="EWB89" s="62"/>
      <c r="EWC89" s="62"/>
      <c r="EWD89" s="62"/>
      <c r="EWE89" s="62"/>
      <c r="EWF89" s="62"/>
      <c r="EWG89" s="62"/>
      <c r="EWH89" s="62"/>
      <c r="EWI89" s="62"/>
      <c r="EWJ89" s="62"/>
      <c r="EWK89" s="62"/>
      <c r="EWL89" s="62"/>
      <c r="EWM89" s="62"/>
      <c r="EWN89" s="62"/>
      <c r="EWO89" s="62"/>
      <c r="EWP89" s="62"/>
      <c r="EWQ89" s="62"/>
      <c r="EWR89" s="62"/>
      <c r="EWS89" s="62"/>
      <c r="EWT89" s="62"/>
      <c r="EWU89" s="62"/>
      <c r="EWV89" s="62"/>
      <c r="EWW89" s="62"/>
      <c r="EWX89" s="62"/>
      <c r="EWY89" s="62"/>
      <c r="EWZ89" s="62"/>
      <c r="EXA89" s="62"/>
      <c r="EXB89" s="62"/>
      <c r="EXC89" s="62"/>
      <c r="EXD89" s="62"/>
      <c r="EXE89" s="62"/>
      <c r="EXF89" s="62"/>
      <c r="EXG89" s="62"/>
      <c r="EXH89" s="62"/>
      <c r="EXI89" s="62"/>
      <c r="EXJ89" s="62"/>
      <c r="EXK89" s="62"/>
      <c r="EXL89" s="62"/>
      <c r="EXM89" s="62"/>
      <c r="EXN89" s="62"/>
      <c r="EXO89" s="62"/>
      <c r="EXP89" s="62"/>
      <c r="EXQ89" s="62"/>
      <c r="EXR89" s="62"/>
      <c r="EXS89" s="62"/>
      <c r="EXT89" s="62"/>
      <c r="EXU89" s="62"/>
      <c r="EXV89" s="62"/>
      <c r="EXW89" s="62"/>
      <c r="EXX89" s="62"/>
      <c r="EXY89" s="62"/>
      <c r="EXZ89" s="62"/>
      <c r="EYA89" s="62"/>
      <c r="EYB89" s="62"/>
      <c r="EYC89" s="62"/>
      <c r="EYD89" s="62"/>
      <c r="EYE89" s="62"/>
      <c r="EYF89" s="62"/>
      <c r="EYG89" s="62"/>
      <c r="EYH89" s="62"/>
      <c r="EYI89" s="62"/>
      <c r="EYJ89" s="62"/>
      <c r="EYK89" s="62"/>
      <c r="EYL89" s="62"/>
      <c r="EYM89" s="62"/>
      <c r="EYN89" s="62"/>
      <c r="EYO89" s="62"/>
      <c r="EYP89" s="62"/>
      <c r="EYQ89" s="62"/>
      <c r="EYR89" s="62"/>
      <c r="EYS89" s="62"/>
      <c r="EYT89" s="62"/>
      <c r="EYU89" s="62"/>
      <c r="EYV89" s="62"/>
      <c r="EYW89" s="62"/>
      <c r="EYX89" s="62"/>
      <c r="EYY89" s="62"/>
      <c r="EYZ89" s="62"/>
      <c r="EZA89" s="62"/>
      <c r="EZB89" s="62"/>
      <c r="EZC89" s="62"/>
      <c r="EZD89" s="62"/>
      <c r="EZE89" s="62"/>
      <c r="EZF89" s="62"/>
      <c r="EZG89" s="62"/>
      <c r="EZH89" s="62"/>
      <c r="EZI89" s="62"/>
      <c r="EZJ89" s="62"/>
      <c r="EZK89" s="62"/>
      <c r="EZL89" s="62"/>
      <c r="EZM89" s="62"/>
      <c r="EZN89" s="62"/>
      <c r="EZO89" s="62"/>
      <c r="EZP89" s="62"/>
      <c r="EZQ89" s="62"/>
      <c r="EZR89" s="62"/>
      <c r="EZS89" s="62"/>
      <c r="EZT89" s="62"/>
      <c r="EZU89" s="62"/>
      <c r="EZV89" s="62"/>
      <c r="EZW89" s="62"/>
      <c r="EZX89" s="62"/>
      <c r="EZY89" s="62"/>
      <c r="EZZ89" s="62"/>
      <c r="FAA89" s="62"/>
      <c r="FAB89" s="62"/>
      <c r="FAC89" s="62"/>
      <c r="FAD89" s="62"/>
      <c r="FAE89" s="62"/>
      <c r="FAF89" s="62"/>
      <c r="FAG89" s="62"/>
      <c r="FAH89" s="62"/>
      <c r="FAI89" s="62"/>
      <c r="FAJ89" s="62"/>
      <c r="FAK89" s="62"/>
      <c r="FAL89" s="62"/>
      <c r="FAM89" s="62"/>
      <c r="FAN89" s="62"/>
      <c r="FAO89" s="62"/>
      <c r="FAP89" s="62"/>
      <c r="FAQ89" s="62"/>
      <c r="FAR89" s="62"/>
      <c r="FAS89" s="62"/>
      <c r="FAT89" s="62"/>
      <c r="FAU89" s="62"/>
      <c r="FAV89" s="62"/>
      <c r="FAW89" s="62"/>
      <c r="FAX89" s="62"/>
      <c r="FAY89" s="62"/>
      <c r="FAZ89" s="62"/>
      <c r="FBA89" s="62"/>
      <c r="FBB89" s="62"/>
      <c r="FBC89" s="62"/>
      <c r="FBD89" s="62"/>
      <c r="FBE89" s="62"/>
      <c r="FBF89" s="62"/>
      <c r="FBG89" s="62"/>
      <c r="FBH89" s="62"/>
      <c r="FBI89" s="62"/>
      <c r="FBJ89" s="62"/>
      <c r="FBK89" s="62"/>
      <c r="FBL89" s="62"/>
      <c r="FBM89" s="62"/>
      <c r="FBN89" s="62"/>
      <c r="FBO89" s="62"/>
      <c r="FBP89" s="62"/>
      <c r="FBQ89" s="62"/>
      <c r="FBR89" s="62"/>
      <c r="FBS89" s="62"/>
      <c r="FBT89" s="62"/>
      <c r="FBU89" s="62"/>
      <c r="FBV89" s="62"/>
      <c r="FBW89" s="62"/>
      <c r="FBX89" s="62"/>
      <c r="FBY89" s="62"/>
      <c r="FBZ89" s="62"/>
      <c r="FCA89" s="62"/>
      <c r="FCB89" s="62"/>
      <c r="FCC89" s="62"/>
      <c r="FCD89" s="62"/>
      <c r="FCE89" s="62"/>
      <c r="FCF89" s="62"/>
      <c r="FCG89" s="62"/>
      <c r="FCH89" s="62"/>
      <c r="FCI89" s="62"/>
      <c r="FCJ89" s="62"/>
      <c r="FCK89" s="62"/>
      <c r="FCL89" s="62"/>
      <c r="FCM89" s="62"/>
      <c r="FCN89" s="62"/>
      <c r="FCO89" s="62"/>
      <c r="FCP89" s="62"/>
      <c r="FCQ89" s="62"/>
      <c r="FCR89" s="62"/>
      <c r="FCS89" s="62"/>
      <c r="FCT89" s="62"/>
      <c r="FCU89" s="62"/>
      <c r="FCV89" s="62"/>
      <c r="FCW89" s="62"/>
      <c r="FCX89" s="62"/>
      <c r="FCY89" s="62"/>
      <c r="FCZ89" s="62"/>
      <c r="FDA89" s="62"/>
      <c r="FDB89" s="62"/>
      <c r="FDC89" s="62"/>
      <c r="FDD89" s="62"/>
      <c r="FDE89" s="62"/>
      <c r="FDF89" s="62"/>
      <c r="FDG89" s="62"/>
      <c r="FDH89" s="62"/>
      <c r="FDI89" s="62"/>
      <c r="FDJ89" s="62"/>
      <c r="FDK89" s="62"/>
      <c r="FDL89" s="62"/>
      <c r="FDM89" s="62"/>
      <c r="FDN89" s="62"/>
      <c r="FDO89" s="62"/>
      <c r="FDP89" s="62"/>
      <c r="FDQ89" s="62"/>
      <c r="FDR89" s="62"/>
      <c r="FDS89" s="62"/>
      <c r="FDT89" s="62"/>
      <c r="FDU89" s="62"/>
      <c r="FDV89" s="62"/>
      <c r="FDW89" s="62"/>
      <c r="FDX89" s="62"/>
      <c r="FDY89" s="62"/>
      <c r="FDZ89" s="62"/>
      <c r="FEA89" s="62"/>
      <c r="FEB89" s="62"/>
      <c r="FEC89" s="62"/>
      <c r="FED89" s="62"/>
      <c r="FEE89" s="62"/>
      <c r="FEF89" s="62"/>
      <c r="FEG89" s="62"/>
      <c r="FEH89" s="62"/>
      <c r="FEI89" s="62"/>
      <c r="FEJ89" s="62"/>
      <c r="FEK89" s="62"/>
      <c r="FEL89" s="62"/>
      <c r="FEM89" s="62"/>
      <c r="FEN89" s="62"/>
      <c r="FEO89" s="62"/>
      <c r="FEP89" s="62"/>
      <c r="FEQ89" s="62"/>
      <c r="FER89" s="62"/>
      <c r="FES89" s="62"/>
      <c r="FET89" s="62"/>
      <c r="FEU89" s="62"/>
      <c r="FEV89" s="62"/>
      <c r="FEW89" s="62"/>
      <c r="FEX89" s="62"/>
      <c r="FEY89" s="62"/>
      <c r="FEZ89" s="62"/>
      <c r="FFA89" s="62"/>
      <c r="FFB89" s="62"/>
      <c r="FFC89" s="62"/>
      <c r="FFD89" s="62"/>
      <c r="FFE89" s="62"/>
      <c r="FFF89" s="62"/>
      <c r="FFG89" s="62"/>
      <c r="FFH89" s="62"/>
      <c r="FFI89" s="62"/>
      <c r="FFJ89" s="62"/>
      <c r="FFK89" s="62"/>
      <c r="FFL89" s="62"/>
      <c r="FFM89" s="62"/>
      <c r="FFN89" s="62"/>
      <c r="FFO89" s="62"/>
      <c r="FFP89" s="62"/>
      <c r="FFQ89" s="62"/>
      <c r="FFR89" s="62"/>
      <c r="FFS89" s="62"/>
      <c r="FFT89" s="62"/>
      <c r="FFU89" s="62"/>
      <c r="FFV89" s="62"/>
      <c r="FFW89" s="62"/>
      <c r="FFX89" s="62"/>
      <c r="FFY89" s="62"/>
      <c r="FFZ89" s="62"/>
      <c r="FGA89" s="62"/>
      <c r="FGB89" s="62"/>
      <c r="FGC89" s="62"/>
      <c r="FGD89" s="62"/>
      <c r="FGE89" s="62"/>
      <c r="FGF89" s="62"/>
      <c r="FGG89" s="62"/>
      <c r="FGH89" s="62"/>
      <c r="FGI89" s="62"/>
      <c r="FGJ89" s="62"/>
      <c r="FGK89" s="62"/>
      <c r="FGL89" s="62"/>
      <c r="FGM89" s="62"/>
      <c r="FGN89" s="62"/>
      <c r="FGO89" s="62"/>
      <c r="FGP89" s="62"/>
      <c r="FGQ89" s="62"/>
      <c r="FGR89" s="62"/>
      <c r="FGS89" s="62"/>
      <c r="FGT89" s="62"/>
      <c r="FGU89" s="62"/>
      <c r="FGV89" s="62"/>
      <c r="FGW89" s="62"/>
      <c r="FGX89" s="62"/>
      <c r="FGY89" s="62"/>
      <c r="FGZ89" s="62"/>
      <c r="FHA89" s="62"/>
      <c r="FHB89" s="62"/>
      <c r="FHC89" s="62"/>
      <c r="FHD89" s="62"/>
      <c r="FHE89" s="62"/>
      <c r="FHF89" s="62"/>
      <c r="FHG89" s="62"/>
      <c r="FHH89" s="62"/>
      <c r="FHI89" s="62"/>
      <c r="FHJ89" s="62"/>
      <c r="FHK89" s="62"/>
      <c r="FHL89" s="62"/>
      <c r="FHM89" s="62"/>
      <c r="FHN89" s="62"/>
      <c r="FHO89" s="62"/>
      <c r="FHP89" s="62"/>
      <c r="FHQ89" s="62"/>
      <c r="FHR89" s="62"/>
      <c r="FHS89" s="62"/>
      <c r="FHT89" s="62"/>
      <c r="FHU89" s="62"/>
      <c r="FHV89" s="62"/>
      <c r="FHW89" s="62"/>
      <c r="FHX89" s="62"/>
      <c r="FHY89" s="62"/>
      <c r="FHZ89" s="62"/>
      <c r="FIA89" s="62"/>
      <c r="FIB89" s="62"/>
      <c r="FIC89" s="62"/>
      <c r="FID89" s="62"/>
      <c r="FIE89" s="62"/>
      <c r="FIF89" s="62"/>
      <c r="FIG89" s="62"/>
      <c r="FIH89" s="62"/>
      <c r="FII89" s="62"/>
      <c r="FIJ89" s="62"/>
      <c r="FIK89" s="62"/>
      <c r="FIL89" s="62"/>
      <c r="FIM89" s="62"/>
      <c r="FIN89" s="62"/>
      <c r="FIO89" s="62"/>
      <c r="FIP89" s="62"/>
      <c r="FIQ89" s="62"/>
      <c r="FIR89" s="62"/>
      <c r="FIS89" s="62"/>
      <c r="FIT89" s="62"/>
      <c r="FIU89" s="62"/>
      <c r="FIV89" s="62"/>
      <c r="FIW89" s="62"/>
      <c r="FIX89" s="62"/>
      <c r="FIY89" s="62"/>
      <c r="FIZ89" s="62"/>
      <c r="FJA89" s="62"/>
      <c r="FJB89" s="62"/>
      <c r="FJC89" s="62"/>
      <c r="FJD89" s="62"/>
      <c r="FJE89" s="62"/>
      <c r="FJF89" s="62"/>
      <c r="FJG89" s="62"/>
      <c r="FJH89" s="62"/>
      <c r="FJI89" s="62"/>
      <c r="FJJ89" s="62"/>
      <c r="FJK89" s="62"/>
      <c r="FJL89" s="62"/>
      <c r="FJM89" s="62"/>
      <c r="FJN89" s="62"/>
      <c r="FJO89" s="62"/>
      <c r="FJP89" s="62"/>
      <c r="FJQ89" s="62"/>
      <c r="FJR89" s="62"/>
      <c r="FJS89" s="62"/>
      <c r="FJT89" s="62"/>
      <c r="FJU89" s="62"/>
      <c r="FJV89" s="62"/>
      <c r="FJW89" s="62"/>
      <c r="FJX89" s="62"/>
      <c r="FJY89" s="62"/>
      <c r="FJZ89" s="62"/>
      <c r="FKA89" s="62"/>
      <c r="FKB89" s="62"/>
      <c r="FKC89" s="62"/>
      <c r="FKD89" s="62"/>
      <c r="FKE89" s="62"/>
      <c r="FKF89" s="62"/>
      <c r="FKG89" s="62"/>
      <c r="FKH89" s="62"/>
      <c r="FKI89" s="62"/>
      <c r="FKJ89" s="62"/>
      <c r="FKK89" s="62"/>
      <c r="FKL89" s="62"/>
      <c r="FKM89" s="62"/>
      <c r="FKN89" s="62"/>
      <c r="FKO89" s="62"/>
      <c r="FKP89" s="62"/>
      <c r="FKQ89" s="62"/>
      <c r="FKR89" s="62"/>
      <c r="FKS89" s="62"/>
      <c r="FKT89" s="62"/>
      <c r="FKU89" s="62"/>
      <c r="FKV89" s="62"/>
      <c r="FKW89" s="62"/>
      <c r="FKX89" s="62"/>
      <c r="FKY89" s="62"/>
      <c r="FKZ89" s="62"/>
      <c r="FLA89" s="62"/>
      <c r="FLB89" s="62"/>
      <c r="FLC89" s="62"/>
      <c r="FLD89" s="62"/>
      <c r="FLE89" s="62"/>
      <c r="FLF89" s="62"/>
      <c r="FLG89" s="62"/>
      <c r="FLH89" s="62"/>
      <c r="FLI89" s="62"/>
      <c r="FLJ89" s="62"/>
      <c r="FLK89" s="62"/>
      <c r="FLL89" s="62"/>
      <c r="FLM89" s="62"/>
      <c r="FLN89" s="62"/>
      <c r="FLO89" s="62"/>
      <c r="FLP89" s="62"/>
      <c r="FLQ89" s="62"/>
      <c r="FLR89" s="62"/>
      <c r="FLS89" s="62"/>
      <c r="FLT89" s="62"/>
      <c r="FLU89" s="62"/>
      <c r="FLV89" s="62"/>
      <c r="FLW89" s="62"/>
      <c r="FLX89" s="62"/>
      <c r="FLY89" s="62"/>
      <c r="FLZ89" s="62"/>
      <c r="FMA89" s="62"/>
      <c r="FMB89" s="62"/>
      <c r="FMC89" s="62"/>
      <c r="FMD89" s="62"/>
      <c r="FME89" s="62"/>
      <c r="FMF89" s="62"/>
      <c r="FMG89" s="62"/>
      <c r="FMH89" s="62"/>
      <c r="FMI89" s="62"/>
      <c r="FMJ89" s="62"/>
      <c r="FMK89" s="62"/>
      <c r="FML89" s="62"/>
      <c r="FMM89" s="62"/>
      <c r="FMN89" s="62"/>
      <c r="FMO89" s="62"/>
      <c r="FMP89" s="62"/>
      <c r="FMQ89" s="62"/>
      <c r="FMR89" s="62"/>
      <c r="FMS89" s="62"/>
      <c r="FMT89" s="62"/>
      <c r="FMU89" s="62"/>
      <c r="FMV89" s="62"/>
      <c r="FMW89" s="62"/>
      <c r="FMX89" s="62"/>
      <c r="FMY89" s="62"/>
      <c r="FMZ89" s="62"/>
      <c r="FNA89" s="62"/>
      <c r="FNB89" s="62"/>
      <c r="FNC89" s="62"/>
      <c r="FND89" s="62"/>
      <c r="FNE89" s="62"/>
      <c r="FNF89" s="62"/>
      <c r="FNG89" s="62"/>
      <c r="FNH89" s="62"/>
      <c r="FNI89" s="62"/>
      <c r="FNJ89" s="62"/>
      <c r="FNK89" s="62"/>
      <c r="FNL89" s="62"/>
      <c r="FNM89" s="62"/>
      <c r="FNN89" s="62"/>
      <c r="FNO89" s="62"/>
      <c r="FNP89" s="62"/>
      <c r="FNQ89" s="62"/>
      <c r="FNR89" s="62"/>
      <c r="FNS89" s="62"/>
      <c r="FNT89" s="62"/>
      <c r="FNU89" s="62"/>
      <c r="FNV89" s="62"/>
      <c r="FNW89" s="62"/>
      <c r="FNX89" s="62"/>
      <c r="FNY89" s="62"/>
      <c r="FNZ89" s="62"/>
      <c r="FOA89" s="62"/>
      <c r="FOB89" s="62"/>
      <c r="FOC89" s="62"/>
      <c r="FOD89" s="62"/>
      <c r="FOE89" s="62"/>
      <c r="FOF89" s="62"/>
      <c r="FOG89" s="62"/>
      <c r="FOH89" s="62"/>
      <c r="FOI89" s="62"/>
      <c r="FOJ89" s="62"/>
      <c r="FOK89" s="62"/>
      <c r="FOL89" s="62"/>
      <c r="FOM89" s="62"/>
      <c r="FON89" s="62"/>
      <c r="FOO89" s="62"/>
      <c r="FOP89" s="62"/>
      <c r="FOQ89" s="62"/>
      <c r="FOR89" s="62"/>
      <c r="FOS89" s="62"/>
      <c r="FOT89" s="62"/>
      <c r="FOU89" s="62"/>
      <c r="FOV89" s="62"/>
      <c r="FOW89" s="62"/>
      <c r="FOX89" s="62"/>
      <c r="FOY89" s="62"/>
      <c r="FOZ89" s="62"/>
      <c r="FPA89" s="62"/>
      <c r="FPB89" s="62"/>
      <c r="FPC89" s="62"/>
      <c r="FPD89" s="62"/>
      <c r="FPE89" s="62"/>
      <c r="FPF89" s="62"/>
      <c r="FPG89" s="62"/>
      <c r="FPH89" s="62"/>
      <c r="FPI89" s="62"/>
      <c r="FPJ89" s="62"/>
      <c r="FPK89" s="62"/>
      <c r="FPL89" s="62"/>
      <c r="FPM89" s="62"/>
      <c r="FPN89" s="62"/>
      <c r="FPO89" s="62"/>
      <c r="FPP89" s="62"/>
      <c r="FPQ89" s="62"/>
      <c r="FPR89" s="62"/>
      <c r="FPS89" s="62"/>
      <c r="FPT89" s="62"/>
      <c r="FPU89" s="62"/>
      <c r="FPV89" s="62"/>
      <c r="FPW89" s="62"/>
      <c r="FPX89" s="62"/>
      <c r="FPY89" s="62"/>
      <c r="FPZ89" s="62"/>
      <c r="FQA89" s="62"/>
      <c r="FQB89" s="62"/>
      <c r="FQC89" s="62"/>
      <c r="FQD89" s="62"/>
      <c r="FQE89" s="62"/>
      <c r="FQF89" s="62"/>
      <c r="FQG89" s="62"/>
      <c r="FQH89" s="62"/>
      <c r="FQI89" s="62"/>
      <c r="FQJ89" s="62"/>
      <c r="FQK89" s="62"/>
      <c r="FQL89" s="62"/>
      <c r="FQM89" s="62"/>
      <c r="FQN89" s="62"/>
      <c r="FQO89" s="62"/>
      <c r="FQP89" s="62"/>
      <c r="FQQ89" s="62"/>
      <c r="FQR89" s="62"/>
      <c r="FQS89" s="62"/>
      <c r="FQT89" s="62"/>
      <c r="FQU89" s="62"/>
      <c r="FQV89" s="62"/>
      <c r="FQW89" s="62"/>
      <c r="FQX89" s="62"/>
      <c r="FQY89" s="62"/>
      <c r="FQZ89" s="62"/>
      <c r="FRA89" s="62"/>
      <c r="FRB89" s="62"/>
      <c r="FRC89" s="62"/>
      <c r="FRD89" s="62"/>
      <c r="FRE89" s="62"/>
      <c r="FRF89" s="62"/>
      <c r="FRG89" s="62"/>
      <c r="FRH89" s="62"/>
      <c r="FRI89" s="62"/>
      <c r="FRJ89" s="62"/>
      <c r="FRK89" s="62"/>
      <c r="FRL89" s="62"/>
      <c r="FRM89" s="62"/>
      <c r="FRN89" s="62"/>
      <c r="FRO89" s="62"/>
      <c r="FRP89" s="62"/>
      <c r="FRQ89" s="62"/>
      <c r="FRR89" s="62"/>
      <c r="FRS89" s="62"/>
      <c r="FRT89" s="62"/>
      <c r="FRU89" s="62"/>
      <c r="FRV89" s="62"/>
      <c r="FRW89" s="62"/>
      <c r="FRX89" s="62"/>
      <c r="FRY89" s="62"/>
      <c r="FRZ89" s="62"/>
      <c r="FSA89" s="62"/>
      <c r="FSB89" s="62"/>
      <c r="FSC89" s="62"/>
      <c r="FSD89" s="62"/>
      <c r="FSE89" s="62"/>
      <c r="FSF89" s="62"/>
      <c r="FSG89" s="62"/>
      <c r="FSH89" s="62"/>
      <c r="FSI89" s="62"/>
      <c r="FSJ89" s="62"/>
      <c r="FSK89" s="62"/>
      <c r="FSL89" s="62"/>
      <c r="FSM89" s="62"/>
      <c r="FSN89" s="62"/>
      <c r="FSO89" s="62"/>
      <c r="FSP89" s="62"/>
      <c r="FSQ89" s="62"/>
      <c r="FSR89" s="62"/>
      <c r="FSS89" s="62"/>
      <c r="FST89" s="62"/>
      <c r="FSU89" s="62"/>
      <c r="FSV89" s="62"/>
      <c r="FSW89" s="62"/>
      <c r="FSX89" s="62"/>
      <c r="FSY89" s="62"/>
      <c r="FSZ89" s="62"/>
      <c r="FTA89" s="62"/>
      <c r="FTB89" s="62"/>
      <c r="FTC89" s="62"/>
      <c r="FTD89" s="62"/>
      <c r="FTE89" s="62"/>
      <c r="FTF89" s="62"/>
      <c r="FTG89" s="62"/>
      <c r="FTH89" s="62"/>
      <c r="FTI89" s="62"/>
      <c r="FTJ89" s="62"/>
      <c r="FTK89" s="62"/>
      <c r="FTL89" s="62"/>
      <c r="FTM89" s="62"/>
      <c r="FTN89" s="62"/>
      <c r="FTO89" s="62"/>
      <c r="FTP89" s="62"/>
      <c r="FTQ89" s="62"/>
      <c r="FTR89" s="62"/>
      <c r="FTS89" s="62"/>
      <c r="FTT89" s="62"/>
      <c r="FTU89" s="62"/>
      <c r="FTV89" s="62"/>
      <c r="FTW89" s="62"/>
      <c r="FTX89" s="62"/>
      <c r="FTY89" s="62"/>
      <c r="FTZ89" s="62"/>
      <c r="FUA89" s="62"/>
      <c r="FUB89" s="62"/>
      <c r="FUC89" s="62"/>
      <c r="FUD89" s="62"/>
      <c r="FUE89" s="62"/>
      <c r="FUF89" s="62"/>
      <c r="FUG89" s="62"/>
      <c r="FUH89" s="62"/>
      <c r="FUI89" s="62"/>
      <c r="FUJ89" s="62"/>
      <c r="FUK89" s="62"/>
      <c r="FUL89" s="62"/>
      <c r="FUM89" s="62"/>
      <c r="FUN89" s="62"/>
      <c r="FUO89" s="62"/>
      <c r="FUP89" s="62"/>
      <c r="FUQ89" s="62"/>
      <c r="FUR89" s="62"/>
      <c r="FUS89" s="62"/>
      <c r="FUT89" s="62"/>
      <c r="FUU89" s="62"/>
      <c r="FUV89" s="62"/>
      <c r="FUW89" s="62"/>
      <c r="FUX89" s="62"/>
      <c r="FUY89" s="62"/>
      <c r="FUZ89" s="62"/>
      <c r="FVA89" s="62"/>
      <c r="FVB89" s="62"/>
      <c r="FVC89" s="62"/>
      <c r="FVD89" s="62"/>
      <c r="FVE89" s="62"/>
      <c r="FVF89" s="62"/>
      <c r="FVG89" s="62"/>
      <c r="FVH89" s="62"/>
      <c r="FVI89" s="62"/>
      <c r="FVJ89" s="62"/>
      <c r="FVK89" s="62"/>
      <c r="FVL89" s="62"/>
      <c r="FVM89" s="62"/>
      <c r="FVN89" s="62"/>
      <c r="FVO89" s="62"/>
      <c r="FVP89" s="62"/>
      <c r="FVQ89" s="62"/>
      <c r="FVR89" s="62"/>
      <c r="FVS89" s="62"/>
      <c r="FVT89" s="62"/>
      <c r="FVU89" s="62"/>
      <c r="FVV89" s="62"/>
      <c r="FVW89" s="62"/>
      <c r="FVX89" s="62"/>
      <c r="FVY89" s="62"/>
      <c r="FVZ89" s="62"/>
      <c r="FWA89" s="62"/>
      <c r="FWB89" s="62"/>
      <c r="FWC89" s="62"/>
      <c r="FWD89" s="62"/>
      <c r="FWE89" s="62"/>
      <c r="FWF89" s="62"/>
      <c r="FWG89" s="62"/>
      <c r="FWH89" s="62"/>
      <c r="FWI89" s="62"/>
      <c r="FWJ89" s="62"/>
      <c r="FWK89" s="62"/>
      <c r="FWL89" s="62"/>
      <c r="FWM89" s="62"/>
      <c r="FWN89" s="62"/>
      <c r="FWO89" s="62"/>
      <c r="FWP89" s="62"/>
      <c r="FWQ89" s="62"/>
      <c r="FWR89" s="62"/>
      <c r="FWS89" s="62"/>
      <c r="FWT89" s="62"/>
      <c r="FWU89" s="62"/>
      <c r="FWV89" s="62"/>
      <c r="FWW89" s="62"/>
      <c r="FWX89" s="62"/>
      <c r="FWY89" s="62"/>
      <c r="FWZ89" s="62"/>
      <c r="FXA89" s="62"/>
      <c r="FXB89" s="62"/>
      <c r="FXC89" s="62"/>
      <c r="FXD89" s="62"/>
      <c r="FXE89" s="62"/>
      <c r="FXF89" s="62"/>
      <c r="FXG89" s="62"/>
      <c r="FXH89" s="62"/>
      <c r="FXI89" s="62"/>
      <c r="FXJ89" s="62"/>
      <c r="FXK89" s="62"/>
      <c r="FXL89" s="62"/>
      <c r="FXM89" s="62"/>
      <c r="FXN89" s="62"/>
      <c r="FXO89" s="62"/>
      <c r="FXP89" s="62"/>
      <c r="FXQ89" s="62"/>
      <c r="FXR89" s="62"/>
      <c r="FXS89" s="62"/>
      <c r="FXT89" s="62"/>
      <c r="FXU89" s="62"/>
      <c r="FXV89" s="62"/>
      <c r="FXW89" s="62"/>
      <c r="FXX89" s="62"/>
      <c r="FXY89" s="62"/>
      <c r="FXZ89" s="62"/>
      <c r="FYA89" s="62"/>
      <c r="FYB89" s="62"/>
      <c r="FYC89" s="62"/>
      <c r="FYD89" s="62"/>
      <c r="FYE89" s="62"/>
      <c r="FYF89" s="62"/>
      <c r="FYG89" s="62"/>
      <c r="FYH89" s="62"/>
      <c r="FYI89" s="62"/>
      <c r="FYJ89" s="62"/>
      <c r="FYK89" s="62"/>
      <c r="FYL89" s="62"/>
      <c r="FYM89" s="62"/>
      <c r="FYN89" s="62"/>
      <c r="FYO89" s="62"/>
      <c r="FYP89" s="62"/>
      <c r="FYQ89" s="62"/>
      <c r="FYR89" s="62"/>
      <c r="FYS89" s="62"/>
      <c r="FYT89" s="62"/>
      <c r="FYU89" s="62"/>
      <c r="FYV89" s="62"/>
      <c r="FYW89" s="62"/>
      <c r="FYX89" s="62"/>
      <c r="FYY89" s="62"/>
      <c r="FYZ89" s="62"/>
      <c r="FZA89" s="62"/>
      <c r="FZB89" s="62"/>
      <c r="FZC89" s="62"/>
      <c r="FZD89" s="62"/>
      <c r="FZE89" s="62"/>
      <c r="FZF89" s="62"/>
      <c r="FZG89" s="62"/>
      <c r="FZH89" s="62"/>
      <c r="FZI89" s="62"/>
      <c r="FZJ89" s="62"/>
      <c r="FZK89" s="62"/>
      <c r="FZL89" s="62"/>
      <c r="FZM89" s="62"/>
      <c r="FZN89" s="62"/>
      <c r="FZO89" s="62"/>
      <c r="FZP89" s="62"/>
      <c r="FZQ89" s="62"/>
      <c r="FZR89" s="62"/>
      <c r="FZS89" s="62"/>
      <c r="FZT89" s="62"/>
      <c r="FZU89" s="62"/>
      <c r="FZV89" s="62"/>
      <c r="FZW89" s="62"/>
      <c r="FZX89" s="62"/>
      <c r="FZY89" s="62"/>
      <c r="FZZ89" s="62"/>
      <c r="GAA89" s="62"/>
      <c r="GAB89" s="62"/>
      <c r="GAC89" s="62"/>
      <c r="GAD89" s="62"/>
      <c r="GAE89" s="62"/>
      <c r="GAF89" s="62"/>
      <c r="GAG89" s="62"/>
      <c r="GAH89" s="62"/>
      <c r="GAI89" s="62"/>
      <c r="GAJ89" s="62"/>
      <c r="GAK89" s="62"/>
      <c r="GAL89" s="62"/>
      <c r="GAM89" s="62"/>
      <c r="GAN89" s="62"/>
      <c r="GAO89" s="62"/>
      <c r="GAP89" s="62"/>
      <c r="GAQ89" s="62"/>
      <c r="GAR89" s="62"/>
      <c r="GAS89" s="62"/>
      <c r="GAT89" s="62"/>
      <c r="GAU89" s="62"/>
      <c r="GAV89" s="62"/>
      <c r="GAW89" s="62"/>
      <c r="GAX89" s="62"/>
      <c r="GAY89" s="62"/>
      <c r="GAZ89" s="62"/>
      <c r="GBA89" s="62"/>
      <c r="GBB89" s="62"/>
      <c r="GBC89" s="62"/>
      <c r="GBD89" s="62"/>
      <c r="GBE89" s="62"/>
      <c r="GBF89" s="62"/>
      <c r="GBG89" s="62"/>
      <c r="GBH89" s="62"/>
      <c r="GBI89" s="62"/>
      <c r="GBJ89" s="62"/>
      <c r="GBK89" s="62"/>
      <c r="GBL89" s="62"/>
      <c r="GBM89" s="62"/>
      <c r="GBN89" s="62"/>
      <c r="GBO89" s="62"/>
      <c r="GBP89" s="62"/>
      <c r="GBQ89" s="62"/>
      <c r="GBR89" s="62"/>
      <c r="GBS89" s="62"/>
      <c r="GBT89" s="62"/>
      <c r="GBU89" s="62"/>
      <c r="GBV89" s="62"/>
      <c r="GBW89" s="62"/>
      <c r="GBX89" s="62"/>
      <c r="GBY89" s="62"/>
      <c r="GBZ89" s="62"/>
      <c r="GCA89" s="62"/>
      <c r="GCB89" s="62"/>
      <c r="GCC89" s="62"/>
      <c r="GCD89" s="62"/>
      <c r="GCE89" s="62"/>
      <c r="GCF89" s="62"/>
      <c r="GCG89" s="62"/>
      <c r="GCH89" s="62"/>
      <c r="GCI89" s="62"/>
      <c r="GCJ89" s="62"/>
      <c r="GCK89" s="62"/>
      <c r="GCL89" s="62"/>
      <c r="GCM89" s="62"/>
      <c r="GCN89" s="62"/>
      <c r="GCO89" s="62"/>
      <c r="GCP89" s="62"/>
      <c r="GCQ89" s="62"/>
      <c r="GCR89" s="62"/>
      <c r="GCS89" s="62"/>
      <c r="GCT89" s="62"/>
      <c r="GCU89" s="62"/>
      <c r="GCV89" s="62"/>
      <c r="GCW89" s="62"/>
      <c r="GCX89" s="62"/>
      <c r="GCY89" s="62"/>
      <c r="GCZ89" s="62"/>
      <c r="GDA89" s="62"/>
      <c r="GDB89" s="62"/>
      <c r="GDC89" s="62"/>
      <c r="GDD89" s="62"/>
      <c r="GDE89" s="62"/>
      <c r="GDF89" s="62"/>
      <c r="GDG89" s="62"/>
      <c r="GDH89" s="62"/>
      <c r="GDI89" s="62"/>
      <c r="GDJ89" s="62"/>
      <c r="GDK89" s="62"/>
      <c r="GDL89" s="62"/>
      <c r="GDM89" s="62"/>
      <c r="GDN89" s="62"/>
      <c r="GDO89" s="62"/>
      <c r="GDP89" s="62"/>
      <c r="GDQ89" s="62"/>
      <c r="GDR89" s="62"/>
      <c r="GDS89" s="62"/>
      <c r="GDT89" s="62"/>
      <c r="GDU89" s="62"/>
      <c r="GDV89" s="62"/>
      <c r="GDW89" s="62"/>
      <c r="GDX89" s="62"/>
      <c r="GDY89" s="62"/>
      <c r="GDZ89" s="62"/>
      <c r="GEA89" s="62"/>
      <c r="GEB89" s="62"/>
      <c r="GEC89" s="62"/>
      <c r="GED89" s="62"/>
      <c r="GEE89" s="62"/>
      <c r="GEF89" s="62"/>
      <c r="GEG89" s="62"/>
      <c r="GEH89" s="62"/>
      <c r="GEI89" s="62"/>
      <c r="GEJ89" s="62"/>
      <c r="GEK89" s="62"/>
      <c r="GEL89" s="62"/>
      <c r="GEM89" s="62"/>
      <c r="GEN89" s="62"/>
      <c r="GEO89" s="62"/>
      <c r="GEP89" s="62"/>
      <c r="GEQ89" s="62"/>
      <c r="GER89" s="62"/>
      <c r="GES89" s="62"/>
      <c r="GET89" s="62"/>
      <c r="GEU89" s="62"/>
      <c r="GEV89" s="62"/>
      <c r="GEW89" s="62"/>
      <c r="GEX89" s="62"/>
      <c r="GEY89" s="62"/>
      <c r="GEZ89" s="62"/>
      <c r="GFA89" s="62"/>
      <c r="GFB89" s="62"/>
      <c r="GFC89" s="62"/>
      <c r="GFD89" s="62"/>
      <c r="GFE89" s="62"/>
      <c r="GFF89" s="62"/>
      <c r="GFG89" s="62"/>
      <c r="GFH89" s="62"/>
      <c r="GFI89" s="62"/>
      <c r="GFJ89" s="62"/>
      <c r="GFK89" s="62"/>
      <c r="GFL89" s="62"/>
      <c r="GFM89" s="62"/>
      <c r="GFN89" s="62"/>
      <c r="GFO89" s="62"/>
      <c r="GFP89" s="62"/>
      <c r="GFQ89" s="62"/>
      <c r="GFR89" s="62"/>
      <c r="GFS89" s="62"/>
      <c r="GFT89" s="62"/>
      <c r="GFU89" s="62"/>
      <c r="GFV89" s="62"/>
      <c r="GFW89" s="62"/>
      <c r="GFX89" s="62"/>
      <c r="GFY89" s="62"/>
      <c r="GFZ89" s="62"/>
      <c r="GGA89" s="62"/>
      <c r="GGB89" s="62"/>
      <c r="GGC89" s="62"/>
      <c r="GGD89" s="62"/>
      <c r="GGE89" s="62"/>
      <c r="GGF89" s="62"/>
      <c r="GGG89" s="62"/>
      <c r="GGH89" s="62"/>
      <c r="GGI89" s="62"/>
      <c r="GGJ89" s="62"/>
      <c r="GGK89" s="62"/>
      <c r="GGL89" s="62"/>
      <c r="GGM89" s="62"/>
      <c r="GGN89" s="62"/>
      <c r="GGO89" s="62"/>
      <c r="GGP89" s="62"/>
      <c r="GGQ89" s="62"/>
      <c r="GGR89" s="62"/>
      <c r="GGS89" s="62"/>
      <c r="GGT89" s="62"/>
      <c r="GGU89" s="62"/>
      <c r="GGV89" s="62"/>
      <c r="GGW89" s="62"/>
      <c r="GGX89" s="62"/>
      <c r="GGY89" s="62"/>
      <c r="GGZ89" s="62"/>
      <c r="GHA89" s="62"/>
      <c r="GHB89" s="62"/>
      <c r="GHC89" s="62"/>
      <c r="GHD89" s="62"/>
      <c r="GHE89" s="62"/>
      <c r="GHF89" s="62"/>
      <c r="GHG89" s="62"/>
      <c r="GHH89" s="62"/>
      <c r="GHI89" s="62"/>
      <c r="GHJ89" s="62"/>
      <c r="GHK89" s="62"/>
      <c r="GHL89" s="62"/>
      <c r="GHM89" s="62"/>
      <c r="GHN89" s="62"/>
      <c r="GHO89" s="62"/>
      <c r="GHP89" s="62"/>
      <c r="GHQ89" s="62"/>
      <c r="GHR89" s="62"/>
      <c r="GHS89" s="62"/>
      <c r="GHT89" s="62"/>
      <c r="GHU89" s="62"/>
      <c r="GHV89" s="62"/>
      <c r="GHW89" s="62"/>
      <c r="GHX89" s="62"/>
      <c r="GHY89" s="62"/>
      <c r="GHZ89" s="62"/>
      <c r="GIA89" s="62"/>
      <c r="GIB89" s="62"/>
      <c r="GIC89" s="62"/>
      <c r="GID89" s="62"/>
      <c r="GIE89" s="62"/>
      <c r="GIF89" s="62"/>
      <c r="GIG89" s="62"/>
      <c r="GIH89" s="62"/>
      <c r="GII89" s="62"/>
      <c r="GIJ89" s="62"/>
      <c r="GIK89" s="62"/>
      <c r="GIL89" s="62"/>
      <c r="GIM89" s="62"/>
      <c r="GIN89" s="62"/>
      <c r="GIO89" s="62"/>
      <c r="GIP89" s="62"/>
      <c r="GIQ89" s="62"/>
      <c r="GIR89" s="62"/>
      <c r="GIS89" s="62"/>
      <c r="GIT89" s="62"/>
      <c r="GIU89" s="62"/>
      <c r="GIV89" s="62"/>
      <c r="GIW89" s="62"/>
      <c r="GIX89" s="62"/>
      <c r="GIY89" s="62"/>
      <c r="GIZ89" s="62"/>
      <c r="GJA89" s="62"/>
      <c r="GJB89" s="62"/>
      <c r="GJC89" s="62"/>
      <c r="GJD89" s="62"/>
      <c r="GJE89" s="62"/>
      <c r="GJF89" s="62"/>
      <c r="GJG89" s="62"/>
      <c r="GJH89" s="62"/>
      <c r="GJI89" s="62"/>
      <c r="GJJ89" s="62"/>
      <c r="GJK89" s="62"/>
      <c r="GJL89" s="62"/>
      <c r="GJM89" s="62"/>
      <c r="GJN89" s="62"/>
      <c r="GJO89" s="62"/>
      <c r="GJP89" s="62"/>
      <c r="GJQ89" s="62"/>
      <c r="GJR89" s="62"/>
      <c r="GJS89" s="62"/>
      <c r="GJT89" s="62"/>
      <c r="GJU89" s="62"/>
      <c r="GJV89" s="62"/>
      <c r="GJW89" s="62"/>
      <c r="GJX89" s="62"/>
      <c r="GJY89" s="62"/>
      <c r="GJZ89" s="62"/>
      <c r="GKA89" s="62"/>
      <c r="GKB89" s="62"/>
      <c r="GKC89" s="62"/>
      <c r="GKD89" s="62"/>
      <c r="GKE89" s="62"/>
      <c r="GKF89" s="62"/>
      <c r="GKG89" s="62"/>
      <c r="GKH89" s="62"/>
      <c r="GKI89" s="62"/>
      <c r="GKJ89" s="62"/>
      <c r="GKK89" s="62"/>
      <c r="GKL89" s="62"/>
      <c r="GKM89" s="62"/>
      <c r="GKN89" s="62"/>
      <c r="GKO89" s="62"/>
      <c r="GKP89" s="62"/>
      <c r="GKQ89" s="62"/>
      <c r="GKR89" s="62"/>
      <c r="GKS89" s="62"/>
      <c r="GKT89" s="62"/>
      <c r="GKU89" s="62"/>
      <c r="GKV89" s="62"/>
      <c r="GKW89" s="62"/>
      <c r="GKX89" s="62"/>
      <c r="GKY89" s="62"/>
      <c r="GKZ89" s="62"/>
      <c r="GLA89" s="62"/>
      <c r="GLB89" s="62"/>
      <c r="GLC89" s="62"/>
      <c r="GLD89" s="62"/>
      <c r="GLE89" s="62"/>
      <c r="GLF89" s="62"/>
      <c r="GLG89" s="62"/>
      <c r="GLH89" s="62"/>
      <c r="GLI89" s="62"/>
      <c r="GLJ89" s="62"/>
      <c r="GLK89" s="62"/>
      <c r="GLL89" s="62"/>
      <c r="GLM89" s="62"/>
      <c r="GLN89" s="62"/>
      <c r="GLO89" s="62"/>
      <c r="GLP89" s="62"/>
      <c r="GLQ89" s="62"/>
      <c r="GLR89" s="62"/>
      <c r="GLS89" s="62"/>
      <c r="GLT89" s="62"/>
      <c r="GLU89" s="62"/>
      <c r="GLV89" s="62"/>
      <c r="GLW89" s="62"/>
      <c r="GLX89" s="62"/>
      <c r="GLY89" s="62"/>
      <c r="GLZ89" s="62"/>
      <c r="GMA89" s="62"/>
      <c r="GMB89" s="62"/>
      <c r="GMC89" s="62"/>
      <c r="GMD89" s="62"/>
      <c r="GME89" s="62"/>
      <c r="GMF89" s="62"/>
      <c r="GMG89" s="62"/>
      <c r="GMH89" s="62"/>
      <c r="GMI89" s="62"/>
      <c r="GMJ89" s="62"/>
      <c r="GMK89" s="62"/>
      <c r="GML89" s="62"/>
      <c r="GMM89" s="62"/>
      <c r="GMN89" s="62"/>
      <c r="GMO89" s="62"/>
      <c r="GMP89" s="62"/>
      <c r="GMQ89" s="62"/>
      <c r="GMR89" s="62"/>
      <c r="GMS89" s="62"/>
      <c r="GMT89" s="62"/>
      <c r="GMU89" s="62"/>
      <c r="GMV89" s="62"/>
      <c r="GMW89" s="62"/>
      <c r="GMX89" s="62"/>
      <c r="GMY89" s="62"/>
      <c r="GMZ89" s="62"/>
      <c r="GNA89" s="62"/>
      <c r="GNB89" s="62"/>
      <c r="GNC89" s="62"/>
      <c r="GND89" s="62"/>
      <c r="GNE89" s="62"/>
      <c r="GNF89" s="62"/>
      <c r="GNG89" s="62"/>
      <c r="GNH89" s="62"/>
      <c r="GNI89" s="62"/>
      <c r="GNJ89" s="62"/>
      <c r="GNK89" s="62"/>
      <c r="GNL89" s="62"/>
      <c r="GNM89" s="62"/>
      <c r="GNN89" s="62"/>
      <c r="GNO89" s="62"/>
      <c r="GNP89" s="62"/>
      <c r="GNQ89" s="62"/>
      <c r="GNR89" s="62"/>
      <c r="GNS89" s="62"/>
      <c r="GNT89" s="62"/>
      <c r="GNU89" s="62"/>
      <c r="GNV89" s="62"/>
      <c r="GNW89" s="62"/>
      <c r="GNX89" s="62"/>
      <c r="GNY89" s="62"/>
      <c r="GNZ89" s="62"/>
      <c r="GOA89" s="62"/>
      <c r="GOB89" s="62"/>
      <c r="GOC89" s="62"/>
      <c r="GOD89" s="62"/>
      <c r="GOE89" s="62"/>
      <c r="GOF89" s="62"/>
      <c r="GOG89" s="62"/>
      <c r="GOH89" s="62"/>
      <c r="GOI89" s="62"/>
      <c r="GOJ89" s="62"/>
      <c r="GOK89" s="62"/>
      <c r="GOL89" s="62"/>
      <c r="GOM89" s="62"/>
      <c r="GON89" s="62"/>
      <c r="GOO89" s="62"/>
      <c r="GOP89" s="62"/>
      <c r="GOQ89" s="62"/>
      <c r="GOR89" s="62"/>
      <c r="GOS89" s="62"/>
      <c r="GOT89" s="62"/>
      <c r="GOU89" s="62"/>
      <c r="GOV89" s="62"/>
      <c r="GOW89" s="62"/>
      <c r="GOX89" s="62"/>
      <c r="GOY89" s="62"/>
      <c r="GOZ89" s="62"/>
      <c r="GPA89" s="62"/>
      <c r="GPB89" s="62"/>
      <c r="GPC89" s="62"/>
      <c r="GPD89" s="62"/>
      <c r="GPE89" s="62"/>
      <c r="GPF89" s="62"/>
      <c r="GPG89" s="62"/>
      <c r="GPH89" s="62"/>
      <c r="GPI89" s="62"/>
      <c r="GPJ89" s="62"/>
      <c r="GPK89" s="62"/>
      <c r="GPL89" s="62"/>
      <c r="GPM89" s="62"/>
      <c r="GPN89" s="62"/>
      <c r="GPO89" s="62"/>
      <c r="GPP89" s="62"/>
      <c r="GPQ89" s="62"/>
      <c r="GPR89" s="62"/>
      <c r="GPS89" s="62"/>
      <c r="GPT89" s="62"/>
      <c r="GPU89" s="62"/>
      <c r="GPV89" s="62"/>
      <c r="GPW89" s="62"/>
      <c r="GPX89" s="62"/>
      <c r="GPY89" s="62"/>
      <c r="GPZ89" s="62"/>
      <c r="GQA89" s="62"/>
      <c r="GQB89" s="62"/>
      <c r="GQC89" s="62"/>
      <c r="GQD89" s="62"/>
      <c r="GQE89" s="62"/>
      <c r="GQF89" s="62"/>
      <c r="GQG89" s="62"/>
      <c r="GQH89" s="62"/>
      <c r="GQI89" s="62"/>
      <c r="GQJ89" s="62"/>
      <c r="GQK89" s="62"/>
      <c r="GQL89" s="62"/>
      <c r="GQM89" s="62"/>
      <c r="GQN89" s="62"/>
      <c r="GQO89" s="62"/>
      <c r="GQP89" s="62"/>
      <c r="GQQ89" s="62"/>
      <c r="GQR89" s="62"/>
      <c r="GQS89" s="62"/>
      <c r="GQT89" s="62"/>
      <c r="GQU89" s="62"/>
      <c r="GQV89" s="62"/>
      <c r="GQW89" s="62"/>
      <c r="GQX89" s="62"/>
      <c r="GQY89" s="62"/>
      <c r="GQZ89" s="62"/>
      <c r="GRA89" s="62"/>
      <c r="GRB89" s="62"/>
      <c r="GRC89" s="62"/>
      <c r="GRD89" s="62"/>
      <c r="GRE89" s="62"/>
      <c r="GRF89" s="62"/>
      <c r="GRG89" s="62"/>
      <c r="GRH89" s="62"/>
      <c r="GRI89" s="62"/>
      <c r="GRJ89" s="62"/>
      <c r="GRK89" s="62"/>
      <c r="GRL89" s="62"/>
      <c r="GRM89" s="62"/>
      <c r="GRN89" s="62"/>
      <c r="GRO89" s="62"/>
      <c r="GRP89" s="62"/>
      <c r="GRQ89" s="62"/>
      <c r="GRR89" s="62"/>
      <c r="GRS89" s="62"/>
      <c r="GRT89" s="62"/>
      <c r="GRU89" s="62"/>
      <c r="GRV89" s="62"/>
      <c r="GRW89" s="62"/>
      <c r="GRX89" s="62"/>
      <c r="GRY89" s="62"/>
      <c r="GRZ89" s="62"/>
      <c r="GSA89" s="62"/>
      <c r="GSB89" s="62"/>
      <c r="GSC89" s="62"/>
      <c r="GSD89" s="62"/>
      <c r="GSE89" s="62"/>
      <c r="GSF89" s="62"/>
      <c r="GSG89" s="62"/>
      <c r="GSH89" s="62"/>
      <c r="GSI89" s="62"/>
      <c r="GSJ89" s="62"/>
      <c r="GSK89" s="62"/>
      <c r="GSL89" s="62"/>
      <c r="GSM89" s="62"/>
      <c r="GSN89" s="62"/>
      <c r="GSO89" s="62"/>
      <c r="GSP89" s="62"/>
      <c r="GSQ89" s="62"/>
      <c r="GSR89" s="62"/>
      <c r="GSS89" s="62"/>
      <c r="GST89" s="62"/>
      <c r="GSU89" s="62"/>
      <c r="GSV89" s="62"/>
      <c r="GSW89" s="62"/>
      <c r="GSX89" s="62"/>
      <c r="GSY89" s="62"/>
      <c r="GSZ89" s="62"/>
      <c r="GTA89" s="62"/>
      <c r="GTB89" s="62"/>
      <c r="GTC89" s="62"/>
      <c r="GTD89" s="62"/>
      <c r="GTE89" s="62"/>
      <c r="GTF89" s="62"/>
      <c r="GTG89" s="62"/>
      <c r="GTH89" s="62"/>
      <c r="GTI89" s="62"/>
      <c r="GTJ89" s="62"/>
      <c r="GTK89" s="62"/>
      <c r="GTL89" s="62"/>
      <c r="GTM89" s="62"/>
      <c r="GTN89" s="62"/>
      <c r="GTO89" s="62"/>
      <c r="GTP89" s="62"/>
      <c r="GTQ89" s="62"/>
      <c r="GTR89" s="62"/>
      <c r="GTS89" s="62"/>
      <c r="GTT89" s="62"/>
      <c r="GTU89" s="62"/>
      <c r="GTV89" s="62"/>
      <c r="GTW89" s="62"/>
      <c r="GTX89" s="62"/>
      <c r="GTY89" s="62"/>
      <c r="GTZ89" s="62"/>
      <c r="GUA89" s="62"/>
      <c r="GUB89" s="62"/>
      <c r="GUC89" s="62"/>
      <c r="GUD89" s="62"/>
      <c r="GUE89" s="62"/>
      <c r="GUF89" s="62"/>
      <c r="GUG89" s="62"/>
      <c r="GUH89" s="62"/>
      <c r="GUI89" s="62"/>
      <c r="GUJ89" s="62"/>
      <c r="GUK89" s="62"/>
      <c r="GUL89" s="62"/>
      <c r="GUM89" s="62"/>
      <c r="GUN89" s="62"/>
      <c r="GUO89" s="62"/>
      <c r="GUP89" s="62"/>
      <c r="GUQ89" s="62"/>
      <c r="GUR89" s="62"/>
      <c r="GUS89" s="62"/>
      <c r="GUT89" s="62"/>
      <c r="GUU89" s="62"/>
      <c r="GUV89" s="62"/>
      <c r="GUW89" s="62"/>
      <c r="GUX89" s="62"/>
      <c r="GUY89" s="62"/>
      <c r="GUZ89" s="62"/>
      <c r="GVA89" s="62"/>
      <c r="GVB89" s="62"/>
      <c r="GVC89" s="62"/>
      <c r="GVD89" s="62"/>
      <c r="GVE89" s="62"/>
      <c r="GVF89" s="62"/>
      <c r="GVG89" s="62"/>
      <c r="GVH89" s="62"/>
      <c r="GVI89" s="62"/>
      <c r="GVJ89" s="62"/>
      <c r="GVK89" s="62"/>
      <c r="GVL89" s="62"/>
      <c r="GVM89" s="62"/>
      <c r="GVN89" s="62"/>
      <c r="GVO89" s="62"/>
      <c r="GVP89" s="62"/>
      <c r="GVQ89" s="62"/>
      <c r="GVR89" s="62"/>
      <c r="GVS89" s="62"/>
      <c r="GVT89" s="62"/>
      <c r="GVU89" s="62"/>
      <c r="GVV89" s="62"/>
      <c r="GVW89" s="62"/>
      <c r="GVX89" s="62"/>
      <c r="GVY89" s="62"/>
      <c r="GVZ89" s="62"/>
      <c r="GWA89" s="62"/>
      <c r="GWB89" s="62"/>
      <c r="GWC89" s="62"/>
      <c r="GWD89" s="62"/>
      <c r="GWE89" s="62"/>
      <c r="GWF89" s="62"/>
      <c r="GWG89" s="62"/>
      <c r="GWH89" s="62"/>
      <c r="GWI89" s="62"/>
      <c r="GWJ89" s="62"/>
      <c r="GWK89" s="62"/>
      <c r="GWL89" s="62"/>
      <c r="GWM89" s="62"/>
      <c r="GWN89" s="62"/>
      <c r="GWO89" s="62"/>
      <c r="GWP89" s="62"/>
      <c r="GWQ89" s="62"/>
      <c r="GWR89" s="62"/>
      <c r="GWS89" s="62"/>
      <c r="GWT89" s="62"/>
      <c r="GWU89" s="62"/>
      <c r="GWV89" s="62"/>
      <c r="GWW89" s="62"/>
      <c r="GWX89" s="62"/>
      <c r="GWY89" s="62"/>
      <c r="GWZ89" s="62"/>
      <c r="GXA89" s="62"/>
      <c r="GXB89" s="62"/>
      <c r="GXC89" s="62"/>
      <c r="GXD89" s="62"/>
      <c r="GXE89" s="62"/>
      <c r="GXF89" s="62"/>
      <c r="GXG89" s="62"/>
      <c r="GXH89" s="62"/>
      <c r="GXI89" s="62"/>
      <c r="GXJ89" s="62"/>
      <c r="GXK89" s="62"/>
      <c r="GXL89" s="62"/>
      <c r="GXM89" s="62"/>
      <c r="GXN89" s="62"/>
      <c r="GXO89" s="62"/>
      <c r="GXP89" s="62"/>
      <c r="GXQ89" s="62"/>
      <c r="GXR89" s="62"/>
      <c r="GXS89" s="62"/>
      <c r="GXT89" s="62"/>
      <c r="GXU89" s="62"/>
      <c r="GXV89" s="62"/>
      <c r="GXW89" s="62"/>
      <c r="GXX89" s="62"/>
      <c r="GXY89" s="62"/>
      <c r="GXZ89" s="62"/>
      <c r="GYA89" s="62"/>
      <c r="GYB89" s="62"/>
      <c r="GYC89" s="62"/>
      <c r="GYD89" s="62"/>
      <c r="GYE89" s="62"/>
      <c r="GYF89" s="62"/>
      <c r="GYG89" s="62"/>
      <c r="GYH89" s="62"/>
      <c r="GYI89" s="62"/>
      <c r="GYJ89" s="62"/>
      <c r="GYK89" s="62"/>
      <c r="GYL89" s="62"/>
      <c r="GYM89" s="62"/>
      <c r="GYN89" s="62"/>
      <c r="GYO89" s="62"/>
      <c r="GYP89" s="62"/>
      <c r="GYQ89" s="62"/>
      <c r="GYR89" s="62"/>
      <c r="GYS89" s="62"/>
      <c r="GYT89" s="62"/>
      <c r="GYU89" s="62"/>
      <c r="GYV89" s="62"/>
      <c r="GYW89" s="62"/>
      <c r="GYX89" s="62"/>
      <c r="GYY89" s="62"/>
      <c r="GYZ89" s="62"/>
      <c r="GZA89" s="62"/>
      <c r="GZB89" s="62"/>
      <c r="GZC89" s="62"/>
      <c r="GZD89" s="62"/>
      <c r="GZE89" s="62"/>
      <c r="GZF89" s="62"/>
      <c r="GZG89" s="62"/>
      <c r="GZH89" s="62"/>
      <c r="GZI89" s="62"/>
      <c r="GZJ89" s="62"/>
      <c r="GZK89" s="62"/>
      <c r="GZL89" s="62"/>
      <c r="GZM89" s="62"/>
      <c r="GZN89" s="62"/>
      <c r="GZO89" s="62"/>
      <c r="GZP89" s="62"/>
      <c r="GZQ89" s="62"/>
      <c r="GZR89" s="62"/>
      <c r="GZS89" s="62"/>
      <c r="GZT89" s="62"/>
      <c r="GZU89" s="62"/>
      <c r="GZV89" s="62"/>
      <c r="GZW89" s="62"/>
      <c r="GZX89" s="62"/>
      <c r="GZY89" s="62"/>
      <c r="GZZ89" s="62"/>
      <c r="HAA89" s="62"/>
      <c r="HAB89" s="62"/>
      <c r="HAC89" s="62"/>
      <c r="HAD89" s="62"/>
      <c r="HAE89" s="62"/>
      <c r="HAF89" s="62"/>
      <c r="HAG89" s="62"/>
      <c r="HAH89" s="62"/>
      <c r="HAI89" s="62"/>
      <c r="HAJ89" s="62"/>
      <c r="HAK89" s="62"/>
      <c r="HAL89" s="62"/>
      <c r="HAM89" s="62"/>
      <c r="HAN89" s="62"/>
      <c r="HAO89" s="62"/>
      <c r="HAP89" s="62"/>
      <c r="HAQ89" s="62"/>
      <c r="HAR89" s="62"/>
      <c r="HAS89" s="62"/>
      <c r="HAT89" s="62"/>
      <c r="HAU89" s="62"/>
      <c r="HAV89" s="62"/>
      <c r="HAW89" s="62"/>
      <c r="HAX89" s="62"/>
      <c r="HAY89" s="62"/>
      <c r="HAZ89" s="62"/>
      <c r="HBA89" s="62"/>
      <c r="HBB89" s="62"/>
      <c r="HBC89" s="62"/>
      <c r="HBD89" s="62"/>
      <c r="HBE89" s="62"/>
      <c r="HBF89" s="62"/>
      <c r="HBG89" s="62"/>
      <c r="HBH89" s="62"/>
      <c r="HBI89" s="62"/>
      <c r="HBJ89" s="62"/>
      <c r="HBK89" s="62"/>
      <c r="HBL89" s="62"/>
      <c r="HBM89" s="62"/>
      <c r="HBN89" s="62"/>
      <c r="HBO89" s="62"/>
      <c r="HBP89" s="62"/>
      <c r="HBQ89" s="62"/>
      <c r="HBR89" s="62"/>
      <c r="HBS89" s="62"/>
      <c r="HBT89" s="62"/>
      <c r="HBU89" s="62"/>
      <c r="HBV89" s="62"/>
      <c r="HBW89" s="62"/>
      <c r="HBX89" s="62"/>
      <c r="HBY89" s="62"/>
      <c r="HBZ89" s="62"/>
      <c r="HCA89" s="62"/>
      <c r="HCB89" s="62"/>
      <c r="HCC89" s="62"/>
      <c r="HCD89" s="62"/>
      <c r="HCE89" s="62"/>
      <c r="HCF89" s="62"/>
      <c r="HCG89" s="62"/>
      <c r="HCH89" s="62"/>
      <c r="HCI89" s="62"/>
      <c r="HCJ89" s="62"/>
      <c r="HCK89" s="62"/>
      <c r="HCL89" s="62"/>
      <c r="HCM89" s="62"/>
      <c r="HCN89" s="62"/>
      <c r="HCO89" s="62"/>
      <c r="HCP89" s="62"/>
      <c r="HCQ89" s="62"/>
      <c r="HCR89" s="62"/>
      <c r="HCS89" s="62"/>
      <c r="HCT89" s="62"/>
      <c r="HCU89" s="62"/>
      <c r="HCV89" s="62"/>
      <c r="HCW89" s="62"/>
      <c r="HCX89" s="62"/>
      <c r="HCY89" s="62"/>
      <c r="HCZ89" s="62"/>
      <c r="HDA89" s="62"/>
      <c r="HDB89" s="62"/>
      <c r="HDC89" s="62"/>
      <c r="HDD89" s="62"/>
      <c r="HDE89" s="62"/>
      <c r="HDF89" s="62"/>
      <c r="HDG89" s="62"/>
      <c r="HDH89" s="62"/>
      <c r="HDI89" s="62"/>
      <c r="HDJ89" s="62"/>
      <c r="HDK89" s="62"/>
      <c r="HDL89" s="62"/>
      <c r="HDM89" s="62"/>
      <c r="HDN89" s="62"/>
      <c r="HDO89" s="62"/>
      <c r="HDP89" s="62"/>
      <c r="HDQ89" s="62"/>
      <c r="HDR89" s="62"/>
      <c r="HDS89" s="62"/>
      <c r="HDT89" s="62"/>
      <c r="HDU89" s="62"/>
      <c r="HDV89" s="62"/>
      <c r="HDW89" s="62"/>
      <c r="HDX89" s="62"/>
      <c r="HDY89" s="62"/>
      <c r="HDZ89" s="62"/>
      <c r="HEA89" s="62"/>
      <c r="HEB89" s="62"/>
      <c r="HEC89" s="62"/>
      <c r="HED89" s="62"/>
      <c r="HEE89" s="62"/>
      <c r="HEF89" s="62"/>
      <c r="HEG89" s="62"/>
      <c r="HEH89" s="62"/>
      <c r="HEI89" s="62"/>
      <c r="HEJ89" s="62"/>
      <c r="HEK89" s="62"/>
      <c r="HEL89" s="62"/>
      <c r="HEM89" s="62"/>
      <c r="HEN89" s="62"/>
      <c r="HEO89" s="62"/>
      <c r="HEP89" s="62"/>
      <c r="HEQ89" s="62"/>
      <c r="HER89" s="62"/>
      <c r="HES89" s="62"/>
      <c r="HET89" s="62"/>
      <c r="HEU89" s="62"/>
      <c r="HEV89" s="62"/>
      <c r="HEW89" s="62"/>
      <c r="HEX89" s="62"/>
      <c r="HEY89" s="62"/>
      <c r="HEZ89" s="62"/>
      <c r="HFA89" s="62"/>
      <c r="HFB89" s="62"/>
      <c r="HFC89" s="62"/>
      <c r="HFD89" s="62"/>
      <c r="HFE89" s="62"/>
      <c r="HFF89" s="62"/>
      <c r="HFG89" s="62"/>
      <c r="HFH89" s="62"/>
      <c r="HFI89" s="62"/>
      <c r="HFJ89" s="62"/>
      <c r="HFK89" s="62"/>
      <c r="HFL89" s="62"/>
      <c r="HFM89" s="62"/>
      <c r="HFN89" s="62"/>
      <c r="HFO89" s="62"/>
      <c r="HFP89" s="62"/>
      <c r="HFQ89" s="62"/>
      <c r="HFR89" s="62"/>
      <c r="HFS89" s="62"/>
      <c r="HFT89" s="62"/>
      <c r="HFU89" s="62"/>
      <c r="HFV89" s="62"/>
      <c r="HFW89" s="62"/>
      <c r="HFX89" s="62"/>
      <c r="HFY89" s="62"/>
      <c r="HFZ89" s="62"/>
      <c r="HGA89" s="62"/>
      <c r="HGB89" s="62"/>
      <c r="HGC89" s="62"/>
      <c r="HGD89" s="62"/>
      <c r="HGE89" s="62"/>
      <c r="HGF89" s="62"/>
      <c r="HGG89" s="62"/>
      <c r="HGH89" s="62"/>
      <c r="HGI89" s="62"/>
      <c r="HGJ89" s="62"/>
      <c r="HGK89" s="62"/>
      <c r="HGL89" s="62"/>
      <c r="HGM89" s="62"/>
      <c r="HGN89" s="62"/>
      <c r="HGO89" s="62"/>
      <c r="HGP89" s="62"/>
      <c r="HGQ89" s="62"/>
      <c r="HGR89" s="62"/>
      <c r="HGS89" s="62"/>
      <c r="HGT89" s="62"/>
      <c r="HGU89" s="62"/>
      <c r="HGV89" s="62"/>
      <c r="HGW89" s="62"/>
      <c r="HGX89" s="62"/>
      <c r="HGY89" s="62"/>
      <c r="HGZ89" s="62"/>
      <c r="HHA89" s="62"/>
      <c r="HHB89" s="62"/>
      <c r="HHC89" s="62"/>
      <c r="HHD89" s="62"/>
      <c r="HHE89" s="62"/>
      <c r="HHF89" s="62"/>
      <c r="HHG89" s="62"/>
      <c r="HHH89" s="62"/>
      <c r="HHI89" s="62"/>
      <c r="HHJ89" s="62"/>
      <c r="HHK89" s="62"/>
      <c r="HHL89" s="62"/>
      <c r="HHM89" s="62"/>
      <c r="HHN89" s="62"/>
      <c r="HHO89" s="62"/>
      <c r="HHP89" s="62"/>
      <c r="HHQ89" s="62"/>
      <c r="HHR89" s="62"/>
      <c r="HHS89" s="62"/>
      <c r="HHT89" s="62"/>
      <c r="HHU89" s="62"/>
      <c r="HHV89" s="62"/>
      <c r="HHW89" s="62"/>
      <c r="HHX89" s="62"/>
      <c r="HHY89" s="62"/>
      <c r="HHZ89" s="62"/>
      <c r="HIA89" s="62"/>
      <c r="HIB89" s="62"/>
      <c r="HIC89" s="62"/>
      <c r="HID89" s="62"/>
      <c r="HIE89" s="62"/>
      <c r="HIF89" s="62"/>
      <c r="HIG89" s="62"/>
      <c r="HIH89" s="62"/>
      <c r="HII89" s="62"/>
      <c r="HIJ89" s="62"/>
      <c r="HIK89" s="62"/>
      <c r="HIL89" s="62"/>
      <c r="HIM89" s="62"/>
      <c r="HIN89" s="62"/>
      <c r="HIO89" s="62"/>
      <c r="HIP89" s="62"/>
      <c r="HIQ89" s="62"/>
      <c r="HIR89" s="62"/>
      <c r="HIS89" s="62"/>
      <c r="HIT89" s="62"/>
      <c r="HIU89" s="62"/>
      <c r="HIV89" s="62"/>
      <c r="HIW89" s="62"/>
      <c r="HIX89" s="62"/>
      <c r="HIY89" s="62"/>
      <c r="HIZ89" s="62"/>
      <c r="HJA89" s="62"/>
      <c r="HJB89" s="62"/>
      <c r="HJC89" s="62"/>
      <c r="HJD89" s="62"/>
      <c r="HJE89" s="62"/>
      <c r="HJF89" s="62"/>
      <c r="HJG89" s="62"/>
      <c r="HJH89" s="62"/>
      <c r="HJI89" s="62"/>
      <c r="HJJ89" s="62"/>
      <c r="HJK89" s="62"/>
      <c r="HJL89" s="62"/>
      <c r="HJM89" s="62"/>
      <c r="HJN89" s="62"/>
      <c r="HJO89" s="62"/>
      <c r="HJP89" s="62"/>
      <c r="HJQ89" s="62"/>
      <c r="HJR89" s="62"/>
      <c r="HJS89" s="62"/>
      <c r="HJT89" s="62"/>
      <c r="HJU89" s="62"/>
      <c r="HJV89" s="62"/>
      <c r="HJW89" s="62"/>
      <c r="HJX89" s="62"/>
      <c r="HJY89" s="62"/>
      <c r="HJZ89" s="62"/>
      <c r="HKA89" s="62"/>
      <c r="HKB89" s="62"/>
      <c r="HKC89" s="62"/>
      <c r="HKD89" s="62"/>
      <c r="HKE89" s="62"/>
      <c r="HKF89" s="62"/>
      <c r="HKG89" s="62"/>
      <c r="HKH89" s="62"/>
      <c r="HKI89" s="62"/>
      <c r="HKJ89" s="62"/>
      <c r="HKK89" s="62"/>
      <c r="HKL89" s="62"/>
      <c r="HKM89" s="62"/>
      <c r="HKN89" s="62"/>
      <c r="HKO89" s="62"/>
      <c r="HKP89" s="62"/>
      <c r="HKQ89" s="62"/>
      <c r="HKR89" s="62"/>
      <c r="HKS89" s="62"/>
      <c r="HKT89" s="62"/>
      <c r="HKU89" s="62"/>
      <c r="HKV89" s="62"/>
      <c r="HKW89" s="62"/>
      <c r="HKX89" s="62"/>
      <c r="HKY89" s="62"/>
      <c r="HKZ89" s="62"/>
      <c r="HLA89" s="62"/>
      <c r="HLB89" s="62"/>
      <c r="HLC89" s="62"/>
      <c r="HLD89" s="62"/>
      <c r="HLE89" s="62"/>
      <c r="HLF89" s="62"/>
      <c r="HLG89" s="62"/>
      <c r="HLH89" s="62"/>
      <c r="HLI89" s="62"/>
      <c r="HLJ89" s="62"/>
      <c r="HLK89" s="62"/>
      <c r="HLL89" s="62"/>
      <c r="HLM89" s="62"/>
      <c r="HLN89" s="62"/>
      <c r="HLO89" s="62"/>
      <c r="HLP89" s="62"/>
      <c r="HLQ89" s="62"/>
      <c r="HLR89" s="62"/>
      <c r="HLS89" s="62"/>
      <c r="HLT89" s="62"/>
      <c r="HLU89" s="62"/>
      <c r="HLV89" s="62"/>
      <c r="HLW89" s="62"/>
      <c r="HLX89" s="62"/>
      <c r="HLY89" s="62"/>
      <c r="HLZ89" s="62"/>
      <c r="HMA89" s="62"/>
      <c r="HMB89" s="62"/>
      <c r="HMC89" s="62"/>
      <c r="HMD89" s="62"/>
      <c r="HME89" s="62"/>
      <c r="HMF89" s="62"/>
      <c r="HMG89" s="62"/>
      <c r="HMH89" s="62"/>
      <c r="HMI89" s="62"/>
      <c r="HMJ89" s="62"/>
      <c r="HMK89" s="62"/>
      <c r="HML89" s="62"/>
      <c r="HMM89" s="62"/>
      <c r="HMN89" s="62"/>
      <c r="HMO89" s="62"/>
      <c r="HMP89" s="62"/>
      <c r="HMQ89" s="62"/>
      <c r="HMR89" s="62"/>
      <c r="HMS89" s="62"/>
      <c r="HMT89" s="62"/>
      <c r="HMU89" s="62"/>
      <c r="HMV89" s="62"/>
      <c r="HMW89" s="62"/>
      <c r="HMX89" s="62"/>
      <c r="HMY89" s="62"/>
      <c r="HMZ89" s="62"/>
      <c r="HNA89" s="62"/>
      <c r="HNB89" s="62"/>
      <c r="HNC89" s="62"/>
      <c r="HND89" s="62"/>
      <c r="HNE89" s="62"/>
      <c r="HNF89" s="62"/>
      <c r="HNG89" s="62"/>
      <c r="HNH89" s="62"/>
      <c r="HNI89" s="62"/>
      <c r="HNJ89" s="62"/>
      <c r="HNK89" s="62"/>
      <c r="HNL89" s="62"/>
      <c r="HNM89" s="62"/>
      <c r="HNN89" s="62"/>
      <c r="HNO89" s="62"/>
      <c r="HNP89" s="62"/>
      <c r="HNQ89" s="62"/>
      <c r="HNR89" s="62"/>
      <c r="HNS89" s="62"/>
      <c r="HNT89" s="62"/>
      <c r="HNU89" s="62"/>
      <c r="HNV89" s="62"/>
      <c r="HNW89" s="62"/>
      <c r="HNX89" s="62"/>
      <c r="HNY89" s="62"/>
      <c r="HNZ89" s="62"/>
      <c r="HOA89" s="62"/>
      <c r="HOB89" s="62"/>
      <c r="HOC89" s="62"/>
      <c r="HOD89" s="62"/>
      <c r="HOE89" s="62"/>
      <c r="HOF89" s="62"/>
      <c r="HOG89" s="62"/>
      <c r="HOH89" s="62"/>
      <c r="HOI89" s="62"/>
      <c r="HOJ89" s="62"/>
      <c r="HOK89" s="62"/>
      <c r="HOL89" s="62"/>
      <c r="HOM89" s="62"/>
      <c r="HON89" s="62"/>
      <c r="HOO89" s="62"/>
      <c r="HOP89" s="62"/>
      <c r="HOQ89" s="62"/>
      <c r="HOR89" s="62"/>
      <c r="HOS89" s="62"/>
      <c r="HOT89" s="62"/>
      <c r="HOU89" s="62"/>
      <c r="HOV89" s="62"/>
      <c r="HOW89" s="62"/>
      <c r="HOX89" s="62"/>
      <c r="HOY89" s="62"/>
      <c r="HOZ89" s="62"/>
      <c r="HPA89" s="62"/>
      <c r="HPB89" s="62"/>
      <c r="HPC89" s="62"/>
      <c r="HPD89" s="62"/>
      <c r="HPE89" s="62"/>
      <c r="HPF89" s="62"/>
      <c r="HPG89" s="62"/>
      <c r="HPH89" s="62"/>
      <c r="HPI89" s="62"/>
      <c r="HPJ89" s="62"/>
      <c r="HPK89" s="62"/>
      <c r="HPL89" s="62"/>
      <c r="HPM89" s="62"/>
      <c r="HPN89" s="62"/>
      <c r="HPO89" s="62"/>
      <c r="HPP89" s="62"/>
      <c r="HPQ89" s="62"/>
      <c r="HPR89" s="62"/>
      <c r="HPS89" s="62"/>
      <c r="HPT89" s="62"/>
      <c r="HPU89" s="62"/>
      <c r="HPV89" s="62"/>
      <c r="HPW89" s="62"/>
      <c r="HPX89" s="62"/>
      <c r="HPY89" s="62"/>
      <c r="HPZ89" s="62"/>
      <c r="HQA89" s="62"/>
      <c r="HQB89" s="62"/>
      <c r="HQC89" s="62"/>
      <c r="HQD89" s="62"/>
      <c r="HQE89" s="62"/>
      <c r="HQF89" s="62"/>
      <c r="HQG89" s="62"/>
      <c r="HQH89" s="62"/>
      <c r="HQI89" s="62"/>
      <c r="HQJ89" s="62"/>
      <c r="HQK89" s="62"/>
      <c r="HQL89" s="62"/>
      <c r="HQM89" s="62"/>
      <c r="HQN89" s="62"/>
      <c r="HQO89" s="62"/>
      <c r="HQP89" s="62"/>
      <c r="HQQ89" s="62"/>
      <c r="HQR89" s="62"/>
      <c r="HQS89" s="62"/>
      <c r="HQT89" s="62"/>
      <c r="HQU89" s="62"/>
      <c r="HQV89" s="62"/>
      <c r="HQW89" s="62"/>
      <c r="HQX89" s="62"/>
      <c r="HQY89" s="62"/>
      <c r="HQZ89" s="62"/>
      <c r="HRA89" s="62"/>
      <c r="HRB89" s="62"/>
      <c r="HRC89" s="62"/>
      <c r="HRD89" s="62"/>
      <c r="HRE89" s="62"/>
      <c r="HRF89" s="62"/>
      <c r="HRG89" s="62"/>
      <c r="HRH89" s="62"/>
      <c r="HRI89" s="62"/>
      <c r="HRJ89" s="62"/>
      <c r="HRK89" s="62"/>
      <c r="HRL89" s="62"/>
      <c r="HRM89" s="62"/>
      <c r="HRN89" s="62"/>
      <c r="HRO89" s="62"/>
      <c r="HRP89" s="62"/>
      <c r="HRQ89" s="62"/>
      <c r="HRR89" s="62"/>
      <c r="HRS89" s="62"/>
      <c r="HRT89" s="62"/>
      <c r="HRU89" s="62"/>
      <c r="HRV89" s="62"/>
      <c r="HRW89" s="62"/>
      <c r="HRX89" s="62"/>
      <c r="HRY89" s="62"/>
      <c r="HRZ89" s="62"/>
      <c r="HSA89" s="62"/>
      <c r="HSB89" s="62"/>
      <c r="HSC89" s="62"/>
      <c r="HSD89" s="62"/>
      <c r="HSE89" s="62"/>
      <c r="HSF89" s="62"/>
      <c r="HSG89" s="62"/>
      <c r="HSH89" s="62"/>
      <c r="HSI89" s="62"/>
      <c r="HSJ89" s="62"/>
      <c r="HSK89" s="62"/>
      <c r="HSL89" s="62"/>
      <c r="HSM89" s="62"/>
      <c r="HSN89" s="62"/>
      <c r="HSO89" s="62"/>
      <c r="HSP89" s="62"/>
      <c r="HSQ89" s="62"/>
      <c r="HSR89" s="62"/>
      <c r="HSS89" s="62"/>
      <c r="HST89" s="62"/>
      <c r="HSU89" s="62"/>
      <c r="HSV89" s="62"/>
      <c r="HSW89" s="62"/>
      <c r="HSX89" s="62"/>
      <c r="HSY89" s="62"/>
      <c r="HSZ89" s="62"/>
      <c r="HTA89" s="62"/>
      <c r="HTB89" s="62"/>
      <c r="HTC89" s="62"/>
      <c r="HTD89" s="62"/>
      <c r="HTE89" s="62"/>
      <c r="HTF89" s="62"/>
      <c r="HTG89" s="62"/>
      <c r="HTH89" s="62"/>
      <c r="HTI89" s="62"/>
      <c r="HTJ89" s="62"/>
      <c r="HTK89" s="62"/>
      <c r="HTL89" s="62"/>
      <c r="HTM89" s="62"/>
      <c r="HTN89" s="62"/>
      <c r="HTO89" s="62"/>
      <c r="HTP89" s="62"/>
      <c r="HTQ89" s="62"/>
      <c r="HTR89" s="62"/>
      <c r="HTS89" s="62"/>
      <c r="HTT89" s="62"/>
      <c r="HTU89" s="62"/>
      <c r="HTV89" s="62"/>
      <c r="HTW89" s="62"/>
      <c r="HTX89" s="62"/>
      <c r="HTY89" s="62"/>
      <c r="HTZ89" s="62"/>
      <c r="HUA89" s="62"/>
      <c r="HUB89" s="62"/>
      <c r="HUC89" s="62"/>
      <c r="HUD89" s="62"/>
      <c r="HUE89" s="62"/>
      <c r="HUF89" s="62"/>
      <c r="HUG89" s="62"/>
      <c r="HUH89" s="62"/>
      <c r="HUI89" s="62"/>
      <c r="HUJ89" s="62"/>
      <c r="HUK89" s="62"/>
      <c r="HUL89" s="62"/>
      <c r="HUM89" s="62"/>
      <c r="HUN89" s="62"/>
      <c r="HUO89" s="62"/>
      <c r="HUP89" s="62"/>
      <c r="HUQ89" s="62"/>
      <c r="HUR89" s="62"/>
      <c r="HUS89" s="62"/>
      <c r="HUT89" s="62"/>
      <c r="HUU89" s="62"/>
      <c r="HUV89" s="62"/>
      <c r="HUW89" s="62"/>
      <c r="HUX89" s="62"/>
      <c r="HUY89" s="62"/>
      <c r="HUZ89" s="62"/>
      <c r="HVA89" s="62"/>
      <c r="HVB89" s="62"/>
      <c r="HVC89" s="62"/>
      <c r="HVD89" s="62"/>
      <c r="HVE89" s="62"/>
      <c r="HVF89" s="62"/>
      <c r="HVG89" s="62"/>
      <c r="HVH89" s="62"/>
      <c r="HVI89" s="62"/>
      <c r="HVJ89" s="62"/>
      <c r="HVK89" s="62"/>
      <c r="HVL89" s="62"/>
      <c r="HVM89" s="62"/>
      <c r="HVN89" s="62"/>
      <c r="HVO89" s="62"/>
      <c r="HVP89" s="62"/>
      <c r="HVQ89" s="62"/>
      <c r="HVR89" s="62"/>
      <c r="HVS89" s="62"/>
      <c r="HVT89" s="62"/>
      <c r="HVU89" s="62"/>
      <c r="HVV89" s="62"/>
      <c r="HVW89" s="62"/>
      <c r="HVX89" s="62"/>
      <c r="HVY89" s="62"/>
      <c r="HVZ89" s="62"/>
      <c r="HWA89" s="62"/>
      <c r="HWB89" s="62"/>
      <c r="HWC89" s="62"/>
      <c r="HWD89" s="62"/>
      <c r="HWE89" s="62"/>
      <c r="HWF89" s="62"/>
      <c r="HWG89" s="62"/>
      <c r="HWH89" s="62"/>
      <c r="HWI89" s="62"/>
      <c r="HWJ89" s="62"/>
      <c r="HWK89" s="62"/>
      <c r="HWL89" s="62"/>
      <c r="HWM89" s="62"/>
      <c r="HWN89" s="62"/>
      <c r="HWO89" s="62"/>
      <c r="HWP89" s="62"/>
      <c r="HWQ89" s="62"/>
      <c r="HWR89" s="62"/>
      <c r="HWS89" s="62"/>
      <c r="HWT89" s="62"/>
      <c r="HWU89" s="62"/>
      <c r="HWV89" s="62"/>
      <c r="HWW89" s="62"/>
      <c r="HWX89" s="62"/>
      <c r="HWY89" s="62"/>
      <c r="HWZ89" s="62"/>
      <c r="HXA89" s="62"/>
      <c r="HXB89" s="62"/>
      <c r="HXC89" s="62"/>
      <c r="HXD89" s="62"/>
      <c r="HXE89" s="62"/>
      <c r="HXF89" s="62"/>
      <c r="HXG89" s="62"/>
      <c r="HXH89" s="62"/>
      <c r="HXI89" s="62"/>
      <c r="HXJ89" s="62"/>
      <c r="HXK89" s="62"/>
      <c r="HXL89" s="62"/>
      <c r="HXM89" s="62"/>
      <c r="HXN89" s="62"/>
      <c r="HXO89" s="62"/>
      <c r="HXP89" s="62"/>
      <c r="HXQ89" s="62"/>
      <c r="HXR89" s="62"/>
      <c r="HXS89" s="62"/>
      <c r="HXT89" s="62"/>
      <c r="HXU89" s="62"/>
      <c r="HXV89" s="62"/>
      <c r="HXW89" s="62"/>
      <c r="HXX89" s="62"/>
      <c r="HXY89" s="62"/>
      <c r="HXZ89" s="62"/>
      <c r="HYA89" s="62"/>
      <c r="HYB89" s="62"/>
      <c r="HYC89" s="62"/>
      <c r="HYD89" s="62"/>
      <c r="HYE89" s="62"/>
      <c r="HYF89" s="62"/>
      <c r="HYG89" s="62"/>
      <c r="HYH89" s="62"/>
      <c r="HYI89" s="62"/>
      <c r="HYJ89" s="62"/>
      <c r="HYK89" s="62"/>
      <c r="HYL89" s="62"/>
      <c r="HYM89" s="62"/>
      <c r="HYN89" s="62"/>
      <c r="HYO89" s="62"/>
      <c r="HYP89" s="62"/>
      <c r="HYQ89" s="62"/>
      <c r="HYR89" s="62"/>
      <c r="HYS89" s="62"/>
      <c r="HYT89" s="62"/>
      <c r="HYU89" s="62"/>
      <c r="HYV89" s="62"/>
      <c r="HYW89" s="62"/>
      <c r="HYX89" s="62"/>
      <c r="HYY89" s="62"/>
      <c r="HYZ89" s="62"/>
      <c r="HZA89" s="62"/>
      <c r="HZB89" s="62"/>
      <c r="HZC89" s="62"/>
      <c r="HZD89" s="62"/>
      <c r="HZE89" s="62"/>
      <c r="HZF89" s="62"/>
      <c r="HZG89" s="62"/>
      <c r="HZH89" s="62"/>
      <c r="HZI89" s="62"/>
      <c r="HZJ89" s="62"/>
      <c r="HZK89" s="62"/>
      <c r="HZL89" s="62"/>
      <c r="HZM89" s="62"/>
      <c r="HZN89" s="62"/>
      <c r="HZO89" s="62"/>
      <c r="HZP89" s="62"/>
      <c r="HZQ89" s="62"/>
      <c r="HZR89" s="62"/>
      <c r="HZS89" s="62"/>
      <c r="HZT89" s="62"/>
      <c r="HZU89" s="62"/>
      <c r="HZV89" s="62"/>
      <c r="HZW89" s="62"/>
      <c r="HZX89" s="62"/>
      <c r="HZY89" s="62"/>
      <c r="HZZ89" s="62"/>
      <c r="IAA89" s="62"/>
      <c r="IAB89" s="62"/>
      <c r="IAC89" s="62"/>
      <c r="IAD89" s="62"/>
      <c r="IAE89" s="62"/>
      <c r="IAF89" s="62"/>
      <c r="IAG89" s="62"/>
      <c r="IAH89" s="62"/>
      <c r="IAI89" s="62"/>
      <c r="IAJ89" s="62"/>
      <c r="IAK89" s="62"/>
      <c r="IAL89" s="62"/>
      <c r="IAM89" s="62"/>
      <c r="IAN89" s="62"/>
      <c r="IAO89" s="62"/>
      <c r="IAP89" s="62"/>
      <c r="IAQ89" s="62"/>
      <c r="IAR89" s="62"/>
      <c r="IAS89" s="62"/>
      <c r="IAT89" s="62"/>
      <c r="IAU89" s="62"/>
      <c r="IAV89" s="62"/>
      <c r="IAW89" s="62"/>
      <c r="IAX89" s="62"/>
      <c r="IAY89" s="62"/>
      <c r="IAZ89" s="62"/>
      <c r="IBA89" s="62"/>
      <c r="IBB89" s="62"/>
      <c r="IBC89" s="62"/>
      <c r="IBD89" s="62"/>
      <c r="IBE89" s="62"/>
      <c r="IBF89" s="62"/>
      <c r="IBG89" s="62"/>
      <c r="IBH89" s="62"/>
      <c r="IBI89" s="62"/>
      <c r="IBJ89" s="62"/>
      <c r="IBK89" s="62"/>
      <c r="IBL89" s="62"/>
      <c r="IBM89" s="62"/>
      <c r="IBN89" s="62"/>
      <c r="IBO89" s="62"/>
      <c r="IBP89" s="62"/>
      <c r="IBQ89" s="62"/>
      <c r="IBR89" s="62"/>
      <c r="IBS89" s="62"/>
      <c r="IBT89" s="62"/>
      <c r="IBU89" s="62"/>
      <c r="IBV89" s="62"/>
      <c r="IBW89" s="62"/>
      <c r="IBX89" s="62"/>
      <c r="IBY89" s="62"/>
      <c r="IBZ89" s="62"/>
      <c r="ICA89" s="62"/>
      <c r="ICB89" s="62"/>
      <c r="ICC89" s="62"/>
      <c r="ICD89" s="62"/>
      <c r="ICE89" s="62"/>
      <c r="ICF89" s="62"/>
      <c r="ICG89" s="62"/>
      <c r="ICH89" s="62"/>
      <c r="ICI89" s="62"/>
      <c r="ICJ89" s="62"/>
      <c r="ICK89" s="62"/>
      <c r="ICL89" s="62"/>
      <c r="ICM89" s="62"/>
      <c r="ICN89" s="62"/>
      <c r="ICO89" s="62"/>
      <c r="ICP89" s="62"/>
      <c r="ICQ89" s="62"/>
      <c r="ICR89" s="62"/>
      <c r="ICS89" s="62"/>
      <c r="ICT89" s="62"/>
      <c r="ICU89" s="62"/>
      <c r="ICV89" s="62"/>
      <c r="ICW89" s="62"/>
      <c r="ICX89" s="62"/>
      <c r="ICY89" s="62"/>
      <c r="ICZ89" s="62"/>
      <c r="IDA89" s="62"/>
      <c r="IDB89" s="62"/>
      <c r="IDC89" s="62"/>
      <c r="IDD89" s="62"/>
      <c r="IDE89" s="62"/>
      <c r="IDF89" s="62"/>
      <c r="IDG89" s="62"/>
      <c r="IDH89" s="62"/>
      <c r="IDI89" s="62"/>
      <c r="IDJ89" s="62"/>
      <c r="IDK89" s="62"/>
      <c r="IDL89" s="62"/>
      <c r="IDM89" s="62"/>
      <c r="IDN89" s="62"/>
      <c r="IDO89" s="62"/>
      <c r="IDP89" s="62"/>
      <c r="IDQ89" s="62"/>
      <c r="IDR89" s="62"/>
      <c r="IDS89" s="62"/>
      <c r="IDT89" s="62"/>
      <c r="IDU89" s="62"/>
      <c r="IDV89" s="62"/>
      <c r="IDW89" s="62"/>
      <c r="IDX89" s="62"/>
      <c r="IDY89" s="62"/>
      <c r="IDZ89" s="62"/>
      <c r="IEA89" s="62"/>
      <c r="IEB89" s="62"/>
      <c r="IEC89" s="62"/>
      <c r="IED89" s="62"/>
      <c r="IEE89" s="62"/>
      <c r="IEF89" s="62"/>
      <c r="IEG89" s="62"/>
      <c r="IEH89" s="62"/>
      <c r="IEI89" s="62"/>
      <c r="IEJ89" s="62"/>
      <c r="IEK89" s="62"/>
      <c r="IEL89" s="62"/>
      <c r="IEM89" s="62"/>
      <c r="IEN89" s="62"/>
      <c r="IEO89" s="62"/>
      <c r="IEP89" s="62"/>
      <c r="IEQ89" s="62"/>
      <c r="IER89" s="62"/>
      <c r="IES89" s="62"/>
      <c r="IET89" s="62"/>
      <c r="IEU89" s="62"/>
      <c r="IEV89" s="62"/>
      <c r="IEW89" s="62"/>
      <c r="IEX89" s="62"/>
      <c r="IEY89" s="62"/>
      <c r="IEZ89" s="62"/>
      <c r="IFA89" s="62"/>
      <c r="IFB89" s="62"/>
      <c r="IFC89" s="62"/>
      <c r="IFD89" s="62"/>
      <c r="IFE89" s="62"/>
      <c r="IFF89" s="62"/>
      <c r="IFG89" s="62"/>
      <c r="IFH89" s="62"/>
      <c r="IFI89" s="62"/>
      <c r="IFJ89" s="62"/>
      <c r="IFK89" s="62"/>
      <c r="IFL89" s="62"/>
      <c r="IFM89" s="62"/>
      <c r="IFN89" s="62"/>
      <c r="IFO89" s="62"/>
      <c r="IFP89" s="62"/>
      <c r="IFQ89" s="62"/>
      <c r="IFR89" s="62"/>
      <c r="IFS89" s="62"/>
      <c r="IFT89" s="62"/>
      <c r="IFU89" s="62"/>
      <c r="IFV89" s="62"/>
      <c r="IFW89" s="62"/>
      <c r="IFX89" s="62"/>
      <c r="IFY89" s="62"/>
      <c r="IFZ89" s="62"/>
      <c r="IGA89" s="62"/>
      <c r="IGB89" s="62"/>
      <c r="IGC89" s="62"/>
      <c r="IGD89" s="62"/>
      <c r="IGE89" s="62"/>
      <c r="IGF89" s="62"/>
      <c r="IGG89" s="62"/>
      <c r="IGH89" s="62"/>
      <c r="IGI89" s="62"/>
      <c r="IGJ89" s="62"/>
      <c r="IGK89" s="62"/>
      <c r="IGL89" s="62"/>
      <c r="IGM89" s="62"/>
      <c r="IGN89" s="62"/>
      <c r="IGO89" s="62"/>
      <c r="IGP89" s="62"/>
      <c r="IGQ89" s="62"/>
      <c r="IGR89" s="62"/>
      <c r="IGS89" s="62"/>
      <c r="IGT89" s="62"/>
      <c r="IGU89" s="62"/>
      <c r="IGV89" s="62"/>
      <c r="IGW89" s="62"/>
      <c r="IGX89" s="62"/>
      <c r="IGY89" s="62"/>
      <c r="IGZ89" s="62"/>
      <c r="IHA89" s="62"/>
      <c r="IHB89" s="62"/>
      <c r="IHC89" s="62"/>
      <c r="IHD89" s="62"/>
      <c r="IHE89" s="62"/>
      <c r="IHF89" s="62"/>
      <c r="IHG89" s="62"/>
      <c r="IHH89" s="62"/>
      <c r="IHI89" s="62"/>
      <c r="IHJ89" s="62"/>
      <c r="IHK89" s="62"/>
      <c r="IHL89" s="62"/>
      <c r="IHM89" s="62"/>
      <c r="IHN89" s="62"/>
      <c r="IHO89" s="62"/>
      <c r="IHP89" s="62"/>
      <c r="IHQ89" s="62"/>
      <c r="IHR89" s="62"/>
      <c r="IHS89" s="62"/>
      <c r="IHT89" s="62"/>
      <c r="IHU89" s="62"/>
      <c r="IHV89" s="62"/>
      <c r="IHW89" s="62"/>
      <c r="IHX89" s="62"/>
      <c r="IHY89" s="62"/>
      <c r="IHZ89" s="62"/>
      <c r="IIA89" s="62"/>
      <c r="IIB89" s="62"/>
      <c r="IIC89" s="62"/>
      <c r="IID89" s="62"/>
      <c r="IIE89" s="62"/>
      <c r="IIF89" s="62"/>
      <c r="IIG89" s="62"/>
      <c r="IIH89" s="62"/>
      <c r="III89" s="62"/>
      <c r="IIJ89" s="62"/>
      <c r="IIK89" s="62"/>
      <c r="IIL89" s="62"/>
      <c r="IIM89" s="62"/>
      <c r="IIN89" s="62"/>
      <c r="IIO89" s="62"/>
      <c r="IIP89" s="62"/>
      <c r="IIQ89" s="62"/>
      <c r="IIR89" s="62"/>
      <c r="IIS89" s="62"/>
      <c r="IIT89" s="62"/>
      <c r="IIU89" s="62"/>
      <c r="IIV89" s="62"/>
      <c r="IIW89" s="62"/>
      <c r="IIX89" s="62"/>
      <c r="IIY89" s="62"/>
      <c r="IIZ89" s="62"/>
      <c r="IJA89" s="62"/>
      <c r="IJB89" s="62"/>
      <c r="IJC89" s="62"/>
      <c r="IJD89" s="62"/>
      <c r="IJE89" s="62"/>
      <c r="IJF89" s="62"/>
      <c r="IJG89" s="62"/>
      <c r="IJH89" s="62"/>
      <c r="IJI89" s="62"/>
      <c r="IJJ89" s="62"/>
      <c r="IJK89" s="62"/>
      <c r="IJL89" s="62"/>
      <c r="IJM89" s="62"/>
      <c r="IJN89" s="62"/>
      <c r="IJO89" s="62"/>
      <c r="IJP89" s="62"/>
      <c r="IJQ89" s="62"/>
      <c r="IJR89" s="62"/>
      <c r="IJS89" s="62"/>
      <c r="IJT89" s="62"/>
      <c r="IJU89" s="62"/>
      <c r="IJV89" s="62"/>
      <c r="IJW89" s="62"/>
      <c r="IJX89" s="62"/>
      <c r="IJY89" s="62"/>
      <c r="IJZ89" s="62"/>
      <c r="IKA89" s="62"/>
      <c r="IKB89" s="62"/>
      <c r="IKC89" s="62"/>
      <c r="IKD89" s="62"/>
      <c r="IKE89" s="62"/>
      <c r="IKF89" s="62"/>
      <c r="IKG89" s="62"/>
      <c r="IKH89" s="62"/>
      <c r="IKI89" s="62"/>
      <c r="IKJ89" s="62"/>
      <c r="IKK89" s="62"/>
      <c r="IKL89" s="62"/>
      <c r="IKM89" s="62"/>
      <c r="IKN89" s="62"/>
      <c r="IKO89" s="62"/>
      <c r="IKP89" s="62"/>
      <c r="IKQ89" s="62"/>
      <c r="IKR89" s="62"/>
      <c r="IKS89" s="62"/>
      <c r="IKT89" s="62"/>
      <c r="IKU89" s="62"/>
      <c r="IKV89" s="62"/>
      <c r="IKW89" s="62"/>
      <c r="IKX89" s="62"/>
      <c r="IKY89" s="62"/>
      <c r="IKZ89" s="62"/>
      <c r="ILA89" s="62"/>
      <c r="ILB89" s="62"/>
      <c r="ILC89" s="62"/>
      <c r="ILD89" s="62"/>
      <c r="ILE89" s="62"/>
      <c r="ILF89" s="62"/>
      <c r="ILG89" s="62"/>
      <c r="ILH89" s="62"/>
      <c r="ILI89" s="62"/>
      <c r="ILJ89" s="62"/>
      <c r="ILK89" s="62"/>
      <c r="ILL89" s="62"/>
      <c r="ILM89" s="62"/>
      <c r="ILN89" s="62"/>
      <c r="ILO89" s="62"/>
      <c r="ILP89" s="62"/>
      <c r="ILQ89" s="62"/>
      <c r="ILR89" s="62"/>
      <c r="ILS89" s="62"/>
      <c r="ILT89" s="62"/>
      <c r="ILU89" s="62"/>
      <c r="ILV89" s="62"/>
      <c r="ILW89" s="62"/>
      <c r="ILX89" s="62"/>
      <c r="ILY89" s="62"/>
      <c r="ILZ89" s="62"/>
      <c r="IMA89" s="62"/>
      <c r="IMB89" s="62"/>
      <c r="IMC89" s="62"/>
      <c r="IMD89" s="62"/>
      <c r="IME89" s="62"/>
      <c r="IMF89" s="62"/>
      <c r="IMG89" s="62"/>
      <c r="IMH89" s="62"/>
      <c r="IMI89" s="62"/>
      <c r="IMJ89" s="62"/>
      <c r="IMK89" s="62"/>
      <c r="IML89" s="62"/>
      <c r="IMM89" s="62"/>
      <c r="IMN89" s="62"/>
      <c r="IMO89" s="62"/>
      <c r="IMP89" s="62"/>
      <c r="IMQ89" s="62"/>
      <c r="IMR89" s="62"/>
      <c r="IMS89" s="62"/>
      <c r="IMT89" s="62"/>
      <c r="IMU89" s="62"/>
      <c r="IMV89" s="62"/>
      <c r="IMW89" s="62"/>
      <c r="IMX89" s="62"/>
      <c r="IMY89" s="62"/>
      <c r="IMZ89" s="62"/>
      <c r="INA89" s="62"/>
      <c r="INB89" s="62"/>
      <c r="INC89" s="62"/>
      <c r="IND89" s="62"/>
      <c r="INE89" s="62"/>
      <c r="INF89" s="62"/>
      <c r="ING89" s="62"/>
      <c r="INH89" s="62"/>
      <c r="INI89" s="62"/>
      <c r="INJ89" s="62"/>
      <c r="INK89" s="62"/>
      <c r="INL89" s="62"/>
      <c r="INM89" s="62"/>
      <c r="INN89" s="62"/>
      <c r="INO89" s="62"/>
      <c r="INP89" s="62"/>
      <c r="INQ89" s="62"/>
      <c r="INR89" s="62"/>
      <c r="INS89" s="62"/>
      <c r="INT89" s="62"/>
      <c r="INU89" s="62"/>
      <c r="INV89" s="62"/>
      <c r="INW89" s="62"/>
      <c r="INX89" s="62"/>
      <c r="INY89" s="62"/>
      <c r="INZ89" s="62"/>
      <c r="IOA89" s="62"/>
      <c r="IOB89" s="62"/>
      <c r="IOC89" s="62"/>
      <c r="IOD89" s="62"/>
      <c r="IOE89" s="62"/>
      <c r="IOF89" s="62"/>
      <c r="IOG89" s="62"/>
      <c r="IOH89" s="62"/>
      <c r="IOI89" s="62"/>
      <c r="IOJ89" s="62"/>
      <c r="IOK89" s="62"/>
      <c r="IOL89" s="62"/>
      <c r="IOM89" s="62"/>
      <c r="ION89" s="62"/>
      <c r="IOO89" s="62"/>
      <c r="IOP89" s="62"/>
      <c r="IOQ89" s="62"/>
      <c r="IOR89" s="62"/>
      <c r="IOS89" s="62"/>
      <c r="IOT89" s="62"/>
      <c r="IOU89" s="62"/>
      <c r="IOV89" s="62"/>
      <c r="IOW89" s="62"/>
      <c r="IOX89" s="62"/>
      <c r="IOY89" s="62"/>
      <c r="IOZ89" s="62"/>
      <c r="IPA89" s="62"/>
      <c r="IPB89" s="62"/>
      <c r="IPC89" s="62"/>
      <c r="IPD89" s="62"/>
      <c r="IPE89" s="62"/>
      <c r="IPF89" s="62"/>
      <c r="IPG89" s="62"/>
      <c r="IPH89" s="62"/>
      <c r="IPI89" s="62"/>
      <c r="IPJ89" s="62"/>
      <c r="IPK89" s="62"/>
      <c r="IPL89" s="62"/>
      <c r="IPM89" s="62"/>
      <c r="IPN89" s="62"/>
      <c r="IPO89" s="62"/>
      <c r="IPP89" s="62"/>
      <c r="IPQ89" s="62"/>
      <c r="IPR89" s="62"/>
      <c r="IPS89" s="62"/>
      <c r="IPT89" s="62"/>
      <c r="IPU89" s="62"/>
      <c r="IPV89" s="62"/>
      <c r="IPW89" s="62"/>
      <c r="IPX89" s="62"/>
      <c r="IPY89" s="62"/>
      <c r="IPZ89" s="62"/>
      <c r="IQA89" s="62"/>
      <c r="IQB89" s="62"/>
      <c r="IQC89" s="62"/>
      <c r="IQD89" s="62"/>
      <c r="IQE89" s="62"/>
      <c r="IQF89" s="62"/>
      <c r="IQG89" s="62"/>
      <c r="IQH89" s="62"/>
      <c r="IQI89" s="62"/>
      <c r="IQJ89" s="62"/>
      <c r="IQK89" s="62"/>
      <c r="IQL89" s="62"/>
      <c r="IQM89" s="62"/>
      <c r="IQN89" s="62"/>
      <c r="IQO89" s="62"/>
      <c r="IQP89" s="62"/>
      <c r="IQQ89" s="62"/>
      <c r="IQR89" s="62"/>
      <c r="IQS89" s="62"/>
      <c r="IQT89" s="62"/>
      <c r="IQU89" s="62"/>
      <c r="IQV89" s="62"/>
      <c r="IQW89" s="62"/>
      <c r="IQX89" s="62"/>
      <c r="IQY89" s="62"/>
      <c r="IQZ89" s="62"/>
      <c r="IRA89" s="62"/>
      <c r="IRB89" s="62"/>
      <c r="IRC89" s="62"/>
      <c r="IRD89" s="62"/>
      <c r="IRE89" s="62"/>
      <c r="IRF89" s="62"/>
      <c r="IRG89" s="62"/>
      <c r="IRH89" s="62"/>
      <c r="IRI89" s="62"/>
      <c r="IRJ89" s="62"/>
      <c r="IRK89" s="62"/>
      <c r="IRL89" s="62"/>
      <c r="IRM89" s="62"/>
      <c r="IRN89" s="62"/>
      <c r="IRO89" s="62"/>
      <c r="IRP89" s="62"/>
      <c r="IRQ89" s="62"/>
      <c r="IRR89" s="62"/>
      <c r="IRS89" s="62"/>
      <c r="IRT89" s="62"/>
      <c r="IRU89" s="62"/>
      <c r="IRV89" s="62"/>
      <c r="IRW89" s="62"/>
      <c r="IRX89" s="62"/>
      <c r="IRY89" s="62"/>
      <c r="IRZ89" s="62"/>
      <c r="ISA89" s="62"/>
      <c r="ISB89" s="62"/>
      <c r="ISC89" s="62"/>
      <c r="ISD89" s="62"/>
      <c r="ISE89" s="62"/>
      <c r="ISF89" s="62"/>
      <c r="ISG89" s="62"/>
      <c r="ISH89" s="62"/>
      <c r="ISI89" s="62"/>
      <c r="ISJ89" s="62"/>
      <c r="ISK89" s="62"/>
      <c r="ISL89" s="62"/>
      <c r="ISM89" s="62"/>
      <c r="ISN89" s="62"/>
      <c r="ISO89" s="62"/>
      <c r="ISP89" s="62"/>
      <c r="ISQ89" s="62"/>
      <c r="ISR89" s="62"/>
      <c r="ISS89" s="62"/>
      <c r="IST89" s="62"/>
      <c r="ISU89" s="62"/>
      <c r="ISV89" s="62"/>
      <c r="ISW89" s="62"/>
      <c r="ISX89" s="62"/>
      <c r="ISY89" s="62"/>
      <c r="ISZ89" s="62"/>
      <c r="ITA89" s="62"/>
      <c r="ITB89" s="62"/>
      <c r="ITC89" s="62"/>
      <c r="ITD89" s="62"/>
      <c r="ITE89" s="62"/>
      <c r="ITF89" s="62"/>
      <c r="ITG89" s="62"/>
      <c r="ITH89" s="62"/>
      <c r="ITI89" s="62"/>
      <c r="ITJ89" s="62"/>
      <c r="ITK89" s="62"/>
      <c r="ITL89" s="62"/>
      <c r="ITM89" s="62"/>
      <c r="ITN89" s="62"/>
      <c r="ITO89" s="62"/>
      <c r="ITP89" s="62"/>
      <c r="ITQ89" s="62"/>
      <c r="ITR89" s="62"/>
      <c r="ITS89" s="62"/>
      <c r="ITT89" s="62"/>
      <c r="ITU89" s="62"/>
      <c r="ITV89" s="62"/>
      <c r="ITW89" s="62"/>
      <c r="ITX89" s="62"/>
      <c r="ITY89" s="62"/>
      <c r="ITZ89" s="62"/>
      <c r="IUA89" s="62"/>
      <c r="IUB89" s="62"/>
      <c r="IUC89" s="62"/>
      <c r="IUD89" s="62"/>
      <c r="IUE89" s="62"/>
      <c r="IUF89" s="62"/>
      <c r="IUG89" s="62"/>
      <c r="IUH89" s="62"/>
      <c r="IUI89" s="62"/>
      <c r="IUJ89" s="62"/>
      <c r="IUK89" s="62"/>
      <c r="IUL89" s="62"/>
      <c r="IUM89" s="62"/>
      <c r="IUN89" s="62"/>
      <c r="IUO89" s="62"/>
      <c r="IUP89" s="62"/>
      <c r="IUQ89" s="62"/>
      <c r="IUR89" s="62"/>
      <c r="IUS89" s="62"/>
      <c r="IUT89" s="62"/>
      <c r="IUU89" s="62"/>
      <c r="IUV89" s="62"/>
      <c r="IUW89" s="62"/>
      <c r="IUX89" s="62"/>
      <c r="IUY89" s="62"/>
      <c r="IUZ89" s="62"/>
      <c r="IVA89" s="62"/>
      <c r="IVB89" s="62"/>
      <c r="IVC89" s="62"/>
      <c r="IVD89" s="62"/>
      <c r="IVE89" s="62"/>
      <c r="IVF89" s="62"/>
      <c r="IVG89" s="62"/>
      <c r="IVH89" s="62"/>
      <c r="IVI89" s="62"/>
      <c r="IVJ89" s="62"/>
      <c r="IVK89" s="62"/>
      <c r="IVL89" s="62"/>
      <c r="IVM89" s="62"/>
      <c r="IVN89" s="62"/>
      <c r="IVO89" s="62"/>
      <c r="IVP89" s="62"/>
      <c r="IVQ89" s="62"/>
      <c r="IVR89" s="62"/>
      <c r="IVS89" s="62"/>
      <c r="IVT89" s="62"/>
      <c r="IVU89" s="62"/>
      <c r="IVV89" s="62"/>
      <c r="IVW89" s="62"/>
      <c r="IVX89" s="62"/>
      <c r="IVY89" s="62"/>
      <c r="IVZ89" s="62"/>
      <c r="IWA89" s="62"/>
      <c r="IWB89" s="62"/>
      <c r="IWC89" s="62"/>
      <c r="IWD89" s="62"/>
      <c r="IWE89" s="62"/>
      <c r="IWF89" s="62"/>
      <c r="IWG89" s="62"/>
      <c r="IWH89" s="62"/>
      <c r="IWI89" s="62"/>
      <c r="IWJ89" s="62"/>
      <c r="IWK89" s="62"/>
      <c r="IWL89" s="62"/>
      <c r="IWM89" s="62"/>
      <c r="IWN89" s="62"/>
      <c r="IWO89" s="62"/>
      <c r="IWP89" s="62"/>
      <c r="IWQ89" s="62"/>
      <c r="IWR89" s="62"/>
      <c r="IWS89" s="62"/>
      <c r="IWT89" s="62"/>
      <c r="IWU89" s="62"/>
      <c r="IWV89" s="62"/>
      <c r="IWW89" s="62"/>
      <c r="IWX89" s="62"/>
      <c r="IWY89" s="62"/>
      <c r="IWZ89" s="62"/>
      <c r="IXA89" s="62"/>
      <c r="IXB89" s="62"/>
      <c r="IXC89" s="62"/>
      <c r="IXD89" s="62"/>
      <c r="IXE89" s="62"/>
      <c r="IXF89" s="62"/>
      <c r="IXG89" s="62"/>
      <c r="IXH89" s="62"/>
      <c r="IXI89" s="62"/>
      <c r="IXJ89" s="62"/>
      <c r="IXK89" s="62"/>
      <c r="IXL89" s="62"/>
      <c r="IXM89" s="62"/>
      <c r="IXN89" s="62"/>
      <c r="IXO89" s="62"/>
      <c r="IXP89" s="62"/>
      <c r="IXQ89" s="62"/>
      <c r="IXR89" s="62"/>
      <c r="IXS89" s="62"/>
      <c r="IXT89" s="62"/>
      <c r="IXU89" s="62"/>
      <c r="IXV89" s="62"/>
      <c r="IXW89" s="62"/>
      <c r="IXX89" s="62"/>
      <c r="IXY89" s="62"/>
      <c r="IXZ89" s="62"/>
      <c r="IYA89" s="62"/>
      <c r="IYB89" s="62"/>
      <c r="IYC89" s="62"/>
      <c r="IYD89" s="62"/>
      <c r="IYE89" s="62"/>
      <c r="IYF89" s="62"/>
      <c r="IYG89" s="62"/>
      <c r="IYH89" s="62"/>
      <c r="IYI89" s="62"/>
      <c r="IYJ89" s="62"/>
      <c r="IYK89" s="62"/>
      <c r="IYL89" s="62"/>
      <c r="IYM89" s="62"/>
      <c r="IYN89" s="62"/>
      <c r="IYO89" s="62"/>
      <c r="IYP89" s="62"/>
      <c r="IYQ89" s="62"/>
      <c r="IYR89" s="62"/>
      <c r="IYS89" s="62"/>
      <c r="IYT89" s="62"/>
      <c r="IYU89" s="62"/>
      <c r="IYV89" s="62"/>
      <c r="IYW89" s="62"/>
      <c r="IYX89" s="62"/>
      <c r="IYY89" s="62"/>
      <c r="IYZ89" s="62"/>
      <c r="IZA89" s="62"/>
      <c r="IZB89" s="62"/>
      <c r="IZC89" s="62"/>
      <c r="IZD89" s="62"/>
      <c r="IZE89" s="62"/>
      <c r="IZF89" s="62"/>
      <c r="IZG89" s="62"/>
      <c r="IZH89" s="62"/>
      <c r="IZI89" s="62"/>
      <c r="IZJ89" s="62"/>
      <c r="IZK89" s="62"/>
      <c r="IZL89" s="62"/>
      <c r="IZM89" s="62"/>
      <c r="IZN89" s="62"/>
      <c r="IZO89" s="62"/>
      <c r="IZP89" s="62"/>
      <c r="IZQ89" s="62"/>
      <c r="IZR89" s="62"/>
      <c r="IZS89" s="62"/>
      <c r="IZT89" s="62"/>
      <c r="IZU89" s="62"/>
      <c r="IZV89" s="62"/>
      <c r="IZW89" s="62"/>
      <c r="IZX89" s="62"/>
      <c r="IZY89" s="62"/>
      <c r="IZZ89" s="62"/>
      <c r="JAA89" s="62"/>
      <c r="JAB89" s="62"/>
      <c r="JAC89" s="62"/>
      <c r="JAD89" s="62"/>
      <c r="JAE89" s="62"/>
      <c r="JAF89" s="62"/>
      <c r="JAG89" s="62"/>
      <c r="JAH89" s="62"/>
      <c r="JAI89" s="62"/>
      <c r="JAJ89" s="62"/>
      <c r="JAK89" s="62"/>
      <c r="JAL89" s="62"/>
      <c r="JAM89" s="62"/>
      <c r="JAN89" s="62"/>
      <c r="JAO89" s="62"/>
      <c r="JAP89" s="62"/>
      <c r="JAQ89" s="62"/>
      <c r="JAR89" s="62"/>
      <c r="JAS89" s="62"/>
      <c r="JAT89" s="62"/>
      <c r="JAU89" s="62"/>
      <c r="JAV89" s="62"/>
      <c r="JAW89" s="62"/>
      <c r="JAX89" s="62"/>
      <c r="JAY89" s="62"/>
      <c r="JAZ89" s="62"/>
      <c r="JBA89" s="62"/>
      <c r="JBB89" s="62"/>
      <c r="JBC89" s="62"/>
      <c r="JBD89" s="62"/>
      <c r="JBE89" s="62"/>
      <c r="JBF89" s="62"/>
      <c r="JBG89" s="62"/>
      <c r="JBH89" s="62"/>
      <c r="JBI89" s="62"/>
      <c r="JBJ89" s="62"/>
      <c r="JBK89" s="62"/>
      <c r="JBL89" s="62"/>
      <c r="JBM89" s="62"/>
      <c r="JBN89" s="62"/>
      <c r="JBO89" s="62"/>
      <c r="JBP89" s="62"/>
      <c r="JBQ89" s="62"/>
      <c r="JBR89" s="62"/>
      <c r="JBS89" s="62"/>
      <c r="JBT89" s="62"/>
      <c r="JBU89" s="62"/>
      <c r="JBV89" s="62"/>
      <c r="JBW89" s="62"/>
      <c r="JBX89" s="62"/>
      <c r="JBY89" s="62"/>
      <c r="JBZ89" s="62"/>
      <c r="JCA89" s="62"/>
      <c r="JCB89" s="62"/>
      <c r="JCC89" s="62"/>
      <c r="JCD89" s="62"/>
      <c r="JCE89" s="62"/>
      <c r="JCF89" s="62"/>
      <c r="JCG89" s="62"/>
      <c r="JCH89" s="62"/>
      <c r="JCI89" s="62"/>
      <c r="JCJ89" s="62"/>
      <c r="JCK89" s="62"/>
      <c r="JCL89" s="62"/>
      <c r="JCM89" s="62"/>
      <c r="JCN89" s="62"/>
      <c r="JCO89" s="62"/>
      <c r="JCP89" s="62"/>
      <c r="JCQ89" s="62"/>
      <c r="JCR89" s="62"/>
      <c r="JCS89" s="62"/>
      <c r="JCT89" s="62"/>
      <c r="JCU89" s="62"/>
      <c r="JCV89" s="62"/>
      <c r="JCW89" s="62"/>
      <c r="JCX89" s="62"/>
      <c r="JCY89" s="62"/>
      <c r="JCZ89" s="62"/>
      <c r="JDA89" s="62"/>
      <c r="JDB89" s="62"/>
      <c r="JDC89" s="62"/>
      <c r="JDD89" s="62"/>
      <c r="JDE89" s="62"/>
      <c r="JDF89" s="62"/>
      <c r="JDG89" s="62"/>
      <c r="JDH89" s="62"/>
      <c r="JDI89" s="62"/>
      <c r="JDJ89" s="62"/>
      <c r="JDK89" s="62"/>
      <c r="JDL89" s="62"/>
      <c r="JDM89" s="62"/>
      <c r="JDN89" s="62"/>
      <c r="JDO89" s="62"/>
      <c r="JDP89" s="62"/>
      <c r="JDQ89" s="62"/>
      <c r="JDR89" s="62"/>
      <c r="JDS89" s="62"/>
      <c r="JDT89" s="62"/>
      <c r="JDU89" s="62"/>
      <c r="JDV89" s="62"/>
      <c r="JDW89" s="62"/>
      <c r="JDX89" s="62"/>
      <c r="JDY89" s="62"/>
      <c r="JDZ89" s="62"/>
      <c r="JEA89" s="62"/>
      <c r="JEB89" s="62"/>
      <c r="JEC89" s="62"/>
      <c r="JED89" s="62"/>
      <c r="JEE89" s="62"/>
      <c r="JEF89" s="62"/>
      <c r="JEG89" s="62"/>
      <c r="JEH89" s="62"/>
      <c r="JEI89" s="62"/>
      <c r="JEJ89" s="62"/>
      <c r="JEK89" s="62"/>
      <c r="JEL89" s="62"/>
      <c r="JEM89" s="62"/>
      <c r="JEN89" s="62"/>
      <c r="JEO89" s="62"/>
      <c r="JEP89" s="62"/>
      <c r="JEQ89" s="62"/>
      <c r="JER89" s="62"/>
      <c r="JES89" s="62"/>
      <c r="JET89" s="62"/>
      <c r="JEU89" s="62"/>
      <c r="JEV89" s="62"/>
      <c r="JEW89" s="62"/>
      <c r="JEX89" s="62"/>
      <c r="JEY89" s="62"/>
      <c r="JEZ89" s="62"/>
      <c r="JFA89" s="62"/>
      <c r="JFB89" s="62"/>
      <c r="JFC89" s="62"/>
      <c r="JFD89" s="62"/>
      <c r="JFE89" s="62"/>
      <c r="JFF89" s="62"/>
      <c r="JFG89" s="62"/>
      <c r="JFH89" s="62"/>
      <c r="JFI89" s="62"/>
      <c r="JFJ89" s="62"/>
      <c r="JFK89" s="62"/>
      <c r="JFL89" s="62"/>
      <c r="JFM89" s="62"/>
      <c r="JFN89" s="62"/>
      <c r="JFO89" s="62"/>
      <c r="JFP89" s="62"/>
      <c r="JFQ89" s="62"/>
      <c r="JFR89" s="62"/>
      <c r="JFS89" s="62"/>
      <c r="JFT89" s="62"/>
      <c r="JFU89" s="62"/>
      <c r="JFV89" s="62"/>
      <c r="JFW89" s="62"/>
      <c r="JFX89" s="62"/>
      <c r="JFY89" s="62"/>
      <c r="JFZ89" s="62"/>
      <c r="JGA89" s="62"/>
      <c r="JGB89" s="62"/>
      <c r="JGC89" s="62"/>
      <c r="JGD89" s="62"/>
      <c r="JGE89" s="62"/>
      <c r="JGF89" s="62"/>
      <c r="JGG89" s="62"/>
      <c r="JGH89" s="62"/>
      <c r="JGI89" s="62"/>
      <c r="JGJ89" s="62"/>
      <c r="JGK89" s="62"/>
      <c r="JGL89" s="62"/>
      <c r="JGM89" s="62"/>
      <c r="JGN89" s="62"/>
      <c r="JGO89" s="62"/>
      <c r="JGP89" s="62"/>
      <c r="JGQ89" s="62"/>
      <c r="JGR89" s="62"/>
      <c r="JGS89" s="62"/>
      <c r="JGT89" s="62"/>
      <c r="JGU89" s="62"/>
      <c r="JGV89" s="62"/>
      <c r="JGW89" s="62"/>
      <c r="JGX89" s="62"/>
      <c r="JGY89" s="62"/>
      <c r="JGZ89" s="62"/>
      <c r="JHA89" s="62"/>
      <c r="JHB89" s="62"/>
      <c r="JHC89" s="62"/>
      <c r="JHD89" s="62"/>
      <c r="JHE89" s="62"/>
      <c r="JHF89" s="62"/>
      <c r="JHG89" s="62"/>
      <c r="JHH89" s="62"/>
      <c r="JHI89" s="62"/>
      <c r="JHJ89" s="62"/>
      <c r="JHK89" s="62"/>
      <c r="JHL89" s="62"/>
      <c r="JHM89" s="62"/>
      <c r="JHN89" s="62"/>
      <c r="JHO89" s="62"/>
      <c r="JHP89" s="62"/>
      <c r="JHQ89" s="62"/>
      <c r="JHR89" s="62"/>
      <c r="JHS89" s="62"/>
      <c r="JHT89" s="62"/>
      <c r="JHU89" s="62"/>
      <c r="JHV89" s="62"/>
      <c r="JHW89" s="62"/>
      <c r="JHX89" s="62"/>
      <c r="JHY89" s="62"/>
      <c r="JHZ89" s="62"/>
      <c r="JIA89" s="62"/>
      <c r="JIB89" s="62"/>
      <c r="JIC89" s="62"/>
      <c r="JID89" s="62"/>
      <c r="JIE89" s="62"/>
      <c r="JIF89" s="62"/>
      <c r="JIG89" s="62"/>
      <c r="JIH89" s="62"/>
      <c r="JII89" s="62"/>
      <c r="JIJ89" s="62"/>
      <c r="JIK89" s="62"/>
      <c r="JIL89" s="62"/>
      <c r="JIM89" s="62"/>
      <c r="JIN89" s="62"/>
      <c r="JIO89" s="62"/>
      <c r="JIP89" s="62"/>
      <c r="JIQ89" s="62"/>
      <c r="JIR89" s="62"/>
      <c r="JIS89" s="62"/>
      <c r="JIT89" s="62"/>
      <c r="JIU89" s="62"/>
      <c r="JIV89" s="62"/>
      <c r="JIW89" s="62"/>
      <c r="JIX89" s="62"/>
      <c r="JIY89" s="62"/>
      <c r="JIZ89" s="62"/>
      <c r="JJA89" s="62"/>
      <c r="JJB89" s="62"/>
      <c r="JJC89" s="62"/>
      <c r="JJD89" s="62"/>
      <c r="JJE89" s="62"/>
      <c r="JJF89" s="62"/>
      <c r="JJG89" s="62"/>
      <c r="JJH89" s="62"/>
      <c r="JJI89" s="62"/>
      <c r="JJJ89" s="62"/>
      <c r="JJK89" s="62"/>
      <c r="JJL89" s="62"/>
      <c r="JJM89" s="62"/>
      <c r="JJN89" s="62"/>
      <c r="JJO89" s="62"/>
      <c r="JJP89" s="62"/>
      <c r="JJQ89" s="62"/>
      <c r="JJR89" s="62"/>
      <c r="JJS89" s="62"/>
      <c r="JJT89" s="62"/>
      <c r="JJU89" s="62"/>
      <c r="JJV89" s="62"/>
      <c r="JJW89" s="62"/>
      <c r="JJX89" s="62"/>
      <c r="JJY89" s="62"/>
      <c r="JJZ89" s="62"/>
      <c r="JKA89" s="62"/>
      <c r="JKB89" s="62"/>
      <c r="JKC89" s="62"/>
      <c r="JKD89" s="62"/>
      <c r="JKE89" s="62"/>
      <c r="JKF89" s="62"/>
      <c r="JKG89" s="62"/>
      <c r="JKH89" s="62"/>
      <c r="JKI89" s="62"/>
      <c r="JKJ89" s="62"/>
      <c r="JKK89" s="62"/>
      <c r="JKL89" s="62"/>
      <c r="JKM89" s="62"/>
      <c r="JKN89" s="62"/>
      <c r="JKO89" s="62"/>
      <c r="JKP89" s="62"/>
      <c r="JKQ89" s="62"/>
      <c r="JKR89" s="62"/>
      <c r="JKS89" s="62"/>
      <c r="JKT89" s="62"/>
      <c r="JKU89" s="62"/>
      <c r="JKV89" s="62"/>
      <c r="JKW89" s="62"/>
      <c r="JKX89" s="62"/>
      <c r="JKY89" s="62"/>
      <c r="JKZ89" s="62"/>
      <c r="JLA89" s="62"/>
      <c r="JLB89" s="62"/>
      <c r="JLC89" s="62"/>
      <c r="JLD89" s="62"/>
      <c r="JLE89" s="62"/>
      <c r="JLF89" s="62"/>
      <c r="JLG89" s="62"/>
      <c r="JLH89" s="62"/>
      <c r="JLI89" s="62"/>
      <c r="JLJ89" s="62"/>
      <c r="JLK89" s="62"/>
      <c r="JLL89" s="62"/>
      <c r="JLM89" s="62"/>
      <c r="JLN89" s="62"/>
      <c r="JLO89" s="62"/>
      <c r="JLP89" s="62"/>
      <c r="JLQ89" s="62"/>
      <c r="JLR89" s="62"/>
      <c r="JLS89" s="62"/>
      <c r="JLT89" s="62"/>
      <c r="JLU89" s="62"/>
      <c r="JLV89" s="62"/>
      <c r="JLW89" s="62"/>
      <c r="JLX89" s="62"/>
      <c r="JLY89" s="62"/>
      <c r="JLZ89" s="62"/>
      <c r="JMA89" s="62"/>
      <c r="JMB89" s="62"/>
      <c r="JMC89" s="62"/>
      <c r="JMD89" s="62"/>
      <c r="JME89" s="62"/>
      <c r="JMF89" s="62"/>
      <c r="JMG89" s="62"/>
      <c r="JMH89" s="62"/>
      <c r="JMI89" s="62"/>
      <c r="JMJ89" s="62"/>
      <c r="JMK89" s="62"/>
      <c r="JML89" s="62"/>
      <c r="JMM89" s="62"/>
      <c r="JMN89" s="62"/>
      <c r="JMO89" s="62"/>
      <c r="JMP89" s="62"/>
      <c r="JMQ89" s="62"/>
      <c r="JMR89" s="62"/>
      <c r="JMS89" s="62"/>
      <c r="JMT89" s="62"/>
      <c r="JMU89" s="62"/>
      <c r="JMV89" s="62"/>
      <c r="JMW89" s="62"/>
      <c r="JMX89" s="62"/>
      <c r="JMY89" s="62"/>
      <c r="JMZ89" s="62"/>
      <c r="JNA89" s="62"/>
      <c r="JNB89" s="62"/>
      <c r="JNC89" s="62"/>
      <c r="JND89" s="62"/>
      <c r="JNE89" s="62"/>
      <c r="JNF89" s="62"/>
      <c r="JNG89" s="62"/>
      <c r="JNH89" s="62"/>
      <c r="JNI89" s="62"/>
      <c r="JNJ89" s="62"/>
      <c r="JNK89" s="62"/>
      <c r="JNL89" s="62"/>
      <c r="JNM89" s="62"/>
      <c r="JNN89" s="62"/>
      <c r="JNO89" s="62"/>
      <c r="JNP89" s="62"/>
      <c r="JNQ89" s="62"/>
      <c r="JNR89" s="62"/>
      <c r="JNS89" s="62"/>
      <c r="JNT89" s="62"/>
      <c r="JNU89" s="62"/>
      <c r="JNV89" s="62"/>
      <c r="JNW89" s="62"/>
      <c r="JNX89" s="62"/>
      <c r="JNY89" s="62"/>
      <c r="JNZ89" s="62"/>
      <c r="JOA89" s="62"/>
      <c r="JOB89" s="62"/>
      <c r="JOC89" s="62"/>
      <c r="JOD89" s="62"/>
      <c r="JOE89" s="62"/>
      <c r="JOF89" s="62"/>
      <c r="JOG89" s="62"/>
      <c r="JOH89" s="62"/>
      <c r="JOI89" s="62"/>
      <c r="JOJ89" s="62"/>
      <c r="JOK89" s="62"/>
      <c r="JOL89" s="62"/>
      <c r="JOM89" s="62"/>
      <c r="JON89" s="62"/>
      <c r="JOO89" s="62"/>
      <c r="JOP89" s="62"/>
      <c r="JOQ89" s="62"/>
      <c r="JOR89" s="62"/>
      <c r="JOS89" s="62"/>
      <c r="JOT89" s="62"/>
      <c r="JOU89" s="62"/>
      <c r="JOV89" s="62"/>
      <c r="JOW89" s="62"/>
      <c r="JOX89" s="62"/>
      <c r="JOY89" s="62"/>
      <c r="JOZ89" s="62"/>
      <c r="JPA89" s="62"/>
      <c r="JPB89" s="62"/>
      <c r="JPC89" s="62"/>
      <c r="JPD89" s="62"/>
      <c r="JPE89" s="62"/>
      <c r="JPF89" s="62"/>
      <c r="JPG89" s="62"/>
      <c r="JPH89" s="62"/>
      <c r="JPI89" s="62"/>
      <c r="JPJ89" s="62"/>
      <c r="JPK89" s="62"/>
      <c r="JPL89" s="62"/>
      <c r="JPM89" s="62"/>
      <c r="JPN89" s="62"/>
      <c r="JPO89" s="62"/>
      <c r="JPP89" s="62"/>
      <c r="JPQ89" s="62"/>
      <c r="JPR89" s="62"/>
      <c r="JPS89" s="62"/>
      <c r="JPT89" s="62"/>
      <c r="JPU89" s="62"/>
      <c r="JPV89" s="62"/>
      <c r="JPW89" s="62"/>
      <c r="JPX89" s="62"/>
      <c r="JPY89" s="62"/>
      <c r="JPZ89" s="62"/>
      <c r="JQA89" s="62"/>
      <c r="JQB89" s="62"/>
      <c r="JQC89" s="62"/>
      <c r="JQD89" s="62"/>
      <c r="JQE89" s="62"/>
      <c r="JQF89" s="62"/>
      <c r="JQG89" s="62"/>
      <c r="JQH89" s="62"/>
      <c r="JQI89" s="62"/>
      <c r="JQJ89" s="62"/>
      <c r="JQK89" s="62"/>
      <c r="JQL89" s="62"/>
      <c r="JQM89" s="62"/>
      <c r="JQN89" s="62"/>
      <c r="JQO89" s="62"/>
      <c r="JQP89" s="62"/>
      <c r="JQQ89" s="62"/>
      <c r="JQR89" s="62"/>
      <c r="JQS89" s="62"/>
      <c r="JQT89" s="62"/>
      <c r="JQU89" s="62"/>
      <c r="JQV89" s="62"/>
      <c r="JQW89" s="62"/>
      <c r="JQX89" s="62"/>
      <c r="JQY89" s="62"/>
      <c r="JQZ89" s="62"/>
      <c r="JRA89" s="62"/>
      <c r="JRB89" s="62"/>
      <c r="JRC89" s="62"/>
      <c r="JRD89" s="62"/>
      <c r="JRE89" s="62"/>
      <c r="JRF89" s="62"/>
      <c r="JRG89" s="62"/>
      <c r="JRH89" s="62"/>
      <c r="JRI89" s="62"/>
      <c r="JRJ89" s="62"/>
      <c r="JRK89" s="62"/>
      <c r="JRL89" s="62"/>
      <c r="JRM89" s="62"/>
      <c r="JRN89" s="62"/>
      <c r="JRO89" s="62"/>
      <c r="JRP89" s="62"/>
      <c r="JRQ89" s="62"/>
      <c r="JRR89" s="62"/>
      <c r="JRS89" s="62"/>
      <c r="JRT89" s="62"/>
      <c r="JRU89" s="62"/>
      <c r="JRV89" s="62"/>
      <c r="JRW89" s="62"/>
      <c r="JRX89" s="62"/>
      <c r="JRY89" s="62"/>
      <c r="JRZ89" s="62"/>
      <c r="JSA89" s="62"/>
      <c r="JSB89" s="62"/>
      <c r="JSC89" s="62"/>
      <c r="JSD89" s="62"/>
      <c r="JSE89" s="62"/>
      <c r="JSF89" s="62"/>
      <c r="JSG89" s="62"/>
      <c r="JSH89" s="62"/>
      <c r="JSI89" s="62"/>
      <c r="JSJ89" s="62"/>
      <c r="JSK89" s="62"/>
      <c r="JSL89" s="62"/>
      <c r="JSM89" s="62"/>
      <c r="JSN89" s="62"/>
      <c r="JSO89" s="62"/>
      <c r="JSP89" s="62"/>
      <c r="JSQ89" s="62"/>
      <c r="JSR89" s="62"/>
      <c r="JSS89" s="62"/>
      <c r="JST89" s="62"/>
      <c r="JSU89" s="62"/>
      <c r="JSV89" s="62"/>
      <c r="JSW89" s="62"/>
      <c r="JSX89" s="62"/>
      <c r="JSY89" s="62"/>
      <c r="JSZ89" s="62"/>
      <c r="JTA89" s="62"/>
      <c r="JTB89" s="62"/>
      <c r="JTC89" s="62"/>
      <c r="JTD89" s="62"/>
      <c r="JTE89" s="62"/>
      <c r="JTF89" s="62"/>
      <c r="JTG89" s="62"/>
      <c r="JTH89" s="62"/>
      <c r="JTI89" s="62"/>
      <c r="JTJ89" s="62"/>
      <c r="JTK89" s="62"/>
      <c r="JTL89" s="62"/>
      <c r="JTM89" s="62"/>
      <c r="JTN89" s="62"/>
      <c r="JTO89" s="62"/>
      <c r="JTP89" s="62"/>
      <c r="JTQ89" s="62"/>
      <c r="JTR89" s="62"/>
      <c r="JTS89" s="62"/>
      <c r="JTT89" s="62"/>
      <c r="JTU89" s="62"/>
      <c r="JTV89" s="62"/>
      <c r="JTW89" s="62"/>
      <c r="JTX89" s="62"/>
      <c r="JTY89" s="62"/>
      <c r="JTZ89" s="62"/>
      <c r="JUA89" s="62"/>
      <c r="JUB89" s="62"/>
      <c r="JUC89" s="62"/>
      <c r="JUD89" s="62"/>
      <c r="JUE89" s="62"/>
      <c r="JUF89" s="62"/>
      <c r="JUG89" s="62"/>
      <c r="JUH89" s="62"/>
      <c r="JUI89" s="62"/>
      <c r="JUJ89" s="62"/>
      <c r="JUK89" s="62"/>
      <c r="JUL89" s="62"/>
      <c r="JUM89" s="62"/>
      <c r="JUN89" s="62"/>
      <c r="JUO89" s="62"/>
      <c r="JUP89" s="62"/>
      <c r="JUQ89" s="62"/>
      <c r="JUR89" s="62"/>
      <c r="JUS89" s="62"/>
      <c r="JUT89" s="62"/>
      <c r="JUU89" s="62"/>
      <c r="JUV89" s="62"/>
      <c r="JUW89" s="62"/>
      <c r="JUX89" s="62"/>
      <c r="JUY89" s="62"/>
      <c r="JUZ89" s="62"/>
      <c r="JVA89" s="62"/>
      <c r="JVB89" s="62"/>
      <c r="JVC89" s="62"/>
      <c r="JVD89" s="62"/>
      <c r="JVE89" s="62"/>
      <c r="JVF89" s="62"/>
      <c r="JVG89" s="62"/>
      <c r="JVH89" s="62"/>
      <c r="JVI89" s="62"/>
      <c r="JVJ89" s="62"/>
      <c r="JVK89" s="62"/>
      <c r="JVL89" s="62"/>
      <c r="JVM89" s="62"/>
      <c r="JVN89" s="62"/>
      <c r="JVO89" s="62"/>
      <c r="JVP89" s="62"/>
      <c r="JVQ89" s="62"/>
      <c r="JVR89" s="62"/>
      <c r="JVS89" s="62"/>
      <c r="JVT89" s="62"/>
      <c r="JVU89" s="62"/>
      <c r="JVV89" s="62"/>
      <c r="JVW89" s="62"/>
      <c r="JVX89" s="62"/>
      <c r="JVY89" s="62"/>
      <c r="JVZ89" s="62"/>
      <c r="JWA89" s="62"/>
      <c r="JWB89" s="62"/>
      <c r="JWC89" s="62"/>
      <c r="JWD89" s="62"/>
      <c r="JWE89" s="62"/>
      <c r="JWF89" s="62"/>
      <c r="JWG89" s="62"/>
      <c r="JWH89" s="62"/>
      <c r="JWI89" s="62"/>
      <c r="JWJ89" s="62"/>
      <c r="JWK89" s="62"/>
      <c r="JWL89" s="62"/>
      <c r="JWM89" s="62"/>
      <c r="JWN89" s="62"/>
      <c r="JWO89" s="62"/>
      <c r="JWP89" s="62"/>
      <c r="JWQ89" s="62"/>
      <c r="JWR89" s="62"/>
      <c r="JWS89" s="62"/>
      <c r="JWT89" s="62"/>
      <c r="JWU89" s="62"/>
      <c r="JWV89" s="62"/>
      <c r="JWW89" s="62"/>
      <c r="JWX89" s="62"/>
      <c r="JWY89" s="62"/>
      <c r="JWZ89" s="62"/>
      <c r="JXA89" s="62"/>
      <c r="JXB89" s="62"/>
      <c r="JXC89" s="62"/>
      <c r="JXD89" s="62"/>
      <c r="JXE89" s="62"/>
      <c r="JXF89" s="62"/>
      <c r="JXG89" s="62"/>
      <c r="JXH89" s="62"/>
      <c r="JXI89" s="62"/>
      <c r="JXJ89" s="62"/>
      <c r="JXK89" s="62"/>
      <c r="JXL89" s="62"/>
      <c r="JXM89" s="62"/>
      <c r="JXN89" s="62"/>
      <c r="JXO89" s="62"/>
      <c r="JXP89" s="62"/>
      <c r="JXQ89" s="62"/>
      <c r="JXR89" s="62"/>
      <c r="JXS89" s="62"/>
      <c r="JXT89" s="62"/>
      <c r="JXU89" s="62"/>
      <c r="JXV89" s="62"/>
      <c r="JXW89" s="62"/>
      <c r="JXX89" s="62"/>
      <c r="JXY89" s="62"/>
      <c r="JXZ89" s="62"/>
      <c r="JYA89" s="62"/>
      <c r="JYB89" s="62"/>
      <c r="JYC89" s="62"/>
      <c r="JYD89" s="62"/>
      <c r="JYE89" s="62"/>
      <c r="JYF89" s="62"/>
      <c r="JYG89" s="62"/>
      <c r="JYH89" s="62"/>
      <c r="JYI89" s="62"/>
      <c r="JYJ89" s="62"/>
      <c r="JYK89" s="62"/>
      <c r="JYL89" s="62"/>
      <c r="JYM89" s="62"/>
      <c r="JYN89" s="62"/>
      <c r="JYO89" s="62"/>
      <c r="JYP89" s="62"/>
      <c r="JYQ89" s="62"/>
      <c r="JYR89" s="62"/>
      <c r="JYS89" s="62"/>
      <c r="JYT89" s="62"/>
      <c r="JYU89" s="62"/>
      <c r="JYV89" s="62"/>
      <c r="JYW89" s="62"/>
      <c r="JYX89" s="62"/>
      <c r="JYY89" s="62"/>
      <c r="JYZ89" s="62"/>
      <c r="JZA89" s="62"/>
      <c r="JZB89" s="62"/>
      <c r="JZC89" s="62"/>
      <c r="JZD89" s="62"/>
      <c r="JZE89" s="62"/>
      <c r="JZF89" s="62"/>
      <c r="JZG89" s="62"/>
      <c r="JZH89" s="62"/>
      <c r="JZI89" s="62"/>
      <c r="JZJ89" s="62"/>
      <c r="JZK89" s="62"/>
      <c r="JZL89" s="62"/>
      <c r="JZM89" s="62"/>
      <c r="JZN89" s="62"/>
      <c r="JZO89" s="62"/>
      <c r="JZP89" s="62"/>
      <c r="JZQ89" s="62"/>
      <c r="JZR89" s="62"/>
      <c r="JZS89" s="62"/>
      <c r="JZT89" s="62"/>
      <c r="JZU89" s="62"/>
      <c r="JZV89" s="62"/>
      <c r="JZW89" s="62"/>
      <c r="JZX89" s="62"/>
      <c r="JZY89" s="62"/>
      <c r="JZZ89" s="62"/>
      <c r="KAA89" s="62"/>
      <c r="KAB89" s="62"/>
      <c r="KAC89" s="62"/>
      <c r="KAD89" s="62"/>
      <c r="KAE89" s="62"/>
      <c r="KAF89" s="62"/>
      <c r="KAG89" s="62"/>
      <c r="KAH89" s="62"/>
      <c r="KAI89" s="62"/>
      <c r="KAJ89" s="62"/>
      <c r="KAK89" s="62"/>
      <c r="KAL89" s="62"/>
      <c r="KAM89" s="62"/>
      <c r="KAN89" s="62"/>
      <c r="KAO89" s="62"/>
      <c r="KAP89" s="62"/>
      <c r="KAQ89" s="62"/>
      <c r="KAR89" s="62"/>
      <c r="KAS89" s="62"/>
      <c r="KAT89" s="62"/>
      <c r="KAU89" s="62"/>
      <c r="KAV89" s="62"/>
      <c r="KAW89" s="62"/>
      <c r="KAX89" s="62"/>
      <c r="KAY89" s="62"/>
      <c r="KAZ89" s="62"/>
      <c r="KBA89" s="62"/>
      <c r="KBB89" s="62"/>
      <c r="KBC89" s="62"/>
      <c r="KBD89" s="62"/>
      <c r="KBE89" s="62"/>
      <c r="KBF89" s="62"/>
      <c r="KBG89" s="62"/>
      <c r="KBH89" s="62"/>
      <c r="KBI89" s="62"/>
      <c r="KBJ89" s="62"/>
      <c r="KBK89" s="62"/>
      <c r="KBL89" s="62"/>
      <c r="KBM89" s="62"/>
      <c r="KBN89" s="62"/>
      <c r="KBO89" s="62"/>
      <c r="KBP89" s="62"/>
      <c r="KBQ89" s="62"/>
      <c r="KBR89" s="62"/>
      <c r="KBS89" s="62"/>
      <c r="KBT89" s="62"/>
      <c r="KBU89" s="62"/>
      <c r="KBV89" s="62"/>
      <c r="KBW89" s="62"/>
      <c r="KBX89" s="62"/>
      <c r="KBY89" s="62"/>
      <c r="KBZ89" s="62"/>
      <c r="KCA89" s="62"/>
      <c r="KCB89" s="62"/>
      <c r="KCC89" s="62"/>
      <c r="KCD89" s="62"/>
      <c r="KCE89" s="62"/>
      <c r="KCF89" s="62"/>
      <c r="KCG89" s="62"/>
      <c r="KCH89" s="62"/>
      <c r="KCI89" s="62"/>
      <c r="KCJ89" s="62"/>
      <c r="KCK89" s="62"/>
      <c r="KCL89" s="62"/>
      <c r="KCM89" s="62"/>
      <c r="KCN89" s="62"/>
      <c r="KCO89" s="62"/>
      <c r="KCP89" s="62"/>
      <c r="KCQ89" s="62"/>
      <c r="KCR89" s="62"/>
      <c r="KCS89" s="62"/>
      <c r="KCT89" s="62"/>
      <c r="KCU89" s="62"/>
      <c r="KCV89" s="62"/>
      <c r="KCW89" s="62"/>
      <c r="KCX89" s="62"/>
      <c r="KCY89" s="62"/>
      <c r="KCZ89" s="62"/>
      <c r="KDA89" s="62"/>
      <c r="KDB89" s="62"/>
      <c r="KDC89" s="62"/>
      <c r="KDD89" s="62"/>
      <c r="KDE89" s="62"/>
      <c r="KDF89" s="62"/>
      <c r="KDG89" s="62"/>
      <c r="KDH89" s="62"/>
      <c r="KDI89" s="62"/>
      <c r="KDJ89" s="62"/>
      <c r="KDK89" s="62"/>
      <c r="KDL89" s="62"/>
      <c r="KDM89" s="62"/>
      <c r="KDN89" s="62"/>
      <c r="KDO89" s="62"/>
      <c r="KDP89" s="62"/>
      <c r="KDQ89" s="62"/>
      <c r="KDR89" s="62"/>
      <c r="KDS89" s="62"/>
      <c r="KDT89" s="62"/>
      <c r="KDU89" s="62"/>
      <c r="KDV89" s="62"/>
      <c r="KDW89" s="62"/>
      <c r="KDX89" s="62"/>
      <c r="KDY89" s="62"/>
      <c r="KDZ89" s="62"/>
      <c r="KEA89" s="62"/>
      <c r="KEB89" s="62"/>
      <c r="KEC89" s="62"/>
      <c r="KED89" s="62"/>
      <c r="KEE89" s="62"/>
      <c r="KEF89" s="62"/>
      <c r="KEG89" s="62"/>
      <c r="KEH89" s="62"/>
      <c r="KEI89" s="62"/>
      <c r="KEJ89" s="62"/>
      <c r="KEK89" s="62"/>
      <c r="KEL89" s="62"/>
      <c r="KEM89" s="62"/>
      <c r="KEN89" s="62"/>
      <c r="KEO89" s="62"/>
      <c r="KEP89" s="62"/>
      <c r="KEQ89" s="62"/>
      <c r="KER89" s="62"/>
      <c r="KES89" s="62"/>
      <c r="KET89" s="62"/>
      <c r="KEU89" s="62"/>
      <c r="KEV89" s="62"/>
      <c r="KEW89" s="62"/>
      <c r="KEX89" s="62"/>
      <c r="KEY89" s="62"/>
      <c r="KEZ89" s="62"/>
      <c r="KFA89" s="62"/>
      <c r="KFB89" s="62"/>
      <c r="KFC89" s="62"/>
      <c r="KFD89" s="62"/>
      <c r="KFE89" s="62"/>
      <c r="KFF89" s="62"/>
      <c r="KFG89" s="62"/>
      <c r="KFH89" s="62"/>
      <c r="KFI89" s="62"/>
      <c r="KFJ89" s="62"/>
      <c r="KFK89" s="62"/>
      <c r="KFL89" s="62"/>
      <c r="KFM89" s="62"/>
      <c r="KFN89" s="62"/>
      <c r="KFO89" s="62"/>
      <c r="KFP89" s="62"/>
      <c r="KFQ89" s="62"/>
      <c r="KFR89" s="62"/>
      <c r="KFS89" s="62"/>
      <c r="KFT89" s="62"/>
      <c r="KFU89" s="62"/>
      <c r="KFV89" s="62"/>
      <c r="KFW89" s="62"/>
      <c r="KFX89" s="62"/>
      <c r="KFY89" s="62"/>
      <c r="KFZ89" s="62"/>
      <c r="KGA89" s="62"/>
      <c r="KGB89" s="62"/>
      <c r="KGC89" s="62"/>
      <c r="KGD89" s="62"/>
      <c r="KGE89" s="62"/>
      <c r="KGF89" s="62"/>
      <c r="KGG89" s="62"/>
      <c r="KGH89" s="62"/>
      <c r="KGI89" s="62"/>
      <c r="KGJ89" s="62"/>
      <c r="KGK89" s="62"/>
      <c r="KGL89" s="62"/>
      <c r="KGM89" s="62"/>
      <c r="KGN89" s="62"/>
      <c r="KGO89" s="62"/>
      <c r="KGP89" s="62"/>
      <c r="KGQ89" s="62"/>
      <c r="KGR89" s="62"/>
      <c r="KGS89" s="62"/>
      <c r="KGT89" s="62"/>
      <c r="KGU89" s="62"/>
      <c r="KGV89" s="62"/>
      <c r="KGW89" s="62"/>
      <c r="KGX89" s="62"/>
      <c r="KGY89" s="62"/>
      <c r="KGZ89" s="62"/>
      <c r="KHA89" s="62"/>
      <c r="KHB89" s="62"/>
      <c r="KHC89" s="62"/>
      <c r="KHD89" s="62"/>
      <c r="KHE89" s="62"/>
      <c r="KHF89" s="62"/>
      <c r="KHG89" s="62"/>
      <c r="KHH89" s="62"/>
      <c r="KHI89" s="62"/>
      <c r="KHJ89" s="62"/>
      <c r="KHK89" s="62"/>
      <c r="KHL89" s="62"/>
      <c r="KHM89" s="62"/>
      <c r="KHN89" s="62"/>
      <c r="KHO89" s="62"/>
      <c r="KHP89" s="62"/>
      <c r="KHQ89" s="62"/>
      <c r="KHR89" s="62"/>
      <c r="KHS89" s="62"/>
      <c r="KHT89" s="62"/>
      <c r="KHU89" s="62"/>
      <c r="KHV89" s="62"/>
      <c r="KHW89" s="62"/>
      <c r="KHX89" s="62"/>
      <c r="KHY89" s="62"/>
      <c r="KHZ89" s="62"/>
      <c r="KIA89" s="62"/>
      <c r="KIB89" s="62"/>
      <c r="KIC89" s="62"/>
      <c r="KID89" s="62"/>
      <c r="KIE89" s="62"/>
      <c r="KIF89" s="62"/>
      <c r="KIG89" s="62"/>
      <c r="KIH89" s="62"/>
      <c r="KII89" s="62"/>
      <c r="KIJ89" s="62"/>
      <c r="KIK89" s="62"/>
      <c r="KIL89" s="62"/>
      <c r="KIM89" s="62"/>
      <c r="KIN89" s="62"/>
      <c r="KIO89" s="62"/>
      <c r="KIP89" s="62"/>
      <c r="KIQ89" s="62"/>
      <c r="KIR89" s="62"/>
      <c r="KIS89" s="62"/>
      <c r="KIT89" s="62"/>
      <c r="KIU89" s="62"/>
      <c r="KIV89" s="62"/>
      <c r="KIW89" s="62"/>
      <c r="KIX89" s="62"/>
      <c r="KIY89" s="62"/>
      <c r="KIZ89" s="62"/>
      <c r="KJA89" s="62"/>
      <c r="KJB89" s="62"/>
      <c r="KJC89" s="62"/>
      <c r="KJD89" s="62"/>
      <c r="KJE89" s="62"/>
      <c r="KJF89" s="62"/>
      <c r="KJG89" s="62"/>
      <c r="KJH89" s="62"/>
      <c r="KJI89" s="62"/>
      <c r="KJJ89" s="62"/>
      <c r="KJK89" s="62"/>
      <c r="KJL89" s="62"/>
      <c r="KJM89" s="62"/>
      <c r="KJN89" s="62"/>
      <c r="KJO89" s="62"/>
      <c r="KJP89" s="62"/>
      <c r="KJQ89" s="62"/>
      <c r="KJR89" s="62"/>
      <c r="KJS89" s="62"/>
      <c r="KJT89" s="62"/>
      <c r="KJU89" s="62"/>
      <c r="KJV89" s="62"/>
      <c r="KJW89" s="62"/>
      <c r="KJX89" s="62"/>
      <c r="KJY89" s="62"/>
      <c r="KJZ89" s="62"/>
      <c r="KKA89" s="62"/>
      <c r="KKB89" s="62"/>
      <c r="KKC89" s="62"/>
      <c r="KKD89" s="62"/>
      <c r="KKE89" s="62"/>
      <c r="KKF89" s="62"/>
      <c r="KKG89" s="62"/>
      <c r="KKH89" s="62"/>
      <c r="KKI89" s="62"/>
      <c r="KKJ89" s="62"/>
      <c r="KKK89" s="62"/>
      <c r="KKL89" s="62"/>
      <c r="KKM89" s="62"/>
      <c r="KKN89" s="62"/>
      <c r="KKO89" s="62"/>
      <c r="KKP89" s="62"/>
      <c r="KKQ89" s="62"/>
      <c r="KKR89" s="62"/>
      <c r="KKS89" s="62"/>
      <c r="KKT89" s="62"/>
      <c r="KKU89" s="62"/>
      <c r="KKV89" s="62"/>
      <c r="KKW89" s="62"/>
      <c r="KKX89" s="62"/>
      <c r="KKY89" s="62"/>
      <c r="KKZ89" s="62"/>
      <c r="KLA89" s="62"/>
      <c r="KLB89" s="62"/>
      <c r="KLC89" s="62"/>
      <c r="KLD89" s="62"/>
      <c r="KLE89" s="62"/>
      <c r="KLF89" s="62"/>
      <c r="KLG89" s="62"/>
      <c r="KLH89" s="62"/>
      <c r="KLI89" s="62"/>
      <c r="KLJ89" s="62"/>
      <c r="KLK89" s="62"/>
      <c r="KLL89" s="62"/>
      <c r="KLM89" s="62"/>
      <c r="KLN89" s="62"/>
      <c r="KLO89" s="62"/>
      <c r="KLP89" s="62"/>
      <c r="KLQ89" s="62"/>
      <c r="KLR89" s="62"/>
      <c r="KLS89" s="62"/>
      <c r="KLT89" s="62"/>
      <c r="KLU89" s="62"/>
      <c r="KLV89" s="62"/>
      <c r="KLW89" s="62"/>
      <c r="KLX89" s="62"/>
      <c r="KLY89" s="62"/>
      <c r="KLZ89" s="62"/>
      <c r="KMA89" s="62"/>
      <c r="KMB89" s="62"/>
      <c r="KMC89" s="62"/>
      <c r="KMD89" s="62"/>
      <c r="KME89" s="62"/>
      <c r="KMF89" s="62"/>
      <c r="KMG89" s="62"/>
      <c r="KMH89" s="62"/>
      <c r="KMI89" s="62"/>
      <c r="KMJ89" s="62"/>
      <c r="KMK89" s="62"/>
      <c r="KML89" s="62"/>
      <c r="KMM89" s="62"/>
      <c r="KMN89" s="62"/>
      <c r="KMO89" s="62"/>
      <c r="KMP89" s="62"/>
      <c r="KMQ89" s="62"/>
      <c r="KMR89" s="62"/>
      <c r="KMS89" s="62"/>
      <c r="KMT89" s="62"/>
      <c r="KMU89" s="62"/>
      <c r="KMV89" s="62"/>
      <c r="KMW89" s="62"/>
      <c r="KMX89" s="62"/>
      <c r="KMY89" s="62"/>
      <c r="KMZ89" s="62"/>
      <c r="KNA89" s="62"/>
      <c r="KNB89" s="62"/>
      <c r="KNC89" s="62"/>
      <c r="KND89" s="62"/>
      <c r="KNE89" s="62"/>
      <c r="KNF89" s="62"/>
      <c r="KNG89" s="62"/>
      <c r="KNH89" s="62"/>
      <c r="KNI89" s="62"/>
      <c r="KNJ89" s="62"/>
      <c r="KNK89" s="62"/>
      <c r="KNL89" s="62"/>
      <c r="KNM89" s="62"/>
      <c r="KNN89" s="62"/>
      <c r="KNO89" s="62"/>
      <c r="KNP89" s="62"/>
      <c r="KNQ89" s="62"/>
      <c r="KNR89" s="62"/>
      <c r="KNS89" s="62"/>
      <c r="KNT89" s="62"/>
      <c r="KNU89" s="62"/>
      <c r="KNV89" s="62"/>
      <c r="KNW89" s="62"/>
      <c r="KNX89" s="62"/>
      <c r="KNY89" s="62"/>
      <c r="KNZ89" s="62"/>
      <c r="KOA89" s="62"/>
      <c r="KOB89" s="62"/>
      <c r="KOC89" s="62"/>
      <c r="KOD89" s="62"/>
      <c r="KOE89" s="62"/>
      <c r="KOF89" s="62"/>
      <c r="KOG89" s="62"/>
      <c r="KOH89" s="62"/>
      <c r="KOI89" s="62"/>
      <c r="KOJ89" s="62"/>
      <c r="KOK89" s="62"/>
      <c r="KOL89" s="62"/>
      <c r="KOM89" s="62"/>
      <c r="KON89" s="62"/>
      <c r="KOO89" s="62"/>
      <c r="KOP89" s="62"/>
      <c r="KOQ89" s="62"/>
      <c r="KOR89" s="62"/>
      <c r="KOS89" s="62"/>
      <c r="KOT89" s="62"/>
      <c r="KOU89" s="62"/>
      <c r="KOV89" s="62"/>
      <c r="KOW89" s="62"/>
      <c r="KOX89" s="62"/>
      <c r="KOY89" s="62"/>
      <c r="KOZ89" s="62"/>
      <c r="KPA89" s="62"/>
      <c r="KPB89" s="62"/>
      <c r="KPC89" s="62"/>
      <c r="KPD89" s="62"/>
      <c r="KPE89" s="62"/>
      <c r="KPF89" s="62"/>
      <c r="KPG89" s="62"/>
      <c r="KPH89" s="62"/>
      <c r="KPI89" s="62"/>
      <c r="KPJ89" s="62"/>
      <c r="KPK89" s="62"/>
      <c r="KPL89" s="62"/>
      <c r="KPM89" s="62"/>
      <c r="KPN89" s="62"/>
      <c r="KPO89" s="62"/>
      <c r="KPP89" s="62"/>
      <c r="KPQ89" s="62"/>
      <c r="KPR89" s="62"/>
      <c r="KPS89" s="62"/>
      <c r="KPT89" s="62"/>
      <c r="KPU89" s="62"/>
      <c r="KPV89" s="62"/>
      <c r="KPW89" s="62"/>
      <c r="KPX89" s="62"/>
      <c r="KPY89" s="62"/>
      <c r="KPZ89" s="62"/>
      <c r="KQA89" s="62"/>
      <c r="KQB89" s="62"/>
      <c r="KQC89" s="62"/>
      <c r="KQD89" s="62"/>
      <c r="KQE89" s="62"/>
      <c r="KQF89" s="62"/>
      <c r="KQG89" s="62"/>
      <c r="KQH89" s="62"/>
      <c r="KQI89" s="62"/>
      <c r="KQJ89" s="62"/>
      <c r="KQK89" s="62"/>
      <c r="KQL89" s="62"/>
      <c r="KQM89" s="62"/>
      <c r="KQN89" s="62"/>
      <c r="KQO89" s="62"/>
      <c r="KQP89" s="62"/>
      <c r="KQQ89" s="62"/>
      <c r="KQR89" s="62"/>
      <c r="KQS89" s="62"/>
      <c r="KQT89" s="62"/>
      <c r="KQU89" s="62"/>
      <c r="KQV89" s="62"/>
      <c r="KQW89" s="62"/>
      <c r="KQX89" s="62"/>
      <c r="KQY89" s="62"/>
      <c r="KQZ89" s="62"/>
      <c r="KRA89" s="62"/>
      <c r="KRB89" s="62"/>
      <c r="KRC89" s="62"/>
      <c r="KRD89" s="62"/>
      <c r="KRE89" s="62"/>
      <c r="KRF89" s="62"/>
      <c r="KRG89" s="62"/>
      <c r="KRH89" s="62"/>
      <c r="KRI89" s="62"/>
      <c r="KRJ89" s="62"/>
      <c r="KRK89" s="62"/>
      <c r="KRL89" s="62"/>
      <c r="KRM89" s="62"/>
      <c r="KRN89" s="62"/>
      <c r="KRO89" s="62"/>
      <c r="KRP89" s="62"/>
      <c r="KRQ89" s="62"/>
      <c r="KRR89" s="62"/>
      <c r="KRS89" s="62"/>
      <c r="KRT89" s="62"/>
      <c r="KRU89" s="62"/>
      <c r="KRV89" s="62"/>
      <c r="KRW89" s="62"/>
      <c r="KRX89" s="62"/>
      <c r="KRY89" s="62"/>
      <c r="KRZ89" s="62"/>
      <c r="KSA89" s="62"/>
      <c r="KSB89" s="62"/>
      <c r="KSC89" s="62"/>
      <c r="KSD89" s="62"/>
      <c r="KSE89" s="62"/>
      <c r="KSF89" s="62"/>
      <c r="KSG89" s="62"/>
      <c r="KSH89" s="62"/>
      <c r="KSI89" s="62"/>
      <c r="KSJ89" s="62"/>
      <c r="KSK89" s="62"/>
      <c r="KSL89" s="62"/>
      <c r="KSM89" s="62"/>
      <c r="KSN89" s="62"/>
      <c r="KSO89" s="62"/>
      <c r="KSP89" s="62"/>
      <c r="KSQ89" s="62"/>
      <c r="KSR89" s="62"/>
      <c r="KSS89" s="62"/>
      <c r="KST89" s="62"/>
      <c r="KSU89" s="62"/>
      <c r="KSV89" s="62"/>
      <c r="KSW89" s="62"/>
      <c r="KSX89" s="62"/>
      <c r="KSY89" s="62"/>
      <c r="KSZ89" s="62"/>
      <c r="KTA89" s="62"/>
      <c r="KTB89" s="62"/>
      <c r="KTC89" s="62"/>
      <c r="KTD89" s="62"/>
      <c r="KTE89" s="62"/>
      <c r="KTF89" s="62"/>
      <c r="KTG89" s="62"/>
      <c r="KTH89" s="62"/>
      <c r="KTI89" s="62"/>
      <c r="KTJ89" s="62"/>
      <c r="KTK89" s="62"/>
      <c r="KTL89" s="62"/>
      <c r="KTM89" s="62"/>
      <c r="KTN89" s="62"/>
      <c r="KTO89" s="62"/>
      <c r="KTP89" s="62"/>
      <c r="KTQ89" s="62"/>
      <c r="KTR89" s="62"/>
      <c r="KTS89" s="62"/>
      <c r="KTT89" s="62"/>
      <c r="KTU89" s="62"/>
      <c r="KTV89" s="62"/>
      <c r="KTW89" s="62"/>
      <c r="KTX89" s="62"/>
      <c r="KTY89" s="62"/>
      <c r="KTZ89" s="62"/>
      <c r="KUA89" s="62"/>
      <c r="KUB89" s="62"/>
      <c r="KUC89" s="62"/>
      <c r="KUD89" s="62"/>
      <c r="KUE89" s="62"/>
      <c r="KUF89" s="62"/>
      <c r="KUG89" s="62"/>
      <c r="KUH89" s="62"/>
      <c r="KUI89" s="62"/>
      <c r="KUJ89" s="62"/>
      <c r="KUK89" s="62"/>
      <c r="KUL89" s="62"/>
      <c r="KUM89" s="62"/>
      <c r="KUN89" s="62"/>
      <c r="KUO89" s="62"/>
      <c r="KUP89" s="62"/>
      <c r="KUQ89" s="62"/>
      <c r="KUR89" s="62"/>
      <c r="KUS89" s="62"/>
      <c r="KUT89" s="62"/>
      <c r="KUU89" s="62"/>
      <c r="KUV89" s="62"/>
      <c r="KUW89" s="62"/>
      <c r="KUX89" s="62"/>
      <c r="KUY89" s="62"/>
      <c r="KUZ89" s="62"/>
      <c r="KVA89" s="62"/>
      <c r="KVB89" s="62"/>
      <c r="KVC89" s="62"/>
      <c r="KVD89" s="62"/>
      <c r="KVE89" s="62"/>
      <c r="KVF89" s="62"/>
      <c r="KVG89" s="62"/>
      <c r="KVH89" s="62"/>
      <c r="KVI89" s="62"/>
      <c r="KVJ89" s="62"/>
      <c r="KVK89" s="62"/>
      <c r="KVL89" s="62"/>
      <c r="KVM89" s="62"/>
      <c r="KVN89" s="62"/>
      <c r="KVO89" s="62"/>
      <c r="KVP89" s="62"/>
      <c r="KVQ89" s="62"/>
      <c r="KVR89" s="62"/>
      <c r="KVS89" s="62"/>
      <c r="KVT89" s="62"/>
      <c r="KVU89" s="62"/>
      <c r="KVV89" s="62"/>
      <c r="KVW89" s="62"/>
      <c r="KVX89" s="62"/>
      <c r="KVY89" s="62"/>
      <c r="KVZ89" s="62"/>
      <c r="KWA89" s="62"/>
      <c r="KWB89" s="62"/>
      <c r="KWC89" s="62"/>
      <c r="KWD89" s="62"/>
      <c r="KWE89" s="62"/>
      <c r="KWF89" s="62"/>
      <c r="KWG89" s="62"/>
      <c r="KWH89" s="62"/>
      <c r="KWI89" s="62"/>
      <c r="KWJ89" s="62"/>
      <c r="KWK89" s="62"/>
      <c r="KWL89" s="62"/>
      <c r="KWM89" s="62"/>
      <c r="KWN89" s="62"/>
      <c r="KWO89" s="62"/>
      <c r="KWP89" s="62"/>
      <c r="KWQ89" s="62"/>
      <c r="KWR89" s="62"/>
      <c r="KWS89" s="62"/>
      <c r="KWT89" s="62"/>
      <c r="KWU89" s="62"/>
      <c r="KWV89" s="62"/>
      <c r="KWW89" s="62"/>
      <c r="KWX89" s="62"/>
      <c r="KWY89" s="62"/>
      <c r="KWZ89" s="62"/>
      <c r="KXA89" s="62"/>
      <c r="KXB89" s="62"/>
      <c r="KXC89" s="62"/>
      <c r="KXD89" s="62"/>
      <c r="KXE89" s="62"/>
      <c r="KXF89" s="62"/>
      <c r="KXG89" s="62"/>
      <c r="KXH89" s="62"/>
      <c r="KXI89" s="62"/>
      <c r="KXJ89" s="62"/>
      <c r="KXK89" s="62"/>
      <c r="KXL89" s="62"/>
      <c r="KXM89" s="62"/>
      <c r="KXN89" s="62"/>
      <c r="KXO89" s="62"/>
      <c r="KXP89" s="62"/>
      <c r="KXQ89" s="62"/>
      <c r="KXR89" s="62"/>
      <c r="KXS89" s="62"/>
      <c r="KXT89" s="62"/>
      <c r="KXU89" s="62"/>
      <c r="KXV89" s="62"/>
      <c r="KXW89" s="62"/>
      <c r="KXX89" s="62"/>
      <c r="KXY89" s="62"/>
      <c r="KXZ89" s="62"/>
      <c r="KYA89" s="62"/>
      <c r="KYB89" s="62"/>
      <c r="KYC89" s="62"/>
      <c r="KYD89" s="62"/>
      <c r="KYE89" s="62"/>
      <c r="KYF89" s="62"/>
      <c r="KYG89" s="62"/>
      <c r="KYH89" s="62"/>
      <c r="KYI89" s="62"/>
      <c r="KYJ89" s="62"/>
      <c r="KYK89" s="62"/>
      <c r="KYL89" s="62"/>
      <c r="KYM89" s="62"/>
      <c r="KYN89" s="62"/>
      <c r="KYO89" s="62"/>
      <c r="KYP89" s="62"/>
      <c r="KYQ89" s="62"/>
      <c r="KYR89" s="62"/>
      <c r="KYS89" s="62"/>
      <c r="KYT89" s="62"/>
      <c r="KYU89" s="62"/>
      <c r="KYV89" s="62"/>
      <c r="KYW89" s="62"/>
      <c r="KYX89" s="62"/>
      <c r="KYY89" s="62"/>
      <c r="KYZ89" s="62"/>
      <c r="KZA89" s="62"/>
      <c r="KZB89" s="62"/>
      <c r="KZC89" s="62"/>
      <c r="KZD89" s="62"/>
      <c r="KZE89" s="62"/>
      <c r="KZF89" s="62"/>
      <c r="KZG89" s="62"/>
      <c r="KZH89" s="62"/>
      <c r="KZI89" s="62"/>
      <c r="KZJ89" s="62"/>
      <c r="KZK89" s="62"/>
      <c r="KZL89" s="62"/>
      <c r="KZM89" s="62"/>
      <c r="KZN89" s="62"/>
      <c r="KZO89" s="62"/>
      <c r="KZP89" s="62"/>
      <c r="KZQ89" s="62"/>
      <c r="KZR89" s="62"/>
      <c r="KZS89" s="62"/>
      <c r="KZT89" s="62"/>
      <c r="KZU89" s="62"/>
      <c r="KZV89" s="62"/>
      <c r="KZW89" s="62"/>
      <c r="KZX89" s="62"/>
      <c r="KZY89" s="62"/>
      <c r="KZZ89" s="62"/>
      <c r="LAA89" s="62"/>
      <c r="LAB89" s="62"/>
      <c r="LAC89" s="62"/>
      <c r="LAD89" s="62"/>
      <c r="LAE89" s="62"/>
      <c r="LAF89" s="62"/>
      <c r="LAG89" s="62"/>
      <c r="LAH89" s="62"/>
      <c r="LAI89" s="62"/>
      <c r="LAJ89" s="62"/>
      <c r="LAK89" s="62"/>
      <c r="LAL89" s="62"/>
      <c r="LAM89" s="62"/>
      <c r="LAN89" s="62"/>
      <c r="LAO89" s="62"/>
      <c r="LAP89" s="62"/>
      <c r="LAQ89" s="62"/>
      <c r="LAR89" s="62"/>
      <c r="LAS89" s="62"/>
      <c r="LAT89" s="62"/>
      <c r="LAU89" s="62"/>
      <c r="LAV89" s="62"/>
      <c r="LAW89" s="62"/>
      <c r="LAX89" s="62"/>
      <c r="LAY89" s="62"/>
      <c r="LAZ89" s="62"/>
      <c r="LBA89" s="62"/>
      <c r="LBB89" s="62"/>
      <c r="LBC89" s="62"/>
      <c r="LBD89" s="62"/>
      <c r="LBE89" s="62"/>
      <c r="LBF89" s="62"/>
      <c r="LBG89" s="62"/>
      <c r="LBH89" s="62"/>
      <c r="LBI89" s="62"/>
      <c r="LBJ89" s="62"/>
      <c r="LBK89" s="62"/>
      <c r="LBL89" s="62"/>
      <c r="LBM89" s="62"/>
      <c r="LBN89" s="62"/>
      <c r="LBO89" s="62"/>
      <c r="LBP89" s="62"/>
      <c r="LBQ89" s="62"/>
      <c r="LBR89" s="62"/>
      <c r="LBS89" s="62"/>
      <c r="LBT89" s="62"/>
      <c r="LBU89" s="62"/>
      <c r="LBV89" s="62"/>
      <c r="LBW89" s="62"/>
      <c r="LBX89" s="62"/>
      <c r="LBY89" s="62"/>
      <c r="LBZ89" s="62"/>
      <c r="LCA89" s="62"/>
      <c r="LCB89" s="62"/>
      <c r="LCC89" s="62"/>
      <c r="LCD89" s="62"/>
      <c r="LCE89" s="62"/>
      <c r="LCF89" s="62"/>
      <c r="LCG89" s="62"/>
      <c r="LCH89" s="62"/>
      <c r="LCI89" s="62"/>
      <c r="LCJ89" s="62"/>
      <c r="LCK89" s="62"/>
      <c r="LCL89" s="62"/>
      <c r="LCM89" s="62"/>
      <c r="LCN89" s="62"/>
      <c r="LCO89" s="62"/>
      <c r="LCP89" s="62"/>
      <c r="LCQ89" s="62"/>
      <c r="LCR89" s="62"/>
      <c r="LCS89" s="62"/>
      <c r="LCT89" s="62"/>
      <c r="LCU89" s="62"/>
      <c r="LCV89" s="62"/>
      <c r="LCW89" s="62"/>
      <c r="LCX89" s="62"/>
      <c r="LCY89" s="62"/>
      <c r="LCZ89" s="62"/>
      <c r="LDA89" s="62"/>
      <c r="LDB89" s="62"/>
      <c r="LDC89" s="62"/>
      <c r="LDD89" s="62"/>
      <c r="LDE89" s="62"/>
      <c r="LDF89" s="62"/>
      <c r="LDG89" s="62"/>
      <c r="LDH89" s="62"/>
      <c r="LDI89" s="62"/>
      <c r="LDJ89" s="62"/>
      <c r="LDK89" s="62"/>
      <c r="LDL89" s="62"/>
      <c r="LDM89" s="62"/>
      <c r="LDN89" s="62"/>
      <c r="LDO89" s="62"/>
      <c r="LDP89" s="62"/>
      <c r="LDQ89" s="62"/>
      <c r="LDR89" s="62"/>
      <c r="LDS89" s="62"/>
      <c r="LDT89" s="62"/>
      <c r="LDU89" s="62"/>
      <c r="LDV89" s="62"/>
      <c r="LDW89" s="62"/>
      <c r="LDX89" s="62"/>
      <c r="LDY89" s="62"/>
      <c r="LDZ89" s="62"/>
      <c r="LEA89" s="62"/>
      <c r="LEB89" s="62"/>
      <c r="LEC89" s="62"/>
      <c r="LED89" s="62"/>
      <c r="LEE89" s="62"/>
      <c r="LEF89" s="62"/>
      <c r="LEG89" s="62"/>
      <c r="LEH89" s="62"/>
      <c r="LEI89" s="62"/>
      <c r="LEJ89" s="62"/>
      <c r="LEK89" s="62"/>
      <c r="LEL89" s="62"/>
      <c r="LEM89" s="62"/>
      <c r="LEN89" s="62"/>
      <c r="LEO89" s="62"/>
      <c r="LEP89" s="62"/>
      <c r="LEQ89" s="62"/>
      <c r="LER89" s="62"/>
      <c r="LES89" s="62"/>
      <c r="LET89" s="62"/>
      <c r="LEU89" s="62"/>
      <c r="LEV89" s="62"/>
      <c r="LEW89" s="62"/>
      <c r="LEX89" s="62"/>
      <c r="LEY89" s="62"/>
      <c r="LEZ89" s="62"/>
      <c r="LFA89" s="62"/>
      <c r="LFB89" s="62"/>
      <c r="LFC89" s="62"/>
      <c r="LFD89" s="62"/>
      <c r="LFE89" s="62"/>
      <c r="LFF89" s="62"/>
      <c r="LFG89" s="62"/>
      <c r="LFH89" s="62"/>
      <c r="LFI89" s="62"/>
      <c r="LFJ89" s="62"/>
      <c r="LFK89" s="62"/>
      <c r="LFL89" s="62"/>
      <c r="LFM89" s="62"/>
      <c r="LFN89" s="62"/>
      <c r="LFO89" s="62"/>
      <c r="LFP89" s="62"/>
      <c r="LFQ89" s="62"/>
      <c r="LFR89" s="62"/>
      <c r="LFS89" s="62"/>
      <c r="LFT89" s="62"/>
      <c r="LFU89" s="62"/>
      <c r="LFV89" s="62"/>
      <c r="LFW89" s="62"/>
      <c r="LFX89" s="62"/>
      <c r="LFY89" s="62"/>
      <c r="LFZ89" s="62"/>
      <c r="LGA89" s="62"/>
      <c r="LGB89" s="62"/>
      <c r="LGC89" s="62"/>
      <c r="LGD89" s="62"/>
      <c r="LGE89" s="62"/>
      <c r="LGF89" s="62"/>
      <c r="LGG89" s="62"/>
      <c r="LGH89" s="62"/>
      <c r="LGI89" s="62"/>
      <c r="LGJ89" s="62"/>
      <c r="LGK89" s="62"/>
      <c r="LGL89" s="62"/>
      <c r="LGM89" s="62"/>
      <c r="LGN89" s="62"/>
      <c r="LGO89" s="62"/>
      <c r="LGP89" s="62"/>
      <c r="LGQ89" s="62"/>
      <c r="LGR89" s="62"/>
      <c r="LGS89" s="62"/>
      <c r="LGT89" s="62"/>
      <c r="LGU89" s="62"/>
      <c r="LGV89" s="62"/>
      <c r="LGW89" s="62"/>
      <c r="LGX89" s="62"/>
      <c r="LGY89" s="62"/>
      <c r="LGZ89" s="62"/>
      <c r="LHA89" s="62"/>
      <c r="LHB89" s="62"/>
      <c r="LHC89" s="62"/>
      <c r="LHD89" s="62"/>
      <c r="LHE89" s="62"/>
      <c r="LHF89" s="62"/>
      <c r="LHG89" s="62"/>
      <c r="LHH89" s="62"/>
      <c r="LHI89" s="62"/>
      <c r="LHJ89" s="62"/>
      <c r="LHK89" s="62"/>
      <c r="LHL89" s="62"/>
      <c r="LHM89" s="62"/>
      <c r="LHN89" s="62"/>
      <c r="LHO89" s="62"/>
      <c r="LHP89" s="62"/>
      <c r="LHQ89" s="62"/>
      <c r="LHR89" s="62"/>
      <c r="LHS89" s="62"/>
      <c r="LHT89" s="62"/>
      <c r="LHU89" s="62"/>
      <c r="LHV89" s="62"/>
      <c r="LHW89" s="62"/>
      <c r="LHX89" s="62"/>
      <c r="LHY89" s="62"/>
      <c r="LHZ89" s="62"/>
      <c r="LIA89" s="62"/>
      <c r="LIB89" s="62"/>
      <c r="LIC89" s="62"/>
      <c r="LID89" s="62"/>
      <c r="LIE89" s="62"/>
      <c r="LIF89" s="62"/>
      <c r="LIG89" s="62"/>
      <c r="LIH89" s="62"/>
      <c r="LII89" s="62"/>
      <c r="LIJ89" s="62"/>
      <c r="LIK89" s="62"/>
      <c r="LIL89" s="62"/>
      <c r="LIM89" s="62"/>
      <c r="LIN89" s="62"/>
      <c r="LIO89" s="62"/>
      <c r="LIP89" s="62"/>
      <c r="LIQ89" s="62"/>
      <c r="LIR89" s="62"/>
      <c r="LIS89" s="62"/>
      <c r="LIT89" s="62"/>
      <c r="LIU89" s="62"/>
      <c r="LIV89" s="62"/>
      <c r="LIW89" s="62"/>
      <c r="LIX89" s="62"/>
      <c r="LIY89" s="62"/>
      <c r="LIZ89" s="62"/>
      <c r="LJA89" s="62"/>
      <c r="LJB89" s="62"/>
      <c r="LJC89" s="62"/>
      <c r="LJD89" s="62"/>
      <c r="LJE89" s="62"/>
      <c r="LJF89" s="62"/>
      <c r="LJG89" s="62"/>
      <c r="LJH89" s="62"/>
      <c r="LJI89" s="62"/>
      <c r="LJJ89" s="62"/>
      <c r="LJK89" s="62"/>
      <c r="LJL89" s="62"/>
      <c r="LJM89" s="62"/>
      <c r="LJN89" s="62"/>
      <c r="LJO89" s="62"/>
      <c r="LJP89" s="62"/>
      <c r="LJQ89" s="62"/>
      <c r="LJR89" s="62"/>
      <c r="LJS89" s="62"/>
      <c r="LJT89" s="62"/>
      <c r="LJU89" s="62"/>
      <c r="LJV89" s="62"/>
      <c r="LJW89" s="62"/>
      <c r="LJX89" s="62"/>
      <c r="LJY89" s="62"/>
      <c r="LJZ89" s="62"/>
      <c r="LKA89" s="62"/>
      <c r="LKB89" s="62"/>
      <c r="LKC89" s="62"/>
      <c r="LKD89" s="62"/>
      <c r="LKE89" s="62"/>
      <c r="LKF89" s="62"/>
      <c r="LKG89" s="62"/>
      <c r="LKH89" s="62"/>
      <c r="LKI89" s="62"/>
      <c r="LKJ89" s="62"/>
      <c r="LKK89" s="62"/>
      <c r="LKL89" s="62"/>
      <c r="LKM89" s="62"/>
      <c r="LKN89" s="62"/>
      <c r="LKO89" s="62"/>
      <c r="LKP89" s="62"/>
      <c r="LKQ89" s="62"/>
      <c r="LKR89" s="62"/>
      <c r="LKS89" s="62"/>
      <c r="LKT89" s="62"/>
      <c r="LKU89" s="62"/>
      <c r="LKV89" s="62"/>
      <c r="LKW89" s="62"/>
      <c r="LKX89" s="62"/>
      <c r="LKY89" s="62"/>
      <c r="LKZ89" s="62"/>
      <c r="LLA89" s="62"/>
      <c r="LLB89" s="62"/>
      <c r="LLC89" s="62"/>
      <c r="LLD89" s="62"/>
      <c r="LLE89" s="62"/>
      <c r="LLF89" s="62"/>
      <c r="LLG89" s="62"/>
      <c r="LLH89" s="62"/>
      <c r="LLI89" s="62"/>
      <c r="LLJ89" s="62"/>
      <c r="LLK89" s="62"/>
      <c r="LLL89" s="62"/>
      <c r="LLM89" s="62"/>
      <c r="LLN89" s="62"/>
      <c r="LLO89" s="62"/>
      <c r="LLP89" s="62"/>
      <c r="LLQ89" s="62"/>
      <c r="LLR89" s="62"/>
      <c r="LLS89" s="62"/>
      <c r="LLT89" s="62"/>
      <c r="LLU89" s="62"/>
      <c r="LLV89" s="62"/>
      <c r="LLW89" s="62"/>
      <c r="LLX89" s="62"/>
      <c r="LLY89" s="62"/>
      <c r="LLZ89" s="62"/>
      <c r="LMA89" s="62"/>
      <c r="LMB89" s="62"/>
      <c r="LMC89" s="62"/>
      <c r="LMD89" s="62"/>
      <c r="LME89" s="62"/>
      <c r="LMF89" s="62"/>
      <c r="LMG89" s="62"/>
      <c r="LMH89" s="62"/>
      <c r="LMI89" s="62"/>
      <c r="LMJ89" s="62"/>
      <c r="LMK89" s="62"/>
      <c r="LML89" s="62"/>
      <c r="LMM89" s="62"/>
      <c r="LMN89" s="62"/>
      <c r="LMO89" s="62"/>
      <c r="LMP89" s="62"/>
      <c r="LMQ89" s="62"/>
      <c r="LMR89" s="62"/>
      <c r="LMS89" s="62"/>
      <c r="LMT89" s="62"/>
      <c r="LMU89" s="62"/>
      <c r="LMV89" s="62"/>
      <c r="LMW89" s="62"/>
      <c r="LMX89" s="62"/>
      <c r="LMY89" s="62"/>
      <c r="LMZ89" s="62"/>
      <c r="LNA89" s="62"/>
      <c r="LNB89" s="62"/>
      <c r="LNC89" s="62"/>
      <c r="LND89" s="62"/>
      <c r="LNE89" s="62"/>
      <c r="LNF89" s="62"/>
      <c r="LNG89" s="62"/>
      <c r="LNH89" s="62"/>
      <c r="LNI89" s="62"/>
      <c r="LNJ89" s="62"/>
      <c r="LNK89" s="62"/>
      <c r="LNL89" s="62"/>
      <c r="LNM89" s="62"/>
      <c r="LNN89" s="62"/>
      <c r="LNO89" s="62"/>
      <c r="LNP89" s="62"/>
      <c r="LNQ89" s="62"/>
      <c r="LNR89" s="62"/>
      <c r="LNS89" s="62"/>
      <c r="LNT89" s="62"/>
      <c r="LNU89" s="62"/>
      <c r="LNV89" s="62"/>
      <c r="LNW89" s="62"/>
      <c r="LNX89" s="62"/>
      <c r="LNY89" s="62"/>
      <c r="LNZ89" s="62"/>
      <c r="LOA89" s="62"/>
      <c r="LOB89" s="62"/>
      <c r="LOC89" s="62"/>
      <c r="LOD89" s="62"/>
      <c r="LOE89" s="62"/>
      <c r="LOF89" s="62"/>
      <c r="LOG89" s="62"/>
      <c r="LOH89" s="62"/>
      <c r="LOI89" s="62"/>
      <c r="LOJ89" s="62"/>
      <c r="LOK89" s="62"/>
      <c r="LOL89" s="62"/>
      <c r="LOM89" s="62"/>
      <c r="LON89" s="62"/>
      <c r="LOO89" s="62"/>
      <c r="LOP89" s="62"/>
      <c r="LOQ89" s="62"/>
      <c r="LOR89" s="62"/>
      <c r="LOS89" s="62"/>
      <c r="LOT89" s="62"/>
      <c r="LOU89" s="62"/>
      <c r="LOV89" s="62"/>
      <c r="LOW89" s="62"/>
      <c r="LOX89" s="62"/>
      <c r="LOY89" s="62"/>
      <c r="LOZ89" s="62"/>
      <c r="LPA89" s="62"/>
      <c r="LPB89" s="62"/>
      <c r="LPC89" s="62"/>
      <c r="LPD89" s="62"/>
      <c r="LPE89" s="62"/>
      <c r="LPF89" s="62"/>
      <c r="LPG89" s="62"/>
      <c r="LPH89" s="62"/>
      <c r="LPI89" s="62"/>
      <c r="LPJ89" s="62"/>
      <c r="LPK89" s="62"/>
      <c r="LPL89" s="62"/>
      <c r="LPM89" s="62"/>
      <c r="LPN89" s="62"/>
      <c r="LPO89" s="62"/>
      <c r="LPP89" s="62"/>
      <c r="LPQ89" s="62"/>
      <c r="LPR89" s="62"/>
      <c r="LPS89" s="62"/>
      <c r="LPT89" s="62"/>
      <c r="LPU89" s="62"/>
      <c r="LPV89" s="62"/>
      <c r="LPW89" s="62"/>
      <c r="LPX89" s="62"/>
      <c r="LPY89" s="62"/>
      <c r="LPZ89" s="62"/>
      <c r="LQA89" s="62"/>
      <c r="LQB89" s="62"/>
      <c r="LQC89" s="62"/>
      <c r="LQD89" s="62"/>
      <c r="LQE89" s="62"/>
      <c r="LQF89" s="62"/>
      <c r="LQG89" s="62"/>
      <c r="LQH89" s="62"/>
      <c r="LQI89" s="62"/>
      <c r="LQJ89" s="62"/>
      <c r="LQK89" s="62"/>
      <c r="LQL89" s="62"/>
      <c r="LQM89" s="62"/>
      <c r="LQN89" s="62"/>
      <c r="LQO89" s="62"/>
      <c r="LQP89" s="62"/>
      <c r="LQQ89" s="62"/>
      <c r="LQR89" s="62"/>
      <c r="LQS89" s="62"/>
      <c r="LQT89" s="62"/>
      <c r="LQU89" s="62"/>
      <c r="LQV89" s="62"/>
      <c r="LQW89" s="62"/>
      <c r="LQX89" s="62"/>
      <c r="LQY89" s="62"/>
      <c r="LQZ89" s="62"/>
      <c r="LRA89" s="62"/>
      <c r="LRB89" s="62"/>
      <c r="LRC89" s="62"/>
      <c r="LRD89" s="62"/>
      <c r="LRE89" s="62"/>
      <c r="LRF89" s="62"/>
      <c r="LRG89" s="62"/>
      <c r="LRH89" s="62"/>
      <c r="LRI89" s="62"/>
      <c r="LRJ89" s="62"/>
      <c r="LRK89" s="62"/>
      <c r="LRL89" s="62"/>
      <c r="LRM89" s="62"/>
      <c r="LRN89" s="62"/>
      <c r="LRO89" s="62"/>
      <c r="LRP89" s="62"/>
      <c r="LRQ89" s="62"/>
      <c r="LRR89" s="62"/>
      <c r="LRS89" s="62"/>
      <c r="LRT89" s="62"/>
      <c r="LRU89" s="62"/>
      <c r="LRV89" s="62"/>
      <c r="LRW89" s="62"/>
      <c r="LRX89" s="62"/>
      <c r="LRY89" s="62"/>
      <c r="LRZ89" s="62"/>
      <c r="LSA89" s="62"/>
      <c r="LSB89" s="62"/>
      <c r="LSC89" s="62"/>
      <c r="LSD89" s="62"/>
      <c r="LSE89" s="62"/>
      <c r="LSF89" s="62"/>
      <c r="LSG89" s="62"/>
      <c r="LSH89" s="62"/>
      <c r="LSI89" s="62"/>
      <c r="LSJ89" s="62"/>
      <c r="LSK89" s="62"/>
      <c r="LSL89" s="62"/>
      <c r="LSM89" s="62"/>
      <c r="LSN89" s="62"/>
      <c r="LSO89" s="62"/>
      <c r="LSP89" s="62"/>
      <c r="LSQ89" s="62"/>
      <c r="LSR89" s="62"/>
      <c r="LSS89" s="62"/>
      <c r="LST89" s="62"/>
      <c r="LSU89" s="62"/>
      <c r="LSV89" s="62"/>
      <c r="LSW89" s="62"/>
      <c r="LSX89" s="62"/>
      <c r="LSY89" s="62"/>
      <c r="LSZ89" s="62"/>
      <c r="LTA89" s="62"/>
      <c r="LTB89" s="62"/>
      <c r="LTC89" s="62"/>
      <c r="LTD89" s="62"/>
      <c r="LTE89" s="62"/>
      <c r="LTF89" s="62"/>
      <c r="LTG89" s="62"/>
      <c r="LTH89" s="62"/>
      <c r="LTI89" s="62"/>
      <c r="LTJ89" s="62"/>
      <c r="LTK89" s="62"/>
      <c r="LTL89" s="62"/>
      <c r="LTM89" s="62"/>
      <c r="LTN89" s="62"/>
      <c r="LTO89" s="62"/>
      <c r="LTP89" s="62"/>
      <c r="LTQ89" s="62"/>
      <c r="LTR89" s="62"/>
      <c r="LTS89" s="62"/>
      <c r="LTT89" s="62"/>
      <c r="LTU89" s="62"/>
      <c r="LTV89" s="62"/>
      <c r="LTW89" s="62"/>
      <c r="LTX89" s="62"/>
      <c r="LTY89" s="62"/>
      <c r="LTZ89" s="62"/>
      <c r="LUA89" s="62"/>
      <c r="LUB89" s="62"/>
      <c r="LUC89" s="62"/>
      <c r="LUD89" s="62"/>
      <c r="LUE89" s="62"/>
      <c r="LUF89" s="62"/>
      <c r="LUG89" s="62"/>
      <c r="LUH89" s="62"/>
      <c r="LUI89" s="62"/>
      <c r="LUJ89" s="62"/>
      <c r="LUK89" s="62"/>
      <c r="LUL89" s="62"/>
      <c r="LUM89" s="62"/>
      <c r="LUN89" s="62"/>
      <c r="LUO89" s="62"/>
      <c r="LUP89" s="62"/>
      <c r="LUQ89" s="62"/>
      <c r="LUR89" s="62"/>
      <c r="LUS89" s="62"/>
      <c r="LUT89" s="62"/>
      <c r="LUU89" s="62"/>
      <c r="LUV89" s="62"/>
      <c r="LUW89" s="62"/>
      <c r="LUX89" s="62"/>
      <c r="LUY89" s="62"/>
      <c r="LUZ89" s="62"/>
      <c r="LVA89" s="62"/>
      <c r="LVB89" s="62"/>
      <c r="LVC89" s="62"/>
      <c r="LVD89" s="62"/>
      <c r="LVE89" s="62"/>
      <c r="LVF89" s="62"/>
      <c r="LVG89" s="62"/>
      <c r="LVH89" s="62"/>
      <c r="LVI89" s="62"/>
      <c r="LVJ89" s="62"/>
      <c r="LVK89" s="62"/>
      <c r="LVL89" s="62"/>
      <c r="LVM89" s="62"/>
      <c r="LVN89" s="62"/>
      <c r="LVO89" s="62"/>
      <c r="LVP89" s="62"/>
      <c r="LVQ89" s="62"/>
      <c r="LVR89" s="62"/>
      <c r="LVS89" s="62"/>
      <c r="LVT89" s="62"/>
      <c r="LVU89" s="62"/>
      <c r="LVV89" s="62"/>
      <c r="LVW89" s="62"/>
      <c r="LVX89" s="62"/>
      <c r="LVY89" s="62"/>
      <c r="LVZ89" s="62"/>
      <c r="LWA89" s="62"/>
      <c r="LWB89" s="62"/>
      <c r="LWC89" s="62"/>
      <c r="LWD89" s="62"/>
      <c r="LWE89" s="62"/>
      <c r="LWF89" s="62"/>
      <c r="LWG89" s="62"/>
      <c r="LWH89" s="62"/>
      <c r="LWI89" s="62"/>
      <c r="LWJ89" s="62"/>
      <c r="LWK89" s="62"/>
      <c r="LWL89" s="62"/>
      <c r="LWM89" s="62"/>
      <c r="LWN89" s="62"/>
      <c r="LWO89" s="62"/>
      <c r="LWP89" s="62"/>
      <c r="LWQ89" s="62"/>
      <c r="LWR89" s="62"/>
      <c r="LWS89" s="62"/>
      <c r="LWT89" s="62"/>
      <c r="LWU89" s="62"/>
      <c r="LWV89" s="62"/>
      <c r="LWW89" s="62"/>
      <c r="LWX89" s="62"/>
      <c r="LWY89" s="62"/>
      <c r="LWZ89" s="62"/>
      <c r="LXA89" s="62"/>
      <c r="LXB89" s="62"/>
      <c r="LXC89" s="62"/>
      <c r="LXD89" s="62"/>
      <c r="LXE89" s="62"/>
      <c r="LXF89" s="62"/>
      <c r="LXG89" s="62"/>
      <c r="LXH89" s="62"/>
      <c r="LXI89" s="62"/>
      <c r="LXJ89" s="62"/>
      <c r="LXK89" s="62"/>
      <c r="LXL89" s="62"/>
      <c r="LXM89" s="62"/>
      <c r="LXN89" s="62"/>
      <c r="LXO89" s="62"/>
      <c r="LXP89" s="62"/>
      <c r="LXQ89" s="62"/>
      <c r="LXR89" s="62"/>
      <c r="LXS89" s="62"/>
      <c r="LXT89" s="62"/>
      <c r="LXU89" s="62"/>
      <c r="LXV89" s="62"/>
      <c r="LXW89" s="62"/>
      <c r="LXX89" s="62"/>
      <c r="LXY89" s="62"/>
      <c r="LXZ89" s="62"/>
      <c r="LYA89" s="62"/>
      <c r="LYB89" s="62"/>
      <c r="LYC89" s="62"/>
      <c r="LYD89" s="62"/>
      <c r="LYE89" s="62"/>
      <c r="LYF89" s="62"/>
      <c r="LYG89" s="62"/>
      <c r="LYH89" s="62"/>
      <c r="LYI89" s="62"/>
      <c r="LYJ89" s="62"/>
      <c r="LYK89" s="62"/>
      <c r="LYL89" s="62"/>
      <c r="LYM89" s="62"/>
      <c r="LYN89" s="62"/>
      <c r="LYO89" s="62"/>
      <c r="LYP89" s="62"/>
      <c r="LYQ89" s="62"/>
      <c r="LYR89" s="62"/>
      <c r="LYS89" s="62"/>
      <c r="LYT89" s="62"/>
      <c r="LYU89" s="62"/>
      <c r="LYV89" s="62"/>
      <c r="LYW89" s="62"/>
      <c r="LYX89" s="62"/>
      <c r="LYY89" s="62"/>
      <c r="LYZ89" s="62"/>
      <c r="LZA89" s="62"/>
      <c r="LZB89" s="62"/>
      <c r="LZC89" s="62"/>
      <c r="LZD89" s="62"/>
      <c r="LZE89" s="62"/>
      <c r="LZF89" s="62"/>
      <c r="LZG89" s="62"/>
      <c r="LZH89" s="62"/>
      <c r="LZI89" s="62"/>
      <c r="LZJ89" s="62"/>
      <c r="LZK89" s="62"/>
      <c r="LZL89" s="62"/>
      <c r="LZM89" s="62"/>
      <c r="LZN89" s="62"/>
      <c r="LZO89" s="62"/>
      <c r="LZP89" s="62"/>
      <c r="LZQ89" s="62"/>
      <c r="LZR89" s="62"/>
      <c r="LZS89" s="62"/>
      <c r="LZT89" s="62"/>
      <c r="LZU89" s="62"/>
      <c r="LZV89" s="62"/>
      <c r="LZW89" s="62"/>
      <c r="LZX89" s="62"/>
      <c r="LZY89" s="62"/>
      <c r="LZZ89" s="62"/>
      <c r="MAA89" s="62"/>
      <c r="MAB89" s="62"/>
      <c r="MAC89" s="62"/>
      <c r="MAD89" s="62"/>
      <c r="MAE89" s="62"/>
      <c r="MAF89" s="62"/>
      <c r="MAG89" s="62"/>
      <c r="MAH89" s="62"/>
      <c r="MAI89" s="62"/>
      <c r="MAJ89" s="62"/>
      <c r="MAK89" s="62"/>
      <c r="MAL89" s="62"/>
      <c r="MAM89" s="62"/>
      <c r="MAN89" s="62"/>
      <c r="MAO89" s="62"/>
      <c r="MAP89" s="62"/>
      <c r="MAQ89" s="62"/>
      <c r="MAR89" s="62"/>
      <c r="MAS89" s="62"/>
      <c r="MAT89" s="62"/>
      <c r="MAU89" s="62"/>
      <c r="MAV89" s="62"/>
      <c r="MAW89" s="62"/>
      <c r="MAX89" s="62"/>
      <c r="MAY89" s="62"/>
      <c r="MAZ89" s="62"/>
      <c r="MBA89" s="62"/>
      <c r="MBB89" s="62"/>
      <c r="MBC89" s="62"/>
      <c r="MBD89" s="62"/>
      <c r="MBE89" s="62"/>
      <c r="MBF89" s="62"/>
      <c r="MBG89" s="62"/>
      <c r="MBH89" s="62"/>
      <c r="MBI89" s="62"/>
      <c r="MBJ89" s="62"/>
      <c r="MBK89" s="62"/>
      <c r="MBL89" s="62"/>
      <c r="MBM89" s="62"/>
      <c r="MBN89" s="62"/>
      <c r="MBO89" s="62"/>
      <c r="MBP89" s="62"/>
      <c r="MBQ89" s="62"/>
      <c r="MBR89" s="62"/>
      <c r="MBS89" s="62"/>
      <c r="MBT89" s="62"/>
      <c r="MBU89" s="62"/>
      <c r="MBV89" s="62"/>
      <c r="MBW89" s="62"/>
      <c r="MBX89" s="62"/>
      <c r="MBY89" s="62"/>
      <c r="MBZ89" s="62"/>
      <c r="MCA89" s="62"/>
      <c r="MCB89" s="62"/>
      <c r="MCC89" s="62"/>
      <c r="MCD89" s="62"/>
      <c r="MCE89" s="62"/>
      <c r="MCF89" s="62"/>
      <c r="MCG89" s="62"/>
      <c r="MCH89" s="62"/>
      <c r="MCI89" s="62"/>
      <c r="MCJ89" s="62"/>
      <c r="MCK89" s="62"/>
      <c r="MCL89" s="62"/>
      <c r="MCM89" s="62"/>
      <c r="MCN89" s="62"/>
      <c r="MCO89" s="62"/>
      <c r="MCP89" s="62"/>
      <c r="MCQ89" s="62"/>
      <c r="MCR89" s="62"/>
      <c r="MCS89" s="62"/>
      <c r="MCT89" s="62"/>
      <c r="MCU89" s="62"/>
      <c r="MCV89" s="62"/>
      <c r="MCW89" s="62"/>
      <c r="MCX89" s="62"/>
      <c r="MCY89" s="62"/>
      <c r="MCZ89" s="62"/>
      <c r="MDA89" s="62"/>
      <c r="MDB89" s="62"/>
      <c r="MDC89" s="62"/>
      <c r="MDD89" s="62"/>
      <c r="MDE89" s="62"/>
      <c r="MDF89" s="62"/>
      <c r="MDG89" s="62"/>
      <c r="MDH89" s="62"/>
      <c r="MDI89" s="62"/>
      <c r="MDJ89" s="62"/>
      <c r="MDK89" s="62"/>
      <c r="MDL89" s="62"/>
      <c r="MDM89" s="62"/>
      <c r="MDN89" s="62"/>
      <c r="MDO89" s="62"/>
      <c r="MDP89" s="62"/>
      <c r="MDQ89" s="62"/>
      <c r="MDR89" s="62"/>
      <c r="MDS89" s="62"/>
      <c r="MDT89" s="62"/>
      <c r="MDU89" s="62"/>
      <c r="MDV89" s="62"/>
      <c r="MDW89" s="62"/>
      <c r="MDX89" s="62"/>
      <c r="MDY89" s="62"/>
      <c r="MDZ89" s="62"/>
      <c r="MEA89" s="62"/>
      <c r="MEB89" s="62"/>
      <c r="MEC89" s="62"/>
      <c r="MED89" s="62"/>
      <c r="MEE89" s="62"/>
      <c r="MEF89" s="62"/>
      <c r="MEG89" s="62"/>
      <c r="MEH89" s="62"/>
      <c r="MEI89" s="62"/>
      <c r="MEJ89" s="62"/>
      <c r="MEK89" s="62"/>
      <c r="MEL89" s="62"/>
      <c r="MEM89" s="62"/>
      <c r="MEN89" s="62"/>
      <c r="MEO89" s="62"/>
      <c r="MEP89" s="62"/>
      <c r="MEQ89" s="62"/>
      <c r="MER89" s="62"/>
      <c r="MES89" s="62"/>
      <c r="MET89" s="62"/>
      <c r="MEU89" s="62"/>
      <c r="MEV89" s="62"/>
      <c r="MEW89" s="62"/>
      <c r="MEX89" s="62"/>
      <c r="MEY89" s="62"/>
      <c r="MEZ89" s="62"/>
      <c r="MFA89" s="62"/>
      <c r="MFB89" s="62"/>
      <c r="MFC89" s="62"/>
      <c r="MFD89" s="62"/>
      <c r="MFE89" s="62"/>
      <c r="MFF89" s="62"/>
      <c r="MFG89" s="62"/>
      <c r="MFH89" s="62"/>
      <c r="MFI89" s="62"/>
      <c r="MFJ89" s="62"/>
      <c r="MFK89" s="62"/>
      <c r="MFL89" s="62"/>
      <c r="MFM89" s="62"/>
      <c r="MFN89" s="62"/>
      <c r="MFO89" s="62"/>
      <c r="MFP89" s="62"/>
      <c r="MFQ89" s="62"/>
      <c r="MFR89" s="62"/>
      <c r="MFS89" s="62"/>
      <c r="MFT89" s="62"/>
      <c r="MFU89" s="62"/>
      <c r="MFV89" s="62"/>
      <c r="MFW89" s="62"/>
      <c r="MFX89" s="62"/>
      <c r="MFY89" s="62"/>
      <c r="MFZ89" s="62"/>
      <c r="MGA89" s="62"/>
      <c r="MGB89" s="62"/>
      <c r="MGC89" s="62"/>
      <c r="MGD89" s="62"/>
      <c r="MGE89" s="62"/>
      <c r="MGF89" s="62"/>
      <c r="MGG89" s="62"/>
      <c r="MGH89" s="62"/>
      <c r="MGI89" s="62"/>
      <c r="MGJ89" s="62"/>
      <c r="MGK89" s="62"/>
      <c r="MGL89" s="62"/>
      <c r="MGM89" s="62"/>
      <c r="MGN89" s="62"/>
      <c r="MGO89" s="62"/>
      <c r="MGP89" s="62"/>
      <c r="MGQ89" s="62"/>
      <c r="MGR89" s="62"/>
      <c r="MGS89" s="62"/>
      <c r="MGT89" s="62"/>
      <c r="MGU89" s="62"/>
      <c r="MGV89" s="62"/>
      <c r="MGW89" s="62"/>
      <c r="MGX89" s="62"/>
      <c r="MGY89" s="62"/>
      <c r="MGZ89" s="62"/>
      <c r="MHA89" s="62"/>
      <c r="MHB89" s="62"/>
      <c r="MHC89" s="62"/>
      <c r="MHD89" s="62"/>
      <c r="MHE89" s="62"/>
      <c r="MHF89" s="62"/>
      <c r="MHG89" s="62"/>
      <c r="MHH89" s="62"/>
      <c r="MHI89" s="62"/>
      <c r="MHJ89" s="62"/>
      <c r="MHK89" s="62"/>
      <c r="MHL89" s="62"/>
      <c r="MHM89" s="62"/>
      <c r="MHN89" s="62"/>
      <c r="MHO89" s="62"/>
      <c r="MHP89" s="62"/>
      <c r="MHQ89" s="62"/>
      <c r="MHR89" s="62"/>
      <c r="MHS89" s="62"/>
      <c r="MHT89" s="62"/>
      <c r="MHU89" s="62"/>
      <c r="MHV89" s="62"/>
      <c r="MHW89" s="62"/>
      <c r="MHX89" s="62"/>
      <c r="MHY89" s="62"/>
      <c r="MHZ89" s="62"/>
      <c r="MIA89" s="62"/>
      <c r="MIB89" s="62"/>
      <c r="MIC89" s="62"/>
      <c r="MID89" s="62"/>
      <c r="MIE89" s="62"/>
      <c r="MIF89" s="62"/>
      <c r="MIG89" s="62"/>
      <c r="MIH89" s="62"/>
      <c r="MII89" s="62"/>
      <c r="MIJ89" s="62"/>
      <c r="MIK89" s="62"/>
      <c r="MIL89" s="62"/>
      <c r="MIM89" s="62"/>
      <c r="MIN89" s="62"/>
      <c r="MIO89" s="62"/>
      <c r="MIP89" s="62"/>
      <c r="MIQ89" s="62"/>
      <c r="MIR89" s="62"/>
      <c r="MIS89" s="62"/>
      <c r="MIT89" s="62"/>
      <c r="MIU89" s="62"/>
      <c r="MIV89" s="62"/>
      <c r="MIW89" s="62"/>
      <c r="MIX89" s="62"/>
      <c r="MIY89" s="62"/>
      <c r="MIZ89" s="62"/>
      <c r="MJA89" s="62"/>
      <c r="MJB89" s="62"/>
      <c r="MJC89" s="62"/>
      <c r="MJD89" s="62"/>
      <c r="MJE89" s="62"/>
      <c r="MJF89" s="62"/>
      <c r="MJG89" s="62"/>
      <c r="MJH89" s="62"/>
      <c r="MJI89" s="62"/>
      <c r="MJJ89" s="62"/>
      <c r="MJK89" s="62"/>
      <c r="MJL89" s="62"/>
      <c r="MJM89" s="62"/>
      <c r="MJN89" s="62"/>
      <c r="MJO89" s="62"/>
      <c r="MJP89" s="62"/>
      <c r="MJQ89" s="62"/>
      <c r="MJR89" s="62"/>
      <c r="MJS89" s="62"/>
      <c r="MJT89" s="62"/>
      <c r="MJU89" s="62"/>
      <c r="MJV89" s="62"/>
      <c r="MJW89" s="62"/>
      <c r="MJX89" s="62"/>
      <c r="MJY89" s="62"/>
      <c r="MJZ89" s="62"/>
      <c r="MKA89" s="62"/>
      <c r="MKB89" s="62"/>
      <c r="MKC89" s="62"/>
      <c r="MKD89" s="62"/>
      <c r="MKE89" s="62"/>
      <c r="MKF89" s="62"/>
      <c r="MKG89" s="62"/>
      <c r="MKH89" s="62"/>
      <c r="MKI89" s="62"/>
      <c r="MKJ89" s="62"/>
      <c r="MKK89" s="62"/>
      <c r="MKL89" s="62"/>
      <c r="MKM89" s="62"/>
      <c r="MKN89" s="62"/>
      <c r="MKO89" s="62"/>
      <c r="MKP89" s="62"/>
      <c r="MKQ89" s="62"/>
      <c r="MKR89" s="62"/>
      <c r="MKS89" s="62"/>
      <c r="MKT89" s="62"/>
      <c r="MKU89" s="62"/>
      <c r="MKV89" s="62"/>
      <c r="MKW89" s="62"/>
      <c r="MKX89" s="62"/>
      <c r="MKY89" s="62"/>
      <c r="MKZ89" s="62"/>
      <c r="MLA89" s="62"/>
      <c r="MLB89" s="62"/>
      <c r="MLC89" s="62"/>
      <c r="MLD89" s="62"/>
      <c r="MLE89" s="62"/>
      <c r="MLF89" s="62"/>
      <c r="MLG89" s="62"/>
      <c r="MLH89" s="62"/>
      <c r="MLI89" s="62"/>
      <c r="MLJ89" s="62"/>
      <c r="MLK89" s="62"/>
      <c r="MLL89" s="62"/>
      <c r="MLM89" s="62"/>
      <c r="MLN89" s="62"/>
      <c r="MLO89" s="62"/>
      <c r="MLP89" s="62"/>
      <c r="MLQ89" s="62"/>
      <c r="MLR89" s="62"/>
      <c r="MLS89" s="62"/>
      <c r="MLT89" s="62"/>
      <c r="MLU89" s="62"/>
      <c r="MLV89" s="62"/>
      <c r="MLW89" s="62"/>
      <c r="MLX89" s="62"/>
      <c r="MLY89" s="62"/>
      <c r="MLZ89" s="62"/>
      <c r="MMA89" s="62"/>
      <c r="MMB89" s="62"/>
      <c r="MMC89" s="62"/>
      <c r="MMD89" s="62"/>
      <c r="MME89" s="62"/>
      <c r="MMF89" s="62"/>
      <c r="MMG89" s="62"/>
      <c r="MMH89" s="62"/>
      <c r="MMI89" s="62"/>
      <c r="MMJ89" s="62"/>
      <c r="MMK89" s="62"/>
      <c r="MML89" s="62"/>
      <c r="MMM89" s="62"/>
      <c r="MMN89" s="62"/>
      <c r="MMO89" s="62"/>
      <c r="MMP89" s="62"/>
      <c r="MMQ89" s="62"/>
      <c r="MMR89" s="62"/>
      <c r="MMS89" s="62"/>
      <c r="MMT89" s="62"/>
      <c r="MMU89" s="62"/>
      <c r="MMV89" s="62"/>
      <c r="MMW89" s="62"/>
      <c r="MMX89" s="62"/>
      <c r="MMY89" s="62"/>
      <c r="MMZ89" s="62"/>
      <c r="MNA89" s="62"/>
      <c r="MNB89" s="62"/>
      <c r="MNC89" s="62"/>
      <c r="MND89" s="62"/>
      <c r="MNE89" s="62"/>
      <c r="MNF89" s="62"/>
      <c r="MNG89" s="62"/>
      <c r="MNH89" s="62"/>
      <c r="MNI89" s="62"/>
      <c r="MNJ89" s="62"/>
      <c r="MNK89" s="62"/>
      <c r="MNL89" s="62"/>
      <c r="MNM89" s="62"/>
      <c r="MNN89" s="62"/>
      <c r="MNO89" s="62"/>
      <c r="MNP89" s="62"/>
      <c r="MNQ89" s="62"/>
      <c r="MNR89" s="62"/>
      <c r="MNS89" s="62"/>
      <c r="MNT89" s="62"/>
      <c r="MNU89" s="62"/>
      <c r="MNV89" s="62"/>
      <c r="MNW89" s="62"/>
      <c r="MNX89" s="62"/>
      <c r="MNY89" s="62"/>
      <c r="MNZ89" s="62"/>
      <c r="MOA89" s="62"/>
      <c r="MOB89" s="62"/>
      <c r="MOC89" s="62"/>
      <c r="MOD89" s="62"/>
      <c r="MOE89" s="62"/>
      <c r="MOF89" s="62"/>
      <c r="MOG89" s="62"/>
      <c r="MOH89" s="62"/>
      <c r="MOI89" s="62"/>
      <c r="MOJ89" s="62"/>
      <c r="MOK89" s="62"/>
      <c r="MOL89" s="62"/>
      <c r="MOM89" s="62"/>
      <c r="MON89" s="62"/>
      <c r="MOO89" s="62"/>
      <c r="MOP89" s="62"/>
      <c r="MOQ89" s="62"/>
      <c r="MOR89" s="62"/>
      <c r="MOS89" s="62"/>
      <c r="MOT89" s="62"/>
      <c r="MOU89" s="62"/>
      <c r="MOV89" s="62"/>
      <c r="MOW89" s="62"/>
      <c r="MOX89" s="62"/>
      <c r="MOY89" s="62"/>
      <c r="MOZ89" s="62"/>
      <c r="MPA89" s="62"/>
      <c r="MPB89" s="62"/>
      <c r="MPC89" s="62"/>
      <c r="MPD89" s="62"/>
      <c r="MPE89" s="62"/>
      <c r="MPF89" s="62"/>
      <c r="MPG89" s="62"/>
      <c r="MPH89" s="62"/>
      <c r="MPI89" s="62"/>
      <c r="MPJ89" s="62"/>
      <c r="MPK89" s="62"/>
      <c r="MPL89" s="62"/>
      <c r="MPM89" s="62"/>
      <c r="MPN89" s="62"/>
      <c r="MPO89" s="62"/>
      <c r="MPP89" s="62"/>
      <c r="MPQ89" s="62"/>
      <c r="MPR89" s="62"/>
      <c r="MPS89" s="62"/>
      <c r="MPT89" s="62"/>
      <c r="MPU89" s="62"/>
      <c r="MPV89" s="62"/>
      <c r="MPW89" s="62"/>
      <c r="MPX89" s="62"/>
      <c r="MPY89" s="62"/>
      <c r="MPZ89" s="62"/>
      <c r="MQA89" s="62"/>
      <c r="MQB89" s="62"/>
      <c r="MQC89" s="62"/>
      <c r="MQD89" s="62"/>
      <c r="MQE89" s="62"/>
      <c r="MQF89" s="62"/>
      <c r="MQG89" s="62"/>
      <c r="MQH89" s="62"/>
      <c r="MQI89" s="62"/>
      <c r="MQJ89" s="62"/>
      <c r="MQK89" s="62"/>
      <c r="MQL89" s="62"/>
      <c r="MQM89" s="62"/>
      <c r="MQN89" s="62"/>
      <c r="MQO89" s="62"/>
      <c r="MQP89" s="62"/>
      <c r="MQQ89" s="62"/>
      <c r="MQR89" s="62"/>
      <c r="MQS89" s="62"/>
      <c r="MQT89" s="62"/>
      <c r="MQU89" s="62"/>
      <c r="MQV89" s="62"/>
      <c r="MQW89" s="62"/>
      <c r="MQX89" s="62"/>
      <c r="MQY89" s="62"/>
      <c r="MQZ89" s="62"/>
      <c r="MRA89" s="62"/>
      <c r="MRB89" s="62"/>
      <c r="MRC89" s="62"/>
      <c r="MRD89" s="62"/>
      <c r="MRE89" s="62"/>
      <c r="MRF89" s="62"/>
      <c r="MRG89" s="62"/>
      <c r="MRH89" s="62"/>
      <c r="MRI89" s="62"/>
      <c r="MRJ89" s="62"/>
      <c r="MRK89" s="62"/>
      <c r="MRL89" s="62"/>
      <c r="MRM89" s="62"/>
      <c r="MRN89" s="62"/>
      <c r="MRO89" s="62"/>
      <c r="MRP89" s="62"/>
      <c r="MRQ89" s="62"/>
      <c r="MRR89" s="62"/>
      <c r="MRS89" s="62"/>
      <c r="MRT89" s="62"/>
      <c r="MRU89" s="62"/>
      <c r="MRV89" s="62"/>
      <c r="MRW89" s="62"/>
      <c r="MRX89" s="62"/>
      <c r="MRY89" s="62"/>
      <c r="MRZ89" s="62"/>
      <c r="MSA89" s="62"/>
      <c r="MSB89" s="62"/>
      <c r="MSC89" s="62"/>
      <c r="MSD89" s="62"/>
      <c r="MSE89" s="62"/>
      <c r="MSF89" s="62"/>
      <c r="MSG89" s="62"/>
      <c r="MSH89" s="62"/>
      <c r="MSI89" s="62"/>
      <c r="MSJ89" s="62"/>
      <c r="MSK89" s="62"/>
      <c r="MSL89" s="62"/>
      <c r="MSM89" s="62"/>
      <c r="MSN89" s="62"/>
      <c r="MSO89" s="62"/>
      <c r="MSP89" s="62"/>
      <c r="MSQ89" s="62"/>
      <c r="MSR89" s="62"/>
      <c r="MSS89" s="62"/>
      <c r="MST89" s="62"/>
      <c r="MSU89" s="62"/>
      <c r="MSV89" s="62"/>
      <c r="MSW89" s="62"/>
      <c r="MSX89" s="62"/>
      <c r="MSY89" s="62"/>
      <c r="MSZ89" s="62"/>
      <c r="MTA89" s="62"/>
      <c r="MTB89" s="62"/>
      <c r="MTC89" s="62"/>
      <c r="MTD89" s="62"/>
      <c r="MTE89" s="62"/>
      <c r="MTF89" s="62"/>
      <c r="MTG89" s="62"/>
      <c r="MTH89" s="62"/>
      <c r="MTI89" s="62"/>
      <c r="MTJ89" s="62"/>
      <c r="MTK89" s="62"/>
      <c r="MTL89" s="62"/>
      <c r="MTM89" s="62"/>
      <c r="MTN89" s="62"/>
      <c r="MTO89" s="62"/>
      <c r="MTP89" s="62"/>
      <c r="MTQ89" s="62"/>
      <c r="MTR89" s="62"/>
      <c r="MTS89" s="62"/>
      <c r="MTT89" s="62"/>
      <c r="MTU89" s="62"/>
      <c r="MTV89" s="62"/>
      <c r="MTW89" s="62"/>
      <c r="MTX89" s="62"/>
      <c r="MTY89" s="62"/>
      <c r="MTZ89" s="62"/>
      <c r="MUA89" s="62"/>
      <c r="MUB89" s="62"/>
      <c r="MUC89" s="62"/>
      <c r="MUD89" s="62"/>
      <c r="MUE89" s="62"/>
      <c r="MUF89" s="62"/>
      <c r="MUG89" s="62"/>
      <c r="MUH89" s="62"/>
      <c r="MUI89" s="62"/>
      <c r="MUJ89" s="62"/>
      <c r="MUK89" s="62"/>
      <c r="MUL89" s="62"/>
      <c r="MUM89" s="62"/>
      <c r="MUN89" s="62"/>
      <c r="MUO89" s="62"/>
      <c r="MUP89" s="62"/>
      <c r="MUQ89" s="62"/>
      <c r="MUR89" s="62"/>
      <c r="MUS89" s="62"/>
      <c r="MUT89" s="62"/>
      <c r="MUU89" s="62"/>
      <c r="MUV89" s="62"/>
      <c r="MUW89" s="62"/>
      <c r="MUX89" s="62"/>
      <c r="MUY89" s="62"/>
      <c r="MUZ89" s="62"/>
      <c r="MVA89" s="62"/>
      <c r="MVB89" s="62"/>
      <c r="MVC89" s="62"/>
      <c r="MVD89" s="62"/>
      <c r="MVE89" s="62"/>
      <c r="MVF89" s="62"/>
      <c r="MVG89" s="62"/>
      <c r="MVH89" s="62"/>
      <c r="MVI89" s="62"/>
      <c r="MVJ89" s="62"/>
      <c r="MVK89" s="62"/>
      <c r="MVL89" s="62"/>
      <c r="MVM89" s="62"/>
      <c r="MVN89" s="62"/>
      <c r="MVO89" s="62"/>
      <c r="MVP89" s="62"/>
      <c r="MVQ89" s="62"/>
      <c r="MVR89" s="62"/>
      <c r="MVS89" s="62"/>
      <c r="MVT89" s="62"/>
      <c r="MVU89" s="62"/>
      <c r="MVV89" s="62"/>
      <c r="MVW89" s="62"/>
      <c r="MVX89" s="62"/>
      <c r="MVY89" s="62"/>
      <c r="MVZ89" s="62"/>
      <c r="MWA89" s="62"/>
      <c r="MWB89" s="62"/>
      <c r="MWC89" s="62"/>
      <c r="MWD89" s="62"/>
      <c r="MWE89" s="62"/>
      <c r="MWF89" s="62"/>
      <c r="MWG89" s="62"/>
      <c r="MWH89" s="62"/>
      <c r="MWI89" s="62"/>
      <c r="MWJ89" s="62"/>
      <c r="MWK89" s="62"/>
      <c r="MWL89" s="62"/>
      <c r="MWM89" s="62"/>
      <c r="MWN89" s="62"/>
      <c r="MWO89" s="62"/>
      <c r="MWP89" s="62"/>
      <c r="MWQ89" s="62"/>
      <c r="MWR89" s="62"/>
      <c r="MWS89" s="62"/>
      <c r="MWT89" s="62"/>
      <c r="MWU89" s="62"/>
      <c r="MWV89" s="62"/>
      <c r="MWW89" s="62"/>
      <c r="MWX89" s="62"/>
      <c r="MWY89" s="62"/>
      <c r="MWZ89" s="62"/>
      <c r="MXA89" s="62"/>
      <c r="MXB89" s="62"/>
      <c r="MXC89" s="62"/>
      <c r="MXD89" s="62"/>
      <c r="MXE89" s="62"/>
      <c r="MXF89" s="62"/>
      <c r="MXG89" s="62"/>
      <c r="MXH89" s="62"/>
      <c r="MXI89" s="62"/>
      <c r="MXJ89" s="62"/>
      <c r="MXK89" s="62"/>
      <c r="MXL89" s="62"/>
      <c r="MXM89" s="62"/>
      <c r="MXN89" s="62"/>
      <c r="MXO89" s="62"/>
      <c r="MXP89" s="62"/>
      <c r="MXQ89" s="62"/>
      <c r="MXR89" s="62"/>
      <c r="MXS89" s="62"/>
      <c r="MXT89" s="62"/>
      <c r="MXU89" s="62"/>
      <c r="MXV89" s="62"/>
      <c r="MXW89" s="62"/>
      <c r="MXX89" s="62"/>
      <c r="MXY89" s="62"/>
      <c r="MXZ89" s="62"/>
      <c r="MYA89" s="62"/>
      <c r="MYB89" s="62"/>
      <c r="MYC89" s="62"/>
      <c r="MYD89" s="62"/>
      <c r="MYE89" s="62"/>
      <c r="MYF89" s="62"/>
      <c r="MYG89" s="62"/>
      <c r="MYH89" s="62"/>
      <c r="MYI89" s="62"/>
      <c r="MYJ89" s="62"/>
      <c r="MYK89" s="62"/>
      <c r="MYL89" s="62"/>
      <c r="MYM89" s="62"/>
      <c r="MYN89" s="62"/>
      <c r="MYO89" s="62"/>
      <c r="MYP89" s="62"/>
      <c r="MYQ89" s="62"/>
      <c r="MYR89" s="62"/>
      <c r="MYS89" s="62"/>
      <c r="MYT89" s="62"/>
      <c r="MYU89" s="62"/>
      <c r="MYV89" s="62"/>
      <c r="MYW89" s="62"/>
      <c r="MYX89" s="62"/>
      <c r="MYY89" s="62"/>
      <c r="MYZ89" s="62"/>
      <c r="MZA89" s="62"/>
      <c r="MZB89" s="62"/>
      <c r="MZC89" s="62"/>
      <c r="MZD89" s="62"/>
      <c r="MZE89" s="62"/>
      <c r="MZF89" s="62"/>
      <c r="MZG89" s="62"/>
      <c r="MZH89" s="62"/>
      <c r="MZI89" s="62"/>
      <c r="MZJ89" s="62"/>
      <c r="MZK89" s="62"/>
      <c r="MZL89" s="62"/>
      <c r="MZM89" s="62"/>
      <c r="MZN89" s="62"/>
      <c r="MZO89" s="62"/>
      <c r="MZP89" s="62"/>
      <c r="MZQ89" s="62"/>
      <c r="MZR89" s="62"/>
      <c r="MZS89" s="62"/>
      <c r="MZT89" s="62"/>
      <c r="MZU89" s="62"/>
      <c r="MZV89" s="62"/>
      <c r="MZW89" s="62"/>
      <c r="MZX89" s="62"/>
      <c r="MZY89" s="62"/>
      <c r="MZZ89" s="62"/>
      <c r="NAA89" s="62"/>
      <c r="NAB89" s="62"/>
      <c r="NAC89" s="62"/>
      <c r="NAD89" s="62"/>
      <c r="NAE89" s="62"/>
      <c r="NAF89" s="62"/>
      <c r="NAG89" s="62"/>
      <c r="NAH89" s="62"/>
      <c r="NAI89" s="62"/>
      <c r="NAJ89" s="62"/>
      <c r="NAK89" s="62"/>
      <c r="NAL89" s="62"/>
      <c r="NAM89" s="62"/>
      <c r="NAN89" s="62"/>
      <c r="NAO89" s="62"/>
      <c r="NAP89" s="62"/>
      <c r="NAQ89" s="62"/>
      <c r="NAR89" s="62"/>
      <c r="NAS89" s="62"/>
      <c r="NAT89" s="62"/>
      <c r="NAU89" s="62"/>
      <c r="NAV89" s="62"/>
      <c r="NAW89" s="62"/>
      <c r="NAX89" s="62"/>
      <c r="NAY89" s="62"/>
      <c r="NAZ89" s="62"/>
      <c r="NBA89" s="62"/>
      <c r="NBB89" s="62"/>
      <c r="NBC89" s="62"/>
      <c r="NBD89" s="62"/>
      <c r="NBE89" s="62"/>
      <c r="NBF89" s="62"/>
      <c r="NBG89" s="62"/>
      <c r="NBH89" s="62"/>
      <c r="NBI89" s="62"/>
      <c r="NBJ89" s="62"/>
      <c r="NBK89" s="62"/>
      <c r="NBL89" s="62"/>
      <c r="NBM89" s="62"/>
      <c r="NBN89" s="62"/>
      <c r="NBO89" s="62"/>
      <c r="NBP89" s="62"/>
      <c r="NBQ89" s="62"/>
      <c r="NBR89" s="62"/>
      <c r="NBS89" s="62"/>
      <c r="NBT89" s="62"/>
      <c r="NBU89" s="62"/>
      <c r="NBV89" s="62"/>
      <c r="NBW89" s="62"/>
      <c r="NBX89" s="62"/>
      <c r="NBY89" s="62"/>
      <c r="NBZ89" s="62"/>
      <c r="NCA89" s="62"/>
      <c r="NCB89" s="62"/>
      <c r="NCC89" s="62"/>
      <c r="NCD89" s="62"/>
      <c r="NCE89" s="62"/>
      <c r="NCF89" s="62"/>
      <c r="NCG89" s="62"/>
      <c r="NCH89" s="62"/>
      <c r="NCI89" s="62"/>
      <c r="NCJ89" s="62"/>
      <c r="NCK89" s="62"/>
      <c r="NCL89" s="62"/>
      <c r="NCM89" s="62"/>
      <c r="NCN89" s="62"/>
      <c r="NCO89" s="62"/>
      <c r="NCP89" s="62"/>
      <c r="NCQ89" s="62"/>
      <c r="NCR89" s="62"/>
      <c r="NCS89" s="62"/>
      <c r="NCT89" s="62"/>
      <c r="NCU89" s="62"/>
      <c r="NCV89" s="62"/>
      <c r="NCW89" s="62"/>
      <c r="NCX89" s="62"/>
      <c r="NCY89" s="62"/>
      <c r="NCZ89" s="62"/>
      <c r="NDA89" s="62"/>
      <c r="NDB89" s="62"/>
      <c r="NDC89" s="62"/>
      <c r="NDD89" s="62"/>
      <c r="NDE89" s="62"/>
      <c r="NDF89" s="62"/>
      <c r="NDG89" s="62"/>
      <c r="NDH89" s="62"/>
      <c r="NDI89" s="62"/>
      <c r="NDJ89" s="62"/>
      <c r="NDK89" s="62"/>
      <c r="NDL89" s="62"/>
      <c r="NDM89" s="62"/>
      <c r="NDN89" s="62"/>
      <c r="NDO89" s="62"/>
      <c r="NDP89" s="62"/>
      <c r="NDQ89" s="62"/>
      <c r="NDR89" s="62"/>
      <c r="NDS89" s="62"/>
      <c r="NDT89" s="62"/>
      <c r="NDU89" s="62"/>
      <c r="NDV89" s="62"/>
      <c r="NDW89" s="62"/>
      <c r="NDX89" s="62"/>
      <c r="NDY89" s="62"/>
      <c r="NDZ89" s="62"/>
      <c r="NEA89" s="62"/>
      <c r="NEB89" s="62"/>
      <c r="NEC89" s="62"/>
      <c r="NED89" s="62"/>
      <c r="NEE89" s="62"/>
      <c r="NEF89" s="62"/>
      <c r="NEG89" s="62"/>
      <c r="NEH89" s="62"/>
      <c r="NEI89" s="62"/>
      <c r="NEJ89" s="62"/>
      <c r="NEK89" s="62"/>
      <c r="NEL89" s="62"/>
      <c r="NEM89" s="62"/>
      <c r="NEN89" s="62"/>
      <c r="NEO89" s="62"/>
      <c r="NEP89" s="62"/>
      <c r="NEQ89" s="62"/>
      <c r="NER89" s="62"/>
      <c r="NES89" s="62"/>
      <c r="NET89" s="62"/>
      <c r="NEU89" s="62"/>
      <c r="NEV89" s="62"/>
      <c r="NEW89" s="62"/>
      <c r="NEX89" s="62"/>
      <c r="NEY89" s="62"/>
      <c r="NEZ89" s="62"/>
      <c r="NFA89" s="62"/>
      <c r="NFB89" s="62"/>
      <c r="NFC89" s="62"/>
      <c r="NFD89" s="62"/>
      <c r="NFE89" s="62"/>
      <c r="NFF89" s="62"/>
      <c r="NFG89" s="62"/>
      <c r="NFH89" s="62"/>
      <c r="NFI89" s="62"/>
      <c r="NFJ89" s="62"/>
      <c r="NFK89" s="62"/>
      <c r="NFL89" s="62"/>
      <c r="NFM89" s="62"/>
      <c r="NFN89" s="62"/>
      <c r="NFO89" s="62"/>
      <c r="NFP89" s="62"/>
      <c r="NFQ89" s="62"/>
      <c r="NFR89" s="62"/>
      <c r="NFS89" s="62"/>
      <c r="NFT89" s="62"/>
      <c r="NFU89" s="62"/>
      <c r="NFV89" s="62"/>
      <c r="NFW89" s="62"/>
      <c r="NFX89" s="62"/>
      <c r="NFY89" s="62"/>
      <c r="NFZ89" s="62"/>
      <c r="NGA89" s="62"/>
      <c r="NGB89" s="62"/>
      <c r="NGC89" s="62"/>
      <c r="NGD89" s="62"/>
      <c r="NGE89" s="62"/>
      <c r="NGF89" s="62"/>
      <c r="NGG89" s="62"/>
      <c r="NGH89" s="62"/>
      <c r="NGI89" s="62"/>
      <c r="NGJ89" s="62"/>
      <c r="NGK89" s="62"/>
      <c r="NGL89" s="62"/>
      <c r="NGM89" s="62"/>
      <c r="NGN89" s="62"/>
      <c r="NGO89" s="62"/>
      <c r="NGP89" s="62"/>
      <c r="NGQ89" s="62"/>
      <c r="NGR89" s="62"/>
      <c r="NGS89" s="62"/>
      <c r="NGT89" s="62"/>
      <c r="NGU89" s="62"/>
      <c r="NGV89" s="62"/>
      <c r="NGW89" s="62"/>
      <c r="NGX89" s="62"/>
      <c r="NGY89" s="62"/>
      <c r="NGZ89" s="62"/>
      <c r="NHA89" s="62"/>
      <c r="NHB89" s="62"/>
      <c r="NHC89" s="62"/>
      <c r="NHD89" s="62"/>
      <c r="NHE89" s="62"/>
      <c r="NHF89" s="62"/>
      <c r="NHG89" s="62"/>
      <c r="NHH89" s="62"/>
      <c r="NHI89" s="62"/>
      <c r="NHJ89" s="62"/>
      <c r="NHK89" s="62"/>
      <c r="NHL89" s="62"/>
      <c r="NHM89" s="62"/>
      <c r="NHN89" s="62"/>
      <c r="NHO89" s="62"/>
      <c r="NHP89" s="62"/>
      <c r="NHQ89" s="62"/>
      <c r="NHR89" s="62"/>
      <c r="NHS89" s="62"/>
      <c r="NHT89" s="62"/>
      <c r="NHU89" s="62"/>
      <c r="NHV89" s="62"/>
      <c r="NHW89" s="62"/>
      <c r="NHX89" s="62"/>
      <c r="NHY89" s="62"/>
      <c r="NHZ89" s="62"/>
      <c r="NIA89" s="62"/>
      <c r="NIB89" s="62"/>
      <c r="NIC89" s="62"/>
      <c r="NID89" s="62"/>
      <c r="NIE89" s="62"/>
      <c r="NIF89" s="62"/>
      <c r="NIG89" s="62"/>
      <c r="NIH89" s="62"/>
      <c r="NII89" s="62"/>
      <c r="NIJ89" s="62"/>
      <c r="NIK89" s="62"/>
      <c r="NIL89" s="62"/>
      <c r="NIM89" s="62"/>
      <c r="NIN89" s="62"/>
      <c r="NIO89" s="62"/>
      <c r="NIP89" s="62"/>
      <c r="NIQ89" s="62"/>
      <c r="NIR89" s="62"/>
      <c r="NIS89" s="62"/>
      <c r="NIT89" s="62"/>
      <c r="NIU89" s="62"/>
      <c r="NIV89" s="62"/>
      <c r="NIW89" s="62"/>
      <c r="NIX89" s="62"/>
      <c r="NIY89" s="62"/>
      <c r="NIZ89" s="62"/>
      <c r="NJA89" s="62"/>
      <c r="NJB89" s="62"/>
      <c r="NJC89" s="62"/>
      <c r="NJD89" s="62"/>
      <c r="NJE89" s="62"/>
      <c r="NJF89" s="62"/>
      <c r="NJG89" s="62"/>
      <c r="NJH89" s="62"/>
      <c r="NJI89" s="62"/>
      <c r="NJJ89" s="62"/>
      <c r="NJK89" s="62"/>
      <c r="NJL89" s="62"/>
      <c r="NJM89" s="62"/>
      <c r="NJN89" s="62"/>
      <c r="NJO89" s="62"/>
      <c r="NJP89" s="62"/>
      <c r="NJQ89" s="62"/>
      <c r="NJR89" s="62"/>
      <c r="NJS89" s="62"/>
      <c r="NJT89" s="62"/>
      <c r="NJU89" s="62"/>
      <c r="NJV89" s="62"/>
      <c r="NJW89" s="62"/>
      <c r="NJX89" s="62"/>
      <c r="NJY89" s="62"/>
      <c r="NJZ89" s="62"/>
      <c r="NKA89" s="62"/>
      <c r="NKB89" s="62"/>
      <c r="NKC89" s="62"/>
      <c r="NKD89" s="62"/>
      <c r="NKE89" s="62"/>
      <c r="NKF89" s="62"/>
      <c r="NKG89" s="62"/>
      <c r="NKH89" s="62"/>
      <c r="NKI89" s="62"/>
      <c r="NKJ89" s="62"/>
      <c r="NKK89" s="62"/>
      <c r="NKL89" s="62"/>
      <c r="NKM89" s="62"/>
      <c r="NKN89" s="62"/>
      <c r="NKO89" s="62"/>
      <c r="NKP89" s="62"/>
      <c r="NKQ89" s="62"/>
      <c r="NKR89" s="62"/>
      <c r="NKS89" s="62"/>
      <c r="NKT89" s="62"/>
      <c r="NKU89" s="62"/>
      <c r="NKV89" s="62"/>
      <c r="NKW89" s="62"/>
      <c r="NKX89" s="62"/>
      <c r="NKY89" s="62"/>
      <c r="NKZ89" s="62"/>
      <c r="NLA89" s="62"/>
      <c r="NLB89" s="62"/>
      <c r="NLC89" s="62"/>
      <c r="NLD89" s="62"/>
      <c r="NLE89" s="62"/>
      <c r="NLF89" s="62"/>
      <c r="NLG89" s="62"/>
      <c r="NLH89" s="62"/>
      <c r="NLI89" s="62"/>
      <c r="NLJ89" s="62"/>
      <c r="NLK89" s="62"/>
      <c r="NLL89" s="62"/>
      <c r="NLM89" s="62"/>
      <c r="NLN89" s="62"/>
      <c r="NLO89" s="62"/>
      <c r="NLP89" s="62"/>
      <c r="NLQ89" s="62"/>
      <c r="NLR89" s="62"/>
      <c r="NLS89" s="62"/>
      <c r="NLT89" s="62"/>
      <c r="NLU89" s="62"/>
      <c r="NLV89" s="62"/>
      <c r="NLW89" s="62"/>
      <c r="NLX89" s="62"/>
      <c r="NLY89" s="62"/>
      <c r="NLZ89" s="62"/>
      <c r="NMA89" s="62"/>
      <c r="NMB89" s="62"/>
      <c r="NMC89" s="62"/>
      <c r="NMD89" s="62"/>
      <c r="NME89" s="62"/>
      <c r="NMF89" s="62"/>
      <c r="NMG89" s="62"/>
      <c r="NMH89" s="62"/>
      <c r="NMI89" s="62"/>
      <c r="NMJ89" s="62"/>
      <c r="NMK89" s="62"/>
      <c r="NML89" s="62"/>
      <c r="NMM89" s="62"/>
      <c r="NMN89" s="62"/>
      <c r="NMO89" s="62"/>
      <c r="NMP89" s="62"/>
      <c r="NMQ89" s="62"/>
      <c r="NMR89" s="62"/>
      <c r="NMS89" s="62"/>
      <c r="NMT89" s="62"/>
      <c r="NMU89" s="62"/>
      <c r="NMV89" s="62"/>
      <c r="NMW89" s="62"/>
      <c r="NMX89" s="62"/>
      <c r="NMY89" s="62"/>
      <c r="NMZ89" s="62"/>
      <c r="NNA89" s="62"/>
      <c r="NNB89" s="62"/>
      <c r="NNC89" s="62"/>
      <c r="NND89" s="62"/>
      <c r="NNE89" s="62"/>
      <c r="NNF89" s="62"/>
      <c r="NNG89" s="62"/>
      <c r="NNH89" s="62"/>
      <c r="NNI89" s="62"/>
      <c r="NNJ89" s="62"/>
      <c r="NNK89" s="62"/>
      <c r="NNL89" s="62"/>
      <c r="NNM89" s="62"/>
      <c r="NNN89" s="62"/>
      <c r="NNO89" s="62"/>
      <c r="NNP89" s="62"/>
      <c r="NNQ89" s="62"/>
      <c r="NNR89" s="62"/>
      <c r="NNS89" s="62"/>
      <c r="NNT89" s="62"/>
      <c r="NNU89" s="62"/>
      <c r="NNV89" s="62"/>
      <c r="NNW89" s="62"/>
      <c r="NNX89" s="62"/>
      <c r="NNY89" s="62"/>
      <c r="NNZ89" s="62"/>
      <c r="NOA89" s="62"/>
      <c r="NOB89" s="62"/>
      <c r="NOC89" s="62"/>
      <c r="NOD89" s="62"/>
      <c r="NOE89" s="62"/>
      <c r="NOF89" s="62"/>
      <c r="NOG89" s="62"/>
      <c r="NOH89" s="62"/>
      <c r="NOI89" s="62"/>
      <c r="NOJ89" s="62"/>
      <c r="NOK89" s="62"/>
      <c r="NOL89" s="62"/>
      <c r="NOM89" s="62"/>
      <c r="NON89" s="62"/>
      <c r="NOO89" s="62"/>
      <c r="NOP89" s="62"/>
      <c r="NOQ89" s="62"/>
      <c r="NOR89" s="62"/>
      <c r="NOS89" s="62"/>
      <c r="NOT89" s="62"/>
      <c r="NOU89" s="62"/>
      <c r="NOV89" s="62"/>
      <c r="NOW89" s="62"/>
      <c r="NOX89" s="62"/>
      <c r="NOY89" s="62"/>
      <c r="NOZ89" s="62"/>
      <c r="NPA89" s="62"/>
      <c r="NPB89" s="62"/>
      <c r="NPC89" s="62"/>
      <c r="NPD89" s="62"/>
      <c r="NPE89" s="62"/>
      <c r="NPF89" s="62"/>
      <c r="NPG89" s="62"/>
      <c r="NPH89" s="62"/>
      <c r="NPI89" s="62"/>
      <c r="NPJ89" s="62"/>
      <c r="NPK89" s="62"/>
      <c r="NPL89" s="62"/>
      <c r="NPM89" s="62"/>
      <c r="NPN89" s="62"/>
      <c r="NPO89" s="62"/>
      <c r="NPP89" s="62"/>
      <c r="NPQ89" s="62"/>
      <c r="NPR89" s="62"/>
      <c r="NPS89" s="62"/>
      <c r="NPT89" s="62"/>
      <c r="NPU89" s="62"/>
      <c r="NPV89" s="62"/>
      <c r="NPW89" s="62"/>
      <c r="NPX89" s="62"/>
      <c r="NPY89" s="62"/>
      <c r="NPZ89" s="62"/>
      <c r="NQA89" s="62"/>
      <c r="NQB89" s="62"/>
      <c r="NQC89" s="62"/>
      <c r="NQD89" s="62"/>
      <c r="NQE89" s="62"/>
      <c r="NQF89" s="62"/>
      <c r="NQG89" s="62"/>
      <c r="NQH89" s="62"/>
      <c r="NQI89" s="62"/>
      <c r="NQJ89" s="62"/>
      <c r="NQK89" s="62"/>
      <c r="NQL89" s="62"/>
      <c r="NQM89" s="62"/>
      <c r="NQN89" s="62"/>
      <c r="NQO89" s="62"/>
      <c r="NQP89" s="62"/>
      <c r="NQQ89" s="62"/>
      <c r="NQR89" s="62"/>
      <c r="NQS89" s="62"/>
      <c r="NQT89" s="62"/>
      <c r="NQU89" s="62"/>
      <c r="NQV89" s="62"/>
      <c r="NQW89" s="62"/>
      <c r="NQX89" s="62"/>
      <c r="NQY89" s="62"/>
      <c r="NQZ89" s="62"/>
      <c r="NRA89" s="62"/>
      <c r="NRB89" s="62"/>
      <c r="NRC89" s="62"/>
      <c r="NRD89" s="62"/>
      <c r="NRE89" s="62"/>
      <c r="NRF89" s="62"/>
      <c r="NRG89" s="62"/>
      <c r="NRH89" s="62"/>
      <c r="NRI89" s="62"/>
      <c r="NRJ89" s="62"/>
      <c r="NRK89" s="62"/>
      <c r="NRL89" s="62"/>
      <c r="NRM89" s="62"/>
      <c r="NRN89" s="62"/>
      <c r="NRO89" s="62"/>
      <c r="NRP89" s="62"/>
      <c r="NRQ89" s="62"/>
      <c r="NRR89" s="62"/>
      <c r="NRS89" s="62"/>
      <c r="NRT89" s="62"/>
      <c r="NRU89" s="62"/>
      <c r="NRV89" s="62"/>
      <c r="NRW89" s="62"/>
      <c r="NRX89" s="62"/>
      <c r="NRY89" s="62"/>
      <c r="NRZ89" s="62"/>
      <c r="NSA89" s="62"/>
      <c r="NSB89" s="62"/>
      <c r="NSC89" s="62"/>
      <c r="NSD89" s="62"/>
      <c r="NSE89" s="62"/>
      <c r="NSF89" s="62"/>
      <c r="NSG89" s="62"/>
      <c r="NSH89" s="62"/>
      <c r="NSI89" s="62"/>
      <c r="NSJ89" s="62"/>
      <c r="NSK89" s="62"/>
      <c r="NSL89" s="62"/>
      <c r="NSM89" s="62"/>
      <c r="NSN89" s="62"/>
      <c r="NSO89" s="62"/>
      <c r="NSP89" s="62"/>
      <c r="NSQ89" s="62"/>
      <c r="NSR89" s="62"/>
      <c r="NSS89" s="62"/>
      <c r="NST89" s="62"/>
      <c r="NSU89" s="62"/>
      <c r="NSV89" s="62"/>
      <c r="NSW89" s="62"/>
      <c r="NSX89" s="62"/>
      <c r="NSY89" s="62"/>
      <c r="NSZ89" s="62"/>
      <c r="NTA89" s="62"/>
      <c r="NTB89" s="62"/>
      <c r="NTC89" s="62"/>
      <c r="NTD89" s="62"/>
      <c r="NTE89" s="62"/>
      <c r="NTF89" s="62"/>
      <c r="NTG89" s="62"/>
      <c r="NTH89" s="62"/>
      <c r="NTI89" s="62"/>
      <c r="NTJ89" s="62"/>
      <c r="NTK89" s="62"/>
      <c r="NTL89" s="62"/>
      <c r="NTM89" s="62"/>
      <c r="NTN89" s="62"/>
      <c r="NTO89" s="62"/>
      <c r="NTP89" s="62"/>
      <c r="NTQ89" s="62"/>
      <c r="NTR89" s="62"/>
      <c r="NTS89" s="62"/>
      <c r="NTT89" s="62"/>
      <c r="NTU89" s="62"/>
      <c r="NTV89" s="62"/>
      <c r="NTW89" s="62"/>
      <c r="NTX89" s="62"/>
      <c r="NTY89" s="62"/>
      <c r="NTZ89" s="62"/>
      <c r="NUA89" s="62"/>
      <c r="NUB89" s="62"/>
      <c r="NUC89" s="62"/>
      <c r="NUD89" s="62"/>
      <c r="NUE89" s="62"/>
      <c r="NUF89" s="62"/>
      <c r="NUG89" s="62"/>
      <c r="NUH89" s="62"/>
      <c r="NUI89" s="62"/>
      <c r="NUJ89" s="62"/>
      <c r="NUK89" s="62"/>
      <c r="NUL89" s="62"/>
      <c r="NUM89" s="62"/>
      <c r="NUN89" s="62"/>
      <c r="NUO89" s="62"/>
      <c r="NUP89" s="62"/>
      <c r="NUQ89" s="62"/>
      <c r="NUR89" s="62"/>
      <c r="NUS89" s="62"/>
      <c r="NUT89" s="62"/>
      <c r="NUU89" s="62"/>
      <c r="NUV89" s="62"/>
      <c r="NUW89" s="62"/>
      <c r="NUX89" s="62"/>
      <c r="NUY89" s="62"/>
      <c r="NUZ89" s="62"/>
      <c r="NVA89" s="62"/>
      <c r="NVB89" s="62"/>
      <c r="NVC89" s="62"/>
      <c r="NVD89" s="62"/>
      <c r="NVE89" s="62"/>
      <c r="NVF89" s="62"/>
      <c r="NVG89" s="62"/>
      <c r="NVH89" s="62"/>
      <c r="NVI89" s="62"/>
      <c r="NVJ89" s="62"/>
      <c r="NVK89" s="62"/>
      <c r="NVL89" s="62"/>
      <c r="NVM89" s="62"/>
      <c r="NVN89" s="62"/>
      <c r="NVO89" s="62"/>
      <c r="NVP89" s="62"/>
      <c r="NVQ89" s="62"/>
      <c r="NVR89" s="62"/>
      <c r="NVS89" s="62"/>
      <c r="NVT89" s="62"/>
      <c r="NVU89" s="62"/>
      <c r="NVV89" s="62"/>
      <c r="NVW89" s="62"/>
      <c r="NVX89" s="62"/>
      <c r="NVY89" s="62"/>
      <c r="NVZ89" s="62"/>
      <c r="NWA89" s="62"/>
      <c r="NWB89" s="62"/>
      <c r="NWC89" s="62"/>
      <c r="NWD89" s="62"/>
      <c r="NWE89" s="62"/>
      <c r="NWF89" s="62"/>
      <c r="NWG89" s="62"/>
      <c r="NWH89" s="62"/>
      <c r="NWI89" s="62"/>
      <c r="NWJ89" s="62"/>
      <c r="NWK89" s="62"/>
      <c r="NWL89" s="62"/>
      <c r="NWM89" s="62"/>
      <c r="NWN89" s="62"/>
      <c r="NWO89" s="62"/>
      <c r="NWP89" s="62"/>
      <c r="NWQ89" s="62"/>
      <c r="NWR89" s="62"/>
      <c r="NWS89" s="62"/>
      <c r="NWT89" s="62"/>
      <c r="NWU89" s="62"/>
      <c r="NWV89" s="62"/>
      <c r="NWW89" s="62"/>
      <c r="NWX89" s="62"/>
      <c r="NWY89" s="62"/>
      <c r="NWZ89" s="62"/>
      <c r="NXA89" s="62"/>
      <c r="NXB89" s="62"/>
      <c r="NXC89" s="62"/>
      <c r="NXD89" s="62"/>
      <c r="NXE89" s="62"/>
      <c r="NXF89" s="62"/>
      <c r="NXG89" s="62"/>
      <c r="NXH89" s="62"/>
      <c r="NXI89" s="62"/>
      <c r="NXJ89" s="62"/>
      <c r="NXK89" s="62"/>
      <c r="NXL89" s="62"/>
      <c r="NXM89" s="62"/>
      <c r="NXN89" s="62"/>
      <c r="NXO89" s="62"/>
      <c r="NXP89" s="62"/>
      <c r="NXQ89" s="62"/>
      <c r="NXR89" s="62"/>
      <c r="NXS89" s="62"/>
      <c r="NXT89" s="62"/>
      <c r="NXU89" s="62"/>
      <c r="NXV89" s="62"/>
      <c r="NXW89" s="62"/>
      <c r="NXX89" s="62"/>
      <c r="NXY89" s="62"/>
      <c r="NXZ89" s="62"/>
      <c r="NYA89" s="62"/>
      <c r="NYB89" s="62"/>
      <c r="NYC89" s="62"/>
      <c r="NYD89" s="62"/>
      <c r="NYE89" s="62"/>
      <c r="NYF89" s="62"/>
      <c r="NYG89" s="62"/>
      <c r="NYH89" s="62"/>
      <c r="NYI89" s="62"/>
      <c r="NYJ89" s="62"/>
      <c r="NYK89" s="62"/>
      <c r="NYL89" s="62"/>
      <c r="NYM89" s="62"/>
      <c r="NYN89" s="62"/>
      <c r="NYO89" s="62"/>
      <c r="NYP89" s="62"/>
      <c r="NYQ89" s="62"/>
      <c r="NYR89" s="62"/>
      <c r="NYS89" s="62"/>
      <c r="NYT89" s="62"/>
      <c r="NYU89" s="62"/>
      <c r="NYV89" s="62"/>
      <c r="NYW89" s="62"/>
      <c r="NYX89" s="62"/>
      <c r="NYY89" s="62"/>
      <c r="NYZ89" s="62"/>
      <c r="NZA89" s="62"/>
      <c r="NZB89" s="62"/>
      <c r="NZC89" s="62"/>
      <c r="NZD89" s="62"/>
      <c r="NZE89" s="62"/>
      <c r="NZF89" s="62"/>
      <c r="NZG89" s="62"/>
      <c r="NZH89" s="62"/>
      <c r="NZI89" s="62"/>
      <c r="NZJ89" s="62"/>
      <c r="NZK89" s="62"/>
      <c r="NZL89" s="62"/>
      <c r="NZM89" s="62"/>
      <c r="NZN89" s="62"/>
      <c r="NZO89" s="62"/>
      <c r="NZP89" s="62"/>
      <c r="NZQ89" s="62"/>
      <c r="NZR89" s="62"/>
      <c r="NZS89" s="62"/>
      <c r="NZT89" s="62"/>
      <c r="NZU89" s="62"/>
      <c r="NZV89" s="62"/>
      <c r="NZW89" s="62"/>
      <c r="NZX89" s="62"/>
      <c r="NZY89" s="62"/>
      <c r="NZZ89" s="62"/>
      <c r="OAA89" s="62"/>
      <c r="OAB89" s="62"/>
      <c r="OAC89" s="62"/>
      <c r="OAD89" s="62"/>
      <c r="OAE89" s="62"/>
      <c r="OAF89" s="62"/>
      <c r="OAG89" s="62"/>
      <c r="OAH89" s="62"/>
      <c r="OAI89" s="62"/>
      <c r="OAJ89" s="62"/>
      <c r="OAK89" s="62"/>
      <c r="OAL89" s="62"/>
      <c r="OAM89" s="62"/>
      <c r="OAN89" s="62"/>
      <c r="OAO89" s="62"/>
      <c r="OAP89" s="62"/>
      <c r="OAQ89" s="62"/>
      <c r="OAR89" s="62"/>
      <c r="OAS89" s="62"/>
      <c r="OAT89" s="62"/>
      <c r="OAU89" s="62"/>
      <c r="OAV89" s="62"/>
      <c r="OAW89" s="62"/>
      <c r="OAX89" s="62"/>
      <c r="OAY89" s="62"/>
      <c r="OAZ89" s="62"/>
      <c r="OBA89" s="62"/>
      <c r="OBB89" s="62"/>
      <c r="OBC89" s="62"/>
      <c r="OBD89" s="62"/>
      <c r="OBE89" s="62"/>
      <c r="OBF89" s="62"/>
      <c r="OBG89" s="62"/>
      <c r="OBH89" s="62"/>
      <c r="OBI89" s="62"/>
      <c r="OBJ89" s="62"/>
      <c r="OBK89" s="62"/>
      <c r="OBL89" s="62"/>
      <c r="OBM89" s="62"/>
      <c r="OBN89" s="62"/>
      <c r="OBO89" s="62"/>
      <c r="OBP89" s="62"/>
      <c r="OBQ89" s="62"/>
      <c r="OBR89" s="62"/>
      <c r="OBS89" s="62"/>
      <c r="OBT89" s="62"/>
      <c r="OBU89" s="62"/>
      <c r="OBV89" s="62"/>
      <c r="OBW89" s="62"/>
      <c r="OBX89" s="62"/>
      <c r="OBY89" s="62"/>
      <c r="OBZ89" s="62"/>
      <c r="OCA89" s="62"/>
      <c r="OCB89" s="62"/>
      <c r="OCC89" s="62"/>
      <c r="OCD89" s="62"/>
      <c r="OCE89" s="62"/>
      <c r="OCF89" s="62"/>
      <c r="OCG89" s="62"/>
      <c r="OCH89" s="62"/>
      <c r="OCI89" s="62"/>
      <c r="OCJ89" s="62"/>
      <c r="OCK89" s="62"/>
      <c r="OCL89" s="62"/>
      <c r="OCM89" s="62"/>
      <c r="OCN89" s="62"/>
      <c r="OCO89" s="62"/>
      <c r="OCP89" s="62"/>
      <c r="OCQ89" s="62"/>
      <c r="OCR89" s="62"/>
      <c r="OCS89" s="62"/>
      <c r="OCT89" s="62"/>
      <c r="OCU89" s="62"/>
      <c r="OCV89" s="62"/>
      <c r="OCW89" s="62"/>
      <c r="OCX89" s="62"/>
      <c r="OCY89" s="62"/>
      <c r="OCZ89" s="62"/>
      <c r="ODA89" s="62"/>
      <c r="ODB89" s="62"/>
      <c r="ODC89" s="62"/>
      <c r="ODD89" s="62"/>
      <c r="ODE89" s="62"/>
      <c r="ODF89" s="62"/>
      <c r="ODG89" s="62"/>
      <c r="ODH89" s="62"/>
      <c r="ODI89" s="62"/>
      <c r="ODJ89" s="62"/>
      <c r="ODK89" s="62"/>
      <c r="ODL89" s="62"/>
      <c r="ODM89" s="62"/>
      <c r="ODN89" s="62"/>
      <c r="ODO89" s="62"/>
      <c r="ODP89" s="62"/>
      <c r="ODQ89" s="62"/>
      <c r="ODR89" s="62"/>
      <c r="ODS89" s="62"/>
      <c r="ODT89" s="62"/>
      <c r="ODU89" s="62"/>
      <c r="ODV89" s="62"/>
      <c r="ODW89" s="62"/>
      <c r="ODX89" s="62"/>
      <c r="ODY89" s="62"/>
      <c r="ODZ89" s="62"/>
      <c r="OEA89" s="62"/>
      <c r="OEB89" s="62"/>
      <c r="OEC89" s="62"/>
      <c r="OED89" s="62"/>
      <c r="OEE89" s="62"/>
      <c r="OEF89" s="62"/>
      <c r="OEG89" s="62"/>
      <c r="OEH89" s="62"/>
      <c r="OEI89" s="62"/>
      <c r="OEJ89" s="62"/>
      <c r="OEK89" s="62"/>
      <c r="OEL89" s="62"/>
      <c r="OEM89" s="62"/>
      <c r="OEN89" s="62"/>
      <c r="OEO89" s="62"/>
      <c r="OEP89" s="62"/>
      <c r="OEQ89" s="62"/>
      <c r="OER89" s="62"/>
      <c r="OES89" s="62"/>
      <c r="OET89" s="62"/>
      <c r="OEU89" s="62"/>
      <c r="OEV89" s="62"/>
      <c r="OEW89" s="62"/>
      <c r="OEX89" s="62"/>
      <c r="OEY89" s="62"/>
      <c r="OEZ89" s="62"/>
      <c r="OFA89" s="62"/>
      <c r="OFB89" s="62"/>
      <c r="OFC89" s="62"/>
      <c r="OFD89" s="62"/>
      <c r="OFE89" s="62"/>
      <c r="OFF89" s="62"/>
      <c r="OFG89" s="62"/>
      <c r="OFH89" s="62"/>
      <c r="OFI89" s="62"/>
      <c r="OFJ89" s="62"/>
      <c r="OFK89" s="62"/>
      <c r="OFL89" s="62"/>
      <c r="OFM89" s="62"/>
      <c r="OFN89" s="62"/>
      <c r="OFO89" s="62"/>
      <c r="OFP89" s="62"/>
      <c r="OFQ89" s="62"/>
      <c r="OFR89" s="62"/>
      <c r="OFS89" s="62"/>
      <c r="OFT89" s="62"/>
      <c r="OFU89" s="62"/>
      <c r="OFV89" s="62"/>
      <c r="OFW89" s="62"/>
      <c r="OFX89" s="62"/>
      <c r="OFY89" s="62"/>
      <c r="OFZ89" s="62"/>
      <c r="OGA89" s="62"/>
      <c r="OGB89" s="62"/>
      <c r="OGC89" s="62"/>
      <c r="OGD89" s="62"/>
      <c r="OGE89" s="62"/>
      <c r="OGF89" s="62"/>
      <c r="OGG89" s="62"/>
      <c r="OGH89" s="62"/>
      <c r="OGI89" s="62"/>
      <c r="OGJ89" s="62"/>
      <c r="OGK89" s="62"/>
      <c r="OGL89" s="62"/>
      <c r="OGM89" s="62"/>
      <c r="OGN89" s="62"/>
      <c r="OGO89" s="62"/>
      <c r="OGP89" s="62"/>
      <c r="OGQ89" s="62"/>
      <c r="OGR89" s="62"/>
      <c r="OGS89" s="62"/>
      <c r="OGT89" s="62"/>
      <c r="OGU89" s="62"/>
      <c r="OGV89" s="62"/>
      <c r="OGW89" s="62"/>
      <c r="OGX89" s="62"/>
      <c r="OGY89" s="62"/>
      <c r="OGZ89" s="62"/>
      <c r="OHA89" s="62"/>
      <c r="OHB89" s="62"/>
      <c r="OHC89" s="62"/>
      <c r="OHD89" s="62"/>
      <c r="OHE89" s="62"/>
      <c r="OHF89" s="62"/>
      <c r="OHG89" s="62"/>
      <c r="OHH89" s="62"/>
      <c r="OHI89" s="62"/>
      <c r="OHJ89" s="62"/>
      <c r="OHK89" s="62"/>
      <c r="OHL89" s="62"/>
      <c r="OHM89" s="62"/>
      <c r="OHN89" s="62"/>
      <c r="OHO89" s="62"/>
      <c r="OHP89" s="62"/>
      <c r="OHQ89" s="62"/>
      <c r="OHR89" s="62"/>
      <c r="OHS89" s="62"/>
      <c r="OHT89" s="62"/>
      <c r="OHU89" s="62"/>
      <c r="OHV89" s="62"/>
      <c r="OHW89" s="62"/>
      <c r="OHX89" s="62"/>
      <c r="OHY89" s="62"/>
      <c r="OHZ89" s="62"/>
      <c r="OIA89" s="62"/>
      <c r="OIB89" s="62"/>
      <c r="OIC89" s="62"/>
      <c r="OID89" s="62"/>
      <c r="OIE89" s="62"/>
      <c r="OIF89" s="62"/>
      <c r="OIG89" s="62"/>
      <c r="OIH89" s="62"/>
      <c r="OII89" s="62"/>
      <c r="OIJ89" s="62"/>
      <c r="OIK89" s="62"/>
      <c r="OIL89" s="62"/>
      <c r="OIM89" s="62"/>
      <c r="OIN89" s="62"/>
      <c r="OIO89" s="62"/>
      <c r="OIP89" s="62"/>
      <c r="OIQ89" s="62"/>
      <c r="OIR89" s="62"/>
      <c r="OIS89" s="62"/>
      <c r="OIT89" s="62"/>
      <c r="OIU89" s="62"/>
      <c r="OIV89" s="62"/>
      <c r="OIW89" s="62"/>
      <c r="OIX89" s="62"/>
      <c r="OIY89" s="62"/>
      <c r="OIZ89" s="62"/>
      <c r="OJA89" s="62"/>
      <c r="OJB89" s="62"/>
      <c r="OJC89" s="62"/>
      <c r="OJD89" s="62"/>
      <c r="OJE89" s="62"/>
      <c r="OJF89" s="62"/>
      <c r="OJG89" s="62"/>
      <c r="OJH89" s="62"/>
      <c r="OJI89" s="62"/>
      <c r="OJJ89" s="62"/>
      <c r="OJK89" s="62"/>
      <c r="OJL89" s="62"/>
      <c r="OJM89" s="62"/>
      <c r="OJN89" s="62"/>
      <c r="OJO89" s="62"/>
      <c r="OJP89" s="62"/>
      <c r="OJQ89" s="62"/>
      <c r="OJR89" s="62"/>
      <c r="OJS89" s="62"/>
      <c r="OJT89" s="62"/>
      <c r="OJU89" s="62"/>
      <c r="OJV89" s="62"/>
      <c r="OJW89" s="62"/>
      <c r="OJX89" s="62"/>
      <c r="OJY89" s="62"/>
      <c r="OJZ89" s="62"/>
      <c r="OKA89" s="62"/>
      <c r="OKB89" s="62"/>
      <c r="OKC89" s="62"/>
      <c r="OKD89" s="62"/>
      <c r="OKE89" s="62"/>
      <c r="OKF89" s="62"/>
      <c r="OKG89" s="62"/>
      <c r="OKH89" s="62"/>
      <c r="OKI89" s="62"/>
      <c r="OKJ89" s="62"/>
      <c r="OKK89" s="62"/>
      <c r="OKL89" s="62"/>
      <c r="OKM89" s="62"/>
      <c r="OKN89" s="62"/>
      <c r="OKO89" s="62"/>
      <c r="OKP89" s="62"/>
      <c r="OKQ89" s="62"/>
      <c r="OKR89" s="62"/>
      <c r="OKS89" s="62"/>
      <c r="OKT89" s="62"/>
      <c r="OKU89" s="62"/>
      <c r="OKV89" s="62"/>
      <c r="OKW89" s="62"/>
      <c r="OKX89" s="62"/>
      <c r="OKY89" s="62"/>
      <c r="OKZ89" s="62"/>
      <c r="OLA89" s="62"/>
      <c r="OLB89" s="62"/>
      <c r="OLC89" s="62"/>
      <c r="OLD89" s="62"/>
      <c r="OLE89" s="62"/>
      <c r="OLF89" s="62"/>
      <c r="OLG89" s="62"/>
      <c r="OLH89" s="62"/>
      <c r="OLI89" s="62"/>
      <c r="OLJ89" s="62"/>
      <c r="OLK89" s="62"/>
      <c r="OLL89" s="62"/>
      <c r="OLM89" s="62"/>
      <c r="OLN89" s="62"/>
      <c r="OLO89" s="62"/>
      <c r="OLP89" s="62"/>
      <c r="OLQ89" s="62"/>
      <c r="OLR89" s="62"/>
      <c r="OLS89" s="62"/>
      <c r="OLT89" s="62"/>
      <c r="OLU89" s="62"/>
      <c r="OLV89" s="62"/>
      <c r="OLW89" s="62"/>
      <c r="OLX89" s="62"/>
      <c r="OLY89" s="62"/>
      <c r="OLZ89" s="62"/>
      <c r="OMA89" s="62"/>
      <c r="OMB89" s="62"/>
      <c r="OMC89" s="62"/>
      <c r="OMD89" s="62"/>
      <c r="OME89" s="62"/>
      <c r="OMF89" s="62"/>
      <c r="OMG89" s="62"/>
      <c r="OMH89" s="62"/>
      <c r="OMI89" s="62"/>
      <c r="OMJ89" s="62"/>
      <c r="OMK89" s="62"/>
      <c r="OML89" s="62"/>
      <c r="OMM89" s="62"/>
      <c r="OMN89" s="62"/>
      <c r="OMO89" s="62"/>
      <c r="OMP89" s="62"/>
      <c r="OMQ89" s="62"/>
      <c r="OMR89" s="62"/>
      <c r="OMS89" s="62"/>
      <c r="OMT89" s="62"/>
      <c r="OMU89" s="62"/>
      <c r="OMV89" s="62"/>
      <c r="OMW89" s="62"/>
      <c r="OMX89" s="62"/>
      <c r="OMY89" s="62"/>
      <c r="OMZ89" s="62"/>
      <c r="ONA89" s="62"/>
      <c r="ONB89" s="62"/>
      <c r="ONC89" s="62"/>
      <c r="OND89" s="62"/>
      <c r="ONE89" s="62"/>
      <c r="ONF89" s="62"/>
      <c r="ONG89" s="62"/>
      <c r="ONH89" s="62"/>
      <c r="ONI89" s="62"/>
      <c r="ONJ89" s="62"/>
      <c r="ONK89" s="62"/>
      <c r="ONL89" s="62"/>
      <c r="ONM89" s="62"/>
      <c r="ONN89" s="62"/>
      <c r="ONO89" s="62"/>
      <c r="ONP89" s="62"/>
      <c r="ONQ89" s="62"/>
      <c r="ONR89" s="62"/>
      <c r="ONS89" s="62"/>
      <c r="ONT89" s="62"/>
      <c r="ONU89" s="62"/>
      <c r="ONV89" s="62"/>
      <c r="ONW89" s="62"/>
      <c r="ONX89" s="62"/>
      <c r="ONY89" s="62"/>
      <c r="ONZ89" s="62"/>
      <c r="OOA89" s="62"/>
      <c r="OOB89" s="62"/>
      <c r="OOC89" s="62"/>
      <c r="OOD89" s="62"/>
      <c r="OOE89" s="62"/>
      <c r="OOF89" s="62"/>
      <c r="OOG89" s="62"/>
      <c r="OOH89" s="62"/>
      <c r="OOI89" s="62"/>
      <c r="OOJ89" s="62"/>
      <c r="OOK89" s="62"/>
      <c r="OOL89" s="62"/>
      <c r="OOM89" s="62"/>
      <c r="OON89" s="62"/>
      <c r="OOO89" s="62"/>
      <c r="OOP89" s="62"/>
      <c r="OOQ89" s="62"/>
      <c r="OOR89" s="62"/>
      <c r="OOS89" s="62"/>
      <c r="OOT89" s="62"/>
      <c r="OOU89" s="62"/>
      <c r="OOV89" s="62"/>
      <c r="OOW89" s="62"/>
      <c r="OOX89" s="62"/>
      <c r="OOY89" s="62"/>
      <c r="OOZ89" s="62"/>
      <c r="OPA89" s="62"/>
      <c r="OPB89" s="62"/>
      <c r="OPC89" s="62"/>
      <c r="OPD89" s="62"/>
      <c r="OPE89" s="62"/>
      <c r="OPF89" s="62"/>
      <c r="OPG89" s="62"/>
      <c r="OPH89" s="62"/>
      <c r="OPI89" s="62"/>
      <c r="OPJ89" s="62"/>
      <c r="OPK89" s="62"/>
      <c r="OPL89" s="62"/>
      <c r="OPM89" s="62"/>
      <c r="OPN89" s="62"/>
      <c r="OPO89" s="62"/>
      <c r="OPP89" s="62"/>
      <c r="OPQ89" s="62"/>
      <c r="OPR89" s="62"/>
      <c r="OPS89" s="62"/>
      <c r="OPT89" s="62"/>
      <c r="OPU89" s="62"/>
      <c r="OPV89" s="62"/>
      <c r="OPW89" s="62"/>
      <c r="OPX89" s="62"/>
      <c r="OPY89" s="62"/>
      <c r="OPZ89" s="62"/>
      <c r="OQA89" s="62"/>
      <c r="OQB89" s="62"/>
      <c r="OQC89" s="62"/>
      <c r="OQD89" s="62"/>
      <c r="OQE89" s="62"/>
      <c r="OQF89" s="62"/>
      <c r="OQG89" s="62"/>
      <c r="OQH89" s="62"/>
      <c r="OQI89" s="62"/>
      <c r="OQJ89" s="62"/>
      <c r="OQK89" s="62"/>
      <c r="OQL89" s="62"/>
      <c r="OQM89" s="62"/>
      <c r="OQN89" s="62"/>
      <c r="OQO89" s="62"/>
      <c r="OQP89" s="62"/>
      <c r="OQQ89" s="62"/>
      <c r="OQR89" s="62"/>
      <c r="OQS89" s="62"/>
      <c r="OQT89" s="62"/>
      <c r="OQU89" s="62"/>
      <c r="OQV89" s="62"/>
      <c r="OQW89" s="62"/>
      <c r="OQX89" s="62"/>
      <c r="OQY89" s="62"/>
      <c r="OQZ89" s="62"/>
      <c r="ORA89" s="62"/>
      <c r="ORB89" s="62"/>
      <c r="ORC89" s="62"/>
      <c r="ORD89" s="62"/>
      <c r="ORE89" s="62"/>
      <c r="ORF89" s="62"/>
      <c r="ORG89" s="62"/>
      <c r="ORH89" s="62"/>
      <c r="ORI89" s="62"/>
      <c r="ORJ89" s="62"/>
      <c r="ORK89" s="62"/>
      <c r="ORL89" s="62"/>
      <c r="ORM89" s="62"/>
      <c r="ORN89" s="62"/>
      <c r="ORO89" s="62"/>
      <c r="ORP89" s="62"/>
      <c r="ORQ89" s="62"/>
      <c r="ORR89" s="62"/>
      <c r="ORS89" s="62"/>
      <c r="ORT89" s="62"/>
      <c r="ORU89" s="62"/>
      <c r="ORV89" s="62"/>
      <c r="ORW89" s="62"/>
      <c r="ORX89" s="62"/>
      <c r="ORY89" s="62"/>
      <c r="ORZ89" s="62"/>
      <c r="OSA89" s="62"/>
      <c r="OSB89" s="62"/>
      <c r="OSC89" s="62"/>
      <c r="OSD89" s="62"/>
      <c r="OSE89" s="62"/>
      <c r="OSF89" s="62"/>
      <c r="OSG89" s="62"/>
      <c r="OSH89" s="62"/>
      <c r="OSI89" s="62"/>
      <c r="OSJ89" s="62"/>
      <c r="OSK89" s="62"/>
      <c r="OSL89" s="62"/>
      <c r="OSM89" s="62"/>
      <c r="OSN89" s="62"/>
      <c r="OSO89" s="62"/>
      <c r="OSP89" s="62"/>
      <c r="OSQ89" s="62"/>
      <c r="OSR89" s="62"/>
      <c r="OSS89" s="62"/>
      <c r="OST89" s="62"/>
      <c r="OSU89" s="62"/>
      <c r="OSV89" s="62"/>
      <c r="OSW89" s="62"/>
      <c r="OSX89" s="62"/>
      <c r="OSY89" s="62"/>
      <c r="OSZ89" s="62"/>
      <c r="OTA89" s="62"/>
      <c r="OTB89" s="62"/>
      <c r="OTC89" s="62"/>
      <c r="OTD89" s="62"/>
      <c r="OTE89" s="62"/>
      <c r="OTF89" s="62"/>
      <c r="OTG89" s="62"/>
      <c r="OTH89" s="62"/>
      <c r="OTI89" s="62"/>
      <c r="OTJ89" s="62"/>
      <c r="OTK89" s="62"/>
      <c r="OTL89" s="62"/>
      <c r="OTM89" s="62"/>
      <c r="OTN89" s="62"/>
      <c r="OTO89" s="62"/>
      <c r="OTP89" s="62"/>
      <c r="OTQ89" s="62"/>
      <c r="OTR89" s="62"/>
      <c r="OTS89" s="62"/>
      <c r="OTT89" s="62"/>
      <c r="OTU89" s="62"/>
      <c r="OTV89" s="62"/>
      <c r="OTW89" s="62"/>
      <c r="OTX89" s="62"/>
      <c r="OTY89" s="62"/>
      <c r="OTZ89" s="62"/>
      <c r="OUA89" s="62"/>
      <c r="OUB89" s="62"/>
      <c r="OUC89" s="62"/>
      <c r="OUD89" s="62"/>
      <c r="OUE89" s="62"/>
      <c r="OUF89" s="62"/>
      <c r="OUG89" s="62"/>
      <c r="OUH89" s="62"/>
      <c r="OUI89" s="62"/>
      <c r="OUJ89" s="62"/>
      <c r="OUK89" s="62"/>
      <c r="OUL89" s="62"/>
      <c r="OUM89" s="62"/>
      <c r="OUN89" s="62"/>
      <c r="OUO89" s="62"/>
      <c r="OUP89" s="62"/>
      <c r="OUQ89" s="62"/>
      <c r="OUR89" s="62"/>
      <c r="OUS89" s="62"/>
      <c r="OUT89" s="62"/>
      <c r="OUU89" s="62"/>
      <c r="OUV89" s="62"/>
      <c r="OUW89" s="62"/>
      <c r="OUX89" s="62"/>
      <c r="OUY89" s="62"/>
      <c r="OUZ89" s="62"/>
      <c r="OVA89" s="62"/>
      <c r="OVB89" s="62"/>
      <c r="OVC89" s="62"/>
      <c r="OVD89" s="62"/>
      <c r="OVE89" s="62"/>
      <c r="OVF89" s="62"/>
      <c r="OVG89" s="62"/>
      <c r="OVH89" s="62"/>
      <c r="OVI89" s="62"/>
      <c r="OVJ89" s="62"/>
      <c r="OVK89" s="62"/>
      <c r="OVL89" s="62"/>
      <c r="OVM89" s="62"/>
      <c r="OVN89" s="62"/>
      <c r="OVO89" s="62"/>
      <c r="OVP89" s="62"/>
      <c r="OVQ89" s="62"/>
      <c r="OVR89" s="62"/>
      <c r="OVS89" s="62"/>
      <c r="OVT89" s="62"/>
      <c r="OVU89" s="62"/>
      <c r="OVV89" s="62"/>
      <c r="OVW89" s="62"/>
      <c r="OVX89" s="62"/>
      <c r="OVY89" s="62"/>
      <c r="OVZ89" s="62"/>
      <c r="OWA89" s="62"/>
      <c r="OWB89" s="62"/>
      <c r="OWC89" s="62"/>
      <c r="OWD89" s="62"/>
      <c r="OWE89" s="62"/>
      <c r="OWF89" s="62"/>
      <c r="OWG89" s="62"/>
      <c r="OWH89" s="62"/>
      <c r="OWI89" s="62"/>
      <c r="OWJ89" s="62"/>
      <c r="OWK89" s="62"/>
      <c r="OWL89" s="62"/>
      <c r="OWM89" s="62"/>
      <c r="OWN89" s="62"/>
      <c r="OWO89" s="62"/>
      <c r="OWP89" s="62"/>
      <c r="OWQ89" s="62"/>
      <c r="OWR89" s="62"/>
      <c r="OWS89" s="62"/>
      <c r="OWT89" s="62"/>
      <c r="OWU89" s="62"/>
      <c r="OWV89" s="62"/>
      <c r="OWW89" s="62"/>
      <c r="OWX89" s="62"/>
      <c r="OWY89" s="62"/>
      <c r="OWZ89" s="62"/>
      <c r="OXA89" s="62"/>
      <c r="OXB89" s="62"/>
      <c r="OXC89" s="62"/>
      <c r="OXD89" s="62"/>
      <c r="OXE89" s="62"/>
      <c r="OXF89" s="62"/>
      <c r="OXG89" s="62"/>
      <c r="OXH89" s="62"/>
      <c r="OXI89" s="62"/>
      <c r="OXJ89" s="62"/>
      <c r="OXK89" s="62"/>
      <c r="OXL89" s="62"/>
      <c r="OXM89" s="62"/>
      <c r="OXN89" s="62"/>
      <c r="OXO89" s="62"/>
      <c r="OXP89" s="62"/>
      <c r="OXQ89" s="62"/>
      <c r="OXR89" s="62"/>
      <c r="OXS89" s="62"/>
      <c r="OXT89" s="62"/>
      <c r="OXU89" s="62"/>
      <c r="OXV89" s="62"/>
      <c r="OXW89" s="62"/>
      <c r="OXX89" s="62"/>
      <c r="OXY89" s="62"/>
      <c r="OXZ89" s="62"/>
      <c r="OYA89" s="62"/>
      <c r="OYB89" s="62"/>
      <c r="OYC89" s="62"/>
      <c r="OYD89" s="62"/>
      <c r="OYE89" s="62"/>
      <c r="OYF89" s="62"/>
      <c r="OYG89" s="62"/>
      <c r="OYH89" s="62"/>
      <c r="OYI89" s="62"/>
      <c r="OYJ89" s="62"/>
      <c r="OYK89" s="62"/>
      <c r="OYL89" s="62"/>
      <c r="OYM89" s="62"/>
      <c r="OYN89" s="62"/>
      <c r="OYO89" s="62"/>
      <c r="OYP89" s="62"/>
      <c r="OYQ89" s="62"/>
      <c r="OYR89" s="62"/>
      <c r="OYS89" s="62"/>
      <c r="OYT89" s="62"/>
      <c r="OYU89" s="62"/>
      <c r="OYV89" s="62"/>
      <c r="OYW89" s="62"/>
      <c r="OYX89" s="62"/>
      <c r="OYY89" s="62"/>
      <c r="OYZ89" s="62"/>
      <c r="OZA89" s="62"/>
      <c r="OZB89" s="62"/>
      <c r="OZC89" s="62"/>
      <c r="OZD89" s="62"/>
      <c r="OZE89" s="62"/>
      <c r="OZF89" s="62"/>
      <c r="OZG89" s="62"/>
      <c r="OZH89" s="62"/>
      <c r="OZI89" s="62"/>
      <c r="OZJ89" s="62"/>
      <c r="OZK89" s="62"/>
      <c r="OZL89" s="62"/>
      <c r="OZM89" s="62"/>
      <c r="OZN89" s="62"/>
      <c r="OZO89" s="62"/>
      <c r="OZP89" s="62"/>
      <c r="OZQ89" s="62"/>
      <c r="OZR89" s="62"/>
      <c r="OZS89" s="62"/>
      <c r="OZT89" s="62"/>
      <c r="OZU89" s="62"/>
      <c r="OZV89" s="62"/>
      <c r="OZW89" s="62"/>
      <c r="OZX89" s="62"/>
      <c r="OZY89" s="62"/>
      <c r="OZZ89" s="62"/>
      <c r="PAA89" s="62"/>
      <c r="PAB89" s="62"/>
      <c r="PAC89" s="62"/>
      <c r="PAD89" s="62"/>
      <c r="PAE89" s="62"/>
      <c r="PAF89" s="62"/>
      <c r="PAG89" s="62"/>
      <c r="PAH89" s="62"/>
      <c r="PAI89" s="62"/>
      <c r="PAJ89" s="62"/>
      <c r="PAK89" s="62"/>
      <c r="PAL89" s="62"/>
      <c r="PAM89" s="62"/>
      <c r="PAN89" s="62"/>
      <c r="PAO89" s="62"/>
      <c r="PAP89" s="62"/>
      <c r="PAQ89" s="62"/>
      <c r="PAR89" s="62"/>
      <c r="PAS89" s="62"/>
      <c r="PAT89" s="62"/>
      <c r="PAU89" s="62"/>
      <c r="PAV89" s="62"/>
      <c r="PAW89" s="62"/>
      <c r="PAX89" s="62"/>
      <c r="PAY89" s="62"/>
      <c r="PAZ89" s="62"/>
      <c r="PBA89" s="62"/>
      <c r="PBB89" s="62"/>
      <c r="PBC89" s="62"/>
      <c r="PBD89" s="62"/>
      <c r="PBE89" s="62"/>
      <c r="PBF89" s="62"/>
      <c r="PBG89" s="62"/>
      <c r="PBH89" s="62"/>
      <c r="PBI89" s="62"/>
      <c r="PBJ89" s="62"/>
      <c r="PBK89" s="62"/>
      <c r="PBL89" s="62"/>
      <c r="PBM89" s="62"/>
      <c r="PBN89" s="62"/>
      <c r="PBO89" s="62"/>
      <c r="PBP89" s="62"/>
      <c r="PBQ89" s="62"/>
      <c r="PBR89" s="62"/>
      <c r="PBS89" s="62"/>
      <c r="PBT89" s="62"/>
      <c r="PBU89" s="62"/>
      <c r="PBV89" s="62"/>
      <c r="PBW89" s="62"/>
      <c r="PBX89" s="62"/>
      <c r="PBY89" s="62"/>
      <c r="PBZ89" s="62"/>
      <c r="PCA89" s="62"/>
      <c r="PCB89" s="62"/>
      <c r="PCC89" s="62"/>
      <c r="PCD89" s="62"/>
      <c r="PCE89" s="62"/>
      <c r="PCF89" s="62"/>
      <c r="PCG89" s="62"/>
      <c r="PCH89" s="62"/>
      <c r="PCI89" s="62"/>
      <c r="PCJ89" s="62"/>
      <c r="PCK89" s="62"/>
      <c r="PCL89" s="62"/>
      <c r="PCM89" s="62"/>
      <c r="PCN89" s="62"/>
      <c r="PCO89" s="62"/>
      <c r="PCP89" s="62"/>
      <c r="PCQ89" s="62"/>
      <c r="PCR89" s="62"/>
      <c r="PCS89" s="62"/>
      <c r="PCT89" s="62"/>
      <c r="PCU89" s="62"/>
      <c r="PCV89" s="62"/>
      <c r="PCW89" s="62"/>
      <c r="PCX89" s="62"/>
      <c r="PCY89" s="62"/>
      <c r="PCZ89" s="62"/>
      <c r="PDA89" s="62"/>
      <c r="PDB89" s="62"/>
      <c r="PDC89" s="62"/>
      <c r="PDD89" s="62"/>
      <c r="PDE89" s="62"/>
      <c r="PDF89" s="62"/>
      <c r="PDG89" s="62"/>
      <c r="PDH89" s="62"/>
      <c r="PDI89" s="62"/>
      <c r="PDJ89" s="62"/>
      <c r="PDK89" s="62"/>
      <c r="PDL89" s="62"/>
      <c r="PDM89" s="62"/>
      <c r="PDN89" s="62"/>
      <c r="PDO89" s="62"/>
      <c r="PDP89" s="62"/>
      <c r="PDQ89" s="62"/>
      <c r="PDR89" s="62"/>
      <c r="PDS89" s="62"/>
      <c r="PDT89" s="62"/>
      <c r="PDU89" s="62"/>
      <c r="PDV89" s="62"/>
      <c r="PDW89" s="62"/>
      <c r="PDX89" s="62"/>
      <c r="PDY89" s="62"/>
      <c r="PDZ89" s="62"/>
      <c r="PEA89" s="62"/>
      <c r="PEB89" s="62"/>
      <c r="PEC89" s="62"/>
      <c r="PED89" s="62"/>
      <c r="PEE89" s="62"/>
      <c r="PEF89" s="62"/>
      <c r="PEG89" s="62"/>
      <c r="PEH89" s="62"/>
      <c r="PEI89" s="62"/>
      <c r="PEJ89" s="62"/>
      <c r="PEK89" s="62"/>
      <c r="PEL89" s="62"/>
      <c r="PEM89" s="62"/>
      <c r="PEN89" s="62"/>
      <c r="PEO89" s="62"/>
      <c r="PEP89" s="62"/>
      <c r="PEQ89" s="62"/>
      <c r="PER89" s="62"/>
      <c r="PES89" s="62"/>
      <c r="PET89" s="62"/>
      <c r="PEU89" s="62"/>
      <c r="PEV89" s="62"/>
      <c r="PEW89" s="62"/>
      <c r="PEX89" s="62"/>
      <c r="PEY89" s="62"/>
      <c r="PEZ89" s="62"/>
      <c r="PFA89" s="62"/>
      <c r="PFB89" s="62"/>
      <c r="PFC89" s="62"/>
      <c r="PFD89" s="62"/>
      <c r="PFE89" s="62"/>
      <c r="PFF89" s="62"/>
      <c r="PFG89" s="62"/>
      <c r="PFH89" s="62"/>
      <c r="PFI89" s="62"/>
      <c r="PFJ89" s="62"/>
      <c r="PFK89" s="62"/>
      <c r="PFL89" s="62"/>
      <c r="PFM89" s="62"/>
      <c r="PFN89" s="62"/>
      <c r="PFO89" s="62"/>
      <c r="PFP89" s="62"/>
      <c r="PFQ89" s="62"/>
      <c r="PFR89" s="62"/>
      <c r="PFS89" s="62"/>
      <c r="PFT89" s="62"/>
      <c r="PFU89" s="62"/>
      <c r="PFV89" s="62"/>
      <c r="PFW89" s="62"/>
      <c r="PFX89" s="62"/>
      <c r="PFY89" s="62"/>
      <c r="PFZ89" s="62"/>
      <c r="PGA89" s="62"/>
      <c r="PGB89" s="62"/>
      <c r="PGC89" s="62"/>
      <c r="PGD89" s="62"/>
      <c r="PGE89" s="62"/>
      <c r="PGF89" s="62"/>
      <c r="PGG89" s="62"/>
      <c r="PGH89" s="62"/>
      <c r="PGI89" s="62"/>
      <c r="PGJ89" s="62"/>
      <c r="PGK89" s="62"/>
      <c r="PGL89" s="62"/>
      <c r="PGM89" s="62"/>
      <c r="PGN89" s="62"/>
      <c r="PGO89" s="62"/>
      <c r="PGP89" s="62"/>
      <c r="PGQ89" s="62"/>
      <c r="PGR89" s="62"/>
      <c r="PGS89" s="62"/>
      <c r="PGT89" s="62"/>
      <c r="PGU89" s="62"/>
      <c r="PGV89" s="62"/>
      <c r="PGW89" s="62"/>
      <c r="PGX89" s="62"/>
      <c r="PGY89" s="62"/>
      <c r="PGZ89" s="62"/>
      <c r="PHA89" s="62"/>
      <c r="PHB89" s="62"/>
      <c r="PHC89" s="62"/>
      <c r="PHD89" s="62"/>
      <c r="PHE89" s="62"/>
      <c r="PHF89" s="62"/>
      <c r="PHG89" s="62"/>
      <c r="PHH89" s="62"/>
      <c r="PHI89" s="62"/>
      <c r="PHJ89" s="62"/>
      <c r="PHK89" s="62"/>
      <c r="PHL89" s="62"/>
      <c r="PHM89" s="62"/>
      <c r="PHN89" s="62"/>
      <c r="PHO89" s="62"/>
      <c r="PHP89" s="62"/>
      <c r="PHQ89" s="62"/>
      <c r="PHR89" s="62"/>
      <c r="PHS89" s="62"/>
      <c r="PHT89" s="62"/>
      <c r="PHU89" s="62"/>
      <c r="PHV89" s="62"/>
      <c r="PHW89" s="62"/>
      <c r="PHX89" s="62"/>
      <c r="PHY89" s="62"/>
      <c r="PHZ89" s="62"/>
      <c r="PIA89" s="62"/>
      <c r="PIB89" s="62"/>
      <c r="PIC89" s="62"/>
      <c r="PID89" s="62"/>
      <c r="PIE89" s="62"/>
      <c r="PIF89" s="62"/>
      <c r="PIG89" s="62"/>
      <c r="PIH89" s="62"/>
      <c r="PII89" s="62"/>
      <c r="PIJ89" s="62"/>
      <c r="PIK89" s="62"/>
      <c r="PIL89" s="62"/>
      <c r="PIM89" s="62"/>
      <c r="PIN89" s="62"/>
      <c r="PIO89" s="62"/>
      <c r="PIP89" s="62"/>
      <c r="PIQ89" s="62"/>
      <c r="PIR89" s="62"/>
      <c r="PIS89" s="62"/>
      <c r="PIT89" s="62"/>
      <c r="PIU89" s="62"/>
      <c r="PIV89" s="62"/>
      <c r="PIW89" s="62"/>
      <c r="PIX89" s="62"/>
      <c r="PIY89" s="62"/>
      <c r="PIZ89" s="62"/>
      <c r="PJA89" s="62"/>
      <c r="PJB89" s="62"/>
      <c r="PJC89" s="62"/>
      <c r="PJD89" s="62"/>
      <c r="PJE89" s="62"/>
      <c r="PJF89" s="62"/>
      <c r="PJG89" s="62"/>
      <c r="PJH89" s="62"/>
      <c r="PJI89" s="62"/>
      <c r="PJJ89" s="62"/>
      <c r="PJK89" s="62"/>
      <c r="PJL89" s="62"/>
      <c r="PJM89" s="62"/>
      <c r="PJN89" s="62"/>
      <c r="PJO89" s="62"/>
      <c r="PJP89" s="62"/>
      <c r="PJQ89" s="62"/>
      <c r="PJR89" s="62"/>
      <c r="PJS89" s="62"/>
      <c r="PJT89" s="62"/>
      <c r="PJU89" s="62"/>
      <c r="PJV89" s="62"/>
      <c r="PJW89" s="62"/>
      <c r="PJX89" s="62"/>
      <c r="PJY89" s="62"/>
      <c r="PJZ89" s="62"/>
      <c r="PKA89" s="62"/>
      <c r="PKB89" s="62"/>
      <c r="PKC89" s="62"/>
      <c r="PKD89" s="62"/>
      <c r="PKE89" s="62"/>
      <c r="PKF89" s="62"/>
      <c r="PKG89" s="62"/>
      <c r="PKH89" s="62"/>
      <c r="PKI89" s="62"/>
      <c r="PKJ89" s="62"/>
      <c r="PKK89" s="62"/>
      <c r="PKL89" s="62"/>
      <c r="PKM89" s="62"/>
      <c r="PKN89" s="62"/>
      <c r="PKO89" s="62"/>
      <c r="PKP89" s="62"/>
      <c r="PKQ89" s="62"/>
      <c r="PKR89" s="62"/>
      <c r="PKS89" s="62"/>
      <c r="PKT89" s="62"/>
      <c r="PKU89" s="62"/>
      <c r="PKV89" s="62"/>
      <c r="PKW89" s="62"/>
      <c r="PKX89" s="62"/>
      <c r="PKY89" s="62"/>
      <c r="PKZ89" s="62"/>
      <c r="PLA89" s="62"/>
      <c r="PLB89" s="62"/>
      <c r="PLC89" s="62"/>
      <c r="PLD89" s="62"/>
      <c r="PLE89" s="62"/>
      <c r="PLF89" s="62"/>
      <c r="PLG89" s="62"/>
      <c r="PLH89" s="62"/>
      <c r="PLI89" s="62"/>
      <c r="PLJ89" s="62"/>
      <c r="PLK89" s="62"/>
      <c r="PLL89" s="62"/>
      <c r="PLM89" s="62"/>
      <c r="PLN89" s="62"/>
      <c r="PLO89" s="62"/>
      <c r="PLP89" s="62"/>
      <c r="PLQ89" s="62"/>
      <c r="PLR89" s="62"/>
      <c r="PLS89" s="62"/>
      <c r="PLT89" s="62"/>
      <c r="PLU89" s="62"/>
      <c r="PLV89" s="62"/>
      <c r="PLW89" s="62"/>
      <c r="PLX89" s="62"/>
      <c r="PLY89" s="62"/>
      <c r="PLZ89" s="62"/>
      <c r="PMA89" s="62"/>
      <c r="PMB89" s="62"/>
      <c r="PMC89" s="62"/>
      <c r="PMD89" s="62"/>
      <c r="PME89" s="62"/>
      <c r="PMF89" s="62"/>
      <c r="PMG89" s="62"/>
      <c r="PMH89" s="62"/>
      <c r="PMI89" s="62"/>
      <c r="PMJ89" s="62"/>
      <c r="PMK89" s="62"/>
      <c r="PML89" s="62"/>
      <c r="PMM89" s="62"/>
      <c r="PMN89" s="62"/>
      <c r="PMO89" s="62"/>
      <c r="PMP89" s="62"/>
      <c r="PMQ89" s="62"/>
      <c r="PMR89" s="62"/>
      <c r="PMS89" s="62"/>
      <c r="PMT89" s="62"/>
      <c r="PMU89" s="62"/>
      <c r="PMV89" s="62"/>
      <c r="PMW89" s="62"/>
      <c r="PMX89" s="62"/>
      <c r="PMY89" s="62"/>
      <c r="PMZ89" s="62"/>
      <c r="PNA89" s="62"/>
      <c r="PNB89" s="62"/>
      <c r="PNC89" s="62"/>
      <c r="PND89" s="62"/>
      <c r="PNE89" s="62"/>
      <c r="PNF89" s="62"/>
      <c r="PNG89" s="62"/>
      <c r="PNH89" s="62"/>
      <c r="PNI89" s="62"/>
      <c r="PNJ89" s="62"/>
      <c r="PNK89" s="62"/>
      <c r="PNL89" s="62"/>
      <c r="PNM89" s="62"/>
      <c r="PNN89" s="62"/>
      <c r="PNO89" s="62"/>
      <c r="PNP89" s="62"/>
      <c r="PNQ89" s="62"/>
      <c r="PNR89" s="62"/>
      <c r="PNS89" s="62"/>
      <c r="PNT89" s="62"/>
      <c r="PNU89" s="62"/>
      <c r="PNV89" s="62"/>
      <c r="PNW89" s="62"/>
      <c r="PNX89" s="62"/>
      <c r="PNY89" s="62"/>
      <c r="PNZ89" s="62"/>
      <c r="POA89" s="62"/>
      <c r="POB89" s="62"/>
      <c r="POC89" s="62"/>
      <c r="POD89" s="62"/>
      <c r="POE89" s="62"/>
      <c r="POF89" s="62"/>
      <c r="POG89" s="62"/>
      <c r="POH89" s="62"/>
      <c r="POI89" s="62"/>
      <c r="POJ89" s="62"/>
      <c r="POK89" s="62"/>
      <c r="POL89" s="62"/>
      <c r="POM89" s="62"/>
      <c r="PON89" s="62"/>
      <c r="POO89" s="62"/>
      <c r="POP89" s="62"/>
      <c r="POQ89" s="62"/>
      <c r="POR89" s="62"/>
      <c r="POS89" s="62"/>
      <c r="POT89" s="62"/>
      <c r="POU89" s="62"/>
      <c r="POV89" s="62"/>
      <c r="POW89" s="62"/>
      <c r="POX89" s="62"/>
      <c r="POY89" s="62"/>
      <c r="POZ89" s="62"/>
      <c r="PPA89" s="62"/>
      <c r="PPB89" s="62"/>
      <c r="PPC89" s="62"/>
      <c r="PPD89" s="62"/>
      <c r="PPE89" s="62"/>
      <c r="PPF89" s="62"/>
      <c r="PPG89" s="62"/>
      <c r="PPH89" s="62"/>
      <c r="PPI89" s="62"/>
      <c r="PPJ89" s="62"/>
      <c r="PPK89" s="62"/>
      <c r="PPL89" s="62"/>
      <c r="PPM89" s="62"/>
      <c r="PPN89" s="62"/>
      <c r="PPO89" s="62"/>
      <c r="PPP89" s="62"/>
      <c r="PPQ89" s="62"/>
      <c r="PPR89" s="62"/>
      <c r="PPS89" s="62"/>
      <c r="PPT89" s="62"/>
      <c r="PPU89" s="62"/>
      <c r="PPV89" s="62"/>
      <c r="PPW89" s="62"/>
      <c r="PPX89" s="62"/>
      <c r="PPY89" s="62"/>
      <c r="PPZ89" s="62"/>
      <c r="PQA89" s="62"/>
      <c r="PQB89" s="62"/>
      <c r="PQC89" s="62"/>
      <c r="PQD89" s="62"/>
      <c r="PQE89" s="62"/>
      <c r="PQF89" s="62"/>
      <c r="PQG89" s="62"/>
      <c r="PQH89" s="62"/>
      <c r="PQI89" s="62"/>
      <c r="PQJ89" s="62"/>
      <c r="PQK89" s="62"/>
      <c r="PQL89" s="62"/>
      <c r="PQM89" s="62"/>
      <c r="PQN89" s="62"/>
      <c r="PQO89" s="62"/>
      <c r="PQP89" s="62"/>
      <c r="PQQ89" s="62"/>
      <c r="PQR89" s="62"/>
      <c r="PQS89" s="62"/>
      <c r="PQT89" s="62"/>
      <c r="PQU89" s="62"/>
      <c r="PQV89" s="62"/>
      <c r="PQW89" s="62"/>
      <c r="PQX89" s="62"/>
      <c r="PQY89" s="62"/>
      <c r="PQZ89" s="62"/>
      <c r="PRA89" s="62"/>
      <c r="PRB89" s="62"/>
      <c r="PRC89" s="62"/>
      <c r="PRD89" s="62"/>
      <c r="PRE89" s="62"/>
      <c r="PRF89" s="62"/>
      <c r="PRG89" s="62"/>
      <c r="PRH89" s="62"/>
      <c r="PRI89" s="62"/>
      <c r="PRJ89" s="62"/>
      <c r="PRK89" s="62"/>
      <c r="PRL89" s="62"/>
      <c r="PRM89" s="62"/>
      <c r="PRN89" s="62"/>
      <c r="PRO89" s="62"/>
      <c r="PRP89" s="62"/>
      <c r="PRQ89" s="62"/>
      <c r="PRR89" s="62"/>
      <c r="PRS89" s="62"/>
      <c r="PRT89" s="62"/>
      <c r="PRU89" s="62"/>
      <c r="PRV89" s="62"/>
      <c r="PRW89" s="62"/>
      <c r="PRX89" s="62"/>
      <c r="PRY89" s="62"/>
      <c r="PRZ89" s="62"/>
      <c r="PSA89" s="62"/>
      <c r="PSB89" s="62"/>
      <c r="PSC89" s="62"/>
      <c r="PSD89" s="62"/>
      <c r="PSE89" s="62"/>
      <c r="PSF89" s="62"/>
      <c r="PSG89" s="62"/>
      <c r="PSH89" s="62"/>
      <c r="PSI89" s="62"/>
      <c r="PSJ89" s="62"/>
      <c r="PSK89" s="62"/>
      <c r="PSL89" s="62"/>
      <c r="PSM89" s="62"/>
      <c r="PSN89" s="62"/>
      <c r="PSO89" s="62"/>
      <c r="PSP89" s="62"/>
      <c r="PSQ89" s="62"/>
      <c r="PSR89" s="62"/>
      <c r="PSS89" s="62"/>
      <c r="PST89" s="62"/>
      <c r="PSU89" s="62"/>
      <c r="PSV89" s="62"/>
      <c r="PSW89" s="62"/>
      <c r="PSX89" s="62"/>
      <c r="PSY89" s="62"/>
      <c r="PSZ89" s="62"/>
      <c r="PTA89" s="62"/>
      <c r="PTB89" s="62"/>
      <c r="PTC89" s="62"/>
      <c r="PTD89" s="62"/>
      <c r="PTE89" s="62"/>
      <c r="PTF89" s="62"/>
      <c r="PTG89" s="62"/>
      <c r="PTH89" s="62"/>
      <c r="PTI89" s="62"/>
      <c r="PTJ89" s="62"/>
      <c r="PTK89" s="62"/>
      <c r="PTL89" s="62"/>
      <c r="PTM89" s="62"/>
      <c r="PTN89" s="62"/>
      <c r="PTO89" s="62"/>
      <c r="PTP89" s="62"/>
      <c r="PTQ89" s="62"/>
      <c r="PTR89" s="62"/>
      <c r="PTS89" s="62"/>
      <c r="PTT89" s="62"/>
      <c r="PTU89" s="62"/>
      <c r="PTV89" s="62"/>
      <c r="PTW89" s="62"/>
      <c r="PTX89" s="62"/>
      <c r="PTY89" s="62"/>
      <c r="PTZ89" s="62"/>
      <c r="PUA89" s="62"/>
      <c r="PUB89" s="62"/>
      <c r="PUC89" s="62"/>
      <c r="PUD89" s="62"/>
      <c r="PUE89" s="62"/>
      <c r="PUF89" s="62"/>
      <c r="PUG89" s="62"/>
      <c r="PUH89" s="62"/>
      <c r="PUI89" s="62"/>
      <c r="PUJ89" s="62"/>
      <c r="PUK89" s="62"/>
      <c r="PUL89" s="62"/>
      <c r="PUM89" s="62"/>
      <c r="PUN89" s="62"/>
      <c r="PUO89" s="62"/>
      <c r="PUP89" s="62"/>
      <c r="PUQ89" s="62"/>
      <c r="PUR89" s="62"/>
      <c r="PUS89" s="62"/>
      <c r="PUT89" s="62"/>
      <c r="PUU89" s="62"/>
      <c r="PUV89" s="62"/>
      <c r="PUW89" s="62"/>
      <c r="PUX89" s="62"/>
      <c r="PUY89" s="62"/>
      <c r="PUZ89" s="62"/>
      <c r="PVA89" s="62"/>
      <c r="PVB89" s="62"/>
      <c r="PVC89" s="62"/>
      <c r="PVD89" s="62"/>
      <c r="PVE89" s="62"/>
      <c r="PVF89" s="62"/>
      <c r="PVG89" s="62"/>
      <c r="PVH89" s="62"/>
      <c r="PVI89" s="62"/>
      <c r="PVJ89" s="62"/>
      <c r="PVK89" s="62"/>
      <c r="PVL89" s="62"/>
      <c r="PVM89" s="62"/>
      <c r="PVN89" s="62"/>
      <c r="PVO89" s="62"/>
      <c r="PVP89" s="62"/>
      <c r="PVQ89" s="62"/>
      <c r="PVR89" s="62"/>
      <c r="PVS89" s="62"/>
      <c r="PVT89" s="62"/>
      <c r="PVU89" s="62"/>
      <c r="PVV89" s="62"/>
      <c r="PVW89" s="62"/>
      <c r="PVX89" s="62"/>
      <c r="PVY89" s="62"/>
      <c r="PVZ89" s="62"/>
      <c r="PWA89" s="62"/>
      <c r="PWB89" s="62"/>
      <c r="PWC89" s="62"/>
      <c r="PWD89" s="62"/>
      <c r="PWE89" s="62"/>
      <c r="PWF89" s="62"/>
      <c r="PWG89" s="62"/>
      <c r="PWH89" s="62"/>
      <c r="PWI89" s="62"/>
      <c r="PWJ89" s="62"/>
      <c r="PWK89" s="62"/>
      <c r="PWL89" s="62"/>
      <c r="PWM89" s="62"/>
      <c r="PWN89" s="62"/>
      <c r="PWO89" s="62"/>
      <c r="PWP89" s="62"/>
      <c r="PWQ89" s="62"/>
      <c r="PWR89" s="62"/>
      <c r="PWS89" s="62"/>
      <c r="PWT89" s="62"/>
      <c r="PWU89" s="62"/>
      <c r="PWV89" s="62"/>
      <c r="PWW89" s="62"/>
      <c r="PWX89" s="62"/>
      <c r="PWY89" s="62"/>
      <c r="PWZ89" s="62"/>
      <c r="PXA89" s="62"/>
      <c r="PXB89" s="62"/>
      <c r="PXC89" s="62"/>
      <c r="PXD89" s="62"/>
      <c r="PXE89" s="62"/>
      <c r="PXF89" s="62"/>
      <c r="PXG89" s="62"/>
      <c r="PXH89" s="62"/>
      <c r="PXI89" s="62"/>
      <c r="PXJ89" s="62"/>
      <c r="PXK89" s="62"/>
      <c r="PXL89" s="62"/>
      <c r="PXM89" s="62"/>
      <c r="PXN89" s="62"/>
      <c r="PXO89" s="62"/>
      <c r="PXP89" s="62"/>
      <c r="PXQ89" s="62"/>
      <c r="PXR89" s="62"/>
      <c r="PXS89" s="62"/>
      <c r="PXT89" s="62"/>
      <c r="PXU89" s="62"/>
      <c r="PXV89" s="62"/>
      <c r="PXW89" s="62"/>
      <c r="PXX89" s="62"/>
      <c r="PXY89" s="62"/>
      <c r="PXZ89" s="62"/>
      <c r="PYA89" s="62"/>
      <c r="PYB89" s="62"/>
      <c r="PYC89" s="62"/>
      <c r="PYD89" s="62"/>
      <c r="PYE89" s="62"/>
      <c r="PYF89" s="62"/>
      <c r="PYG89" s="62"/>
      <c r="PYH89" s="62"/>
      <c r="PYI89" s="62"/>
      <c r="PYJ89" s="62"/>
      <c r="PYK89" s="62"/>
      <c r="PYL89" s="62"/>
      <c r="PYM89" s="62"/>
      <c r="PYN89" s="62"/>
      <c r="PYO89" s="62"/>
      <c r="PYP89" s="62"/>
      <c r="PYQ89" s="62"/>
      <c r="PYR89" s="62"/>
      <c r="PYS89" s="62"/>
      <c r="PYT89" s="62"/>
      <c r="PYU89" s="62"/>
      <c r="PYV89" s="62"/>
      <c r="PYW89" s="62"/>
      <c r="PYX89" s="62"/>
      <c r="PYY89" s="62"/>
      <c r="PYZ89" s="62"/>
      <c r="PZA89" s="62"/>
      <c r="PZB89" s="62"/>
      <c r="PZC89" s="62"/>
      <c r="PZD89" s="62"/>
      <c r="PZE89" s="62"/>
      <c r="PZF89" s="62"/>
      <c r="PZG89" s="62"/>
      <c r="PZH89" s="62"/>
      <c r="PZI89" s="62"/>
      <c r="PZJ89" s="62"/>
      <c r="PZK89" s="62"/>
      <c r="PZL89" s="62"/>
      <c r="PZM89" s="62"/>
      <c r="PZN89" s="62"/>
      <c r="PZO89" s="62"/>
      <c r="PZP89" s="62"/>
      <c r="PZQ89" s="62"/>
      <c r="PZR89" s="62"/>
      <c r="PZS89" s="62"/>
      <c r="PZT89" s="62"/>
      <c r="PZU89" s="62"/>
      <c r="PZV89" s="62"/>
      <c r="PZW89" s="62"/>
      <c r="PZX89" s="62"/>
      <c r="PZY89" s="62"/>
      <c r="PZZ89" s="62"/>
      <c r="QAA89" s="62"/>
      <c r="QAB89" s="62"/>
      <c r="QAC89" s="62"/>
      <c r="QAD89" s="62"/>
      <c r="QAE89" s="62"/>
      <c r="QAF89" s="62"/>
      <c r="QAG89" s="62"/>
      <c r="QAH89" s="62"/>
      <c r="QAI89" s="62"/>
      <c r="QAJ89" s="62"/>
      <c r="QAK89" s="62"/>
      <c r="QAL89" s="62"/>
      <c r="QAM89" s="62"/>
      <c r="QAN89" s="62"/>
      <c r="QAO89" s="62"/>
      <c r="QAP89" s="62"/>
      <c r="QAQ89" s="62"/>
      <c r="QAR89" s="62"/>
      <c r="QAS89" s="62"/>
      <c r="QAT89" s="62"/>
      <c r="QAU89" s="62"/>
      <c r="QAV89" s="62"/>
      <c r="QAW89" s="62"/>
      <c r="QAX89" s="62"/>
      <c r="QAY89" s="62"/>
      <c r="QAZ89" s="62"/>
      <c r="QBA89" s="62"/>
      <c r="QBB89" s="62"/>
      <c r="QBC89" s="62"/>
      <c r="QBD89" s="62"/>
      <c r="QBE89" s="62"/>
      <c r="QBF89" s="62"/>
      <c r="QBG89" s="62"/>
      <c r="QBH89" s="62"/>
      <c r="QBI89" s="62"/>
      <c r="QBJ89" s="62"/>
      <c r="QBK89" s="62"/>
      <c r="QBL89" s="62"/>
      <c r="QBM89" s="62"/>
      <c r="QBN89" s="62"/>
      <c r="QBO89" s="62"/>
      <c r="QBP89" s="62"/>
      <c r="QBQ89" s="62"/>
      <c r="QBR89" s="62"/>
      <c r="QBS89" s="62"/>
      <c r="QBT89" s="62"/>
      <c r="QBU89" s="62"/>
      <c r="QBV89" s="62"/>
      <c r="QBW89" s="62"/>
      <c r="QBX89" s="62"/>
      <c r="QBY89" s="62"/>
      <c r="QBZ89" s="62"/>
      <c r="QCA89" s="62"/>
      <c r="QCB89" s="62"/>
      <c r="QCC89" s="62"/>
      <c r="QCD89" s="62"/>
      <c r="QCE89" s="62"/>
      <c r="QCF89" s="62"/>
      <c r="QCG89" s="62"/>
      <c r="QCH89" s="62"/>
      <c r="QCI89" s="62"/>
      <c r="QCJ89" s="62"/>
      <c r="QCK89" s="62"/>
      <c r="QCL89" s="62"/>
      <c r="QCM89" s="62"/>
      <c r="QCN89" s="62"/>
      <c r="QCO89" s="62"/>
      <c r="QCP89" s="62"/>
      <c r="QCQ89" s="62"/>
      <c r="QCR89" s="62"/>
      <c r="QCS89" s="62"/>
      <c r="QCT89" s="62"/>
      <c r="QCU89" s="62"/>
      <c r="QCV89" s="62"/>
      <c r="QCW89" s="62"/>
      <c r="QCX89" s="62"/>
      <c r="QCY89" s="62"/>
      <c r="QCZ89" s="62"/>
      <c r="QDA89" s="62"/>
      <c r="QDB89" s="62"/>
      <c r="QDC89" s="62"/>
      <c r="QDD89" s="62"/>
      <c r="QDE89" s="62"/>
      <c r="QDF89" s="62"/>
      <c r="QDG89" s="62"/>
      <c r="QDH89" s="62"/>
      <c r="QDI89" s="62"/>
      <c r="QDJ89" s="62"/>
      <c r="QDK89" s="62"/>
      <c r="QDL89" s="62"/>
      <c r="QDM89" s="62"/>
      <c r="QDN89" s="62"/>
      <c r="QDO89" s="62"/>
      <c r="QDP89" s="62"/>
      <c r="QDQ89" s="62"/>
      <c r="QDR89" s="62"/>
      <c r="QDS89" s="62"/>
      <c r="QDT89" s="62"/>
      <c r="QDU89" s="62"/>
      <c r="QDV89" s="62"/>
      <c r="QDW89" s="62"/>
      <c r="QDX89" s="62"/>
      <c r="QDY89" s="62"/>
      <c r="QDZ89" s="62"/>
      <c r="QEA89" s="62"/>
      <c r="QEB89" s="62"/>
      <c r="QEC89" s="62"/>
      <c r="QED89" s="62"/>
      <c r="QEE89" s="62"/>
      <c r="QEF89" s="62"/>
      <c r="QEG89" s="62"/>
      <c r="QEH89" s="62"/>
      <c r="QEI89" s="62"/>
      <c r="QEJ89" s="62"/>
      <c r="QEK89" s="62"/>
      <c r="QEL89" s="62"/>
      <c r="QEM89" s="62"/>
      <c r="QEN89" s="62"/>
      <c r="QEO89" s="62"/>
      <c r="QEP89" s="62"/>
      <c r="QEQ89" s="62"/>
      <c r="QER89" s="62"/>
      <c r="QES89" s="62"/>
      <c r="QET89" s="62"/>
      <c r="QEU89" s="62"/>
      <c r="QEV89" s="62"/>
      <c r="QEW89" s="62"/>
      <c r="QEX89" s="62"/>
      <c r="QEY89" s="62"/>
      <c r="QEZ89" s="62"/>
      <c r="QFA89" s="62"/>
      <c r="QFB89" s="62"/>
      <c r="QFC89" s="62"/>
      <c r="QFD89" s="62"/>
      <c r="QFE89" s="62"/>
      <c r="QFF89" s="62"/>
      <c r="QFG89" s="62"/>
      <c r="QFH89" s="62"/>
      <c r="QFI89" s="62"/>
      <c r="QFJ89" s="62"/>
      <c r="QFK89" s="62"/>
      <c r="QFL89" s="62"/>
      <c r="QFM89" s="62"/>
      <c r="QFN89" s="62"/>
      <c r="QFO89" s="62"/>
      <c r="QFP89" s="62"/>
      <c r="QFQ89" s="62"/>
      <c r="QFR89" s="62"/>
      <c r="QFS89" s="62"/>
      <c r="QFT89" s="62"/>
      <c r="QFU89" s="62"/>
      <c r="QFV89" s="62"/>
      <c r="QFW89" s="62"/>
      <c r="QFX89" s="62"/>
      <c r="QFY89" s="62"/>
      <c r="QFZ89" s="62"/>
      <c r="QGA89" s="62"/>
      <c r="QGB89" s="62"/>
      <c r="QGC89" s="62"/>
      <c r="QGD89" s="62"/>
      <c r="QGE89" s="62"/>
      <c r="QGF89" s="62"/>
      <c r="QGG89" s="62"/>
      <c r="QGH89" s="62"/>
      <c r="QGI89" s="62"/>
      <c r="QGJ89" s="62"/>
      <c r="QGK89" s="62"/>
      <c r="QGL89" s="62"/>
      <c r="QGM89" s="62"/>
      <c r="QGN89" s="62"/>
      <c r="QGO89" s="62"/>
      <c r="QGP89" s="62"/>
      <c r="QGQ89" s="62"/>
      <c r="QGR89" s="62"/>
      <c r="QGS89" s="62"/>
      <c r="QGT89" s="62"/>
      <c r="QGU89" s="62"/>
      <c r="QGV89" s="62"/>
      <c r="QGW89" s="62"/>
      <c r="QGX89" s="62"/>
      <c r="QGY89" s="62"/>
      <c r="QGZ89" s="62"/>
      <c r="QHA89" s="62"/>
      <c r="QHB89" s="62"/>
      <c r="QHC89" s="62"/>
      <c r="QHD89" s="62"/>
      <c r="QHE89" s="62"/>
      <c r="QHF89" s="62"/>
      <c r="QHG89" s="62"/>
      <c r="QHH89" s="62"/>
      <c r="QHI89" s="62"/>
      <c r="QHJ89" s="62"/>
      <c r="QHK89" s="62"/>
      <c r="QHL89" s="62"/>
      <c r="QHM89" s="62"/>
      <c r="QHN89" s="62"/>
      <c r="QHO89" s="62"/>
      <c r="QHP89" s="62"/>
      <c r="QHQ89" s="62"/>
      <c r="QHR89" s="62"/>
      <c r="QHS89" s="62"/>
      <c r="QHT89" s="62"/>
      <c r="QHU89" s="62"/>
      <c r="QHV89" s="62"/>
      <c r="QHW89" s="62"/>
      <c r="QHX89" s="62"/>
      <c r="QHY89" s="62"/>
      <c r="QHZ89" s="62"/>
      <c r="QIA89" s="62"/>
      <c r="QIB89" s="62"/>
      <c r="QIC89" s="62"/>
      <c r="QID89" s="62"/>
      <c r="QIE89" s="62"/>
      <c r="QIF89" s="62"/>
      <c r="QIG89" s="62"/>
      <c r="QIH89" s="62"/>
      <c r="QII89" s="62"/>
      <c r="QIJ89" s="62"/>
      <c r="QIK89" s="62"/>
      <c r="QIL89" s="62"/>
      <c r="QIM89" s="62"/>
      <c r="QIN89" s="62"/>
      <c r="QIO89" s="62"/>
      <c r="QIP89" s="62"/>
      <c r="QIQ89" s="62"/>
      <c r="QIR89" s="62"/>
      <c r="QIS89" s="62"/>
      <c r="QIT89" s="62"/>
      <c r="QIU89" s="62"/>
      <c r="QIV89" s="62"/>
      <c r="QIW89" s="62"/>
      <c r="QIX89" s="62"/>
      <c r="QIY89" s="62"/>
      <c r="QIZ89" s="62"/>
      <c r="QJA89" s="62"/>
      <c r="QJB89" s="62"/>
      <c r="QJC89" s="62"/>
      <c r="QJD89" s="62"/>
      <c r="QJE89" s="62"/>
      <c r="QJF89" s="62"/>
      <c r="QJG89" s="62"/>
      <c r="QJH89" s="62"/>
      <c r="QJI89" s="62"/>
      <c r="QJJ89" s="62"/>
      <c r="QJK89" s="62"/>
      <c r="QJL89" s="62"/>
      <c r="QJM89" s="62"/>
      <c r="QJN89" s="62"/>
      <c r="QJO89" s="62"/>
      <c r="QJP89" s="62"/>
      <c r="QJQ89" s="62"/>
      <c r="QJR89" s="62"/>
      <c r="QJS89" s="62"/>
      <c r="QJT89" s="62"/>
      <c r="QJU89" s="62"/>
      <c r="QJV89" s="62"/>
      <c r="QJW89" s="62"/>
      <c r="QJX89" s="62"/>
      <c r="QJY89" s="62"/>
      <c r="QJZ89" s="62"/>
      <c r="QKA89" s="62"/>
      <c r="QKB89" s="62"/>
      <c r="QKC89" s="62"/>
      <c r="QKD89" s="62"/>
      <c r="QKE89" s="62"/>
      <c r="QKF89" s="62"/>
      <c r="QKG89" s="62"/>
      <c r="QKH89" s="62"/>
      <c r="QKI89" s="62"/>
      <c r="QKJ89" s="62"/>
      <c r="QKK89" s="62"/>
      <c r="QKL89" s="62"/>
      <c r="QKM89" s="62"/>
      <c r="QKN89" s="62"/>
      <c r="QKO89" s="62"/>
      <c r="QKP89" s="62"/>
      <c r="QKQ89" s="62"/>
      <c r="QKR89" s="62"/>
      <c r="QKS89" s="62"/>
      <c r="QKT89" s="62"/>
      <c r="QKU89" s="62"/>
      <c r="QKV89" s="62"/>
      <c r="QKW89" s="62"/>
      <c r="QKX89" s="62"/>
      <c r="QKY89" s="62"/>
      <c r="QKZ89" s="62"/>
      <c r="QLA89" s="62"/>
      <c r="QLB89" s="62"/>
      <c r="QLC89" s="62"/>
      <c r="QLD89" s="62"/>
      <c r="QLE89" s="62"/>
      <c r="QLF89" s="62"/>
      <c r="QLG89" s="62"/>
      <c r="QLH89" s="62"/>
      <c r="QLI89" s="62"/>
      <c r="QLJ89" s="62"/>
      <c r="QLK89" s="62"/>
      <c r="QLL89" s="62"/>
      <c r="QLM89" s="62"/>
      <c r="QLN89" s="62"/>
      <c r="QLO89" s="62"/>
      <c r="QLP89" s="62"/>
      <c r="QLQ89" s="62"/>
      <c r="QLR89" s="62"/>
      <c r="QLS89" s="62"/>
      <c r="QLT89" s="62"/>
      <c r="QLU89" s="62"/>
      <c r="QLV89" s="62"/>
      <c r="QLW89" s="62"/>
      <c r="QLX89" s="62"/>
      <c r="QLY89" s="62"/>
      <c r="QLZ89" s="62"/>
      <c r="QMA89" s="62"/>
      <c r="QMB89" s="62"/>
      <c r="QMC89" s="62"/>
      <c r="QMD89" s="62"/>
      <c r="QME89" s="62"/>
      <c r="QMF89" s="62"/>
      <c r="QMG89" s="62"/>
      <c r="QMH89" s="62"/>
      <c r="QMI89" s="62"/>
      <c r="QMJ89" s="62"/>
      <c r="QMK89" s="62"/>
      <c r="QML89" s="62"/>
      <c r="QMM89" s="62"/>
      <c r="QMN89" s="62"/>
      <c r="QMO89" s="62"/>
      <c r="QMP89" s="62"/>
      <c r="QMQ89" s="62"/>
      <c r="QMR89" s="62"/>
      <c r="QMS89" s="62"/>
      <c r="QMT89" s="62"/>
      <c r="QMU89" s="62"/>
      <c r="QMV89" s="62"/>
      <c r="QMW89" s="62"/>
      <c r="QMX89" s="62"/>
      <c r="QMY89" s="62"/>
      <c r="QMZ89" s="62"/>
      <c r="QNA89" s="62"/>
      <c r="QNB89" s="62"/>
      <c r="QNC89" s="62"/>
      <c r="QND89" s="62"/>
      <c r="QNE89" s="62"/>
      <c r="QNF89" s="62"/>
      <c r="QNG89" s="62"/>
      <c r="QNH89" s="62"/>
      <c r="QNI89" s="62"/>
      <c r="QNJ89" s="62"/>
      <c r="QNK89" s="62"/>
      <c r="QNL89" s="62"/>
      <c r="QNM89" s="62"/>
      <c r="QNN89" s="62"/>
      <c r="QNO89" s="62"/>
      <c r="QNP89" s="62"/>
      <c r="QNQ89" s="62"/>
      <c r="QNR89" s="62"/>
      <c r="QNS89" s="62"/>
      <c r="QNT89" s="62"/>
      <c r="QNU89" s="62"/>
      <c r="QNV89" s="62"/>
      <c r="QNW89" s="62"/>
      <c r="QNX89" s="62"/>
      <c r="QNY89" s="62"/>
      <c r="QNZ89" s="62"/>
      <c r="QOA89" s="62"/>
      <c r="QOB89" s="62"/>
      <c r="QOC89" s="62"/>
      <c r="QOD89" s="62"/>
      <c r="QOE89" s="62"/>
      <c r="QOF89" s="62"/>
      <c r="QOG89" s="62"/>
      <c r="QOH89" s="62"/>
      <c r="QOI89" s="62"/>
      <c r="QOJ89" s="62"/>
      <c r="QOK89" s="62"/>
      <c r="QOL89" s="62"/>
      <c r="QOM89" s="62"/>
      <c r="QON89" s="62"/>
      <c r="QOO89" s="62"/>
      <c r="QOP89" s="62"/>
      <c r="QOQ89" s="62"/>
      <c r="QOR89" s="62"/>
      <c r="QOS89" s="62"/>
      <c r="QOT89" s="62"/>
      <c r="QOU89" s="62"/>
      <c r="QOV89" s="62"/>
      <c r="QOW89" s="62"/>
      <c r="QOX89" s="62"/>
      <c r="QOY89" s="62"/>
      <c r="QOZ89" s="62"/>
      <c r="QPA89" s="62"/>
      <c r="QPB89" s="62"/>
      <c r="QPC89" s="62"/>
      <c r="QPD89" s="62"/>
      <c r="QPE89" s="62"/>
      <c r="QPF89" s="62"/>
      <c r="QPG89" s="62"/>
      <c r="QPH89" s="62"/>
      <c r="QPI89" s="62"/>
      <c r="QPJ89" s="62"/>
      <c r="QPK89" s="62"/>
      <c r="QPL89" s="62"/>
      <c r="QPM89" s="62"/>
      <c r="QPN89" s="62"/>
      <c r="QPO89" s="62"/>
      <c r="QPP89" s="62"/>
      <c r="QPQ89" s="62"/>
      <c r="QPR89" s="62"/>
      <c r="QPS89" s="62"/>
      <c r="QPT89" s="62"/>
      <c r="QPU89" s="62"/>
      <c r="QPV89" s="62"/>
      <c r="QPW89" s="62"/>
      <c r="QPX89" s="62"/>
      <c r="QPY89" s="62"/>
      <c r="QPZ89" s="62"/>
      <c r="QQA89" s="62"/>
      <c r="QQB89" s="62"/>
      <c r="QQC89" s="62"/>
      <c r="QQD89" s="62"/>
      <c r="QQE89" s="62"/>
      <c r="QQF89" s="62"/>
      <c r="QQG89" s="62"/>
      <c r="QQH89" s="62"/>
      <c r="QQI89" s="62"/>
      <c r="QQJ89" s="62"/>
      <c r="QQK89" s="62"/>
      <c r="QQL89" s="62"/>
      <c r="QQM89" s="62"/>
      <c r="QQN89" s="62"/>
      <c r="QQO89" s="62"/>
      <c r="QQP89" s="62"/>
      <c r="QQQ89" s="62"/>
      <c r="QQR89" s="62"/>
      <c r="QQS89" s="62"/>
      <c r="QQT89" s="62"/>
      <c r="QQU89" s="62"/>
      <c r="QQV89" s="62"/>
      <c r="QQW89" s="62"/>
      <c r="QQX89" s="62"/>
      <c r="QQY89" s="62"/>
      <c r="QQZ89" s="62"/>
      <c r="QRA89" s="62"/>
      <c r="QRB89" s="62"/>
      <c r="QRC89" s="62"/>
      <c r="QRD89" s="62"/>
      <c r="QRE89" s="62"/>
      <c r="QRF89" s="62"/>
      <c r="QRG89" s="62"/>
      <c r="QRH89" s="62"/>
      <c r="QRI89" s="62"/>
      <c r="QRJ89" s="62"/>
      <c r="QRK89" s="62"/>
      <c r="QRL89" s="62"/>
      <c r="QRM89" s="62"/>
      <c r="QRN89" s="62"/>
      <c r="QRO89" s="62"/>
      <c r="QRP89" s="62"/>
      <c r="QRQ89" s="62"/>
      <c r="QRR89" s="62"/>
      <c r="QRS89" s="62"/>
      <c r="QRT89" s="62"/>
      <c r="QRU89" s="62"/>
      <c r="QRV89" s="62"/>
      <c r="QRW89" s="62"/>
      <c r="QRX89" s="62"/>
      <c r="QRY89" s="62"/>
      <c r="QRZ89" s="62"/>
      <c r="QSA89" s="62"/>
      <c r="QSB89" s="62"/>
      <c r="QSC89" s="62"/>
      <c r="QSD89" s="62"/>
      <c r="QSE89" s="62"/>
      <c r="QSF89" s="62"/>
      <c r="QSG89" s="62"/>
      <c r="QSH89" s="62"/>
      <c r="QSI89" s="62"/>
      <c r="QSJ89" s="62"/>
      <c r="QSK89" s="62"/>
      <c r="QSL89" s="62"/>
      <c r="QSM89" s="62"/>
      <c r="QSN89" s="62"/>
      <c r="QSO89" s="62"/>
      <c r="QSP89" s="62"/>
      <c r="QSQ89" s="62"/>
      <c r="QSR89" s="62"/>
      <c r="QSS89" s="62"/>
      <c r="QST89" s="62"/>
      <c r="QSU89" s="62"/>
      <c r="QSV89" s="62"/>
      <c r="QSW89" s="62"/>
      <c r="QSX89" s="62"/>
      <c r="QSY89" s="62"/>
      <c r="QSZ89" s="62"/>
      <c r="QTA89" s="62"/>
      <c r="QTB89" s="62"/>
      <c r="QTC89" s="62"/>
      <c r="QTD89" s="62"/>
      <c r="QTE89" s="62"/>
      <c r="QTF89" s="62"/>
      <c r="QTG89" s="62"/>
      <c r="QTH89" s="62"/>
      <c r="QTI89" s="62"/>
      <c r="QTJ89" s="62"/>
      <c r="QTK89" s="62"/>
      <c r="QTL89" s="62"/>
      <c r="QTM89" s="62"/>
      <c r="QTN89" s="62"/>
      <c r="QTO89" s="62"/>
      <c r="QTP89" s="62"/>
      <c r="QTQ89" s="62"/>
      <c r="QTR89" s="62"/>
      <c r="QTS89" s="62"/>
      <c r="QTT89" s="62"/>
      <c r="QTU89" s="62"/>
      <c r="QTV89" s="62"/>
      <c r="QTW89" s="62"/>
      <c r="QTX89" s="62"/>
      <c r="QTY89" s="62"/>
      <c r="QTZ89" s="62"/>
      <c r="QUA89" s="62"/>
      <c r="QUB89" s="62"/>
      <c r="QUC89" s="62"/>
      <c r="QUD89" s="62"/>
      <c r="QUE89" s="62"/>
      <c r="QUF89" s="62"/>
      <c r="QUG89" s="62"/>
      <c r="QUH89" s="62"/>
      <c r="QUI89" s="62"/>
      <c r="QUJ89" s="62"/>
      <c r="QUK89" s="62"/>
      <c r="QUL89" s="62"/>
      <c r="QUM89" s="62"/>
      <c r="QUN89" s="62"/>
      <c r="QUO89" s="62"/>
      <c r="QUP89" s="62"/>
      <c r="QUQ89" s="62"/>
      <c r="QUR89" s="62"/>
      <c r="QUS89" s="62"/>
      <c r="QUT89" s="62"/>
      <c r="QUU89" s="62"/>
      <c r="QUV89" s="62"/>
      <c r="QUW89" s="62"/>
      <c r="QUX89" s="62"/>
      <c r="QUY89" s="62"/>
      <c r="QUZ89" s="62"/>
      <c r="QVA89" s="62"/>
      <c r="QVB89" s="62"/>
      <c r="QVC89" s="62"/>
      <c r="QVD89" s="62"/>
      <c r="QVE89" s="62"/>
      <c r="QVF89" s="62"/>
      <c r="QVG89" s="62"/>
      <c r="QVH89" s="62"/>
      <c r="QVI89" s="62"/>
      <c r="QVJ89" s="62"/>
      <c r="QVK89" s="62"/>
      <c r="QVL89" s="62"/>
      <c r="QVM89" s="62"/>
      <c r="QVN89" s="62"/>
      <c r="QVO89" s="62"/>
      <c r="QVP89" s="62"/>
      <c r="QVQ89" s="62"/>
      <c r="QVR89" s="62"/>
      <c r="QVS89" s="62"/>
      <c r="QVT89" s="62"/>
      <c r="QVU89" s="62"/>
      <c r="QVV89" s="62"/>
      <c r="QVW89" s="62"/>
      <c r="QVX89" s="62"/>
      <c r="QVY89" s="62"/>
      <c r="QVZ89" s="62"/>
      <c r="QWA89" s="62"/>
      <c r="QWB89" s="62"/>
      <c r="QWC89" s="62"/>
      <c r="QWD89" s="62"/>
      <c r="QWE89" s="62"/>
      <c r="QWF89" s="62"/>
      <c r="QWG89" s="62"/>
      <c r="QWH89" s="62"/>
      <c r="QWI89" s="62"/>
      <c r="QWJ89" s="62"/>
      <c r="QWK89" s="62"/>
      <c r="QWL89" s="62"/>
      <c r="QWM89" s="62"/>
      <c r="QWN89" s="62"/>
      <c r="QWO89" s="62"/>
      <c r="QWP89" s="62"/>
      <c r="QWQ89" s="62"/>
      <c r="QWR89" s="62"/>
      <c r="QWS89" s="62"/>
      <c r="QWT89" s="62"/>
      <c r="QWU89" s="62"/>
      <c r="QWV89" s="62"/>
      <c r="QWW89" s="62"/>
      <c r="QWX89" s="62"/>
      <c r="QWY89" s="62"/>
      <c r="QWZ89" s="62"/>
      <c r="QXA89" s="62"/>
      <c r="QXB89" s="62"/>
      <c r="QXC89" s="62"/>
      <c r="QXD89" s="62"/>
      <c r="QXE89" s="62"/>
      <c r="QXF89" s="62"/>
      <c r="QXG89" s="62"/>
      <c r="QXH89" s="62"/>
      <c r="QXI89" s="62"/>
      <c r="QXJ89" s="62"/>
      <c r="QXK89" s="62"/>
      <c r="QXL89" s="62"/>
      <c r="QXM89" s="62"/>
      <c r="QXN89" s="62"/>
      <c r="QXO89" s="62"/>
      <c r="QXP89" s="62"/>
      <c r="QXQ89" s="62"/>
      <c r="QXR89" s="62"/>
      <c r="QXS89" s="62"/>
      <c r="QXT89" s="62"/>
      <c r="QXU89" s="62"/>
      <c r="QXV89" s="62"/>
      <c r="QXW89" s="62"/>
      <c r="QXX89" s="62"/>
      <c r="QXY89" s="62"/>
      <c r="QXZ89" s="62"/>
      <c r="QYA89" s="62"/>
      <c r="QYB89" s="62"/>
      <c r="QYC89" s="62"/>
      <c r="QYD89" s="62"/>
      <c r="QYE89" s="62"/>
      <c r="QYF89" s="62"/>
      <c r="QYG89" s="62"/>
      <c r="QYH89" s="62"/>
      <c r="QYI89" s="62"/>
      <c r="QYJ89" s="62"/>
      <c r="QYK89" s="62"/>
      <c r="QYL89" s="62"/>
      <c r="QYM89" s="62"/>
      <c r="QYN89" s="62"/>
      <c r="QYO89" s="62"/>
      <c r="QYP89" s="62"/>
      <c r="QYQ89" s="62"/>
      <c r="QYR89" s="62"/>
      <c r="QYS89" s="62"/>
      <c r="QYT89" s="62"/>
      <c r="QYU89" s="62"/>
      <c r="QYV89" s="62"/>
      <c r="QYW89" s="62"/>
      <c r="QYX89" s="62"/>
      <c r="QYY89" s="62"/>
      <c r="QYZ89" s="62"/>
      <c r="QZA89" s="62"/>
      <c r="QZB89" s="62"/>
      <c r="QZC89" s="62"/>
      <c r="QZD89" s="62"/>
      <c r="QZE89" s="62"/>
      <c r="QZF89" s="62"/>
      <c r="QZG89" s="62"/>
      <c r="QZH89" s="62"/>
      <c r="QZI89" s="62"/>
      <c r="QZJ89" s="62"/>
      <c r="QZK89" s="62"/>
      <c r="QZL89" s="62"/>
      <c r="QZM89" s="62"/>
      <c r="QZN89" s="62"/>
      <c r="QZO89" s="62"/>
      <c r="QZP89" s="62"/>
      <c r="QZQ89" s="62"/>
      <c r="QZR89" s="62"/>
      <c r="QZS89" s="62"/>
      <c r="QZT89" s="62"/>
      <c r="QZU89" s="62"/>
      <c r="QZV89" s="62"/>
      <c r="QZW89" s="62"/>
      <c r="QZX89" s="62"/>
      <c r="QZY89" s="62"/>
      <c r="QZZ89" s="62"/>
      <c r="RAA89" s="62"/>
      <c r="RAB89" s="62"/>
      <c r="RAC89" s="62"/>
      <c r="RAD89" s="62"/>
      <c r="RAE89" s="62"/>
      <c r="RAF89" s="62"/>
      <c r="RAG89" s="62"/>
      <c r="RAH89" s="62"/>
      <c r="RAI89" s="62"/>
      <c r="RAJ89" s="62"/>
      <c r="RAK89" s="62"/>
      <c r="RAL89" s="62"/>
      <c r="RAM89" s="62"/>
      <c r="RAN89" s="62"/>
      <c r="RAO89" s="62"/>
      <c r="RAP89" s="62"/>
      <c r="RAQ89" s="62"/>
      <c r="RAR89" s="62"/>
      <c r="RAS89" s="62"/>
      <c r="RAT89" s="62"/>
      <c r="RAU89" s="62"/>
      <c r="RAV89" s="62"/>
      <c r="RAW89" s="62"/>
      <c r="RAX89" s="62"/>
      <c r="RAY89" s="62"/>
      <c r="RAZ89" s="62"/>
      <c r="RBA89" s="62"/>
      <c r="RBB89" s="62"/>
      <c r="RBC89" s="62"/>
      <c r="RBD89" s="62"/>
      <c r="RBE89" s="62"/>
      <c r="RBF89" s="62"/>
      <c r="RBG89" s="62"/>
      <c r="RBH89" s="62"/>
      <c r="RBI89" s="62"/>
      <c r="RBJ89" s="62"/>
      <c r="RBK89" s="62"/>
      <c r="RBL89" s="62"/>
      <c r="RBM89" s="62"/>
      <c r="RBN89" s="62"/>
      <c r="RBO89" s="62"/>
      <c r="RBP89" s="62"/>
      <c r="RBQ89" s="62"/>
      <c r="RBR89" s="62"/>
      <c r="RBS89" s="62"/>
      <c r="RBT89" s="62"/>
      <c r="RBU89" s="62"/>
      <c r="RBV89" s="62"/>
      <c r="RBW89" s="62"/>
      <c r="RBX89" s="62"/>
      <c r="RBY89" s="62"/>
      <c r="RBZ89" s="62"/>
      <c r="RCA89" s="62"/>
      <c r="RCB89" s="62"/>
      <c r="RCC89" s="62"/>
      <c r="RCD89" s="62"/>
      <c r="RCE89" s="62"/>
      <c r="RCF89" s="62"/>
      <c r="RCG89" s="62"/>
      <c r="RCH89" s="62"/>
      <c r="RCI89" s="62"/>
      <c r="RCJ89" s="62"/>
      <c r="RCK89" s="62"/>
      <c r="RCL89" s="62"/>
      <c r="RCM89" s="62"/>
      <c r="RCN89" s="62"/>
      <c r="RCO89" s="62"/>
      <c r="RCP89" s="62"/>
      <c r="RCQ89" s="62"/>
      <c r="RCR89" s="62"/>
      <c r="RCS89" s="62"/>
      <c r="RCT89" s="62"/>
      <c r="RCU89" s="62"/>
      <c r="RCV89" s="62"/>
      <c r="RCW89" s="62"/>
      <c r="RCX89" s="62"/>
      <c r="RCY89" s="62"/>
      <c r="RCZ89" s="62"/>
      <c r="RDA89" s="62"/>
      <c r="RDB89" s="62"/>
      <c r="RDC89" s="62"/>
      <c r="RDD89" s="62"/>
      <c r="RDE89" s="62"/>
      <c r="RDF89" s="62"/>
      <c r="RDG89" s="62"/>
      <c r="RDH89" s="62"/>
      <c r="RDI89" s="62"/>
      <c r="RDJ89" s="62"/>
      <c r="RDK89" s="62"/>
      <c r="RDL89" s="62"/>
      <c r="RDM89" s="62"/>
      <c r="RDN89" s="62"/>
      <c r="RDO89" s="62"/>
      <c r="RDP89" s="62"/>
      <c r="RDQ89" s="62"/>
      <c r="RDR89" s="62"/>
      <c r="RDS89" s="62"/>
      <c r="RDT89" s="62"/>
      <c r="RDU89" s="62"/>
      <c r="RDV89" s="62"/>
      <c r="RDW89" s="62"/>
      <c r="RDX89" s="62"/>
      <c r="RDY89" s="62"/>
      <c r="RDZ89" s="62"/>
      <c r="REA89" s="62"/>
      <c r="REB89" s="62"/>
      <c r="REC89" s="62"/>
      <c r="RED89" s="62"/>
      <c r="REE89" s="62"/>
      <c r="REF89" s="62"/>
      <c r="REG89" s="62"/>
      <c r="REH89" s="62"/>
      <c r="REI89" s="62"/>
      <c r="REJ89" s="62"/>
      <c r="REK89" s="62"/>
      <c r="REL89" s="62"/>
      <c r="REM89" s="62"/>
      <c r="REN89" s="62"/>
      <c r="REO89" s="62"/>
      <c r="REP89" s="62"/>
      <c r="REQ89" s="62"/>
      <c r="RER89" s="62"/>
      <c r="RES89" s="62"/>
      <c r="RET89" s="62"/>
      <c r="REU89" s="62"/>
      <c r="REV89" s="62"/>
      <c r="REW89" s="62"/>
      <c r="REX89" s="62"/>
      <c r="REY89" s="62"/>
      <c r="REZ89" s="62"/>
      <c r="RFA89" s="62"/>
      <c r="RFB89" s="62"/>
      <c r="RFC89" s="62"/>
      <c r="RFD89" s="62"/>
      <c r="RFE89" s="62"/>
      <c r="RFF89" s="62"/>
      <c r="RFG89" s="62"/>
      <c r="RFH89" s="62"/>
      <c r="RFI89" s="62"/>
      <c r="RFJ89" s="62"/>
      <c r="RFK89" s="62"/>
      <c r="RFL89" s="62"/>
      <c r="RFM89" s="62"/>
      <c r="RFN89" s="62"/>
      <c r="RFO89" s="62"/>
      <c r="RFP89" s="62"/>
      <c r="RFQ89" s="62"/>
      <c r="RFR89" s="62"/>
      <c r="RFS89" s="62"/>
      <c r="RFT89" s="62"/>
      <c r="RFU89" s="62"/>
      <c r="RFV89" s="62"/>
      <c r="RFW89" s="62"/>
      <c r="RFX89" s="62"/>
      <c r="RFY89" s="62"/>
      <c r="RFZ89" s="62"/>
      <c r="RGA89" s="62"/>
      <c r="RGB89" s="62"/>
      <c r="RGC89" s="62"/>
      <c r="RGD89" s="62"/>
      <c r="RGE89" s="62"/>
      <c r="RGF89" s="62"/>
      <c r="RGG89" s="62"/>
      <c r="RGH89" s="62"/>
      <c r="RGI89" s="62"/>
      <c r="RGJ89" s="62"/>
      <c r="RGK89" s="62"/>
      <c r="RGL89" s="62"/>
      <c r="RGM89" s="62"/>
      <c r="RGN89" s="62"/>
      <c r="RGO89" s="62"/>
      <c r="RGP89" s="62"/>
      <c r="RGQ89" s="62"/>
      <c r="RGR89" s="62"/>
      <c r="RGS89" s="62"/>
      <c r="RGT89" s="62"/>
      <c r="RGU89" s="62"/>
      <c r="RGV89" s="62"/>
      <c r="RGW89" s="62"/>
      <c r="RGX89" s="62"/>
      <c r="RGY89" s="62"/>
      <c r="RGZ89" s="62"/>
      <c r="RHA89" s="62"/>
      <c r="RHB89" s="62"/>
      <c r="RHC89" s="62"/>
      <c r="RHD89" s="62"/>
      <c r="RHE89" s="62"/>
      <c r="RHF89" s="62"/>
      <c r="RHG89" s="62"/>
      <c r="RHH89" s="62"/>
      <c r="RHI89" s="62"/>
      <c r="RHJ89" s="62"/>
      <c r="RHK89" s="62"/>
      <c r="RHL89" s="62"/>
      <c r="RHM89" s="62"/>
      <c r="RHN89" s="62"/>
      <c r="RHO89" s="62"/>
      <c r="RHP89" s="62"/>
      <c r="RHQ89" s="62"/>
      <c r="RHR89" s="62"/>
      <c r="RHS89" s="62"/>
      <c r="RHT89" s="62"/>
      <c r="RHU89" s="62"/>
      <c r="RHV89" s="62"/>
      <c r="RHW89" s="62"/>
      <c r="RHX89" s="62"/>
      <c r="RHY89" s="62"/>
      <c r="RHZ89" s="62"/>
      <c r="RIA89" s="62"/>
      <c r="RIB89" s="62"/>
      <c r="RIC89" s="62"/>
      <c r="RID89" s="62"/>
      <c r="RIE89" s="62"/>
      <c r="RIF89" s="62"/>
      <c r="RIG89" s="62"/>
      <c r="RIH89" s="62"/>
      <c r="RII89" s="62"/>
      <c r="RIJ89" s="62"/>
      <c r="RIK89" s="62"/>
      <c r="RIL89" s="62"/>
      <c r="RIM89" s="62"/>
      <c r="RIN89" s="62"/>
      <c r="RIO89" s="62"/>
      <c r="RIP89" s="62"/>
      <c r="RIQ89" s="62"/>
      <c r="RIR89" s="62"/>
      <c r="RIS89" s="62"/>
      <c r="RIT89" s="62"/>
      <c r="RIU89" s="62"/>
      <c r="RIV89" s="62"/>
      <c r="RIW89" s="62"/>
      <c r="RIX89" s="62"/>
      <c r="RIY89" s="62"/>
      <c r="RIZ89" s="62"/>
      <c r="RJA89" s="62"/>
      <c r="RJB89" s="62"/>
      <c r="RJC89" s="62"/>
      <c r="RJD89" s="62"/>
      <c r="RJE89" s="62"/>
      <c r="RJF89" s="62"/>
      <c r="RJG89" s="62"/>
      <c r="RJH89" s="62"/>
      <c r="RJI89" s="62"/>
      <c r="RJJ89" s="62"/>
      <c r="RJK89" s="62"/>
      <c r="RJL89" s="62"/>
      <c r="RJM89" s="62"/>
      <c r="RJN89" s="62"/>
      <c r="RJO89" s="62"/>
      <c r="RJP89" s="62"/>
      <c r="RJQ89" s="62"/>
      <c r="RJR89" s="62"/>
      <c r="RJS89" s="62"/>
      <c r="RJT89" s="62"/>
      <c r="RJU89" s="62"/>
      <c r="RJV89" s="62"/>
      <c r="RJW89" s="62"/>
      <c r="RJX89" s="62"/>
      <c r="RJY89" s="62"/>
      <c r="RJZ89" s="62"/>
      <c r="RKA89" s="62"/>
      <c r="RKB89" s="62"/>
      <c r="RKC89" s="62"/>
      <c r="RKD89" s="62"/>
      <c r="RKE89" s="62"/>
      <c r="RKF89" s="62"/>
      <c r="RKG89" s="62"/>
      <c r="RKH89" s="62"/>
      <c r="RKI89" s="62"/>
      <c r="RKJ89" s="62"/>
      <c r="RKK89" s="62"/>
      <c r="RKL89" s="62"/>
      <c r="RKM89" s="62"/>
      <c r="RKN89" s="62"/>
      <c r="RKO89" s="62"/>
      <c r="RKP89" s="62"/>
      <c r="RKQ89" s="62"/>
      <c r="RKR89" s="62"/>
      <c r="RKS89" s="62"/>
      <c r="RKT89" s="62"/>
      <c r="RKU89" s="62"/>
      <c r="RKV89" s="62"/>
      <c r="RKW89" s="62"/>
      <c r="RKX89" s="62"/>
      <c r="RKY89" s="62"/>
      <c r="RKZ89" s="62"/>
      <c r="RLA89" s="62"/>
      <c r="RLB89" s="62"/>
      <c r="RLC89" s="62"/>
      <c r="RLD89" s="62"/>
      <c r="RLE89" s="62"/>
      <c r="RLF89" s="62"/>
      <c r="RLG89" s="62"/>
      <c r="RLH89" s="62"/>
      <c r="RLI89" s="62"/>
      <c r="RLJ89" s="62"/>
      <c r="RLK89" s="62"/>
      <c r="RLL89" s="62"/>
      <c r="RLM89" s="62"/>
      <c r="RLN89" s="62"/>
      <c r="RLO89" s="62"/>
      <c r="RLP89" s="62"/>
      <c r="RLQ89" s="62"/>
      <c r="RLR89" s="62"/>
      <c r="RLS89" s="62"/>
      <c r="RLT89" s="62"/>
      <c r="RLU89" s="62"/>
      <c r="RLV89" s="62"/>
      <c r="RLW89" s="62"/>
      <c r="RLX89" s="62"/>
      <c r="RLY89" s="62"/>
      <c r="RLZ89" s="62"/>
      <c r="RMA89" s="62"/>
      <c r="RMB89" s="62"/>
      <c r="RMC89" s="62"/>
      <c r="RMD89" s="62"/>
      <c r="RME89" s="62"/>
      <c r="RMF89" s="62"/>
      <c r="RMG89" s="62"/>
      <c r="RMH89" s="62"/>
      <c r="RMI89" s="62"/>
      <c r="RMJ89" s="62"/>
      <c r="RMK89" s="62"/>
      <c r="RML89" s="62"/>
      <c r="RMM89" s="62"/>
      <c r="RMN89" s="62"/>
      <c r="RMO89" s="62"/>
      <c r="RMP89" s="62"/>
      <c r="RMQ89" s="62"/>
      <c r="RMR89" s="62"/>
      <c r="RMS89" s="62"/>
      <c r="RMT89" s="62"/>
      <c r="RMU89" s="62"/>
      <c r="RMV89" s="62"/>
      <c r="RMW89" s="62"/>
      <c r="RMX89" s="62"/>
      <c r="RMY89" s="62"/>
      <c r="RMZ89" s="62"/>
      <c r="RNA89" s="62"/>
      <c r="RNB89" s="62"/>
      <c r="RNC89" s="62"/>
      <c r="RND89" s="62"/>
      <c r="RNE89" s="62"/>
      <c r="RNF89" s="62"/>
      <c r="RNG89" s="62"/>
      <c r="RNH89" s="62"/>
      <c r="RNI89" s="62"/>
      <c r="RNJ89" s="62"/>
      <c r="RNK89" s="62"/>
      <c r="RNL89" s="62"/>
      <c r="RNM89" s="62"/>
      <c r="RNN89" s="62"/>
      <c r="RNO89" s="62"/>
      <c r="RNP89" s="62"/>
      <c r="RNQ89" s="62"/>
      <c r="RNR89" s="62"/>
      <c r="RNS89" s="62"/>
      <c r="RNT89" s="62"/>
      <c r="RNU89" s="62"/>
      <c r="RNV89" s="62"/>
      <c r="RNW89" s="62"/>
      <c r="RNX89" s="62"/>
      <c r="RNY89" s="62"/>
      <c r="RNZ89" s="62"/>
      <c r="ROA89" s="62"/>
      <c r="ROB89" s="62"/>
      <c r="ROC89" s="62"/>
      <c r="ROD89" s="62"/>
      <c r="ROE89" s="62"/>
      <c r="ROF89" s="62"/>
      <c r="ROG89" s="62"/>
      <c r="ROH89" s="62"/>
      <c r="ROI89" s="62"/>
      <c r="ROJ89" s="62"/>
      <c r="ROK89" s="62"/>
      <c r="ROL89" s="62"/>
      <c r="ROM89" s="62"/>
      <c r="RON89" s="62"/>
      <c r="ROO89" s="62"/>
      <c r="ROP89" s="62"/>
      <c r="ROQ89" s="62"/>
      <c r="ROR89" s="62"/>
      <c r="ROS89" s="62"/>
      <c r="ROT89" s="62"/>
      <c r="ROU89" s="62"/>
      <c r="ROV89" s="62"/>
      <c r="ROW89" s="62"/>
      <c r="ROX89" s="62"/>
      <c r="ROY89" s="62"/>
      <c r="ROZ89" s="62"/>
      <c r="RPA89" s="62"/>
      <c r="RPB89" s="62"/>
      <c r="RPC89" s="62"/>
      <c r="RPD89" s="62"/>
      <c r="RPE89" s="62"/>
      <c r="RPF89" s="62"/>
      <c r="RPG89" s="62"/>
      <c r="RPH89" s="62"/>
      <c r="RPI89" s="62"/>
      <c r="RPJ89" s="62"/>
      <c r="RPK89" s="62"/>
      <c r="RPL89" s="62"/>
      <c r="RPM89" s="62"/>
      <c r="RPN89" s="62"/>
      <c r="RPO89" s="62"/>
      <c r="RPP89" s="62"/>
      <c r="RPQ89" s="62"/>
      <c r="RPR89" s="62"/>
      <c r="RPS89" s="62"/>
      <c r="RPT89" s="62"/>
      <c r="RPU89" s="62"/>
      <c r="RPV89" s="62"/>
      <c r="RPW89" s="62"/>
      <c r="RPX89" s="62"/>
      <c r="RPY89" s="62"/>
      <c r="RPZ89" s="62"/>
      <c r="RQA89" s="62"/>
      <c r="RQB89" s="62"/>
      <c r="RQC89" s="62"/>
      <c r="RQD89" s="62"/>
      <c r="RQE89" s="62"/>
      <c r="RQF89" s="62"/>
      <c r="RQG89" s="62"/>
      <c r="RQH89" s="62"/>
      <c r="RQI89" s="62"/>
      <c r="RQJ89" s="62"/>
      <c r="RQK89" s="62"/>
      <c r="RQL89" s="62"/>
      <c r="RQM89" s="62"/>
      <c r="RQN89" s="62"/>
      <c r="RQO89" s="62"/>
      <c r="RQP89" s="62"/>
      <c r="RQQ89" s="62"/>
      <c r="RQR89" s="62"/>
      <c r="RQS89" s="62"/>
      <c r="RQT89" s="62"/>
      <c r="RQU89" s="62"/>
      <c r="RQV89" s="62"/>
      <c r="RQW89" s="62"/>
      <c r="RQX89" s="62"/>
      <c r="RQY89" s="62"/>
      <c r="RQZ89" s="62"/>
      <c r="RRA89" s="62"/>
      <c r="RRB89" s="62"/>
      <c r="RRC89" s="62"/>
      <c r="RRD89" s="62"/>
      <c r="RRE89" s="62"/>
      <c r="RRF89" s="62"/>
      <c r="RRG89" s="62"/>
      <c r="RRH89" s="62"/>
      <c r="RRI89" s="62"/>
      <c r="RRJ89" s="62"/>
      <c r="RRK89" s="62"/>
      <c r="RRL89" s="62"/>
      <c r="RRM89" s="62"/>
      <c r="RRN89" s="62"/>
      <c r="RRO89" s="62"/>
      <c r="RRP89" s="62"/>
      <c r="RRQ89" s="62"/>
      <c r="RRR89" s="62"/>
      <c r="RRS89" s="62"/>
      <c r="RRT89" s="62"/>
      <c r="RRU89" s="62"/>
      <c r="RRV89" s="62"/>
      <c r="RRW89" s="62"/>
      <c r="RRX89" s="62"/>
      <c r="RRY89" s="62"/>
      <c r="RRZ89" s="62"/>
      <c r="RSA89" s="62"/>
      <c r="RSB89" s="62"/>
      <c r="RSC89" s="62"/>
      <c r="RSD89" s="62"/>
      <c r="RSE89" s="62"/>
      <c r="RSF89" s="62"/>
      <c r="RSG89" s="62"/>
      <c r="RSH89" s="62"/>
      <c r="RSI89" s="62"/>
      <c r="RSJ89" s="62"/>
      <c r="RSK89" s="62"/>
      <c r="RSL89" s="62"/>
      <c r="RSM89" s="62"/>
      <c r="RSN89" s="62"/>
      <c r="RSO89" s="62"/>
      <c r="RSP89" s="62"/>
      <c r="RSQ89" s="62"/>
      <c r="RSR89" s="62"/>
      <c r="RSS89" s="62"/>
      <c r="RST89" s="62"/>
      <c r="RSU89" s="62"/>
      <c r="RSV89" s="62"/>
      <c r="RSW89" s="62"/>
      <c r="RSX89" s="62"/>
      <c r="RSY89" s="62"/>
      <c r="RSZ89" s="62"/>
      <c r="RTA89" s="62"/>
      <c r="RTB89" s="62"/>
      <c r="RTC89" s="62"/>
      <c r="RTD89" s="62"/>
      <c r="RTE89" s="62"/>
      <c r="RTF89" s="62"/>
      <c r="RTG89" s="62"/>
      <c r="RTH89" s="62"/>
      <c r="RTI89" s="62"/>
      <c r="RTJ89" s="62"/>
      <c r="RTK89" s="62"/>
      <c r="RTL89" s="62"/>
      <c r="RTM89" s="62"/>
      <c r="RTN89" s="62"/>
      <c r="RTO89" s="62"/>
      <c r="RTP89" s="62"/>
      <c r="RTQ89" s="62"/>
      <c r="RTR89" s="62"/>
      <c r="RTS89" s="62"/>
      <c r="RTT89" s="62"/>
      <c r="RTU89" s="62"/>
      <c r="RTV89" s="62"/>
      <c r="RTW89" s="62"/>
      <c r="RTX89" s="62"/>
      <c r="RTY89" s="62"/>
      <c r="RTZ89" s="62"/>
      <c r="RUA89" s="62"/>
      <c r="RUB89" s="62"/>
      <c r="RUC89" s="62"/>
      <c r="RUD89" s="62"/>
      <c r="RUE89" s="62"/>
      <c r="RUF89" s="62"/>
      <c r="RUG89" s="62"/>
      <c r="RUH89" s="62"/>
      <c r="RUI89" s="62"/>
      <c r="RUJ89" s="62"/>
      <c r="RUK89" s="62"/>
      <c r="RUL89" s="62"/>
      <c r="RUM89" s="62"/>
      <c r="RUN89" s="62"/>
      <c r="RUO89" s="62"/>
      <c r="RUP89" s="62"/>
      <c r="RUQ89" s="62"/>
      <c r="RUR89" s="62"/>
      <c r="RUS89" s="62"/>
      <c r="RUT89" s="62"/>
      <c r="RUU89" s="62"/>
      <c r="RUV89" s="62"/>
      <c r="RUW89" s="62"/>
      <c r="RUX89" s="62"/>
      <c r="RUY89" s="62"/>
      <c r="RUZ89" s="62"/>
      <c r="RVA89" s="62"/>
      <c r="RVB89" s="62"/>
      <c r="RVC89" s="62"/>
      <c r="RVD89" s="62"/>
      <c r="RVE89" s="62"/>
      <c r="RVF89" s="62"/>
      <c r="RVG89" s="62"/>
      <c r="RVH89" s="62"/>
      <c r="RVI89" s="62"/>
      <c r="RVJ89" s="62"/>
      <c r="RVK89" s="62"/>
      <c r="RVL89" s="62"/>
      <c r="RVM89" s="62"/>
      <c r="RVN89" s="62"/>
      <c r="RVO89" s="62"/>
      <c r="RVP89" s="62"/>
      <c r="RVQ89" s="62"/>
      <c r="RVR89" s="62"/>
      <c r="RVS89" s="62"/>
      <c r="RVT89" s="62"/>
      <c r="RVU89" s="62"/>
      <c r="RVV89" s="62"/>
      <c r="RVW89" s="62"/>
      <c r="RVX89" s="62"/>
      <c r="RVY89" s="62"/>
      <c r="RVZ89" s="62"/>
      <c r="RWA89" s="62"/>
      <c r="RWB89" s="62"/>
      <c r="RWC89" s="62"/>
      <c r="RWD89" s="62"/>
      <c r="RWE89" s="62"/>
      <c r="RWF89" s="62"/>
      <c r="RWG89" s="62"/>
      <c r="RWH89" s="62"/>
      <c r="RWI89" s="62"/>
      <c r="RWJ89" s="62"/>
      <c r="RWK89" s="62"/>
      <c r="RWL89" s="62"/>
      <c r="RWM89" s="62"/>
      <c r="RWN89" s="62"/>
      <c r="RWO89" s="62"/>
      <c r="RWP89" s="62"/>
      <c r="RWQ89" s="62"/>
      <c r="RWR89" s="62"/>
      <c r="RWS89" s="62"/>
      <c r="RWT89" s="62"/>
      <c r="RWU89" s="62"/>
      <c r="RWV89" s="62"/>
      <c r="RWW89" s="62"/>
      <c r="RWX89" s="62"/>
      <c r="RWY89" s="62"/>
      <c r="RWZ89" s="62"/>
      <c r="RXA89" s="62"/>
      <c r="RXB89" s="62"/>
      <c r="RXC89" s="62"/>
      <c r="RXD89" s="62"/>
      <c r="RXE89" s="62"/>
      <c r="RXF89" s="62"/>
      <c r="RXG89" s="62"/>
      <c r="RXH89" s="62"/>
      <c r="RXI89" s="62"/>
      <c r="RXJ89" s="62"/>
      <c r="RXK89" s="62"/>
      <c r="RXL89" s="62"/>
      <c r="RXM89" s="62"/>
      <c r="RXN89" s="62"/>
      <c r="RXO89" s="62"/>
      <c r="RXP89" s="62"/>
      <c r="RXQ89" s="62"/>
      <c r="RXR89" s="62"/>
      <c r="RXS89" s="62"/>
      <c r="RXT89" s="62"/>
      <c r="RXU89" s="62"/>
      <c r="RXV89" s="62"/>
      <c r="RXW89" s="62"/>
      <c r="RXX89" s="62"/>
      <c r="RXY89" s="62"/>
      <c r="RXZ89" s="62"/>
      <c r="RYA89" s="62"/>
      <c r="RYB89" s="62"/>
      <c r="RYC89" s="62"/>
      <c r="RYD89" s="62"/>
      <c r="RYE89" s="62"/>
      <c r="RYF89" s="62"/>
      <c r="RYG89" s="62"/>
      <c r="RYH89" s="62"/>
      <c r="RYI89" s="62"/>
      <c r="RYJ89" s="62"/>
      <c r="RYK89" s="62"/>
      <c r="RYL89" s="62"/>
      <c r="RYM89" s="62"/>
      <c r="RYN89" s="62"/>
      <c r="RYO89" s="62"/>
      <c r="RYP89" s="62"/>
      <c r="RYQ89" s="62"/>
      <c r="RYR89" s="62"/>
      <c r="RYS89" s="62"/>
      <c r="RYT89" s="62"/>
      <c r="RYU89" s="62"/>
      <c r="RYV89" s="62"/>
      <c r="RYW89" s="62"/>
      <c r="RYX89" s="62"/>
      <c r="RYY89" s="62"/>
      <c r="RYZ89" s="62"/>
      <c r="RZA89" s="62"/>
      <c r="RZB89" s="62"/>
      <c r="RZC89" s="62"/>
      <c r="RZD89" s="62"/>
      <c r="RZE89" s="62"/>
      <c r="RZF89" s="62"/>
      <c r="RZG89" s="62"/>
      <c r="RZH89" s="62"/>
      <c r="RZI89" s="62"/>
      <c r="RZJ89" s="62"/>
      <c r="RZK89" s="62"/>
      <c r="RZL89" s="62"/>
      <c r="RZM89" s="62"/>
      <c r="RZN89" s="62"/>
      <c r="RZO89" s="62"/>
      <c r="RZP89" s="62"/>
      <c r="RZQ89" s="62"/>
      <c r="RZR89" s="62"/>
      <c r="RZS89" s="62"/>
      <c r="RZT89" s="62"/>
      <c r="RZU89" s="62"/>
      <c r="RZV89" s="62"/>
      <c r="RZW89" s="62"/>
      <c r="RZX89" s="62"/>
      <c r="RZY89" s="62"/>
      <c r="RZZ89" s="62"/>
      <c r="SAA89" s="62"/>
      <c r="SAB89" s="62"/>
      <c r="SAC89" s="62"/>
      <c r="SAD89" s="62"/>
      <c r="SAE89" s="62"/>
      <c r="SAF89" s="62"/>
      <c r="SAG89" s="62"/>
      <c r="SAH89" s="62"/>
      <c r="SAI89" s="62"/>
      <c r="SAJ89" s="62"/>
      <c r="SAK89" s="62"/>
      <c r="SAL89" s="62"/>
      <c r="SAM89" s="62"/>
      <c r="SAN89" s="62"/>
      <c r="SAO89" s="62"/>
      <c r="SAP89" s="62"/>
      <c r="SAQ89" s="62"/>
      <c r="SAR89" s="62"/>
      <c r="SAS89" s="62"/>
      <c r="SAT89" s="62"/>
      <c r="SAU89" s="62"/>
      <c r="SAV89" s="62"/>
      <c r="SAW89" s="62"/>
      <c r="SAX89" s="62"/>
      <c r="SAY89" s="62"/>
      <c r="SAZ89" s="62"/>
      <c r="SBA89" s="62"/>
      <c r="SBB89" s="62"/>
      <c r="SBC89" s="62"/>
      <c r="SBD89" s="62"/>
      <c r="SBE89" s="62"/>
      <c r="SBF89" s="62"/>
      <c r="SBG89" s="62"/>
      <c r="SBH89" s="62"/>
      <c r="SBI89" s="62"/>
      <c r="SBJ89" s="62"/>
      <c r="SBK89" s="62"/>
      <c r="SBL89" s="62"/>
      <c r="SBM89" s="62"/>
      <c r="SBN89" s="62"/>
      <c r="SBO89" s="62"/>
      <c r="SBP89" s="62"/>
      <c r="SBQ89" s="62"/>
      <c r="SBR89" s="62"/>
      <c r="SBS89" s="62"/>
      <c r="SBT89" s="62"/>
      <c r="SBU89" s="62"/>
      <c r="SBV89" s="62"/>
      <c r="SBW89" s="62"/>
      <c r="SBX89" s="62"/>
      <c r="SBY89" s="62"/>
      <c r="SBZ89" s="62"/>
      <c r="SCA89" s="62"/>
      <c r="SCB89" s="62"/>
      <c r="SCC89" s="62"/>
      <c r="SCD89" s="62"/>
      <c r="SCE89" s="62"/>
      <c r="SCF89" s="62"/>
      <c r="SCG89" s="62"/>
      <c r="SCH89" s="62"/>
      <c r="SCI89" s="62"/>
      <c r="SCJ89" s="62"/>
      <c r="SCK89" s="62"/>
      <c r="SCL89" s="62"/>
      <c r="SCM89" s="62"/>
      <c r="SCN89" s="62"/>
      <c r="SCO89" s="62"/>
      <c r="SCP89" s="62"/>
      <c r="SCQ89" s="62"/>
      <c r="SCR89" s="62"/>
      <c r="SCS89" s="62"/>
      <c r="SCT89" s="62"/>
      <c r="SCU89" s="62"/>
      <c r="SCV89" s="62"/>
      <c r="SCW89" s="62"/>
      <c r="SCX89" s="62"/>
      <c r="SCY89" s="62"/>
      <c r="SCZ89" s="62"/>
      <c r="SDA89" s="62"/>
      <c r="SDB89" s="62"/>
      <c r="SDC89" s="62"/>
      <c r="SDD89" s="62"/>
      <c r="SDE89" s="62"/>
      <c r="SDF89" s="62"/>
      <c r="SDG89" s="62"/>
      <c r="SDH89" s="62"/>
      <c r="SDI89" s="62"/>
      <c r="SDJ89" s="62"/>
      <c r="SDK89" s="62"/>
      <c r="SDL89" s="62"/>
      <c r="SDM89" s="62"/>
      <c r="SDN89" s="62"/>
      <c r="SDO89" s="62"/>
      <c r="SDP89" s="62"/>
      <c r="SDQ89" s="62"/>
      <c r="SDR89" s="62"/>
      <c r="SDS89" s="62"/>
      <c r="SDT89" s="62"/>
      <c r="SDU89" s="62"/>
      <c r="SDV89" s="62"/>
      <c r="SDW89" s="62"/>
      <c r="SDX89" s="62"/>
      <c r="SDY89" s="62"/>
      <c r="SDZ89" s="62"/>
      <c r="SEA89" s="62"/>
      <c r="SEB89" s="62"/>
      <c r="SEC89" s="62"/>
      <c r="SED89" s="62"/>
      <c r="SEE89" s="62"/>
      <c r="SEF89" s="62"/>
      <c r="SEG89" s="62"/>
      <c r="SEH89" s="62"/>
      <c r="SEI89" s="62"/>
      <c r="SEJ89" s="62"/>
      <c r="SEK89" s="62"/>
      <c r="SEL89" s="62"/>
      <c r="SEM89" s="62"/>
      <c r="SEN89" s="62"/>
      <c r="SEO89" s="62"/>
      <c r="SEP89" s="62"/>
      <c r="SEQ89" s="62"/>
      <c r="SER89" s="62"/>
      <c r="SES89" s="62"/>
      <c r="SET89" s="62"/>
      <c r="SEU89" s="62"/>
      <c r="SEV89" s="62"/>
      <c r="SEW89" s="62"/>
      <c r="SEX89" s="62"/>
      <c r="SEY89" s="62"/>
      <c r="SEZ89" s="62"/>
      <c r="SFA89" s="62"/>
      <c r="SFB89" s="62"/>
      <c r="SFC89" s="62"/>
      <c r="SFD89" s="62"/>
      <c r="SFE89" s="62"/>
      <c r="SFF89" s="62"/>
      <c r="SFG89" s="62"/>
      <c r="SFH89" s="62"/>
      <c r="SFI89" s="62"/>
      <c r="SFJ89" s="62"/>
      <c r="SFK89" s="62"/>
      <c r="SFL89" s="62"/>
      <c r="SFM89" s="62"/>
      <c r="SFN89" s="62"/>
      <c r="SFO89" s="62"/>
      <c r="SFP89" s="62"/>
      <c r="SFQ89" s="62"/>
      <c r="SFR89" s="62"/>
      <c r="SFS89" s="62"/>
      <c r="SFT89" s="62"/>
      <c r="SFU89" s="62"/>
      <c r="SFV89" s="62"/>
      <c r="SFW89" s="62"/>
      <c r="SFX89" s="62"/>
      <c r="SFY89" s="62"/>
      <c r="SFZ89" s="62"/>
      <c r="SGA89" s="62"/>
      <c r="SGB89" s="62"/>
      <c r="SGC89" s="62"/>
      <c r="SGD89" s="62"/>
      <c r="SGE89" s="62"/>
      <c r="SGF89" s="62"/>
      <c r="SGG89" s="62"/>
      <c r="SGH89" s="62"/>
      <c r="SGI89" s="62"/>
      <c r="SGJ89" s="62"/>
      <c r="SGK89" s="62"/>
      <c r="SGL89" s="62"/>
      <c r="SGM89" s="62"/>
      <c r="SGN89" s="62"/>
      <c r="SGO89" s="62"/>
      <c r="SGP89" s="62"/>
      <c r="SGQ89" s="62"/>
      <c r="SGR89" s="62"/>
      <c r="SGS89" s="62"/>
      <c r="SGT89" s="62"/>
      <c r="SGU89" s="62"/>
      <c r="SGV89" s="62"/>
      <c r="SGW89" s="62"/>
      <c r="SGX89" s="62"/>
      <c r="SGY89" s="62"/>
      <c r="SGZ89" s="62"/>
      <c r="SHA89" s="62"/>
      <c r="SHB89" s="62"/>
      <c r="SHC89" s="62"/>
      <c r="SHD89" s="62"/>
      <c r="SHE89" s="62"/>
      <c r="SHF89" s="62"/>
      <c r="SHG89" s="62"/>
      <c r="SHH89" s="62"/>
      <c r="SHI89" s="62"/>
      <c r="SHJ89" s="62"/>
      <c r="SHK89" s="62"/>
      <c r="SHL89" s="62"/>
      <c r="SHM89" s="62"/>
      <c r="SHN89" s="62"/>
      <c r="SHO89" s="62"/>
      <c r="SHP89" s="62"/>
      <c r="SHQ89" s="62"/>
      <c r="SHR89" s="62"/>
      <c r="SHS89" s="62"/>
      <c r="SHT89" s="62"/>
      <c r="SHU89" s="62"/>
      <c r="SHV89" s="62"/>
      <c r="SHW89" s="62"/>
      <c r="SHX89" s="62"/>
      <c r="SHY89" s="62"/>
      <c r="SHZ89" s="62"/>
      <c r="SIA89" s="62"/>
      <c r="SIB89" s="62"/>
      <c r="SIC89" s="62"/>
      <c r="SID89" s="62"/>
      <c r="SIE89" s="62"/>
      <c r="SIF89" s="62"/>
      <c r="SIG89" s="62"/>
      <c r="SIH89" s="62"/>
      <c r="SII89" s="62"/>
      <c r="SIJ89" s="62"/>
      <c r="SIK89" s="62"/>
      <c r="SIL89" s="62"/>
      <c r="SIM89" s="62"/>
      <c r="SIN89" s="62"/>
      <c r="SIO89" s="62"/>
      <c r="SIP89" s="62"/>
      <c r="SIQ89" s="62"/>
      <c r="SIR89" s="62"/>
      <c r="SIS89" s="62"/>
      <c r="SIT89" s="62"/>
      <c r="SIU89" s="62"/>
      <c r="SIV89" s="62"/>
      <c r="SIW89" s="62"/>
      <c r="SIX89" s="62"/>
      <c r="SIY89" s="62"/>
      <c r="SIZ89" s="62"/>
      <c r="SJA89" s="62"/>
      <c r="SJB89" s="62"/>
      <c r="SJC89" s="62"/>
      <c r="SJD89" s="62"/>
      <c r="SJE89" s="62"/>
      <c r="SJF89" s="62"/>
      <c r="SJG89" s="62"/>
      <c r="SJH89" s="62"/>
      <c r="SJI89" s="62"/>
      <c r="SJJ89" s="62"/>
      <c r="SJK89" s="62"/>
      <c r="SJL89" s="62"/>
      <c r="SJM89" s="62"/>
      <c r="SJN89" s="62"/>
      <c r="SJO89" s="62"/>
      <c r="SJP89" s="62"/>
      <c r="SJQ89" s="62"/>
      <c r="SJR89" s="62"/>
      <c r="SJS89" s="62"/>
      <c r="SJT89" s="62"/>
      <c r="SJU89" s="62"/>
      <c r="SJV89" s="62"/>
      <c r="SJW89" s="62"/>
      <c r="SJX89" s="62"/>
      <c r="SJY89" s="62"/>
      <c r="SJZ89" s="62"/>
      <c r="SKA89" s="62"/>
      <c r="SKB89" s="62"/>
      <c r="SKC89" s="62"/>
      <c r="SKD89" s="62"/>
      <c r="SKE89" s="62"/>
      <c r="SKF89" s="62"/>
      <c r="SKG89" s="62"/>
      <c r="SKH89" s="62"/>
      <c r="SKI89" s="62"/>
      <c r="SKJ89" s="62"/>
      <c r="SKK89" s="62"/>
      <c r="SKL89" s="62"/>
      <c r="SKM89" s="62"/>
      <c r="SKN89" s="62"/>
      <c r="SKO89" s="62"/>
      <c r="SKP89" s="62"/>
      <c r="SKQ89" s="62"/>
      <c r="SKR89" s="62"/>
      <c r="SKS89" s="62"/>
      <c r="SKT89" s="62"/>
      <c r="SKU89" s="62"/>
      <c r="SKV89" s="62"/>
      <c r="SKW89" s="62"/>
      <c r="SKX89" s="62"/>
      <c r="SKY89" s="62"/>
      <c r="SKZ89" s="62"/>
      <c r="SLA89" s="62"/>
      <c r="SLB89" s="62"/>
      <c r="SLC89" s="62"/>
      <c r="SLD89" s="62"/>
      <c r="SLE89" s="62"/>
      <c r="SLF89" s="62"/>
      <c r="SLG89" s="62"/>
      <c r="SLH89" s="62"/>
      <c r="SLI89" s="62"/>
      <c r="SLJ89" s="62"/>
      <c r="SLK89" s="62"/>
      <c r="SLL89" s="62"/>
      <c r="SLM89" s="62"/>
      <c r="SLN89" s="62"/>
      <c r="SLO89" s="62"/>
      <c r="SLP89" s="62"/>
      <c r="SLQ89" s="62"/>
      <c r="SLR89" s="62"/>
      <c r="SLS89" s="62"/>
      <c r="SLT89" s="62"/>
      <c r="SLU89" s="62"/>
      <c r="SLV89" s="62"/>
      <c r="SLW89" s="62"/>
      <c r="SLX89" s="62"/>
      <c r="SLY89" s="62"/>
      <c r="SLZ89" s="62"/>
      <c r="SMA89" s="62"/>
      <c r="SMB89" s="62"/>
      <c r="SMC89" s="62"/>
      <c r="SMD89" s="62"/>
      <c r="SME89" s="62"/>
      <c r="SMF89" s="62"/>
      <c r="SMG89" s="62"/>
      <c r="SMH89" s="62"/>
      <c r="SMI89" s="62"/>
      <c r="SMJ89" s="62"/>
      <c r="SMK89" s="62"/>
      <c r="SML89" s="62"/>
      <c r="SMM89" s="62"/>
      <c r="SMN89" s="62"/>
      <c r="SMO89" s="62"/>
      <c r="SMP89" s="62"/>
      <c r="SMQ89" s="62"/>
      <c r="SMR89" s="62"/>
      <c r="SMS89" s="62"/>
      <c r="SMT89" s="62"/>
      <c r="SMU89" s="62"/>
      <c r="SMV89" s="62"/>
      <c r="SMW89" s="62"/>
      <c r="SMX89" s="62"/>
      <c r="SMY89" s="62"/>
      <c r="SMZ89" s="62"/>
      <c r="SNA89" s="62"/>
      <c r="SNB89" s="62"/>
      <c r="SNC89" s="62"/>
      <c r="SND89" s="62"/>
      <c r="SNE89" s="62"/>
      <c r="SNF89" s="62"/>
      <c r="SNG89" s="62"/>
      <c r="SNH89" s="62"/>
      <c r="SNI89" s="62"/>
      <c r="SNJ89" s="62"/>
      <c r="SNK89" s="62"/>
      <c r="SNL89" s="62"/>
      <c r="SNM89" s="62"/>
      <c r="SNN89" s="62"/>
      <c r="SNO89" s="62"/>
      <c r="SNP89" s="62"/>
      <c r="SNQ89" s="62"/>
      <c r="SNR89" s="62"/>
      <c r="SNS89" s="62"/>
      <c r="SNT89" s="62"/>
      <c r="SNU89" s="62"/>
      <c r="SNV89" s="62"/>
      <c r="SNW89" s="62"/>
      <c r="SNX89" s="62"/>
      <c r="SNY89" s="62"/>
      <c r="SNZ89" s="62"/>
      <c r="SOA89" s="62"/>
      <c r="SOB89" s="62"/>
      <c r="SOC89" s="62"/>
      <c r="SOD89" s="62"/>
      <c r="SOE89" s="62"/>
      <c r="SOF89" s="62"/>
      <c r="SOG89" s="62"/>
      <c r="SOH89" s="62"/>
      <c r="SOI89" s="62"/>
      <c r="SOJ89" s="62"/>
      <c r="SOK89" s="62"/>
      <c r="SOL89" s="62"/>
      <c r="SOM89" s="62"/>
      <c r="SON89" s="62"/>
      <c r="SOO89" s="62"/>
      <c r="SOP89" s="62"/>
      <c r="SOQ89" s="62"/>
      <c r="SOR89" s="62"/>
      <c r="SOS89" s="62"/>
      <c r="SOT89" s="62"/>
      <c r="SOU89" s="62"/>
      <c r="SOV89" s="62"/>
      <c r="SOW89" s="62"/>
      <c r="SOX89" s="62"/>
      <c r="SOY89" s="62"/>
      <c r="SOZ89" s="62"/>
      <c r="SPA89" s="62"/>
      <c r="SPB89" s="62"/>
      <c r="SPC89" s="62"/>
      <c r="SPD89" s="62"/>
      <c r="SPE89" s="62"/>
      <c r="SPF89" s="62"/>
      <c r="SPG89" s="62"/>
      <c r="SPH89" s="62"/>
      <c r="SPI89" s="62"/>
      <c r="SPJ89" s="62"/>
      <c r="SPK89" s="62"/>
      <c r="SPL89" s="62"/>
      <c r="SPM89" s="62"/>
      <c r="SPN89" s="62"/>
      <c r="SPO89" s="62"/>
      <c r="SPP89" s="62"/>
      <c r="SPQ89" s="62"/>
      <c r="SPR89" s="62"/>
      <c r="SPS89" s="62"/>
      <c r="SPT89" s="62"/>
      <c r="SPU89" s="62"/>
      <c r="SPV89" s="62"/>
      <c r="SPW89" s="62"/>
      <c r="SPX89" s="62"/>
      <c r="SPY89" s="62"/>
      <c r="SPZ89" s="62"/>
      <c r="SQA89" s="62"/>
      <c r="SQB89" s="62"/>
      <c r="SQC89" s="62"/>
      <c r="SQD89" s="62"/>
      <c r="SQE89" s="62"/>
      <c r="SQF89" s="62"/>
      <c r="SQG89" s="62"/>
      <c r="SQH89" s="62"/>
      <c r="SQI89" s="62"/>
      <c r="SQJ89" s="62"/>
      <c r="SQK89" s="62"/>
      <c r="SQL89" s="62"/>
      <c r="SQM89" s="62"/>
      <c r="SQN89" s="62"/>
      <c r="SQO89" s="62"/>
      <c r="SQP89" s="62"/>
      <c r="SQQ89" s="62"/>
      <c r="SQR89" s="62"/>
      <c r="SQS89" s="62"/>
      <c r="SQT89" s="62"/>
      <c r="SQU89" s="62"/>
      <c r="SQV89" s="62"/>
      <c r="SQW89" s="62"/>
      <c r="SQX89" s="62"/>
      <c r="SQY89" s="62"/>
      <c r="SQZ89" s="62"/>
      <c r="SRA89" s="62"/>
      <c r="SRB89" s="62"/>
      <c r="SRC89" s="62"/>
      <c r="SRD89" s="62"/>
      <c r="SRE89" s="62"/>
      <c r="SRF89" s="62"/>
      <c r="SRG89" s="62"/>
      <c r="SRH89" s="62"/>
      <c r="SRI89" s="62"/>
      <c r="SRJ89" s="62"/>
      <c r="SRK89" s="62"/>
      <c r="SRL89" s="62"/>
      <c r="SRM89" s="62"/>
      <c r="SRN89" s="62"/>
      <c r="SRO89" s="62"/>
      <c r="SRP89" s="62"/>
      <c r="SRQ89" s="62"/>
      <c r="SRR89" s="62"/>
      <c r="SRS89" s="62"/>
      <c r="SRT89" s="62"/>
      <c r="SRU89" s="62"/>
      <c r="SRV89" s="62"/>
      <c r="SRW89" s="62"/>
      <c r="SRX89" s="62"/>
      <c r="SRY89" s="62"/>
      <c r="SRZ89" s="62"/>
      <c r="SSA89" s="62"/>
      <c r="SSB89" s="62"/>
      <c r="SSC89" s="62"/>
      <c r="SSD89" s="62"/>
      <c r="SSE89" s="62"/>
      <c r="SSF89" s="62"/>
      <c r="SSG89" s="62"/>
      <c r="SSH89" s="62"/>
      <c r="SSI89" s="62"/>
      <c r="SSJ89" s="62"/>
      <c r="SSK89" s="62"/>
      <c r="SSL89" s="62"/>
      <c r="SSM89" s="62"/>
      <c r="SSN89" s="62"/>
      <c r="SSO89" s="62"/>
      <c r="SSP89" s="62"/>
      <c r="SSQ89" s="62"/>
      <c r="SSR89" s="62"/>
      <c r="SSS89" s="62"/>
      <c r="SST89" s="62"/>
      <c r="SSU89" s="62"/>
      <c r="SSV89" s="62"/>
      <c r="SSW89" s="62"/>
      <c r="SSX89" s="62"/>
      <c r="SSY89" s="62"/>
      <c r="SSZ89" s="62"/>
      <c r="STA89" s="62"/>
      <c r="STB89" s="62"/>
      <c r="STC89" s="62"/>
      <c r="STD89" s="62"/>
      <c r="STE89" s="62"/>
      <c r="STF89" s="62"/>
      <c r="STG89" s="62"/>
      <c r="STH89" s="62"/>
      <c r="STI89" s="62"/>
      <c r="STJ89" s="62"/>
      <c r="STK89" s="62"/>
      <c r="STL89" s="62"/>
      <c r="STM89" s="62"/>
      <c r="STN89" s="62"/>
      <c r="STO89" s="62"/>
      <c r="STP89" s="62"/>
      <c r="STQ89" s="62"/>
      <c r="STR89" s="62"/>
      <c r="STS89" s="62"/>
      <c r="STT89" s="62"/>
      <c r="STU89" s="62"/>
      <c r="STV89" s="62"/>
      <c r="STW89" s="62"/>
      <c r="STX89" s="62"/>
      <c r="STY89" s="62"/>
      <c r="STZ89" s="62"/>
      <c r="SUA89" s="62"/>
      <c r="SUB89" s="62"/>
      <c r="SUC89" s="62"/>
      <c r="SUD89" s="62"/>
      <c r="SUE89" s="62"/>
      <c r="SUF89" s="62"/>
      <c r="SUG89" s="62"/>
      <c r="SUH89" s="62"/>
      <c r="SUI89" s="62"/>
      <c r="SUJ89" s="62"/>
      <c r="SUK89" s="62"/>
      <c r="SUL89" s="62"/>
      <c r="SUM89" s="62"/>
      <c r="SUN89" s="62"/>
      <c r="SUO89" s="62"/>
      <c r="SUP89" s="62"/>
      <c r="SUQ89" s="62"/>
      <c r="SUR89" s="62"/>
      <c r="SUS89" s="62"/>
      <c r="SUT89" s="62"/>
      <c r="SUU89" s="62"/>
      <c r="SUV89" s="62"/>
      <c r="SUW89" s="62"/>
      <c r="SUX89" s="62"/>
      <c r="SUY89" s="62"/>
      <c r="SUZ89" s="62"/>
      <c r="SVA89" s="62"/>
      <c r="SVB89" s="62"/>
      <c r="SVC89" s="62"/>
      <c r="SVD89" s="62"/>
      <c r="SVE89" s="62"/>
      <c r="SVF89" s="62"/>
      <c r="SVG89" s="62"/>
      <c r="SVH89" s="62"/>
      <c r="SVI89" s="62"/>
      <c r="SVJ89" s="62"/>
      <c r="SVK89" s="62"/>
      <c r="SVL89" s="62"/>
      <c r="SVM89" s="62"/>
      <c r="SVN89" s="62"/>
      <c r="SVO89" s="62"/>
      <c r="SVP89" s="62"/>
      <c r="SVQ89" s="62"/>
      <c r="SVR89" s="62"/>
      <c r="SVS89" s="62"/>
      <c r="SVT89" s="62"/>
      <c r="SVU89" s="62"/>
      <c r="SVV89" s="62"/>
      <c r="SVW89" s="62"/>
      <c r="SVX89" s="62"/>
      <c r="SVY89" s="62"/>
      <c r="SVZ89" s="62"/>
      <c r="SWA89" s="62"/>
      <c r="SWB89" s="62"/>
      <c r="SWC89" s="62"/>
      <c r="SWD89" s="62"/>
      <c r="SWE89" s="62"/>
      <c r="SWF89" s="62"/>
      <c r="SWG89" s="62"/>
      <c r="SWH89" s="62"/>
      <c r="SWI89" s="62"/>
      <c r="SWJ89" s="62"/>
      <c r="SWK89" s="62"/>
      <c r="SWL89" s="62"/>
      <c r="SWM89" s="62"/>
      <c r="SWN89" s="62"/>
      <c r="SWO89" s="62"/>
      <c r="SWP89" s="62"/>
      <c r="SWQ89" s="62"/>
      <c r="SWR89" s="62"/>
      <c r="SWS89" s="62"/>
      <c r="SWT89" s="62"/>
      <c r="SWU89" s="62"/>
      <c r="SWV89" s="62"/>
      <c r="SWW89" s="62"/>
      <c r="SWX89" s="62"/>
      <c r="SWY89" s="62"/>
      <c r="SWZ89" s="62"/>
      <c r="SXA89" s="62"/>
      <c r="SXB89" s="62"/>
      <c r="SXC89" s="62"/>
      <c r="SXD89" s="62"/>
      <c r="SXE89" s="62"/>
      <c r="SXF89" s="62"/>
      <c r="SXG89" s="62"/>
      <c r="SXH89" s="62"/>
      <c r="SXI89" s="62"/>
      <c r="SXJ89" s="62"/>
      <c r="SXK89" s="62"/>
      <c r="SXL89" s="62"/>
      <c r="SXM89" s="62"/>
      <c r="SXN89" s="62"/>
      <c r="SXO89" s="62"/>
      <c r="SXP89" s="62"/>
      <c r="SXQ89" s="62"/>
      <c r="SXR89" s="62"/>
      <c r="SXS89" s="62"/>
      <c r="SXT89" s="62"/>
      <c r="SXU89" s="62"/>
      <c r="SXV89" s="62"/>
      <c r="SXW89" s="62"/>
      <c r="SXX89" s="62"/>
      <c r="SXY89" s="62"/>
      <c r="SXZ89" s="62"/>
      <c r="SYA89" s="62"/>
      <c r="SYB89" s="62"/>
      <c r="SYC89" s="62"/>
      <c r="SYD89" s="62"/>
      <c r="SYE89" s="62"/>
      <c r="SYF89" s="62"/>
      <c r="SYG89" s="62"/>
      <c r="SYH89" s="62"/>
      <c r="SYI89" s="62"/>
      <c r="SYJ89" s="62"/>
      <c r="SYK89" s="62"/>
      <c r="SYL89" s="62"/>
      <c r="SYM89" s="62"/>
      <c r="SYN89" s="62"/>
      <c r="SYO89" s="62"/>
      <c r="SYP89" s="62"/>
      <c r="SYQ89" s="62"/>
      <c r="SYR89" s="62"/>
      <c r="SYS89" s="62"/>
      <c r="SYT89" s="62"/>
      <c r="SYU89" s="62"/>
      <c r="SYV89" s="62"/>
      <c r="SYW89" s="62"/>
      <c r="SYX89" s="62"/>
      <c r="SYY89" s="62"/>
      <c r="SYZ89" s="62"/>
      <c r="SZA89" s="62"/>
      <c r="SZB89" s="62"/>
      <c r="SZC89" s="62"/>
      <c r="SZD89" s="62"/>
      <c r="SZE89" s="62"/>
      <c r="SZF89" s="62"/>
      <c r="SZG89" s="62"/>
      <c r="SZH89" s="62"/>
      <c r="SZI89" s="62"/>
      <c r="SZJ89" s="62"/>
      <c r="SZK89" s="62"/>
      <c r="SZL89" s="62"/>
      <c r="SZM89" s="62"/>
      <c r="SZN89" s="62"/>
      <c r="SZO89" s="62"/>
      <c r="SZP89" s="62"/>
      <c r="SZQ89" s="62"/>
      <c r="SZR89" s="62"/>
      <c r="SZS89" s="62"/>
      <c r="SZT89" s="62"/>
      <c r="SZU89" s="62"/>
      <c r="SZV89" s="62"/>
      <c r="SZW89" s="62"/>
      <c r="SZX89" s="62"/>
      <c r="SZY89" s="62"/>
      <c r="SZZ89" s="62"/>
      <c r="TAA89" s="62"/>
      <c r="TAB89" s="62"/>
      <c r="TAC89" s="62"/>
      <c r="TAD89" s="62"/>
      <c r="TAE89" s="62"/>
      <c r="TAF89" s="62"/>
      <c r="TAG89" s="62"/>
      <c r="TAH89" s="62"/>
      <c r="TAI89" s="62"/>
      <c r="TAJ89" s="62"/>
      <c r="TAK89" s="62"/>
      <c r="TAL89" s="62"/>
      <c r="TAM89" s="62"/>
      <c r="TAN89" s="62"/>
      <c r="TAO89" s="62"/>
      <c r="TAP89" s="62"/>
      <c r="TAQ89" s="62"/>
      <c r="TAR89" s="62"/>
      <c r="TAS89" s="62"/>
      <c r="TAT89" s="62"/>
      <c r="TAU89" s="62"/>
      <c r="TAV89" s="62"/>
      <c r="TAW89" s="62"/>
      <c r="TAX89" s="62"/>
      <c r="TAY89" s="62"/>
      <c r="TAZ89" s="62"/>
      <c r="TBA89" s="62"/>
      <c r="TBB89" s="62"/>
      <c r="TBC89" s="62"/>
      <c r="TBD89" s="62"/>
      <c r="TBE89" s="62"/>
      <c r="TBF89" s="62"/>
      <c r="TBG89" s="62"/>
      <c r="TBH89" s="62"/>
      <c r="TBI89" s="62"/>
      <c r="TBJ89" s="62"/>
      <c r="TBK89" s="62"/>
      <c r="TBL89" s="62"/>
      <c r="TBM89" s="62"/>
      <c r="TBN89" s="62"/>
      <c r="TBO89" s="62"/>
      <c r="TBP89" s="62"/>
      <c r="TBQ89" s="62"/>
      <c r="TBR89" s="62"/>
      <c r="TBS89" s="62"/>
      <c r="TBT89" s="62"/>
      <c r="TBU89" s="62"/>
      <c r="TBV89" s="62"/>
      <c r="TBW89" s="62"/>
      <c r="TBX89" s="62"/>
      <c r="TBY89" s="62"/>
      <c r="TBZ89" s="62"/>
      <c r="TCA89" s="62"/>
      <c r="TCB89" s="62"/>
      <c r="TCC89" s="62"/>
      <c r="TCD89" s="62"/>
      <c r="TCE89" s="62"/>
      <c r="TCF89" s="62"/>
      <c r="TCG89" s="62"/>
      <c r="TCH89" s="62"/>
      <c r="TCI89" s="62"/>
      <c r="TCJ89" s="62"/>
      <c r="TCK89" s="62"/>
      <c r="TCL89" s="62"/>
      <c r="TCM89" s="62"/>
      <c r="TCN89" s="62"/>
      <c r="TCO89" s="62"/>
      <c r="TCP89" s="62"/>
      <c r="TCQ89" s="62"/>
      <c r="TCR89" s="62"/>
      <c r="TCS89" s="62"/>
      <c r="TCT89" s="62"/>
      <c r="TCU89" s="62"/>
      <c r="TCV89" s="62"/>
      <c r="TCW89" s="62"/>
      <c r="TCX89" s="62"/>
      <c r="TCY89" s="62"/>
      <c r="TCZ89" s="62"/>
      <c r="TDA89" s="62"/>
      <c r="TDB89" s="62"/>
      <c r="TDC89" s="62"/>
      <c r="TDD89" s="62"/>
      <c r="TDE89" s="62"/>
      <c r="TDF89" s="62"/>
      <c r="TDG89" s="62"/>
      <c r="TDH89" s="62"/>
      <c r="TDI89" s="62"/>
      <c r="TDJ89" s="62"/>
      <c r="TDK89" s="62"/>
      <c r="TDL89" s="62"/>
      <c r="TDM89" s="62"/>
      <c r="TDN89" s="62"/>
      <c r="TDO89" s="62"/>
      <c r="TDP89" s="62"/>
      <c r="TDQ89" s="62"/>
      <c r="TDR89" s="62"/>
      <c r="TDS89" s="62"/>
      <c r="TDT89" s="62"/>
      <c r="TDU89" s="62"/>
      <c r="TDV89" s="62"/>
      <c r="TDW89" s="62"/>
      <c r="TDX89" s="62"/>
      <c r="TDY89" s="62"/>
      <c r="TDZ89" s="62"/>
      <c r="TEA89" s="62"/>
      <c r="TEB89" s="62"/>
      <c r="TEC89" s="62"/>
      <c r="TED89" s="62"/>
      <c r="TEE89" s="62"/>
      <c r="TEF89" s="62"/>
      <c r="TEG89" s="62"/>
      <c r="TEH89" s="62"/>
      <c r="TEI89" s="62"/>
      <c r="TEJ89" s="62"/>
      <c r="TEK89" s="62"/>
      <c r="TEL89" s="62"/>
      <c r="TEM89" s="62"/>
      <c r="TEN89" s="62"/>
      <c r="TEO89" s="62"/>
      <c r="TEP89" s="62"/>
      <c r="TEQ89" s="62"/>
      <c r="TER89" s="62"/>
      <c r="TES89" s="62"/>
      <c r="TET89" s="62"/>
      <c r="TEU89" s="62"/>
      <c r="TEV89" s="62"/>
      <c r="TEW89" s="62"/>
      <c r="TEX89" s="62"/>
      <c r="TEY89" s="62"/>
      <c r="TEZ89" s="62"/>
      <c r="TFA89" s="62"/>
      <c r="TFB89" s="62"/>
      <c r="TFC89" s="62"/>
      <c r="TFD89" s="62"/>
      <c r="TFE89" s="62"/>
      <c r="TFF89" s="62"/>
      <c r="TFG89" s="62"/>
      <c r="TFH89" s="62"/>
      <c r="TFI89" s="62"/>
      <c r="TFJ89" s="62"/>
      <c r="TFK89" s="62"/>
      <c r="TFL89" s="62"/>
      <c r="TFM89" s="62"/>
      <c r="TFN89" s="62"/>
      <c r="TFO89" s="62"/>
      <c r="TFP89" s="62"/>
      <c r="TFQ89" s="62"/>
      <c r="TFR89" s="62"/>
      <c r="TFS89" s="62"/>
      <c r="TFT89" s="62"/>
      <c r="TFU89" s="62"/>
      <c r="TFV89" s="62"/>
      <c r="TFW89" s="62"/>
      <c r="TFX89" s="62"/>
      <c r="TFY89" s="62"/>
      <c r="TFZ89" s="62"/>
      <c r="TGA89" s="62"/>
      <c r="TGB89" s="62"/>
      <c r="TGC89" s="62"/>
      <c r="TGD89" s="62"/>
      <c r="TGE89" s="62"/>
      <c r="TGF89" s="62"/>
      <c r="TGG89" s="62"/>
      <c r="TGH89" s="62"/>
      <c r="TGI89" s="62"/>
      <c r="TGJ89" s="62"/>
      <c r="TGK89" s="62"/>
      <c r="TGL89" s="62"/>
      <c r="TGM89" s="62"/>
      <c r="TGN89" s="62"/>
      <c r="TGO89" s="62"/>
      <c r="TGP89" s="62"/>
      <c r="TGQ89" s="62"/>
      <c r="TGR89" s="62"/>
      <c r="TGS89" s="62"/>
      <c r="TGT89" s="62"/>
      <c r="TGU89" s="62"/>
      <c r="TGV89" s="62"/>
      <c r="TGW89" s="62"/>
      <c r="TGX89" s="62"/>
      <c r="TGY89" s="62"/>
      <c r="TGZ89" s="62"/>
      <c r="THA89" s="62"/>
      <c r="THB89" s="62"/>
      <c r="THC89" s="62"/>
      <c r="THD89" s="62"/>
      <c r="THE89" s="62"/>
      <c r="THF89" s="62"/>
      <c r="THG89" s="62"/>
      <c r="THH89" s="62"/>
      <c r="THI89" s="62"/>
      <c r="THJ89" s="62"/>
      <c r="THK89" s="62"/>
      <c r="THL89" s="62"/>
      <c r="THM89" s="62"/>
      <c r="THN89" s="62"/>
      <c r="THO89" s="62"/>
      <c r="THP89" s="62"/>
      <c r="THQ89" s="62"/>
      <c r="THR89" s="62"/>
      <c r="THS89" s="62"/>
      <c r="THT89" s="62"/>
      <c r="THU89" s="62"/>
      <c r="THV89" s="62"/>
      <c r="THW89" s="62"/>
      <c r="THX89" s="62"/>
      <c r="THY89" s="62"/>
      <c r="THZ89" s="62"/>
      <c r="TIA89" s="62"/>
      <c r="TIB89" s="62"/>
      <c r="TIC89" s="62"/>
      <c r="TID89" s="62"/>
      <c r="TIE89" s="62"/>
      <c r="TIF89" s="62"/>
      <c r="TIG89" s="62"/>
      <c r="TIH89" s="62"/>
      <c r="TII89" s="62"/>
      <c r="TIJ89" s="62"/>
      <c r="TIK89" s="62"/>
      <c r="TIL89" s="62"/>
      <c r="TIM89" s="62"/>
      <c r="TIN89" s="62"/>
      <c r="TIO89" s="62"/>
      <c r="TIP89" s="62"/>
      <c r="TIQ89" s="62"/>
      <c r="TIR89" s="62"/>
      <c r="TIS89" s="62"/>
      <c r="TIT89" s="62"/>
      <c r="TIU89" s="62"/>
      <c r="TIV89" s="62"/>
      <c r="TIW89" s="62"/>
      <c r="TIX89" s="62"/>
      <c r="TIY89" s="62"/>
      <c r="TIZ89" s="62"/>
      <c r="TJA89" s="62"/>
      <c r="TJB89" s="62"/>
      <c r="TJC89" s="62"/>
      <c r="TJD89" s="62"/>
      <c r="TJE89" s="62"/>
      <c r="TJF89" s="62"/>
      <c r="TJG89" s="62"/>
      <c r="TJH89" s="62"/>
      <c r="TJI89" s="62"/>
      <c r="TJJ89" s="62"/>
      <c r="TJK89" s="62"/>
      <c r="TJL89" s="62"/>
      <c r="TJM89" s="62"/>
      <c r="TJN89" s="62"/>
      <c r="TJO89" s="62"/>
      <c r="TJP89" s="62"/>
      <c r="TJQ89" s="62"/>
      <c r="TJR89" s="62"/>
      <c r="TJS89" s="62"/>
      <c r="TJT89" s="62"/>
      <c r="TJU89" s="62"/>
      <c r="TJV89" s="62"/>
      <c r="TJW89" s="62"/>
      <c r="TJX89" s="62"/>
      <c r="TJY89" s="62"/>
      <c r="TJZ89" s="62"/>
      <c r="TKA89" s="62"/>
      <c r="TKB89" s="62"/>
      <c r="TKC89" s="62"/>
      <c r="TKD89" s="62"/>
      <c r="TKE89" s="62"/>
      <c r="TKF89" s="62"/>
      <c r="TKG89" s="62"/>
      <c r="TKH89" s="62"/>
      <c r="TKI89" s="62"/>
      <c r="TKJ89" s="62"/>
      <c r="TKK89" s="62"/>
      <c r="TKL89" s="62"/>
      <c r="TKM89" s="62"/>
      <c r="TKN89" s="62"/>
      <c r="TKO89" s="62"/>
      <c r="TKP89" s="62"/>
      <c r="TKQ89" s="62"/>
      <c r="TKR89" s="62"/>
      <c r="TKS89" s="62"/>
      <c r="TKT89" s="62"/>
      <c r="TKU89" s="62"/>
      <c r="TKV89" s="62"/>
      <c r="TKW89" s="62"/>
      <c r="TKX89" s="62"/>
      <c r="TKY89" s="62"/>
      <c r="TKZ89" s="62"/>
      <c r="TLA89" s="62"/>
      <c r="TLB89" s="62"/>
      <c r="TLC89" s="62"/>
      <c r="TLD89" s="62"/>
      <c r="TLE89" s="62"/>
      <c r="TLF89" s="62"/>
      <c r="TLG89" s="62"/>
      <c r="TLH89" s="62"/>
      <c r="TLI89" s="62"/>
      <c r="TLJ89" s="62"/>
      <c r="TLK89" s="62"/>
      <c r="TLL89" s="62"/>
      <c r="TLM89" s="62"/>
      <c r="TLN89" s="62"/>
      <c r="TLO89" s="62"/>
      <c r="TLP89" s="62"/>
      <c r="TLQ89" s="62"/>
      <c r="TLR89" s="62"/>
      <c r="TLS89" s="62"/>
      <c r="TLT89" s="62"/>
      <c r="TLU89" s="62"/>
      <c r="TLV89" s="62"/>
      <c r="TLW89" s="62"/>
      <c r="TLX89" s="62"/>
      <c r="TLY89" s="62"/>
      <c r="TLZ89" s="62"/>
      <c r="TMA89" s="62"/>
      <c r="TMB89" s="62"/>
      <c r="TMC89" s="62"/>
      <c r="TMD89" s="62"/>
      <c r="TME89" s="62"/>
      <c r="TMF89" s="62"/>
      <c r="TMG89" s="62"/>
      <c r="TMH89" s="62"/>
      <c r="TMI89" s="62"/>
      <c r="TMJ89" s="62"/>
      <c r="TMK89" s="62"/>
      <c r="TML89" s="62"/>
      <c r="TMM89" s="62"/>
      <c r="TMN89" s="62"/>
      <c r="TMO89" s="62"/>
      <c r="TMP89" s="62"/>
      <c r="TMQ89" s="62"/>
      <c r="TMR89" s="62"/>
      <c r="TMS89" s="62"/>
      <c r="TMT89" s="62"/>
      <c r="TMU89" s="62"/>
      <c r="TMV89" s="62"/>
      <c r="TMW89" s="62"/>
      <c r="TMX89" s="62"/>
      <c r="TMY89" s="62"/>
      <c r="TMZ89" s="62"/>
      <c r="TNA89" s="62"/>
      <c r="TNB89" s="62"/>
      <c r="TNC89" s="62"/>
      <c r="TND89" s="62"/>
      <c r="TNE89" s="62"/>
      <c r="TNF89" s="62"/>
      <c r="TNG89" s="62"/>
      <c r="TNH89" s="62"/>
      <c r="TNI89" s="62"/>
      <c r="TNJ89" s="62"/>
      <c r="TNK89" s="62"/>
      <c r="TNL89" s="62"/>
      <c r="TNM89" s="62"/>
      <c r="TNN89" s="62"/>
      <c r="TNO89" s="62"/>
      <c r="TNP89" s="62"/>
      <c r="TNQ89" s="62"/>
      <c r="TNR89" s="62"/>
      <c r="TNS89" s="62"/>
      <c r="TNT89" s="62"/>
      <c r="TNU89" s="62"/>
      <c r="TNV89" s="62"/>
      <c r="TNW89" s="62"/>
      <c r="TNX89" s="62"/>
      <c r="TNY89" s="62"/>
      <c r="TNZ89" s="62"/>
      <c r="TOA89" s="62"/>
      <c r="TOB89" s="62"/>
      <c r="TOC89" s="62"/>
      <c r="TOD89" s="62"/>
      <c r="TOE89" s="62"/>
      <c r="TOF89" s="62"/>
      <c r="TOG89" s="62"/>
      <c r="TOH89" s="62"/>
      <c r="TOI89" s="62"/>
      <c r="TOJ89" s="62"/>
      <c r="TOK89" s="62"/>
      <c r="TOL89" s="62"/>
      <c r="TOM89" s="62"/>
      <c r="TON89" s="62"/>
      <c r="TOO89" s="62"/>
      <c r="TOP89" s="62"/>
      <c r="TOQ89" s="62"/>
      <c r="TOR89" s="62"/>
      <c r="TOS89" s="62"/>
      <c r="TOT89" s="62"/>
      <c r="TOU89" s="62"/>
      <c r="TOV89" s="62"/>
      <c r="TOW89" s="62"/>
      <c r="TOX89" s="62"/>
      <c r="TOY89" s="62"/>
      <c r="TOZ89" s="62"/>
      <c r="TPA89" s="62"/>
      <c r="TPB89" s="62"/>
      <c r="TPC89" s="62"/>
      <c r="TPD89" s="62"/>
      <c r="TPE89" s="62"/>
      <c r="TPF89" s="62"/>
      <c r="TPG89" s="62"/>
      <c r="TPH89" s="62"/>
      <c r="TPI89" s="62"/>
      <c r="TPJ89" s="62"/>
      <c r="TPK89" s="62"/>
      <c r="TPL89" s="62"/>
      <c r="TPM89" s="62"/>
      <c r="TPN89" s="62"/>
      <c r="TPO89" s="62"/>
      <c r="TPP89" s="62"/>
      <c r="TPQ89" s="62"/>
      <c r="TPR89" s="62"/>
      <c r="TPS89" s="62"/>
      <c r="TPT89" s="62"/>
      <c r="TPU89" s="62"/>
      <c r="TPV89" s="62"/>
      <c r="TPW89" s="62"/>
      <c r="TPX89" s="62"/>
      <c r="TPY89" s="62"/>
      <c r="TPZ89" s="62"/>
      <c r="TQA89" s="62"/>
      <c r="TQB89" s="62"/>
      <c r="TQC89" s="62"/>
      <c r="TQD89" s="62"/>
      <c r="TQE89" s="62"/>
      <c r="TQF89" s="62"/>
      <c r="TQG89" s="62"/>
      <c r="TQH89" s="62"/>
      <c r="TQI89" s="62"/>
      <c r="TQJ89" s="62"/>
      <c r="TQK89" s="62"/>
      <c r="TQL89" s="62"/>
      <c r="TQM89" s="62"/>
      <c r="TQN89" s="62"/>
      <c r="TQO89" s="62"/>
      <c r="TQP89" s="62"/>
      <c r="TQQ89" s="62"/>
      <c r="TQR89" s="62"/>
      <c r="TQS89" s="62"/>
      <c r="TQT89" s="62"/>
      <c r="TQU89" s="62"/>
      <c r="TQV89" s="62"/>
      <c r="TQW89" s="62"/>
      <c r="TQX89" s="62"/>
      <c r="TQY89" s="62"/>
      <c r="TQZ89" s="62"/>
      <c r="TRA89" s="62"/>
      <c r="TRB89" s="62"/>
      <c r="TRC89" s="62"/>
      <c r="TRD89" s="62"/>
      <c r="TRE89" s="62"/>
      <c r="TRF89" s="62"/>
      <c r="TRG89" s="62"/>
      <c r="TRH89" s="62"/>
      <c r="TRI89" s="62"/>
      <c r="TRJ89" s="62"/>
      <c r="TRK89" s="62"/>
      <c r="TRL89" s="62"/>
      <c r="TRM89" s="62"/>
      <c r="TRN89" s="62"/>
      <c r="TRO89" s="62"/>
      <c r="TRP89" s="62"/>
      <c r="TRQ89" s="62"/>
      <c r="TRR89" s="62"/>
      <c r="TRS89" s="62"/>
      <c r="TRT89" s="62"/>
      <c r="TRU89" s="62"/>
      <c r="TRV89" s="62"/>
      <c r="TRW89" s="62"/>
      <c r="TRX89" s="62"/>
      <c r="TRY89" s="62"/>
      <c r="TRZ89" s="62"/>
      <c r="TSA89" s="62"/>
      <c r="TSB89" s="62"/>
      <c r="TSC89" s="62"/>
      <c r="TSD89" s="62"/>
      <c r="TSE89" s="62"/>
      <c r="TSF89" s="62"/>
      <c r="TSG89" s="62"/>
      <c r="TSH89" s="62"/>
      <c r="TSI89" s="62"/>
      <c r="TSJ89" s="62"/>
      <c r="TSK89" s="62"/>
      <c r="TSL89" s="62"/>
      <c r="TSM89" s="62"/>
      <c r="TSN89" s="62"/>
      <c r="TSO89" s="62"/>
      <c r="TSP89" s="62"/>
      <c r="TSQ89" s="62"/>
      <c r="TSR89" s="62"/>
      <c r="TSS89" s="62"/>
      <c r="TST89" s="62"/>
      <c r="TSU89" s="62"/>
      <c r="TSV89" s="62"/>
      <c r="TSW89" s="62"/>
      <c r="TSX89" s="62"/>
      <c r="TSY89" s="62"/>
      <c r="TSZ89" s="62"/>
      <c r="TTA89" s="62"/>
      <c r="TTB89" s="62"/>
      <c r="TTC89" s="62"/>
      <c r="TTD89" s="62"/>
      <c r="TTE89" s="62"/>
      <c r="TTF89" s="62"/>
      <c r="TTG89" s="62"/>
      <c r="TTH89" s="62"/>
      <c r="TTI89" s="62"/>
      <c r="TTJ89" s="62"/>
      <c r="TTK89" s="62"/>
      <c r="TTL89" s="62"/>
      <c r="TTM89" s="62"/>
      <c r="TTN89" s="62"/>
      <c r="TTO89" s="62"/>
      <c r="TTP89" s="62"/>
      <c r="TTQ89" s="62"/>
      <c r="TTR89" s="62"/>
      <c r="TTS89" s="62"/>
      <c r="TTT89" s="62"/>
      <c r="TTU89" s="62"/>
      <c r="TTV89" s="62"/>
      <c r="TTW89" s="62"/>
      <c r="TTX89" s="62"/>
      <c r="TTY89" s="62"/>
      <c r="TTZ89" s="62"/>
      <c r="TUA89" s="62"/>
      <c r="TUB89" s="62"/>
      <c r="TUC89" s="62"/>
      <c r="TUD89" s="62"/>
      <c r="TUE89" s="62"/>
      <c r="TUF89" s="62"/>
      <c r="TUG89" s="62"/>
      <c r="TUH89" s="62"/>
      <c r="TUI89" s="62"/>
      <c r="TUJ89" s="62"/>
      <c r="TUK89" s="62"/>
      <c r="TUL89" s="62"/>
      <c r="TUM89" s="62"/>
      <c r="TUN89" s="62"/>
      <c r="TUO89" s="62"/>
      <c r="TUP89" s="62"/>
      <c r="TUQ89" s="62"/>
      <c r="TUR89" s="62"/>
      <c r="TUS89" s="62"/>
      <c r="TUT89" s="62"/>
      <c r="TUU89" s="62"/>
      <c r="TUV89" s="62"/>
      <c r="TUW89" s="62"/>
      <c r="TUX89" s="62"/>
      <c r="TUY89" s="62"/>
      <c r="TUZ89" s="62"/>
      <c r="TVA89" s="62"/>
      <c r="TVB89" s="62"/>
      <c r="TVC89" s="62"/>
      <c r="TVD89" s="62"/>
      <c r="TVE89" s="62"/>
      <c r="TVF89" s="62"/>
      <c r="TVG89" s="62"/>
      <c r="TVH89" s="62"/>
      <c r="TVI89" s="62"/>
      <c r="TVJ89" s="62"/>
      <c r="TVK89" s="62"/>
      <c r="TVL89" s="62"/>
      <c r="TVM89" s="62"/>
      <c r="TVN89" s="62"/>
      <c r="TVO89" s="62"/>
      <c r="TVP89" s="62"/>
      <c r="TVQ89" s="62"/>
      <c r="TVR89" s="62"/>
      <c r="TVS89" s="62"/>
      <c r="TVT89" s="62"/>
      <c r="TVU89" s="62"/>
      <c r="TVV89" s="62"/>
      <c r="TVW89" s="62"/>
      <c r="TVX89" s="62"/>
      <c r="TVY89" s="62"/>
      <c r="TVZ89" s="62"/>
      <c r="TWA89" s="62"/>
      <c r="TWB89" s="62"/>
      <c r="TWC89" s="62"/>
      <c r="TWD89" s="62"/>
      <c r="TWE89" s="62"/>
      <c r="TWF89" s="62"/>
      <c r="TWG89" s="62"/>
      <c r="TWH89" s="62"/>
      <c r="TWI89" s="62"/>
      <c r="TWJ89" s="62"/>
      <c r="TWK89" s="62"/>
      <c r="TWL89" s="62"/>
      <c r="TWM89" s="62"/>
      <c r="TWN89" s="62"/>
      <c r="TWO89" s="62"/>
      <c r="TWP89" s="62"/>
      <c r="TWQ89" s="62"/>
      <c r="TWR89" s="62"/>
      <c r="TWS89" s="62"/>
      <c r="TWT89" s="62"/>
      <c r="TWU89" s="62"/>
      <c r="TWV89" s="62"/>
      <c r="TWW89" s="62"/>
      <c r="TWX89" s="62"/>
      <c r="TWY89" s="62"/>
      <c r="TWZ89" s="62"/>
      <c r="TXA89" s="62"/>
      <c r="TXB89" s="62"/>
      <c r="TXC89" s="62"/>
      <c r="TXD89" s="62"/>
      <c r="TXE89" s="62"/>
      <c r="TXF89" s="62"/>
      <c r="TXG89" s="62"/>
      <c r="TXH89" s="62"/>
      <c r="TXI89" s="62"/>
      <c r="TXJ89" s="62"/>
      <c r="TXK89" s="62"/>
      <c r="TXL89" s="62"/>
      <c r="TXM89" s="62"/>
      <c r="TXN89" s="62"/>
      <c r="TXO89" s="62"/>
      <c r="TXP89" s="62"/>
      <c r="TXQ89" s="62"/>
      <c r="TXR89" s="62"/>
      <c r="TXS89" s="62"/>
      <c r="TXT89" s="62"/>
      <c r="TXU89" s="62"/>
      <c r="TXV89" s="62"/>
      <c r="TXW89" s="62"/>
      <c r="TXX89" s="62"/>
      <c r="TXY89" s="62"/>
      <c r="TXZ89" s="62"/>
      <c r="TYA89" s="62"/>
      <c r="TYB89" s="62"/>
      <c r="TYC89" s="62"/>
      <c r="TYD89" s="62"/>
      <c r="TYE89" s="62"/>
      <c r="TYF89" s="62"/>
      <c r="TYG89" s="62"/>
      <c r="TYH89" s="62"/>
      <c r="TYI89" s="62"/>
      <c r="TYJ89" s="62"/>
      <c r="TYK89" s="62"/>
      <c r="TYL89" s="62"/>
      <c r="TYM89" s="62"/>
      <c r="TYN89" s="62"/>
      <c r="TYO89" s="62"/>
      <c r="TYP89" s="62"/>
      <c r="TYQ89" s="62"/>
      <c r="TYR89" s="62"/>
      <c r="TYS89" s="62"/>
      <c r="TYT89" s="62"/>
      <c r="TYU89" s="62"/>
      <c r="TYV89" s="62"/>
      <c r="TYW89" s="62"/>
      <c r="TYX89" s="62"/>
      <c r="TYY89" s="62"/>
      <c r="TYZ89" s="62"/>
      <c r="TZA89" s="62"/>
      <c r="TZB89" s="62"/>
      <c r="TZC89" s="62"/>
      <c r="TZD89" s="62"/>
      <c r="TZE89" s="62"/>
      <c r="TZF89" s="62"/>
      <c r="TZG89" s="62"/>
      <c r="TZH89" s="62"/>
      <c r="TZI89" s="62"/>
      <c r="TZJ89" s="62"/>
      <c r="TZK89" s="62"/>
      <c r="TZL89" s="62"/>
      <c r="TZM89" s="62"/>
      <c r="TZN89" s="62"/>
      <c r="TZO89" s="62"/>
      <c r="TZP89" s="62"/>
      <c r="TZQ89" s="62"/>
      <c r="TZR89" s="62"/>
      <c r="TZS89" s="62"/>
      <c r="TZT89" s="62"/>
      <c r="TZU89" s="62"/>
      <c r="TZV89" s="62"/>
      <c r="TZW89" s="62"/>
      <c r="TZX89" s="62"/>
      <c r="TZY89" s="62"/>
      <c r="TZZ89" s="62"/>
      <c r="UAA89" s="62"/>
      <c r="UAB89" s="62"/>
      <c r="UAC89" s="62"/>
      <c r="UAD89" s="62"/>
      <c r="UAE89" s="62"/>
      <c r="UAF89" s="62"/>
      <c r="UAG89" s="62"/>
      <c r="UAH89" s="62"/>
      <c r="UAI89" s="62"/>
      <c r="UAJ89" s="62"/>
      <c r="UAK89" s="62"/>
      <c r="UAL89" s="62"/>
      <c r="UAM89" s="62"/>
      <c r="UAN89" s="62"/>
      <c r="UAO89" s="62"/>
      <c r="UAP89" s="62"/>
      <c r="UAQ89" s="62"/>
      <c r="UAR89" s="62"/>
      <c r="UAS89" s="62"/>
      <c r="UAT89" s="62"/>
      <c r="UAU89" s="62"/>
      <c r="UAV89" s="62"/>
      <c r="UAW89" s="62"/>
      <c r="UAX89" s="62"/>
      <c r="UAY89" s="62"/>
      <c r="UAZ89" s="62"/>
      <c r="UBA89" s="62"/>
      <c r="UBB89" s="62"/>
      <c r="UBC89" s="62"/>
      <c r="UBD89" s="62"/>
      <c r="UBE89" s="62"/>
      <c r="UBF89" s="62"/>
      <c r="UBG89" s="62"/>
      <c r="UBH89" s="62"/>
      <c r="UBI89" s="62"/>
      <c r="UBJ89" s="62"/>
      <c r="UBK89" s="62"/>
      <c r="UBL89" s="62"/>
      <c r="UBM89" s="62"/>
      <c r="UBN89" s="62"/>
      <c r="UBO89" s="62"/>
      <c r="UBP89" s="62"/>
      <c r="UBQ89" s="62"/>
      <c r="UBR89" s="62"/>
      <c r="UBS89" s="62"/>
      <c r="UBT89" s="62"/>
      <c r="UBU89" s="62"/>
      <c r="UBV89" s="62"/>
      <c r="UBW89" s="62"/>
      <c r="UBX89" s="62"/>
      <c r="UBY89" s="62"/>
      <c r="UBZ89" s="62"/>
      <c r="UCA89" s="62"/>
      <c r="UCB89" s="62"/>
      <c r="UCC89" s="62"/>
      <c r="UCD89" s="62"/>
      <c r="UCE89" s="62"/>
      <c r="UCF89" s="62"/>
      <c r="UCG89" s="62"/>
      <c r="UCH89" s="62"/>
      <c r="UCI89" s="62"/>
      <c r="UCJ89" s="62"/>
      <c r="UCK89" s="62"/>
      <c r="UCL89" s="62"/>
      <c r="UCM89" s="62"/>
      <c r="UCN89" s="62"/>
      <c r="UCO89" s="62"/>
      <c r="UCP89" s="62"/>
      <c r="UCQ89" s="62"/>
      <c r="UCR89" s="62"/>
      <c r="UCS89" s="62"/>
      <c r="UCT89" s="62"/>
      <c r="UCU89" s="62"/>
      <c r="UCV89" s="62"/>
      <c r="UCW89" s="62"/>
      <c r="UCX89" s="62"/>
      <c r="UCY89" s="62"/>
      <c r="UCZ89" s="62"/>
      <c r="UDA89" s="62"/>
      <c r="UDB89" s="62"/>
      <c r="UDC89" s="62"/>
      <c r="UDD89" s="62"/>
      <c r="UDE89" s="62"/>
      <c r="UDF89" s="62"/>
      <c r="UDG89" s="62"/>
      <c r="UDH89" s="62"/>
      <c r="UDI89" s="62"/>
      <c r="UDJ89" s="62"/>
      <c r="UDK89" s="62"/>
      <c r="UDL89" s="62"/>
      <c r="UDM89" s="62"/>
      <c r="UDN89" s="62"/>
      <c r="UDO89" s="62"/>
      <c r="UDP89" s="62"/>
      <c r="UDQ89" s="62"/>
      <c r="UDR89" s="62"/>
      <c r="UDS89" s="62"/>
      <c r="UDT89" s="62"/>
      <c r="UDU89" s="62"/>
      <c r="UDV89" s="62"/>
      <c r="UDW89" s="62"/>
      <c r="UDX89" s="62"/>
      <c r="UDY89" s="62"/>
      <c r="UDZ89" s="62"/>
      <c r="UEA89" s="62"/>
      <c r="UEB89" s="62"/>
      <c r="UEC89" s="62"/>
      <c r="UED89" s="62"/>
      <c r="UEE89" s="62"/>
      <c r="UEF89" s="62"/>
      <c r="UEG89" s="62"/>
      <c r="UEH89" s="62"/>
      <c r="UEI89" s="62"/>
      <c r="UEJ89" s="62"/>
      <c r="UEK89" s="62"/>
      <c r="UEL89" s="62"/>
      <c r="UEM89" s="62"/>
      <c r="UEN89" s="62"/>
      <c r="UEO89" s="62"/>
      <c r="UEP89" s="62"/>
      <c r="UEQ89" s="62"/>
      <c r="UER89" s="62"/>
      <c r="UES89" s="62"/>
      <c r="UET89" s="62"/>
      <c r="UEU89" s="62"/>
      <c r="UEV89" s="62"/>
      <c r="UEW89" s="62"/>
      <c r="UEX89" s="62"/>
      <c r="UEY89" s="62"/>
      <c r="UEZ89" s="62"/>
      <c r="UFA89" s="62"/>
      <c r="UFB89" s="62"/>
      <c r="UFC89" s="62"/>
      <c r="UFD89" s="62"/>
      <c r="UFE89" s="62"/>
      <c r="UFF89" s="62"/>
      <c r="UFG89" s="62"/>
      <c r="UFH89" s="62"/>
      <c r="UFI89" s="62"/>
      <c r="UFJ89" s="62"/>
      <c r="UFK89" s="62"/>
      <c r="UFL89" s="62"/>
      <c r="UFM89" s="62"/>
      <c r="UFN89" s="62"/>
      <c r="UFO89" s="62"/>
      <c r="UFP89" s="62"/>
      <c r="UFQ89" s="62"/>
      <c r="UFR89" s="62"/>
      <c r="UFS89" s="62"/>
      <c r="UFT89" s="62"/>
      <c r="UFU89" s="62"/>
      <c r="UFV89" s="62"/>
      <c r="UFW89" s="62"/>
      <c r="UFX89" s="62"/>
      <c r="UFY89" s="62"/>
      <c r="UFZ89" s="62"/>
      <c r="UGA89" s="62"/>
      <c r="UGB89" s="62"/>
      <c r="UGC89" s="62"/>
      <c r="UGD89" s="62"/>
      <c r="UGE89" s="62"/>
      <c r="UGF89" s="62"/>
      <c r="UGG89" s="62"/>
      <c r="UGH89" s="62"/>
      <c r="UGI89" s="62"/>
      <c r="UGJ89" s="62"/>
      <c r="UGK89" s="62"/>
      <c r="UGL89" s="62"/>
      <c r="UGM89" s="62"/>
      <c r="UGN89" s="62"/>
      <c r="UGO89" s="62"/>
      <c r="UGP89" s="62"/>
      <c r="UGQ89" s="62"/>
      <c r="UGR89" s="62"/>
      <c r="UGS89" s="62"/>
      <c r="UGT89" s="62"/>
      <c r="UGU89" s="62"/>
      <c r="UGV89" s="62"/>
      <c r="UGW89" s="62"/>
      <c r="UGX89" s="62"/>
      <c r="UGY89" s="62"/>
      <c r="UGZ89" s="62"/>
      <c r="UHA89" s="62"/>
      <c r="UHB89" s="62"/>
      <c r="UHC89" s="62"/>
      <c r="UHD89" s="62"/>
      <c r="UHE89" s="62"/>
      <c r="UHF89" s="62"/>
      <c r="UHG89" s="62"/>
      <c r="UHH89" s="62"/>
      <c r="UHI89" s="62"/>
      <c r="UHJ89" s="62"/>
      <c r="UHK89" s="62"/>
      <c r="UHL89" s="62"/>
      <c r="UHM89" s="62"/>
      <c r="UHN89" s="62"/>
      <c r="UHO89" s="62"/>
      <c r="UHP89" s="62"/>
      <c r="UHQ89" s="62"/>
      <c r="UHR89" s="62"/>
      <c r="UHS89" s="62"/>
      <c r="UHT89" s="62"/>
      <c r="UHU89" s="62"/>
      <c r="UHV89" s="62"/>
      <c r="UHW89" s="62"/>
      <c r="UHX89" s="62"/>
      <c r="UHY89" s="62"/>
      <c r="UHZ89" s="62"/>
      <c r="UIA89" s="62"/>
      <c r="UIB89" s="62"/>
      <c r="UIC89" s="62"/>
      <c r="UID89" s="62"/>
      <c r="UIE89" s="62"/>
      <c r="UIF89" s="62"/>
      <c r="UIG89" s="62"/>
      <c r="UIH89" s="62"/>
      <c r="UII89" s="62"/>
      <c r="UIJ89" s="62"/>
      <c r="UIK89" s="62"/>
      <c r="UIL89" s="62"/>
      <c r="UIM89" s="62"/>
      <c r="UIN89" s="62"/>
      <c r="UIO89" s="62"/>
      <c r="UIP89" s="62"/>
      <c r="UIQ89" s="62"/>
      <c r="UIR89" s="62"/>
      <c r="UIS89" s="62"/>
      <c r="UIT89" s="62"/>
      <c r="UIU89" s="62"/>
      <c r="UIV89" s="62"/>
      <c r="UIW89" s="62"/>
      <c r="UIX89" s="62"/>
      <c r="UIY89" s="62"/>
      <c r="UIZ89" s="62"/>
      <c r="UJA89" s="62"/>
      <c r="UJB89" s="62"/>
      <c r="UJC89" s="62"/>
      <c r="UJD89" s="62"/>
      <c r="UJE89" s="62"/>
      <c r="UJF89" s="62"/>
      <c r="UJG89" s="62"/>
      <c r="UJH89" s="62"/>
      <c r="UJI89" s="62"/>
      <c r="UJJ89" s="62"/>
      <c r="UJK89" s="62"/>
      <c r="UJL89" s="62"/>
      <c r="UJM89" s="62"/>
      <c r="UJN89" s="62"/>
      <c r="UJO89" s="62"/>
      <c r="UJP89" s="62"/>
      <c r="UJQ89" s="62"/>
      <c r="UJR89" s="62"/>
      <c r="UJS89" s="62"/>
      <c r="UJT89" s="62"/>
      <c r="UJU89" s="62"/>
      <c r="UJV89" s="62"/>
      <c r="UJW89" s="62"/>
      <c r="UJX89" s="62"/>
      <c r="UJY89" s="62"/>
      <c r="UJZ89" s="62"/>
      <c r="UKA89" s="62"/>
      <c r="UKB89" s="62"/>
      <c r="UKC89" s="62"/>
      <c r="UKD89" s="62"/>
      <c r="UKE89" s="62"/>
      <c r="UKF89" s="62"/>
      <c r="UKG89" s="62"/>
      <c r="UKH89" s="62"/>
      <c r="UKI89" s="62"/>
      <c r="UKJ89" s="62"/>
      <c r="UKK89" s="62"/>
      <c r="UKL89" s="62"/>
      <c r="UKM89" s="62"/>
      <c r="UKN89" s="62"/>
      <c r="UKO89" s="62"/>
      <c r="UKP89" s="62"/>
      <c r="UKQ89" s="62"/>
      <c r="UKR89" s="62"/>
      <c r="UKS89" s="62"/>
      <c r="UKT89" s="62"/>
      <c r="UKU89" s="62"/>
      <c r="UKV89" s="62"/>
      <c r="UKW89" s="62"/>
      <c r="UKX89" s="62"/>
      <c r="UKY89" s="62"/>
      <c r="UKZ89" s="62"/>
      <c r="ULA89" s="62"/>
      <c r="ULB89" s="62"/>
      <c r="ULC89" s="62"/>
      <c r="ULD89" s="62"/>
      <c r="ULE89" s="62"/>
      <c r="ULF89" s="62"/>
      <c r="ULG89" s="62"/>
      <c r="ULH89" s="62"/>
      <c r="ULI89" s="62"/>
      <c r="ULJ89" s="62"/>
      <c r="ULK89" s="62"/>
      <c r="ULL89" s="62"/>
      <c r="ULM89" s="62"/>
      <c r="ULN89" s="62"/>
      <c r="ULO89" s="62"/>
      <c r="ULP89" s="62"/>
      <c r="ULQ89" s="62"/>
      <c r="ULR89" s="62"/>
      <c r="ULS89" s="62"/>
      <c r="ULT89" s="62"/>
      <c r="ULU89" s="62"/>
      <c r="ULV89" s="62"/>
      <c r="ULW89" s="62"/>
      <c r="ULX89" s="62"/>
      <c r="ULY89" s="62"/>
      <c r="ULZ89" s="62"/>
      <c r="UMA89" s="62"/>
      <c r="UMB89" s="62"/>
      <c r="UMC89" s="62"/>
      <c r="UMD89" s="62"/>
      <c r="UME89" s="62"/>
      <c r="UMF89" s="62"/>
      <c r="UMG89" s="62"/>
      <c r="UMH89" s="62"/>
      <c r="UMI89" s="62"/>
      <c r="UMJ89" s="62"/>
      <c r="UMK89" s="62"/>
      <c r="UML89" s="62"/>
      <c r="UMM89" s="62"/>
      <c r="UMN89" s="62"/>
      <c r="UMO89" s="62"/>
      <c r="UMP89" s="62"/>
      <c r="UMQ89" s="62"/>
      <c r="UMR89" s="62"/>
      <c r="UMS89" s="62"/>
      <c r="UMT89" s="62"/>
      <c r="UMU89" s="62"/>
      <c r="UMV89" s="62"/>
      <c r="UMW89" s="62"/>
      <c r="UMX89" s="62"/>
      <c r="UMY89" s="62"/>
      <c r="UMZ89" s="62"/>
      <c r="UNA89" s="62"/>
      <c r="UNB89" s="62"/>
      <c r="UNC89" s="62"/>
      <c r="UND89" s="62"/>
      <c r="UNE89" s="62"/>
      <c r="UNF89" s="62"/>
      <c r="UNG89" s="62"/>
      <c r="UNH89" s="62"/>
      <c r="UNI89" s="62"/>
      <c r="UNJ89" s="62"/>
      <c r="UNK89" s="62"/>
      <c r="UNL89" s="62"/>
      <c r="UNM89" s="62"/>
      <c r="UNN89" s="62"/>
      <c r="UNO89" s="62"/>
      <c r="UNP89" s="62"/>
      <c r="UNQ89" s="62"/>
      <c r="UNR89" s="62"/>
      <c r="UNS89" s="62"/>
      <c r="UNT89" s="62"/>
      <c r="UNU89" s="62"/>
      <c r="UNV89" s="62"/>
      <c r="UNW89" s="62"/>
      <c r="UNX89" s="62"/>
      <c r="UNY89" s="62"/>
      <c r="UNZ89" s="62"/>
      <c r="UOA89" s="62"/>
      <c r="UOB89" s="62"/>
      <c r="UOC89" s="62"/>
      <c r="UOD89" s="62"/>
      <c r="UOE89" s="62"/>
      <c r="UOF89" s="62"/>
      <c r="UOG89" s="62"/>
      <c r="UOH89" s="62"/>
      <c r="UOI89" s="62"/>
      <c r="UOJ89" s="62"/>
      <c r="UOK89" s="62"/>
      <c r="UOL89" s="62"/>
      <c r="UOM89" s="62"/>
      <c r="UON89" s="62"/>
      <c r="UOO89" s="62"/>
      <c r="UOP89" s="62"/>
      <c r="UOQ89" s="62"/>
      <c r="UOR89" s="62"/>
      <c r="UOS89" s="62"/>
      <c r="UOT89" s="62"/>
      <c r="UOU89" s="62"/>
      <c r="UOV89" s="62"/>
      <c r="UOW89" s="62"/>
      <c r="UOX89" s="62"/>
      <c r="UOY89" s="62"/>
      <c r="UOZ89" s="62"/>
      <c r="UPA89" s="62"/>
      <c r="UPB89" s="62"/>
      <c r="UPC89" s="62"/>
      <c r="UPD89" s="62"/>
      <c r="UPE89" s="62"/>
      <c r="UPF89" s="62"/>
      <c r="UPG89" s="62"/>
      <c r="UPH89" s="62"/>
      <c r="UPI89" s="62"/>
      <c r="UPJ89" s="62"/>
      <c r="UPK89" s="62"/>
      <c r="UPL89" s="62"/>
      <c r="UPM89" s="62"/>
      <c r="UPN89" s="62"/>
      <c r="UPO89" s="62"/>
      <c r="UPP89" s="62"/>
      <c r="UPQ89" s="62"/>
      <c r="UPR89" s="62"/>
      <c r="UPS89" s="62"/>
      <c r="UPT89" s="62"/>
      <c r="UPU89" s="62"/>
      <c r="UPV89" s="62"/>
      <c r="UPW89" s="62"/>
      <c r="UPX89" s="62"/>
      <c r="UPY89" s="62"/>
      <c r="UPZ89" s="62"/>
      <c r="UQA89" s="62"/>
      <c r="UQB89" s="62"/>
      <c r="UQC89" s="62"/>
      <c r="UQD89" s="62"/>
      <c r="UQE89" s="62"/>
      <c r="UQF89" s="62"/>
      <c r="UQG89" s="62"/>
      <c r="UQH89" s="62"/>
      <c r="UQI89" s="62"/>
      <c r="UQJ89" s="62"/>
      <c r="UQK89" s="62"/>
      <c r="UQL89" s="62"/>
      <c r="UQM89" s="62"/>
      <c r="UQN89" s="62"/>
      <c r="UQO89" s="62"/>
      <c r="UQP89" s="62"/>
      <c r="UQQ89" s="62"/>
      <c r="UQR89" s="62"/>
      <c r="UQS89" s="62"/>
      <c r="UQT89" s="62"/>
      <c r="UQU89" s="62"/>
      <c r="UQV89" s="62"/>
      <c r="UQW89" s="62"/>
      <c r="UQX89" s="62"/>
      <c r="UQY89" s="62"/>
      <c r="UQZ89" s="62"/>
      <c r="URA89" s="62"/>
      <c r="URB89" s="62"/>
      <c r="URC89" s="62"/>
      <c r="URD89" s="62"/>
      <c r="URE89" s="62"/>
      <c r="URF89" s="62"/>
      <c r="URG89" s="62"/>
      <c r="URH89" s="62"/>
      <c r="URI89" s="62"/>
      <c r="URJ89" s="62"/>
      <c r="URK89" s="62"/>
      <c r="URL89" s="62"/>
      <c r="URM89" s="62"/>
      <c r="URN89" s="62"/>
      <c r="URO89" s="62"/>
      <c r="URP89" s="62"/>
      <c r="URQ89" s="62"/>
      <c r="URR89" s="62"/>
      <c r="URS89" s="62"/>
      <c r="URT89" s="62"/>
      <c r="URU89" s="62"/>
      <c r="URV89" s="62"/>
      <c r="URW89" s="62"/>
      <c r="URX89" s="62"/>
      <c r="URY89" s="62"/>
      <c r="URZ89" s="62"/>
      <c r="USA89" s="62"/>
      <c r="USB89" s="62"/>
      <c r="USC89" s="62"/>
      <c r="USD89" s="62"/>
      <c r="USE89" s="62"/>
      <c r="USF89" s="62"/>
      <c r="USG89" s="62"/>
      <c r="USH89" s="62"/>
      <c r="USI89" s="62"/>
      <c r="USJ89" s="62"/>
      <c r="USK89" s="62"/>
      <c r="USL89" s="62"/>
      <c r="USM89" s="62"/>
      <c r="USN89" s="62"/>
      <c r="USO89" s="62"/>
      <c r="USP89" s="62"/>
      <c r="USQ89" s="62"/>
      <c r="USR89" s="62"/>
      <c r="USS89" s="62"/>
      <c r="UST89" s="62"/>
      <c r="USU89" s="62"/>
      <c r="USV89" s="62"/>
      <c r="USW89" s="62"/>
      <c r="USX89" s="62"/>
      <c r="USY89" s="62"/>
      <c r="USZ89" s="62"/>
      <c r="UTA89" s="62"/>
      <c r="UTB89" s="62"/>
      <c r="UTC89" s="62"/>
      <c r="UTD89" s="62"/>
      <c r="UTE89" s="62"/>
      <c r="UTF89" s="62"/>
      <c r="UTG89" s="62"/>
      <c r="UTH89" s="62"/>
      <c r="UTI89" s="62"/>
      <c r="UTJ89" s="62"/>
      <c r="UTK89" s="62"/>
      <c r="UTL89" s="62"/>
      <c r="UTM89" s="62"/>
      <c r="UTN89" s="62"/>
      <c r="UTO89" s="62"/>
      <c r="UTP89" s="62"/>
      <c r="UTQ89" s="62"/>
      <c r="UTR89" s="62"/>
      <c r="UTS89" s="62"/>
      <c r="UTT89" s="62"/>
      <c r="UTU89" s="62"/>
      <c r="UTV89" s="62"/>
      <c r="UTW89" s="62"/>
      <c r="UTX89" s="62"/>
      <c r="UTY89" s="62"/>
      <c r="UTZ89" s="62"/>
      <c r="UUA89" s="62"/>
      <c r="UUB89" s="62"/>
      <c r="UUC89" s="62"/>
      <c r="UUD89" s="62"/>
      <c r="UUE89" s="62"/>
      <c r="UUF89" s="62"/>
      <c r="UUG89" s="62"/>
      <c r="UUH89" s="62"/>
      <c r="UUI89" s="62"/>
      <c r="UUJ89" s="62"/>
      <c r="UUK89" s="62"/>
      <c r="UUL89" s="62"/>
      <c r="UUM89" s="62"/>
      <c r="UUN89" s="62"/>
      <c r="UUO89" s="62"/>
      <c r="UUP89" s="62"/>
      <c r="UUQ89" s="62"/>
      <c r="UUR89" s="62"/>
      <c r="UUS89" s="62"/>
      <c r="UUT89" s="62"/>
      <c r="UUU89" s="62"/>
      <c r="UUV89" s="62"/>
      <c r="UUW89" s="62"/>
      <c r="UUX89" s="62"/>
      <c r="UUY89" s="62"/>
      <c r="UUZ89" s="62"/>
      <c r="UVA89" s="62"/>
      <c r="UVB89" s="62"/>
      <c r="UVC89" s="62"/>
      <c r="UVD89" s="62"/>
      <c r="UVE89" s="62"/>
      <c r="UVF89" s="62"/>
      <c r="UVG89" s="62"/>
      <c r="UVH89" s="62"/>
      <c r="UVI89" s="62"/>
      <c r="UVJ89" s="62"/>
      <c r="UVK89" s="62"/>
      <c r="UVL89" s="62"/>
      <c r="UVM89" s="62"/>
      <c r="UVN89" s="62"/>
      <c r="UVO89" s="62"/>
      <c r="UVP89" s="62"/>
      <c r="UVQ89" s="62"/>
      <c r="UVR89" s="62"/>
      <c r="UVS89" s="62"/>
      <c r="UVT89" s="62"/>
      <c r="UVU89" s="62"/>
      <c r="UVV89" s="62"/>
      <c r="UVW89" s="62"/>
      <c r="UVX89" s="62"/>
      <c r="UVY89" s="62"/>
      <c r="UVZ89" s="62"/>
      <c r="UWA89" s="62"/>
      <c r="UWB89" s="62"/>
      <c r="UWC89" s="62"/>
      <c r="UWD89" s="62"/>
      <c r="UWE89" s="62"/>
      <c r="UWF89" s="62"/>
      <c r="UWG89" s="62"/>
      <c r="UWH89" s="62"/>
      <c r="UWI89" s="62"/>
      <c r="UWJ89" s="62"/>
      <c r="UWK89" s="62"/>
      <c r="UWL89" s="62"/>
      <c r="UWM89" s="62"/>
      <c r="UWN89" s="62"/>
      <c r="UWO89" s="62"/>
      <c r="UWP89" s="62"/>
      <c r="UWQ89" s="62"/>
      <c r="UWR89" s="62"/>
      <c r="UWS89" s="62"/>
      <c r="UWT89" s="62"/>
      <c r="UWU89" s="62"/>
      <c r="UWV89" s="62"/>
      <c r="UWW89" s="62"/>
      <c r="UWX89" s="62"/>
      <c r="UWY89" s="62"/>
      <c r="UWZ89" s="62"/>
      <c r="UXA89" s="62"/>
      <c r="UXB89" s="62"/>
      <c r="UXC89" s="62"/>
      <c r="UXD89" s="62"/>
      <c r="UXE89" s="62"/>
      <c r="UXF89" s="62"/>
      <c r="UXG89" s="62"/>
      <c r="UXH89" s="62"/>
      <c r="UXI89" s="62"/>
      <c r="UXJ89" s="62"/>
      <c r="UXK89" s="62"/>
      <c r="UXL89" s="62"/>
      <c r="UXM89" s="62"/>
      <c r="UXN89" s="62"/>
      <c r="UXO89" s="62"/>
      <c r="UXP89" s="62"/>
      <c r="UXQ89" s="62"/>
      <c r="UXR89" s="62"/>
      <c r="UXS89" s="62"/>
      <c r="UXT89" s="62"/>
      <c r="UXU89" s="62"/>
      <c r="UXV89" s="62"/>
      <c r="UXW89" s="62"/>
      <c r="UXX89" s="62"/>
      <c r="UXY89" s="62"/>
      <c r="UXZ89" s="62"/>
      <c r="UYA89" s="62"/>
      <c r="UYB89" s="62"/>
      <c r="UYC89" s="62"/>
      <c r="UYD89" s="62"/>
      <c r="UYE89" s="62"/>
      <c r="UYF89" s="62"/>
      <c r="UYG89" s="62"/>
      <c r="UYH89" s="62"/>
      <c r="UYI89" s="62"/>
      <c r="UYJ89" s="62"/>
      <c r="UYK89" s="62"/>
      <c r="UYL89" s="62"/>
      <c r="UYM89" s="62"/>
      <c r="UYN89" s="62"/>
      <c r="UYO89" s="62"/>
      <c r="UYP89" s="62"/>
      <c r="UYQ89" s="62"/>
      <c r="UYR89" s="62"/>
      <c r="UYS89" s="62"/>
      <c r="UYT89" s="62"/>
      <c r="UYU89" s="62"/>
      <c r="UYV89" s="62"/>
      <c r="UYW89" s="62"/>
      <c r="UYX89" s="62"/>
      <c r="UYY89" s="62"/>
      <c r="UYZ89" s="62"/>
      <c r="UZA89" s="62"/>
      <c r="UZB89" s="62"/>
      <c r="UZC89" s="62"/>
      <c r="UZD89" s="62"/>
      <c r="UZE89" s="62"/>
      <c r="UZF89" s="62"/>
      <c r="UZG89" s="62"/>
      <c r="UZH89" s="62"/>
      <c r="UZI89" s="62"/>
      <c r="UZJ89" s="62"/>
      <c r="UZK89" s="62"/>
      <c r="UZL89" s="62"/>
      <c r="UZM89" s="62"/>
      <c r="UZN89" s="62"/>
      <c r="UZO89" s="62"/>
      <c r="UZP89" s="62"/>
      <c r="UZQ89" s="62"/>
      <c r="UZR89" s="62"/>
      <c r="UZS89" s="62"/>
      <c r="UZT89" s="62"/>
      <c r="UZU89" s="62"/>
      <c r="UZV89" s="62"/>
      <c r="UZW89" s="62"/>
      <c r="UZX89" s="62"/>
      <c r="UZY89" s="62"/>
      <c r="UZZ89" s="62"/>
      <c r="VAA89" s="62"/>
      <c r="VAB89" s="62"/>
      <c r="VAC89" s="62"/>
      <c r="VAD89" s="62"/>
      <c r="VAE89" s="62"/>
      <c r="VAF89" s="62"/>
      <c r="VAG89" s="62"/>
      <c r="VAH89" s="62"/>
      <c r="VAI89" s="62"/>
      <c r="VAJ89" s="62"/>
      <c r="VAK89" s="62"/>
      <c r="VAL89" s="62"/>
      <c r="VAM89" s="62"/>
      <c r="VAN89" s="62"/>
      <c r="VAO89" s="62"/>
      <c r="VAP89" s="62"/>
      <c r="VAQ89" s="62"/>
      <c r="VAR89" s="62"/>
      <c r="VAS89" s="62"/>
      <c r="VAT89" s="62"/>
      <c r="VAU89" s="62"/>
      <c r="VAV89" s="62"/>
      <c r="VAW89" s="62"/>
      <c r="VAX89" s="62"/>
      <c r="VAY89" s="62"/>
      <c r="VAZ89" s="62"/>
      <c r="VBA89" s="62"/>
      <c r="VBB89" s="62"/>
      <c r="VBC89" s="62"/>
      <c r="VBD89" s="62"/>
      <c r="VBE89" s="62"/>
      <c r="VBF89" s="62"/>
      <c r="VBG89" s="62"/>
      <c r="VBH89" s="62"/>
      <c r="VBI89" s="62"/>
      <c r="VBJ89" s="62"/>
      <c r="VBK89" s="62"/>
      <c r="VBL89" s="62"/>
      <c r="VBM89" s="62"/>
      <c r="VBN89" s="62"/>
      <c r="VBO89" s="62"/>
      <c r="VBP89" s="62"/>
      <c r="VBQ89" s="62"/>
      <c r="VBR89" s="62"/>
      <c r="VBS89" s="62"/>
      <c r="VBT89" s="62"/>
      <c r="VBU89" s="62"/>
      <c r="VBV89" s="62"/>
      <c r="VBW89" s="62"/>
      <c r="VBX89" s="62"/>
      <c r="VBY89" s="62"/>
      <c r="VBZ89" s="62"/>
      <c r="VCA89" s="62"/>
      <c r="VCB89" s="62"/>
      <c r="VCC89" s="62"/>
      <c r="VCD89" s="62"/>
      <c r="VCE89" s="62"/>
      <c r="VCF89" s="62"/>
      <c r="VCG89" s="62"/>
      <c r="VCH89" s="62"/>
      <c r="VCI89" s="62"/>
      <c r="VCJ89" s="62"/>
      <c r="VCK89" s="62"/>
      <c r="VCL89" s="62"/>
      <c r="VCM89" s="62"/>
      <c r="VCN89" s="62"/>
      <c r="VCO89" s="62"/>
      <c r="VCP89" s="62"/>
      <c r="VCQ89" s="62"/>
      <c r="VCR89" s="62"/>
      <c r="VCS89" s="62"/>
      <c r="VCT89" s="62"/>
      <c r="VCU89" s="62"/>
      <c r="VCV89" s="62"/>
      <c r="VCW89" s="62"/>
      <c r="VCX89" s="62"/>
      <c r="VCY89" s="62"/>
      <c r="VCZ89" s="62"/>
      <c r="VDA89" s="62"/>
      <c r="VDB89" s="62"/>
      <c r="VDC89" s="62"/>
      <c r="VDD89" s="62"/>
      <c r="VDE89" s="62"/>
      <c r="VDF89" s="62"/>
      <c r="VDG89" s="62"/>
      <c r="VDH89" s="62"/>
      <c r="VDI89" s="62"/>
      <c r="VDJ89" s="62"/>
      <c r="VDK89" s="62"/>
      <c r="VDL89" s="62"/>
      <c r="VDM89" s="62"/>
      <c r="VDN89" s="62"/>
      <c r="VDO89" s="62"/>
      <c r="VDP89" s="62"/>
      <c r="VDQ89" s="62"/>
      <c r="VDR89" s="62"/>
      <c r="VDS89" s="62"/>
      <c r="VDT89" s="62"/>
      <c r="VDU89" s="62"/>
      <c r="VDV89" s="62"/>
      <c r="VDW89" s="62"/>
      <c r="VDX89" s="62"/>
      <c r="VDY89" s="62"/>
      <c r="VDZ89" s="62"/>
      <c r="VEA89" s="62"/>
      <c r="VEB89" s="62"/>
      <c r="VEC89" s="62"/>
      <c r="VED89" s="62"/>
      <c r="VEE89" s="62"/>
      <c r="VEF89" s="62"/>
      <c r="VEG89" s="62"/>
      <c r="VEH89" s="62"/>
      <c r="VEI89" s="62"/>
      <c r="VEJ89" s="62"/>
      <c r="VEK89" s="62"/>
      <c r="VEL89" s="62"/>
      <c r="VEM89" s="62"/>
      <c r="VEN89" s="62"/>
      <c r="VEO89" s="62"/>
      <c r="VEP89" s="62"/>
      <c r="VEQ89" s="62"/>
      <c r="VER89" s="62"/>
      <c r="VES89" s="62"/>
      <c r="VET89" s="62"/>
      <c r="VEU89" s="62"/>
      <c r="VEV89" s="62"/>
      <c r="VEW89" s="62"/>
      <c r="VEX89" s="62"/>
      <c r="VEY89" s="62"/>
      <c r="VEZ89" s="62"/>
      <c r="VFA89" s="62"/>
      <c r="VFB89" s="62"/>
      <c r="VFC89" s="62"/>
      <c r="VFD89" s="62"/>
      <c r="VFE89" s="62"/>
      <c r="VFF89" s="62"/>
      <c r="VFG89" s="62"/>
      <c r="VFH89" s="62"/>
      <c r="VFI89" s="62"/>
      <c r="VFJ89" s="62"/>
      <c r="VFK89" s="62"/>
      <c r="VFL89" s="62"/>
      <c r="VFM89" s="62"/>
      <c r="VFN89" s="62"/>
      <c r="VFO89" s="62"/>
      <c r="VFP89" s="62"/>
      <c r="VFQ89" s="62"/>
      <c r="VFR89" s="62"/>
      <c r="VFS89" s="62"/>
      <c r="VFT89" s="62"/>
      <c r="VFU89" s="62"/>
      <c r="VFV89" s="62"/>
      <c r="VFW89" s="62"/>
      <c r="VFX89" s="62"/>
      <c r="VFY89" s="62"/>
      <c r="VFZ89" s="62"/>
      <c r="VGA89" s="62"/>
      <c r="VGB89" s="62"/>
      <c r="VGC89" s="62"/>
      <c r="VGD89" s="62"/>
      <c r="VGE89" s="62"/>
      <c r="VGF89" s="62"/>
      <c r="VGG89" s="62"/>
      <c r="VGH89" s="62"/>
      <c r="VGI89" s="62"/>
      <c r="VGJ89" s="62"/>
      <c r="VGK89" s="62"/>
      <c r="VGL89" s="62"/>
      <c r="VGM89" s="62"/>
      <c r="VGN89" s="62"/>
      <c r="VGO89" s="62"/>
      <c r="VGP89" s="62"/>
      <c r="VGQ89" s="62"/>
      <c r="VGR89" s="62"/>
      <c r="VGS89" s="62"/>
      <c r="VGT89" s="62"/>
      <c r="VGU89" s="62"/>
      <c r="VGV89" s="62"/>
      <c r="VGW89" s="62"/>
      <c r="VGX89" s="62"/>
      <c r="VGY89" s="62"/>
      <c r="VGZ89" s="62"/>
      <c r="VHA89" s="62"/>
      <c r="VHB89" s="62"/>
      <c r="VHC89" s="62"/>
      <c r="VHD89" s="62"/>
      <c r="VHE89" s="62"/>
      <c r="VHF89" s="62"/>
      <c r="VHG89" s="62"/>
      <c r="VHH89" s="62"/>
      <c r="VHI89" s="62"/>
      <c r="VHJ89" s="62"/>
      <c r="VHK89" s="62"/>
      <c r="VHL89" s="62"/>
      <c r="VHM89" s="62"/>
      <c r="VHN89" s="62"/>
      <c r="VHO89" s="62"/>
      <c r="VHP89" s="62"/>
      <c r="VHQ89" s="62"/>
      <c r="VHR89" s="62"/>
      <c r="VHS89" s="62"/>
      <c r="VHT89" s="62"/>
      <c r="VHU89" s="62"/>
      <c r="VHV89" s="62"/>
      <c r="VHW89" s="62"/>
      <c r="VHX89" s="62"/>
      <c r="VHY89" s="62"/>
      <c r="VHZ89" s="62"/>
      <c r="VIA89" s="62"/>
      <c r="VIB89" s="62"/>
      <c r="VIC89" s="62"/>
      <c r="VID89" s="62"/>
      <c r="VIE89" s="62"/>
      <c r="VIF89" s="62"/>
      <c r="VIG89" s="62"/>
      <c r="VIH89" s="62"/>
      <c r="VII89" s="62"/>
      <c r="VIJ89" s="62"/>
      <c r="VIK89" s="62"/>
      <c r="VIL89" s="62"/>
      <c r="VIM89" s="62"/>
      <c r="VIN89" s="62"/>
      <c r="VIO89" s="62"/>
      <c r="VIP89" s="62"/>
      <c r="VIQ89" s="62"/>
      <c r="VIR89" s="62"/>
      <c r="VIS89" s="62"/>
      <c r="VIT89" s="62"/>
      <c r="VIU89" s="62"/>
      <c r="VIV89" s="62"/>
      <c r="VIW89" s="62"/>
      <c r="VIX89" s="62"/>
      <c r="VIY89" s="62"/>
      <c r="VIZ89" s="62"/>
      <c r="VJA89" s="62"/>
      <c r="VJB89" s="62"/>
      <c r="VJC89" s="62"/>
      <c r="VJD89" s="62"/>
      <c r="VJE89" s="62"/>
      <c r="VJF89" s="62"/>
      <c r="VJG89" s="62"/>
      <c r="VJH89" s="62"/>
      <c r="VJI89" s="62"/>
      <c r="VJJ89" s="62"/>
      <c r="VJK89" s="62"/>
      <c r="VJL89" s="62"/>
      <c r="VJM89" s="62"/>
      <c r="VJN89" s="62"/>
      <c r="VJO89" s="62"/>
      <c r="VJP89" s="62"/>
      <c r="VJQ89" s="62"/>
      <c r="VJR89" s="62"/>
      <c r="VJS89" s="62"/>
      <c r="VJT89" s="62"/>
      <c r="VJU89" s="62"/>
      <c r="VJV89" s="62"/>
      <c r="VJW89" s="62"/>
      <c r="VJX89" s="62"/>
      <c r="VJY89" s="62"/>
      <c r="VJZ89" s="62"/>
      <c r="VKA89" s="62"/>
      <c r="VKB89" s="62"/>
      <c r="VKC89" s="62"/>
      <c r="VKD89" s="62"/>
      <c r="VKE89" s="62"/>
      <c r="VKF89" s="62"/>
      <c r="VKG89" s="62"/>
      <c r="VKH89" s="62"/>
      <c r="VKI89" s="62"/>
      <c r="VKJ89" s="62"/>
      <c r="VKK89" s="62"/>
      <c r="VKL89" s="62"/>
      <c r="VKM89" s="62"/>
      <c r="VKN89" s="62"/>
      <c r="VKO89" s="62"/>
      <c r="VKP89" s="62"/>
      <c r="VKQ89" s="62"/>
      <c r="VKR89" s="62"/>
      <c r="VKS89" s="62"/>
      <c r="VKT89" s="62"/>
      <c r="VKU89" s="62"/>
      <c r="VKV89" s="62"/>
      <c r="VKW89" s="62"/>
      <c r="VKX89" s="62"/>
      <c r="VKY89" s="62"/>
      <c r="VKZ89" s="62"/>
      <c r="VLA89" s="62"/>
      <c r="VLB89" s="62"/>
      <c r="VLC89" s="62"/>
      <c r="VLD89" s="62"/>
      <c r="VLE89" s="62"/>
      <c r="VLF89" s="62"/>
      <c r="VLG89" s="62"/>
      <c r="VLH89" s="62"/>
      <c r="VLI89" s="62"/>
      <c r="VLJ89" s="62"/>
      <c r="VLK89" s="62"/>
      <c r="VLL89" s="62"/>
      <c r="VLM89" s="62"/>
      <c r="VLN89" s="62"/>
      <c r="VLO89" s="62"/>
      <c r="VLP89" s="62"/>
      <c r="VLQ89" s="62"/>
      <c r="VLR89" s="62"/>
      <c r="VLS89" s="62"/>
      <c r="VLT89" s="62"/>
      <c r="VLU89" s="62"/>
      <c r="VLV89" s="62"/>
      <c r="VLW89" s="62"/>
      <c r="VLX89" s="62"/>
      <c r="VLY89" s="62"/>
      <c r="VLZ89" s="62"/>
      <c r="VMA89" s="62"/>
      <c r="VMB89" s="62"/>
      <c r="VMC89" s="62"/>
      <c r="VMD89" s="62"/>
      <c r="VME89" s="62"/>
      <c r="VMF89" s="62"/>
      <c r="VMG89" s="62"/>
      <c r="VMH89" s="62"/>
      <c r="VMI89" s="62"/>
      <c r="VMJ89" s="62"/>
      <c r="VMK89" s="62"/>
      <c r="VML89" s="62"/>
      <c r="VMM89" s="62"/>
      <c r="VMN89" s="62"/>
      <c r="VMO89" s="62"/>
      <c r="VMP89" s="62"/>
      <c r="VMQ89" s="62"/>
      <c r="VMR89" s="62"/>
      <c r="VMS89" s="62"/>
      <c r="VMT89" s="62"/>
      <c r="VMU89" s="62"/>
      <c r="VMV89" s="62"/>
      <c r="VMW89" s="62"/>
      <c r="VMX89" s="62"/>
      <c r="VMY89" s="62"/>
      <c r="VMZ89" s="62"/>
      <c r="VNA89" s="62"/>
      <c r="VNB89" s="62"/>
      <c r="VNC89" s="62"/>
      <c r="VND89" s="62"/>
      <c r="VNE89" s="62"/>
      <c r="VNF89" s="62"/>
      <c r="VNG89" s="62"/>
      <c r="VNH89" s="62"/>
      <c r="VNI89" s="62"/>
      <c r="VNJ89" s="62"/>
      <c r="VNK89" s="62"/>
      <c r="VNL89" s="62"/>
      <c r="VNM89" s="62"/>
      <c r="VNN89" s="62"/>
      <c r="VNO89" s="62"/>
      <c r="VNP89" s="62"/>
      <c r="VNQ89" s="62"/>
      <c r="VNR89" s="62"/>
      <c r="VNS89" s="62"/>
      <c r="VNT89" s="62"/>
      <c r="VNU89" s="62"/>
      <c r="VNV89" s="62"/>
      <c r="VNW89" s="62"/>
      <c r="VNX89" s="62"/>
      <c r="VNY89" s="62"/>
      <c r="VNZ89" s="62"/>
      <c r="VOA89" s="62"/>
      <c r="VOB89" s="62"/>
      <c r="VOC89" s="62"/>
      <c r="VOD89" s="62"/>
      <c r="VOE89" s="62"/>
      <c r="VOF89" s="62"/>
      <c r="VOG89" s="62"/>
      <c r="VOH89" s="62"/>
      <c r="VOI89" s="62"/>
      <c r="VOJ89" s="62"/>
      <c r="VOK89" s="62"/>
      <c r="VOL89" s="62"/>
      <c r="VOM89" s="62"/>
      <c r="VON89" s="62"/>
      <c r="VOO89" s="62"/>
      <c r="VOP89" s="62"/>
      <c r="VOQ89" s="62"/>
      <c r="VOR89" s="62"/>
      <c r="VOS89" s="62"/>
      <c r="VOT89" s="62"/>
      <c r="VOU89" s="62"/>
      <c r="VOV89" s="62"/>
      <c r="VOW89" s="62"/>
      <c r="VOX89" s="62"/>
      <c r="VOY89" s="62"/>
      <c r="VOZ89" s="62"/>
      <c r="VPA89" s="62"/>
      <c r="VPB89" s="62"/>
      <c r="VPC89" s="62"/>
      <c r="VPD89" s="62"/>
      <c r="VPE89" s="62"/>
      <c r="VPF89" s="62"/>
      <c r="VPG89" s="62"/>
      <c r="VPH89" s="62"/>
      <c r="VPI89" s="62"/>
      <c r="VPJ89" s="62"/>
      <c r="VPK89" s="62"/>
      <c r="VPL89" s="62"/>
      <c r="VPM89" s="62"/>
      <c r="VPN89" s="62"/>
      <c r="VPO89" s="62"/>
      <c r="VPP89" s="62"/>
      <c r="VPQ89" s="62"/>
      <c r="VPR89" s="62"/>
      <c r="VPS89" s="62"/>
      <c r="VPT89" s="62"/>
      <c r="VPU89" s="62"/>
      <c r="VPV89" s="62"/>
      <c r="VPW89" s="62"/>
      <c r="VPX89" s="62"/>
      <c r="VPY89" s="62"/>
      <c r="VPZ89" s="62"/>
      <c r="VQA89" s="62"/>
      <c r="VQB89" s="62"/>
      <c r="VQC89" s="62"/>
      <c r="VQD89" s="62"/>
      <c r="VQE89" s="62"/>
      <c r="VQF89" s="62"/>
      <c r="VQG89" s="62"/>
      <c r="VQH89" s="62"/>
      <c r="VQI89" s="62"/>
      <c r="VQJ89" s="62"/>
      <c r="VQK89" s="62"/>
      <c r="VQL89" s="62"/>
      <c r="VQM89" s="62"/>
      <c r="VQN89" s="62"/>
      <c r="VQO89" s="62"/>
      <c r="VQP89" s="62"/>
      <c r="VQQ89" s="62"/>
      <c r="VQR89" s="62"/>
      <c r="VQS89" s="62"/>
      <c r="VQT89" s="62"/>
      <c r="VQU89" s="62"/>
      <c r="VQV89" s="62"/>
      <c r="VQW89" s="62"/>
      <c r="VQX89" s="62"/>
      <c r="VQY89" s="62"/>
      <c r="VQZ89" s="62"/>
      <c r="VRA89" s="62"/>
      <c r="VRB89" s="62"/>
      <c r="VRC89" s="62"/>
      <c r="VRD89" s="62"/>
      <c r="VRE89" s="62"/>
      <c r="VRF89" s="62"/>
      <c r="VRG89" s="62"/>
      <c r="VRH89" s="62"/>
      <c r="VRI89" s="62"/>
      <c r="VRJ89" s="62"/>
      <c r="VRK89" s="62"/>
      <c r="VRL89" s="62"/>
      <c r="VRM89" s="62"/>
      <c r="VRN89" s="62"/>
      <c r="VRO89" s="62"/>
      <c r="VRP89" s="62"/>
      <c r="VRQ89" s="62"/>
      <c r="VRR89" s="62"/>
      <c r="VRS89" s="62"/>
      <c r="VRT89" s="62"/>
      <c r="VRU89" s="62"/>
      <c r="VRV89" s="62"/>
      <c r="VRW89" s="62"/>
      <c r="VRX89" s="62"/>
      <c r="VRY89" s="62"/>
      <c r="VRZ89" s="62"/>
      <c r="VSA89" s="62"/>
      <c r="VSB89" s="62"/>
      <c r="VSC89" s="62"/>
      <c r="VSD89" s="62"/>
      <c r="VSE89" s="62"/>
      <c r="VSF89" s="62"/>
      <c r="VSG89" s="62"/>
      <c r="VSH89" s="62"/>
      <c r="VSI89" s="62"/>
      <c r="VSJ89" s="62"/>
      <c r="VSK89" s="62"/>
      <c r="VSL89" s="62"/>
      <c r="VSM89" s="62"/>
      <c r="VSN89" s="62"/>
      <c r="VSO89" s="62"/>
      <c r="VSP89" s="62"/>
      <c r="VSQ89" s="62"/>
      <c r="VSR89" s="62"/>
      <c r="VSS89" s="62"/>
      <c r="VST89" s="62"/>
      <c r="VSU89" s="62"/>
      <c r="VSV89" s="62"/>
      <c r="VSW89" s="62"/>
      <c r="VSX89" s="62"/>
      <c r="VSY89" s="62"/>
      <c r="VSZ89" s="62"/>
      <c r="VTA89" s="62"/>
      <c r="VTB89" s="62"/>
      <c r="VTC89" s="62"/>
      <c r="VTD89" s="62"/>
      <c r="VTE89" s="62"/>
      <c r="VTF89" s="62"/>
      <c r="VTG89" s="62"/>
      <c r="VTH89" s="62"/>
      <c r="VTI89" s="62"/>
      <c r="VTJ89" s="62"/>
      <c r="VTK89" s="62"/>
      <c r="VTL89" s="62"/>
      <c r="VTM89" s="62"/>
      <c r="VTN89" s="62"/>
      <c r="VTO89" s="62"/>
      <c r="VTP89" s="62"/>
      <c r="VTQ89" s="62"/>
      <c r="VTR89" s="62"/>
      <c r="VTS89" s="62"/>
      <c r="VTT89" s="62"/>
      <c r="VTU89" s="62"/>
      <c r="VTV89" s="62"/>
      <c r="VTW89" s="62"/>
      <c r="VTX89" s="62"/>
      <c r="VTY89" s="62"/>
      <c r="VTZ89" s="62"/>
      <c r="VUA89" s="62"/>
      <c r="VUB89" s="62"/>
      <c r="VUC89" s="62"/>
      <c r="VUD89" s="62"/>
      <c r="VUE89" s="62"/>
      <c r="VUF89" s="62"/>
      <c r="VUG89" s="62"/>
      <c r="VUH89" s="62"/>
      <c r="VUI89" s="62"/>
      <c r="VUJ89" s="62"/>
      <c r="VUK89" s="62"/>
      <c r="VUL89" s="62"/>
      <c r="VUM89" s="62"/>
      <c r="VUN89" s="62"/>
      <c r="VUO89" s="62"/>
      <c r="VUP89" s="62"/>
      <c r="VUQ89" s="62"/>
      <c r="VUR89" s="62"/>
      <c r="VUS89" s="62"/>
      <c r="VUT89" s="62"/>
      <c r="VUU89" s="62"/>
      <c r="VUV89" s="62"/>
      <c r="VUW89" s="62"/>
      <c r="VUX89" s="62"/>
      <c r="VUY89" s="62"/>
      <c r="VUZ89" s="62"/>
      <c r="VVA89" s="62"/>
      <c r="VVB89" s="62"/>
      <c r="VVC89" s="62"/>
      <c r="VVD89" s="62"/>
      <c r="VVE89" s="62"/>
      <c r="VVF89" s="62"/>
      <c r="VVG89" s="62"/>
      <c r="VVH89" s="62"/>
      <c r="VVI89" s="62"/>
      <c r="VVJ89" s="62"/>
      <c r="VVK89" s="62"/>
      <c r="VVL89" s="62"/>
      <c r="VVM89" s="62"/>
      <c r="VVN89" s="62"/>
      <c r="VVO89" s="62"/>
      <c r="VVP89" s="62"/>
      <c r="VVQ89" s="62"/>
      <c r="VVR89" s="62"/>
      <c r="VVS89" s="62"/>
      <c r="VVT89" s="62"/>
      <c r="VVU89" s="62"/>
      <c r="VVV89" s="62"/>
      <c r="VVW89" s="62"/>
      <c r="VVX89" s="62"/>
      <c r="VVY89" s="62"/>
      <c r="VVZ89" s="62"/>
      <c r="VWA89" s="62"/>
      <c r="VWB89" s="62"/>
      <c r="VWC89" s="62"/>
      <c r="VWD89" s="62"/>
      <c r="VWE89" s="62"/>
      <c r="VWF89" s="62"/>
      <c r="VWG89" s="62"/>
      <c r="VWH89" s="62"/>
      <c r="VWI89" s="62"/>
      <c r="VWJ89" s="62"/>
      <c r="VWK89" s="62"/>
      <c r="VWL89" s="62"/>
      <c r="VWM89" s="62"/>
      <c r="VWN89" s="62"/>
      <c r="VWO89" s="62"/>
      <c r="VWP89" s="62"/>
      <c r="VWQ89" s="62"/>
      <c r="VWR89" s="62"/>
      <c r="VWS89" s="62"/>
      <c r="VWT89" s="62"/>
      <c r="VWU89" s="62"/>
      <c r="VWV89" s="62"/>
      <c r="VWW89" s="62"/>
      <c r="VWX89" s="62"/>
      <c r="VWY89" s="62"/>
      <c r="VWZ89" s="62"/>
      <c r="VXA89" s="62"/>
      <c r="VXB89" s="62"/>
      <c r="VXC89" s="62"/>
      <c r="VXD89" s="62"/>
      <c r="VXE89" s="62"/>
      <c r="VXF89" s="62"/>
      <c r="VXG89" s="62"/>
      <c r="VXH89" s="62"/>
      <c r="VXI89" s="62"/>
      <c r="VXJ89" s="62"/>
      <c r="VXK89" s="62"/>
      <c r="VXL89" s="62"/>
      <c r="VXM89" s="62"/>
      <c r="VXN89" s="62"/>
      <c r="VXO89" s="62"/>
      <c r="VXP89" s="62"/>
      <c r="VXQ89" s="62"/>
      <c r="VXR89" s="62"/>
      <c r="VXS89" s="62"/>
      <c r="VXT89" s="62"/>
      <c r="VXU89" s="62"/>
      <c r="VXV89" s="62"/>
      <c r="VXW89" s="62"/>
      <c r="VXX89" s="62"/>
      <c r="VXY89" s="62"/>
      <c r="VXZ89" s="62"/>
      <c r="VYA89" s="62"/>
      <c r="VYB89" s="62"/>
      <c r="VYC89" s="62"/>
      <c r="VYD89" s="62"/>
      <c r="VYE89" s="62"/>
      <c r="VYF89" s="62"/>
      <c r="VYG89" s="62"/>
      <c r="VYH89" s="62"/>
      <c r="VYI89" s="62"/>
      <c r="VYJ89" s="62"/>
      <c r="VYK89" s="62"/>
      <c r="VYL89" s="62"/>
      <c r="VYM89" s="62"/>
      <c r="VYN89" s="62"/>
      <c r="VYO89" s="62"/>
      <c r="VYP89" s="62"/>
      <c r="VYQ89" s="62"/>
      <c r="VYR89" s="62"/>
      <c r="VYS89" s="62"/>
      <c r="VYT89" s="62"/>
      <c r="VYU89" s="62"/>
      <c r="VYV89" s="62"/>
      <c r="VYW89" s="62"/>
      <c r="VYX89" s="62"/>
      <c r="VYY89" s="62"/>
      <c r="VYZ89" s="62"/>
      <c r="VZA89" s="62"/>
      <c r="VZB89" s="62"/>
      <c r="VZC89" s="62"/>
      <c r="VZD89" s="62"/>
      <c r="VZE89" s="62"/>
      <c r="VZF89" s="62"/>
      <c r="VZG89" s="62"/>
      <c r="VZH89" s="62"/>
      <c r="VZI89" s="62"/>
      <c r="VZJ89" s="62"/>
      <c r="VZK89" s="62"/>
      <c r="VZL89" s="62"/>
      <c r="VZM89" s="62"/>
      <c r="VZN89" s="62"/>
      <c r="VZO89" s="62"/>
      <c r="VZP89" s="62"/>
      <c r="VZQ89" s="62"/>
      <c r="VZR89" s="62"/>
      <c r="VZS89" s="62"/>
      <c r="VZT89" s="62"/>
      <c r="VZU89" s="62"/>
      <c r="VZV89" s="62"/>
      <c r="VZW89" s="62"/>
      <c r="VZX89" s="62"/>
      <c r="VZY89" s="62"/>
      <c r="VZZ89" s="62"/>
      <c r="WAA89" s="62"/>
      <c r="WAB89" s="62"/>
      <c r="WAC89" s="62"/>
      <c r="WAD89" s="62"/>
      <c r="WAE89" s="62"/>
      <c r="WAF89" s="62"/>
      <c r="WAG89" s="62"/>
      <c r="WAH89" s="62"/>
      <c r="WAI89" s="62"/>
      <c r="WAJ89" s="62"/>
      <c r="WAK89" s="62"/>
      <c r="WAL89" s="62"/>
      <c r="WAM89" s="62"/>
      <c r="WAN89" s="62"/>
      <c r="WAO89" s="62"/>
      <c r="WAP89" s="62"/>
      <c r="WAQ89" s="62"/>
      <c r="WAR89" s="62"/>
      <c r="WAS89" s="62"/>
      <c r="WAT89" s="62"/>
      <c r="WAU89" s="62"/>
      <c r="WAV89" s="62"/>
      <c r="WAW89" s="62"/>
      <c r="WAX89" s="62"/>
      <c r="WAY89" s="62"/>
      <c r="WAZ89" s="62"/>
      <c r="WBA89" s="62"/>
      <c r="WBB89" s="62"/>
      <c r="WBC89" s="62"/>
      <c r="WBD89" s="62"/>
      <c r="WBE89" s="62"/>
      <c r="WBF89" s="62"/>
      <c r="WBG89" s="62"/>
      <c r="WBH89" s="62"/>
      <c r="WBI89" s="62"/>
      <c r="WBJ89" s="62"/>
      <c r="WBK89" s="62"/>
      <c r="WBL89" s="62"/>
      <c r="WBM89" s="62"/>
      <c r="WBN89" s="62"/>
      <c r="WBO89" s="62"/>
      <c r="WBP89" s="62"/>
      <c r="WBQ89" s="62"/>
      <c r="WBR89" s="62"/>
      <c r="WBS89" s="62"/>
      <c r="WBT89" s="62"/>
      <c r="WBU89" s="62"/>
      <c r="WBV89" s="62"/>
      <c r="WBW89" s="62"/>
      <c r="WBX89" s="62"/>
      <c r="WBY89" s="62"/>
      <c r="WBZ89" s="62"/>
      <c r="WCA89" s="62"/>
      <c r="WCB89" s="62"/>
      <c r="WCC89" s="62"/>
      <c r="WCD89" s="62"/>
      <c r="WCE89" s="62"/>
      <c r="WCF89" s="62"/>
      <c r="WCG89" s="62"/>
      <c r="WCH89" s="62"/>
      <c r="WCI89" s="62"/>
      <c r="WCJ89" s="62"/>
      <c r="WCK89" s="62"/>
      <c r="WCL89" s="62"/>
      <c r="WCM89" s="62"/>
      <c r="WCN89" s="62"/>
      <c r="WCO89" s="62"/>
      <c r="WCP89" s="62"/>
      <c r="WCQ89" s="62"/>
      <c r="WCR89" s="62"/>
      <c r="WCS89" s="62"/>
      <c r="WCT89" s="62"/>
      <c r="WCU89" s="62"/>
      <c r="WCV89" s="62"/>
      <c r="WCW89" s="62"/>
      <c r="WCX89" s="62"/>
      <c r="WCY89" s="62"/>
      <c r="WCZ89" s="62"/>
      <c r="WDA89" s="62"/>
      <c r="WDB89" s="62"/>
      <c r="WDC89" s="62"/>
      <c r="WDD89" s="62"/>
      <c r="WDE89" s="62"/>
      <c r="WDF89" s="62"/>
      <c r="WDG89" s="62"/>
      <c r="WDH89" s="62"/>
      <c r="WDI89" s="62"/>
      <c r="WDJ89" s="62"/>
      <c r="WDK89" s="62"/>
      <c r="WDL89" s="62"/>
      <c r="WDM89" s="62"/>
      <c r="WDN89" s="62"/>
      <c r="WDO89" s="62"/>
      <c r="WDP89" s="62"/>
      <c r="WDQ89" s="62"/>
      <c r="WDR89" s="62"/>
      <c r="WDS89" s="62"/>
      <c r="WDT89" s="62"/>
      <c r="WDU89" s="62"/>
      <c r="WDV89" s="62"/>
      <c r="WDW89" s="62"/>
      <c r="WDX89" s="62"/>
      <c r="WDY89" s="62"/>
      <c r="WDZ89" s="62"/>
      <c r="WEA89" s="62"/>
      <c r="WEB89" s="62"/>
      <c r="WEC89" s="62"/>
      <c r="WED89" s="62"/>
      <c r="WEE89" s="62"/>
      <c r="WEF89" s="62"/>
      <c r="WEG89" s="62"/>
      <c r="WEH89" s="62"/>
      <c r="WEI89" s="62"/>
      <c r="WEJ89" s="62"/>
      <c r="WEK89" s="62"/>
      <c r="WEL89" s="62"/>
      <c r="WEM89" s="62"/>
      <c r="WEN89" s="62"/>
      <c r="WEO89" s="62"/>
      <c r="WEP89" s="62"/>
      <c r="WEQ89" s="62"/>
      <c r="WER89" s="62"/>
      <c r="WES89" s="62"/>
      <c r="WET89" s="62"/>
      <c r="WEU89" s="62"/>
      <c r="WEV89" s="62"/>
      <c r="WEW89" s="62"/>
      <c r="WEX89" s="62"/>
      <c r="WEY89" s="62"/>
      <c r="WEZ89" s="62"/>
      <c r="WFA89" s="62"/>
      <c r="WFB89" s="62"/>
      <c r="WFC89" s="62"/>
      <c r="WFD89" s="62"/>
      <c r="WFE89" s="62"/>
      <c r="WFF89" s="62"/>
      <c r="WFG89" s="62"/>
      <c r="WFH89" s="62"/>
      <c r="WFI89" s="62"/>
      <c r="WFJ89" s="62"/>
      <c r="WFK89" s="62"/>
      <c r="WFL89" s="62"/>
      <c r="WFM89" s="62"/>
      <c r="WFN89" s="62"/>
      <c r="WFO89" s="62"/>
      <c r="WFP89" s="62"/>
      <c r="WFQ89" s="62"/>
      <c r="WFR89" s="62"/>
      <c r="WFS89" s="62"/>
      <c r="WFT89" s="62"/>
      <c r="WFU89" s="62"/>
      <c r="WFV89" s="62"/>
      <c r="WFW89" s="62"/>
      <c r="WFX89" s="62"/>
      <c r="WFY89" s="62"/>
      <c r="WFZ89" s="62"/>
      <c r="WGA89" s="62"/>
      <c r="WGB89" s="62"/>
      <c r="WGC89" s="62"/>
      <c r="WGD89" s="62"/>
      <c r="WGE89" s="62"/>
      <c r="WGF89" s="62"/>
      <c r="WGG89" s="62"/>
      <c r="WGH89" s="62"/>
      <c r="WGI89" s="62"/>
      <c r="WGJ89" s="62"/>
      <c r="WGK89" s="62"/>
      <c r="WGL89" s="62"/>
      <c r="WGM89" s="62"/>
      <c r="WGN89" s="62"/>
      <c r="WGO89" s="62"/>
      <c r="WGP89" s="62"/>
      <c r="WGQ89" s="62"/>
      <c r="WGR89" s="62"/>
      <c r="WGS89" s="62"/>
      <c r="WGT89" s="62"/>
      <c r="WGU89" s="62"/>
      <c r="WGV89" s="62"/>
      <c r="WGW89" s="62"/>
      <c r="WGX89" s="62"/>
      <c r="WGY89" s="62"/>
      <c r="WGZ89" s="62"/>
      <c r="WHA89" s="62"/>
      <c r="WHB89" s="62"/>
      <c r="WHC89" s="62"/>
      <c r="WHD89" s="62"/>
      <c r="WHE89" s="62"/>
      <c r="WHF89" s="62"/>
      <c r="WHG89" s="62"/>
      <c r="WHH89" s="62"/>
      <c r="WHI89" s="62"/>
      <c r="WHJ89" s="62"/>
      <c r="WHK89" s="62"/>
      <c r="WHL89" s="62"/>
      <c r="WHM89" s="62"/>
      <c r="WHN89" s="62"/>
      <c r="WHO89" s="62"/>
      <c r="WHP89" s="62"/>
      <c r="WHQ89" s="62"/>
      <c r="WHR89" s="62"/>
      <c r="WHS89" s="62"/>
      <c r="WHT89" s="62"/>
      <c r="WHU89" s="62"/>
      <c r="WHV89" s="62"/>
      <c r="WHW89" s="62"/>
      <c r="WHX89" s="62"/>
      <c r="WHY89" s="62"/>
      <c r="WHZ89" s="62"/>
      <c r="WIA89" s="62"/>
      <c r="WIB89" s="62"/>
      <c r="WIC89" s="62"/>
      <c r="WID89" s="62"/>
      <c r="WIE89" s="62"/>
      <c r="WIF89" s="62"/>
      <c r="WIG89" s="62"/>
      <c r="WIH89" s="62"/>
      <c r="WII89" s="62"/>
      <c r="WIJ89" s="62"/>
      <c r="WIK89" s="62"/>
      <c r="WIL89" s="62"/>
      <c r="WIM89" s="62"/>
      <c r="WIN89" s="62"/>
      <c r="WIO89" s="62"/>
      <c r="WIP89" s="62"/>
      <c r="WIQ89" s="62"/>
      <c r="WIR89" s="62"/>
      <c r="WIS89" s="62"/>
      <c r="WIT89" s="62"/>
      <c r="WIU89" s="62"/>
      <c r="WIV89" s="62"/>
      <c r="WIW89" s="62"/>
      <c r="WIX89" s="62"/>
      <c r="WIY89" s="62"/>
      <c r="WIZ89" s="62"/>
      <c r="WJA89" s="62"/>
      <c r="WJB89" s="62"/>
      <c r="WJC89" s="62"/>
      <c r="WJD89" s="62"/>
      <c r="WJE89" s="62"/>
      <c r="WJF89" s="62"/>
      <c r="WJG89" s="62"/>
      <c r="WJH89" s="62"/>
      <c r="WJI89" s="62"/>
      <c r="WJJ89" s="62"/>
      <c r="WJK89" s="62"/>
      <c r="WJL89" s="62"/>
      <c r="WJM89" s="62"/>
      <c r="WJN89" s="62"/>
      <c r="WJO89" s="62"/>
      <c r="WJP89" s="62"/>
      <c r="WJQ89" s="62"/>
      <c r="WJR89" s="62"/>
      <c r="WJS89" s="62"/>
      <c r="WJT89" s="62"/>
      <c r="WJU89" s="62"/>
      <c r="WJV89" s="62"/>
      <c r="WJW89" s="62"/>
      <c r="WJX89" s="62"/>
      <c r="WJY89" s="62"/>
      <c r="WJZ89" s="62"/>
      <c r="WKA89" s="62"/>
      <c r="WKB89" s="62"/>
      <c r="WKC89" s="62"/>
      <c r="WKD89" s="62"/>
      <c r="WKE89" s="62"/>
      <c r="WKF89" s="62"/>
      <c r="WKG89" s="62"/>
      <c r="WKH89" s="62"/>
      <c r="WKI89" s="62"/>
      <c r="WKJ89" s="62"/>
      <c r="WKK89" s="62"/>
      <c r="WKL89" s="62"/>
      <c r="WKM89" s="62"/>
      <c r="WKN89" s="62"/>
      <c r="WKO89" s="62"/>
      <c r="WKP89" s="62"/>
      <c r="WKQ89" s="62"/>
      <c r="WKR89" s="62"/>
      <c r="WKS89" s="62"/>
      <c r="WKT89" s="62"/>
      <c r="WKU89" s="62"/>
      <c r="WKV89" s="62"/>
      <c r="WKW89" s="62"/>
      <c r="WKX89" s="62"/>
      <c r="WKY89" s="62"/>
      <c r="WKZ89" s="62"/>
      <c r="WLA89" s="62"/>
      <c r="WLB89" s="62"/>
      <c r="WLC89" s="62"/>
      <c r="WLD89" s="62"/>
      <c r="WLE89" s="62"/>
      <c r="WLF89" s="62"/>
      <c r="WLG89" s="62"/>
      <c r="WLH89" s="62"/>
      <c r="WLI89" s="62"/>
      <c r="WLJ89" s="62"/>
      <c r="WLK89" s="62"/>
      <c r="WLL89" s="62"/>
      <c r="WLM89" s="62"/>
      <c r="WLN89" s="62"/>
      <c r="WLO89" s="62"/>
      <c r="WLP89" s="62"/>
      <c r="WLQ89" s="62"/>
      <c r="WLR89" s="62"/>
      <c r="WLS89" s="62"/>
      <c r="WLT89" s="62"/>
      <c r="WLU89" s="62"/>
      <c r="WLV89" s="62"/>
      <c r="WLW89" s="62"/>
      <c r="WLX89" s="62"/>
      <c r="WLY89" s="62"/>
      <c r="WLZ89" s="62"/>
      <c r="WMA89" s="62"/>
      <c r="WMB89" s="62"/>
      <c r="WMC89" s="62"/>
      <c r="WMD89" s="62"/>
      <c r="WME89" s="62"/>
      <c r="WMF89" s="62"/>
      <c r="WMG89" s="62"/>
      <c r="WMH89" s="62"/>
      <c r="WMI89" s="62"/>
      <c r="WMJ89" s="62"/>
      <c r="WMK89" s="62"/>
      <c r="WML89" s="62"/>
      <c r="WMM89" s="62"/>
      <c r="WMN89" s="62"/>
      <c r="WMO89" s="62"/>
      <c r="WMP89" s="62"/>
      <c r="WMQ89" s="62"/>
      <c r="WMR89" s="62"/>
      <c r="WMS89" s="62"/>
      <c r="WMT89" s="62"/>
      <c r="WMU89" s="62"/>
      <c r="WMV89" s="62"/>
      <c r="WMW89" s="62"/>
      <c r="WMX89" s="62"/>
      <c r="WMY89" s="62"/>
      <c r="WMZ89" s="62"/>
      <c r="WNA89" s="62"/>
      <c r="WNB89" s="62"/>
      <c r="WNC89" s="62"/>
      <c r="WND89" s="62"/>
      <c r="WNE89" s="62"/>
      <c r="WNF89" s="62"/>
      <c r="WNG89" s="62"/>
      <c r="WNH89" s="62"/>
      <c r="WNI89" s="62"/>
      <c r="WNJ89" s="62"/>
      <c r="WNK89" s="62"/>
      <c r="WNL89" s="62"/>
      <c r="WNM89" s="62"/>
      <c r="WNN89" s="62"/>
      <c r="WNO89" s="62"/>
      <c r="WNP89" s="62"/>
      <c r="WNQ89" s="62"/>
      <c r="WNR89" s="62"/>
      <c r="WNS89" s="62"/>
      <c r="WNT89" s="62"/>
      <c r="WNU89" s="62"/>
      <c r="WNV89" s="62"/>
      <c r="WNW89" s="62"/>
      <c r="WNX89" s="62"/>
      <c r="WNY89" s="62"/>
      <c r="WNZ89" s="62"/>
      <c r="WOA89" s="62"/>
      <c r="WOB89" s="62"/>
      <c r="WOC89" s="62"/>
      <c r="WOD89" s="62"/>
      <c r="WOE89" s="62"/>
      <c r="WOF89" s="62"/>
      <c r="WOG89" s="62"/>
      <c r="WOH89" s="62"/>
      <c r="WOI89" s="62"/>
      <c r="WOJ89" s="62"/>
      <c r="WOK89" s="62"/>
      <c r="WOL89" s="62"/>
      <c r="WOM89" s="62"/>
      <c r="WON89" s="62"/>
      <c r="WOO89" s="62"/>
      <c r="WOP89" s="62"/>
      <c r="WOQ89" s="62"/>
      <c r="WOR89" s="62"/>
      <c r="WOS89" s="62"/>
      <c r="WOT89" s="62"/>
      <c r="WOU89" s="62"/>
      <c r="WOV89" s="62"/>
      <c r="WOW89" s="62"/>
      <c r="WOX89" s="62"/>
      <c r="WOY89" s="62"/>
      <c r="WOZ89" s="62"/>
      <c r="WPA89" s="62"/>
      <c r="WPB89" s="62"/>
      <c r="WPC89" s="62"/>
      <c r="WPD89" s="62"/>
      <c r="WPE89" s="62"/>
      <c r="WPF89" s="62"/>
      <c r="WPG89" s="62"/>
      <c r="WPH89" s="62"/>
      <c r="WPI89" s="62"/>
      <c r="WPJ89" s="62"/>
      <c r="WPK89" s="62"/>
      <c r="WPL89" s="62"/>
      <c r="WPM89" s="62"/>
      <c r="WPN89" s="62"/>
      <c r="WPO89" s="62"/>
      <c r="WPP89" s="62"/>
      <c r="WPQ89" s="62"/>
      <c r="WPR89" s="62"/>
      <c r="WPS89" s="62"/>
      <c r="WPT89" s="62"/>
      <c r="WPU89" s="62"/>
      <c r="WPV89" s="62"/>
      <c r="WPW89" s="62"/>
      <c r="WPX89" s="62"/>
      <c r="WPY89" s="62"/>
      <c r="WPZ89" s="62"/>
      <c r="WQA89" s="62"/>
      <c r="WQB89" s="62"/>
      <c r="WQC89" s="62"/>
      <c r="WQD89" s="62"/>
      <c r="WQE89" s="62"/>
      <c r="WQF89" s="62"/>
      <c r="WQG89" s="62"/>
      <c r="WQH89" s="62"/>
      <c r="WQI89" s="62"/>
      <c r="WQJ89" s="62"/>
      <c r="WQK89" s="62"/>
      <c r="WQL89" s="62"/>
      <c r="WQM89" s="62"/>
      <c r="WQN89" s="62"/>
      <c r="WQO89" s="62"/>
      <c r="WQP89" s="62"/>
      <c r="WQQ89" s="62"/>
      <c r="WQR89" s="62"/>
      <c r="WQS89" s="62"/>
      <c r="WQT89" s="62"/>
      <c r="WQU89" s="62"/>
      <c r="WQV89" s="62"/>
      <c r="WQW89" s="62"/>
      <c r="WQX89" s="62"/>
      <c r="WQY89" s="62"/>
      <c r="WQZ89" s="62"/>
      <c r="WRA89" s="62"/>
      <c r="WRB89" s="62"/>
      <c r="WRC89" s="62"/>
      <c r="WRD89" s="62"/>
      <c r="WRE89" s="62"/>
      <c r="WRF89" s="62"/>
      <c r="WRG89" s="62"/>
      <c r="WRH89" s="62"/>
      <c r="WRI89" s="62"/>
      <c r="WRJ89" s="62"/>
      <c r="WRK89" s="62"/>
      <c r="WRL89" s="62"/>
      <c r="WRM89" s="62"/>
      <c r="WRN89" s="62"/>
      <c r="WRO89" s="62"/>
      <c r="WRP89" s="62"/>
      <c r="WRQ89" s="62"/>
      <c r="WRR89" s="62"/>
      <c r="WRS89" s="62"/>
      <c r="WRT89" s="62"/>
      <c r="WRU89" s="62"/>
      <c r="WRV89" s="62"/>
      <c r="WRW89" s="62"/>
      <c r="WRX89" s="62"/>
      <c r="WRY89" s="62"/>
      <c r="WRZ89" s="62"/>
      <c r="WSA89" s="62"/>
      <c r="WSB89" s="62"/>
      <c r="WSC89" s="62"/>
      <c r="WSD89" s="62"/>
      <c r="WSE89" s="62"/>
      <c r="WSF89" s="62"/>
      <c r="WSG89" s="62"/>
      <c r="WSH89" s="62"/>
      <c r="WSI89" s="62"/>
      <c r="WSJ89" s="62"/>
      <c r="WSK89" s="62"/>
      <c r="WSL89" s="62"/>
      <c r="WSM89" s="62"/>
      <c r="WSN89" s="62"/>
      <c r="WSO89" s="62"/>
      <c r="WSP89" s="62"/>
      <c r="WSQ89" s="62"/>
      <c r="WSR89" s="62"/>
      <c r="WSS89" s="62"/>
      <c r="WST89" s="62"/>
      <c r="WSU89" s="62"/>
      <c r="WSV89" s="62"/>
      <c r="WSW89" s="62"/>
      <c r="WSX89" s="62"/>
      <c r="WSY89" s="62"/>
      <c r="WSZ89" s="62"/>
      <c r="WTA89" s="62"/>
      <c r="WTB89" s="62"/>
      <c r="WTC89" s="62"/>
      <c r="WTD89" s="62"/>
      <c r="WTE89" s="62"/>
      <c r="WTF89" s="62"/>
      <c r="WTG89" s="62"/>
      <c r="WTH89" s="62"/>
      <c r="WTI89" s="62"/>
      <c r="WTJ89" s="62"/>
      <c r="WTK89" s="62"/>
      <c r="WTL89" s="62"/>
      <c r="WTM89" s="62"/>
      <c r="WTN89" s="62"/>
      <c r="WTO89" s="62"/>
      <c r="WTP89" s="62"/>
      <c r="WTQ89" s="62"/>
      <c r="WTR89" s="62"/>
      <c r="WTS89" s="62"/>
      <c r="WTT89" s="62"/>
      <c r="WTU89" s="62"/>
      <c r="WTV89" s="62"/>
      <c r="WTW89" s="62"/>
      <c r="WTX89" s="62"/>
      <c r="WTY89" s="62"/>
      <c r="WTZ89" s="62"/>
      <c r="WUA89" s="62"/>
      <c r="WUB89" s="62"/>
      <c r="WUC89" s="62"/>
      <c r="WUD89" s="62"/>
      <c r="WUE89" s="62"/>
      <c r="WUF89" s="62"/>
      <c r="WUG89" s="62"/>
      <c r="WUH89" s="62"/>
      <c r="WUI89" s="62"/>
      <c r="WUJ89" s="62"/>
      <c r="WUK89" s="62"/>
      <c r="WUL89" s="62"/>
      <c r="WUM89" s="62"/>
      <c r="WUN89" s="62"/>
      <c r="WUO89" s="62"/>
      <c r="WUP89" s="62"/>
      <c r="WUQ89" s="62"/>
      <c r="WUR89" s="62"/>
      <c r="WUS89" s="62"/>
      <c r="WUT89" s="62"/>
      <c r="WUU89" s="62"/>
      <c r="WUV89" s="62"/>
      <c r="WUW89" s="62"/>
      <c r="WUX89" s="62"/>
      <c r="WUY89" s="62"/>
      <c r="WUZ89" s="62"/>
      <c r="WVA89" s="62"/>
      <c r="WVB89" s="62"/>
      <c r="WVC89" s="62"/>
      <c r="WVD89" s="62"/>
      <c r="WVE89" s="62"/>
      <c r="WVF89" s="62"/>
      <c r="WVG89" s="62"/>
      <c r="WVH89" s="62"/>
      <c r="WVI89" s="62"/>
      <c r="WVJ89" s="62"/>
      <c r="WVK89" s="62"/>
      <c r="WVL89" s="62"/>
      <c r="WVM89" s="62"/>
      <c r="WVN89" s="62"/>
      <c r="WVO89" s="62"/>
      <c r="WVP89" s="62"/>
      <c r="WVQ89" s="62"/>
      <c r="WVR89" s="62"/>
      <c r="WVS89" s="62"/>
      <c r="WVT89" s="62"/>
      <c r="WVU89" s="62"/>
      <c r="WVV89" s="62"/>
      <c r="WVW89" s="62"/>
      <c r="WVX89" s="62"/>
      <c r="WVY89" s="62"/>
      <c r="WVZ89" s="62"/>
      <c r="WWA89" s="62"/>
      <c r="WWB89" s="62"/>
      <c r="WWC89" s="62"/>
      <c r="WWD89" s="62"/>
      <c r="WWE89" s="62"/>
      <c r="WWF89" s="62"/>
      <c r="WWG89" s="62"/>
      <c r="WWH89" s="62"/>
      <c r="WWI89" s="62"/>
      <c r="WWJ89" s="62"/>
      <c r="WWK89" s="62"/>
      <c r="WWL89" s="62"/>
      <c r="WWM89" s="62"/>
      <c r="WWN89" s="62"/>
      <c r="WWO89" s="62"/>
      <c r="WWP89" s="62"/>
      <c r="WWQ89" s="62"/>
      <c r="WWR89" s="62"/>
      <c r="WWS89" s="62"/>
      <c r="WWT89" s="62"/>
      <c r="WWU89" s="62"/>
      <c r="WWV89" s="62"/>
      <c r="WWW89" s="62"/>
      <c r="WWX89" s="62"/>
      <c r="WWY89" s="62"/>
      <c r="WWZ89" s="62"/>
      <c r="WXA89" s="62"/>
      <c r="WXB89" s="62"/>
      <c r="WXC89" s="62"/>
      <c r="WXD89" s="62"/>
      <c r="WXE89" s="62"/>
      <c r="WXF89" s="62"/>
      <c r="WXG89" s="62"/>
      <c r="WXH89" s="62"/>
      <c r="WXI89" s="62"/>
      <c r="WXJ89" s="62"/>
      <c r="WXK89" s="62"/>
      <c r="WXL89" s="62"/>
      <c r="WXM89" s="62"/>
      <c r="WXN89" s="62"/>
      <c r="WXO89" s="62"/>
      <c r="WXP89" s="62"/>
      <c r="WXQ89" s="62"/>
      <c r="WXR89" s="62"/>
      <c r="WXS89" s="62"/>
      <c r="WXT89" s="62"/>
      <c r="WXU89" s="62"/>
      <c r="WXV89" s="62"/>
      <c r="WXW89" s="62"/>
      <c r="WXX89" s="62"/>
      <c r="WXY89" s="62"/>
      <c r="WXZ89" s="62"/>
      <c r="WYA89" s="62"/>
      <c r="WYB89" s="62"/>
      <c r="WYC89" s="62"/>
      <c r="WYD89" s="62"/>
      <c r="WYE89" s="62"/>
      <c r="WYF89" s="62"/>
      <c r="WYG89" s="62"/>
      <c r="WYH89" s="62"/>
      <c r="WYI89" s="62"/>
      <c r="WYJ89" s="62"/>
      <c r="WYK89" s="62"/>
      <c r="WYL89" s="62"/>
      <c r="WYM89" s="62"/>
      <c r="WYN89" s="62"/>
      <c r="WYO89" s="62"/>
      <c r="WYP89" s="62"/>
      <c r="WYQ89" s="62"/>
      <c r="WYR89" s="62"/>
      <c r="WYS89" s="62"/>
      <c r="WYT89" s="62"/>
      <c r="WYU89" s="62"/>
      <c r="WYV89" s="62"/>
      <c r="WYW89" s="62"/>
      <c r="WYX89" s="62"/>
      <c r="WYY89" s="62"/>
      <c r="WYZ89" s="62"/>
      <c r="WZA89" s="62"/>
      <c r="WZB89" s="62"/>
      <c r="WZC89" s="62"/>
      <c r="WZD89" s="62"/>
      <c r="WZE89" s="62"/>
      <c r="WZF89" s="62"/>
      <c r="WZG89" s="62"/>
      <c r="WZH89" s="62"/>
      <c r="WZI89" s="62"/>
      <c r="WZJ89" s="62"/>
      <c r="WZK89" s="62"/>
      <c r="WZL89" s="62"/>
      <c r="WZM89" s="62"/>
      <c r="WZN89" s="62"/>
      <c r="WZO89" s="62"/>
      <c r="WZP89" s="62"/>
      <c r="WZQ89" s="62"/>
      <c r="WZR89" s="62"/>
      <c r="WZS89" s="62"/>
      <c r="WZT89" s="62"/>
      <c r="WZU89" s="62"/>
      <c r="WZV89" s="62"/>
      <c r="WZW89" s="62"/>
      <c r="WZX89" s="62"/>
      <c r="WZY89" s="62"/>
      <c r="WZZ89" s="62"/>
      <c r="XAA89" s="62"/>
      <c r="XAB89" s="62"/>
      <c r="XAC89" s="62"/>
      <c r="XAD89" s="62"/>
      <c r="XAE89" s="62"/>
      <c r="XAF89" s="62"/>
      <c r="XAG89" s="62"/>
      <c r="XAH89" s="62"/>
      <c r="XAI89" s="62"/>
      <c r="XAJ89" s="62"/>
      <c r="XAK89" s="62"/>
      <c r="XAL89" s="62"/>
      <c r="XAM89" s="62"/>
      <c r="XAN89" s="62"/>
      <c r="XAO89" s="62"/>
      <c r="XAP89" s="62"/>
      <c r="XAQ89" s="62"/>
      <c r="XAR89" s="62"/>
      <c r="XAS89" s="62"/>
      <c r="XAT89" s="62"/>
      <c r="XAU89" s="62"/>
      <c r="XAV89" s="62"/>
      <c r="XAW89" s="62"/>
      <c r="XAX89" s="62"/>
      <c r="XAY89" s="62"/>
      <c r="XAZ89" s="62"/>
      <c r="XBA89" s="62"/>
      <c r="XBB89" s="62"/>
      <c r="XBC89" s="62"/>
      <c r="XBD89" s="62"/>
      <c r="XBE89" s="62"/>
      <c r="XBF89" s="62"/>
      <c r="XBG89" s="62"/>
      <c r="XBH89" s="62"/>
      <c r="XBI89" s="62"/>
      <c r="XBJ89" s="62"/>
      <c r="XBK89" s="62"/>
      <c r="XBL89" s="62"/>
      <c r="XBM89" s="62"/>
      <c r="XBN89" s="62"/>
      <c r="XBO89" s="62"/>
      <c r="XBP89" s="62"/>
      <c r="XBQ89" s="62"/>
      <c r="XBR89" s="62"/>
      <c r="XBS89" s="62"/>
      <c r="XBT89" s="62"/>
      <c r="XBU89" s="62"/>
      <c r="XBV89" s="62"/>
      <c r="XBW89" s="62"/>
      <c r="XBX89" s="62"/>
      <c r="XBY89" s="62"/>
      <c r="XBZ89" s="62"/>
      <c r="XCA89" s="62"/>
      <c r="XCB89" s="62"/>
      <c r="XCC89" s="62"/>
      <c r="XCD89" s="62"/>
      <c r="XCE89" s="62"/>
      <c r="XCF89" s="62"/>
      <c r="XCG89" s="62"/>
      <c r="XCH89" s="62"/>
      <c r="XCI89" s="62"/>
      <c r="XCJ89" s="62"/>
      <c r="XCK89" s="62"/>
      <c r="XCL89" s="62"/>
      <c r="XCM89" s="62"/>
      <c r="XCN89" s="62"/>
      <c r="XCO89" s="62"/>
      <c r="XCP89" s="62"/>
      <c r="XCQ89" s="62"/>
      <c r="XCR89" s="62"/>
      <c r="XCS89" s="62"/>
      <c r="XCT89" s="62"/>
      <c r="XCU89" s="62"/>
      <c r="XCV89" s="62"/>
      <c r="XCW89" s="62"/>
      <c r="XCX89" s="62"/>
      <c r="XCY89" s="62"/>
      <c r="XCZ89" s="62"/>
      <c r="XDA89" s="62"/>
      <c r="XDB89" s="62"/>
      <c r="XDC89" s="62"/>
      <c r="XDD89" s="62"/>
      <c r="XDE89" s="62"/>
      <c r="XDF89" s="62"/>
      <c r="XDG89" s="62"/>
      <c r="XDH89" s="62"/>
      <c r="XDI89" s="62"/>
      <c r="XDJ89" s="62"/>
      <c r="XDK89" s="62"/>
      <c r="XDL89" s="62"/>
      <c r="XDM89" s="62"/>
      <c r="XDN89" s="62"/>
      <c r="XDO89" s="62"/>
      <c r="XDP89" s="62"/>
      <c r="XDQ89" s="62"/>
      <c r="XDR89" s="62"/>
      <c r="XDS89" s="62"/>
      <c r="XDT89" s="62"/>
      <c r="XDU89" s="62"/>
      <c r="XDV89" s="62"/>
      <c r="XDW89" s="62"/>
      <c r="XDX89" s="62"/>
      <c r="XDY89" s="62"/>
      <c r="XDZ89" s="62"/>
      <c r="XEA89" s="62"/>
      <c r="XEB89" s="62"/>
      <c r="XEC89" s="62"/>
      <c r="XED89" s="62"/>
      <c r="XEE89" s="62"/>
      <c r="XEF89" s="62"/>
      <c r="XEG89" s="62"/>
      <c r="XEH89" s="62"/>
      <c r="XEI89" s="62"/>
      <c r="XEJ89" s="62"/>
      <c r="XEK89" s="62"/>
      <c r="XEL89" s="62"/>
      <c r="XEM89" s="62"/>
      <c r="XEN89" s="62"/>
      <c r="XEO89" s="62"/>
      <c r="XEP89" s="62"/>
      <c r="XEQ89" s="62"/>
      <c r="XER89" s="62"/>
      <c r="XES89" s="62"/>
      <c r="XET89" s="62"/>
      <c r="XEU89" s="62"/>
      <c r="XEV89" s="62"/>
      <c r="XEW89" s="62"/>
      <c r="XEX89" s="62"/>
      <c r="XEY89" s="62"/>
      <c r="XEZ89" s="62"/>
      <c r="XFA89" s="62"/>
      <c r="XFB89" s="62"/>
      <c r="XFC89" s="62"/>
      <c r="XFD89" s="62"/>
    </row>
    <row r="90" spans="1:16384" x14ac:dyDescent="0.25">
      <c r="A90" s="49">
        <f t="shared" si="2"/>
        <v>30</v>
      </c>
      <c r="B90" s="62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2"/>
    </row>
    <row r="91" spans="1:16384" x14ac:dyDescent="0.25">
      <c r="A91" s="63"/>
      <c r="B91" s="64" t="s">
        <v>61</v>
      </c>
      <c r="C91" s="61">
        <f t="shared" ref="C91:AG91" si="3">COUNTA(C61:C90)</f>
        <v>0</v>
      </c>
      <c r="D91" s="61">
        <f t="shared" si="3"/>
        <v>0</v>
      </c>
      <c r="E91" s="61">
        <f t="shared" si="3"/>
        <v>1</v>
      </c>
      <c r="F91" s="61">
        <f t="shared" si="3"/>
        <v>5</v>
      </c>
      <c r="G91" s="61">
        <f t="shared" si="3"/>
        <v>5</v>
      </c>
      <c r="H91" s="61">
        <f t="shared" si="3"/>
        <v>0</v>
      </c>
      <c r="I91" s="61">
        <f t="shared" si="3"/>
        <v>0</v>
      </c>
      <c r="J91" s="61">
        <f t="shared" si="3"/>
        <v>0</v>
      </c>
      <c r="K91" s="61">
        <f t="shared" si="3"/>
        <v>1</v>
      </c>
      <c r="L91" s="61">
        <f t="shared" si="3"/>
        <v>3</v>
      </c>
      <c r="M91" s="61">
        <f t="shared" si="3"/>
        <v>4</v>
      </c>
      <c r="N91" s="61">
        <f t="shared" si="3"/>
        <v>3</v>
      </c>
      <c r="O91" s="61">
        <f t="shared" si="3"/>
        <v>3</v>
      </c>
      <c r="P91" s="61">
        <f t="shared" si="3"/>
        <v>1</v>
      </c>
      <c r="Q91" s="61">
        <f t="shared" si="3"/>
        <v>0</v>
      </c>
      <c r="R91" s="61">
        <f t="shared" si="3"/>
        <v>2</v>
      </c>
      <c r="S91" s="61">
        <f t="shared" si="3"/>
        <v>7</v>
      </c>
      <c r="T91" s="61">
        <f t="shared" si="3"/>
        <v>1</v>
      </c>
      <c r="U91" s="61">
        <f t="shared" si="3"/>
        <v>0</v>
      </c>
      <c r="V91" s="61">
        <f t="shared" si="3"/>
        <v>0</v>
      </c>
      <c r="W91" s="61">
        <f t="shared" si="3"/>
        <v>0</v>
      </c>
      <c r="X91" s="61">
        <f t="shared" si="3"/>
        <v>0</v>
      </c>
      <c r="Y91" s="61">
        <f t="shared" si="3"/>
        <v>0</v>
      </c>
      <c r="Z91" s="61">
        <f t="shared" si="3"/>
        <v>0</v>
      </c>
      <c r="AA91" s="61">
        <f t="shared" si="3"/>
        <v>0</v>
      </c>
      <c r="AB91" s="61">
        <f t="shared" si="3"/>
        <v>1</v>
      </c>
      <c r="AC91" s="61">
        <f t="shared" si="3"/>
        <v>9</v>
      </c>
      <c r="AD91" s="61">
        <f t="shared" si="3"/>
        <v>1</v>
      </c>
      <c r="AE91" s="61">
        <f t="shared" si="3"/>
        <v>0</v>
      </c>
      <c r="AF91" s="61">
        <f t="shared" si="3"/>
        <v>1</v>
      </c>
      <c r="AG91" s="61">
        <f t="shared" si="3"/>
        <v>2</v>
      </c>
      <c r="AH91" s="61"/>
    </row>
  </sheetData>
  <autoFilter ref="A6:XFD54"/>
  <mergeCells count="4">
    <mergeCell ref="A1:AG1"/>
    <mergeCell ref="A2:AF2"/>
    <mergeCell ref="AI7:AK7"/>
    <mergeCell ref="AM7:AO7"/>
  </mergeCells>
  <conditionalFormatting sqref="C7:AG7 C8:AD8 AF8:AH8 C48:AG53 C9:AG21 C82:AG88">
    <cfRule type="containsText" dxfId="315" priority="124" operator="containsText" text="B">
      <formula>NOT(ISERROR(SEARCH("B",C7)))</formula>
    </cfRule>
    <cfRule type="containsText" dxfId="314" priority="125" operator="containsText" text="TB">
      <formula>NOT(ISERROR(SEARCH("TB",C7)))</formula>
    </cfRule>
    <cfRule type="containsText" dxfId="313" priority="126" operator="containsText" text="T">
      <formula>NOT(ISERROR(SEARCH("T",C7)))</formula>
    </cfRule>
  </conditionalFormatting>
  <conditionalFormatting sqref="C7:AG7 C8:AD8 AF8:AH8 C48:AG53 AH54 C9:AG21 C82:AG88">
    <cfRule type="containsText" dxfId="312" priority="123" operator="containsText" text="TB">
      <formula>NOT(ISERROR(SEARCH("TB",C7)))</formula>
    </cfRule>
  </conditionalFormatting>
  <conditionalFormatting sqref="C47:AG47">
    <cfRule type="containsText" dxfId="311" priority="116" operator="containsText" text="B">
      <formula>NOT(ISERROR(SEARCH("B",C47)))</formula>
    </cfRule>
    <cfRule type="containsText" dxfId="310" priority="117" operator="containsText" text="TB">
      <formula>NOT(ISERROR(SEARCH("TB",C47)))</formula>
    </cfRule>
    <cfRule type="containsText" dxfId="309" priority="118" operator="containsText" text="T">
      <formula>NOT(ISERROR(SEARCH("T",C47)))</formula>
    </cfRule>
  </conditionalFormatting>
  <conditionalFormatting sqref="C47:AG47">
    <cfRule type="containsText" dxfId="308" priority="115" operator="containsText" text="TB">
      <formula>NOT(ISERROR(SEARCH("TB",C47)))</formula>
    </cfRule>
  </conditionalFormatting>
  <conditionalFormatting sqref="C22:AG46">
    <cfRule type="containsText" dxfId="307" priority="120" operator="containsText" text="B">
      <formula>NOT(ISERROR(SEARCH("B",C22)))</formula>
    </cfRule>
    <cfRule type="containsText" dxfId="306" priority="121" operator="containsText" text="TB">
      <formula>NOT(ISERROR(SEARCH("TB",C22)))</formula>
    </cfRule>
    <cfRule type="containsText" dxfId="305" priority="122" operator="containsText" text="T">
      <formula>NOT(ISERROR(SEARCH("T",C22)))</formula>
    </cfRule>
  </conditionalFormatting>
  <conditionalFormatting sqref="C22:AG46">
    <cfRule type="containsText" dxfId="304" priority="119" operator="containsText" text="TB">
      <formula>NOT(ISERROR(SEARCH("TB",C22)))</formula>
    </cfRule>
  </conditionalFormatting>
  <conditionalFormatting sqref="C61:AG61 C62:AD62 AF62:AH62 C63:AG68 C70:AG80 C90:AG90 R81:AG81">
    <cfRule type="containsText" dxfId="303" priority="112" operator="containsText" text="B">
      <formula>NOT(ISERROR(SEARCH("B",C61)))</formula>
    </cfRule>
    <cfRule type="containsText" dxfId="302" priority="113" operator="containsText" text="TB">
      <formula>NOT(ISERROR(SEARCH("TB",C61)))</formula>
    </cfRule>
    <cfRule type="containsText" dxfId="301" priority="114" operator="containsText" text="T">
      <formula>NOT(ISERROR(SEARCH("T",C61)))</formula>
    </cfRule>
  </conditionalFormatting>
  <conditionalFormatting sqref="C61:AG61 C62:AD62 AF62:AH62 C63:AG68 C70:AG80 AH91 C90:AG90 R81:AG81">
    <cfRule type="containsText" dxfId="300" priority="111" operator="containsText" text="TB">
      <formula>NOT(ISERROR(SEARCH("TB",C61)))</formula>
    </cfRule>
  </conditionalFormatting>
  <conditionalFormatting sqref="C69:F69 H69:AE69 AG69:XFD69">
    <cfRule type="expression" dxfId="299" priority="108">
      <formula>AND($AK69&gt;0,$W69&gt;89)</formula>
    </cfRule>
    <cfRule type="expression" dxfId="298" priority="109">
      <formula>AND($AK69&gt;0,$W69&gt;59)</formula>
    </cfRule>
    <cfRule type="expression" dxfId="297" priority="110">
      <formula>AND($AK69&gt;0,$W69&gt;44)</formula>
    </cfRule>
  </conditionalFormatting>
  <conditionalFormatting sqref="G69">
    <cfRule type="containsText" dxfId="296" priority="105" operator="containsText" text="B">
      <formula>NOT(ISERROR(SEARCH("B",G69)))</formula>
    </cfRule>
    <cfRule type="containsText" dxfId="295" priority="106" operator="containsText" text="TB">
      <formula>NOT(ISERROR(SEARCH("TB",G69)))</formula>
    </cfRule>
    <cfRule type="containsText" dxfId="294" priority="107" operator="containsText" text="T">
      <formula>NOT(ISERROR(SEARCH("T",G69)))</formula>
    </cfRule>
  </conditionalFormatting>
  <conditionalFormatting sqref="G69">
    <cfRule type="containsText" dxfId="293" priority="104" operator="containsText" text="TB">
      <formula>NOT(ISERROR(SEARCH("TB",G69)))</formula>
    </cfRule>
  </conditionalFormatting>
  <conditionalFormatting sqref="C54:AG54">
    <cfRule type="containsText" dxfId="292" priority="103" operator="containsText" text="TB">
      <formula>NOT(ISERROR(SEARCH("TB",C54)))</formula>
    </cfRule>
  </conditionalFormatting>
  <conditionalFormatting sqref="C91:AG91">
    <cfRule type="containsText" dxfId="291" priority="102" operator="containsText" text="TB">
      <formula>NOT(ISERROR(SEARCH("TB",C91)))</formula>
    </cfRule>
  </conditionalFormatting>
  <conditionalFormatting sqref="B89:XFD89">
    <cfRule type="expression" dxfId="290" priority="99">
      <formula>AND($AK89&gt;0,$W89&gt;89)</formula>
    </cfRule>
    <cfRule type="expression" dxfId="289" priority="100">
      <formula>AND($AK89&gt;0,$W89&gt;59)</formula>
    </cfRule>
    <cfRule type="expression" dxfId="288" priority="101">
      <formula>AND($AK89&gt;0,$W89&gt;44)</formula>
    </cfRule>
  </conditionalFormatting>
  <conditionalFormatting sqref="B7:B52">
    <cfRule type="expression" dxfId="287" priority="96">
      <formula>AND($AK7&gt;0,$W7&gt;89)</formula>
    </cfRule>
    <cfRule type="expression" dxfId="286" priority="97">
      <formula>AND($AK7&gt;0,$W7&gt;59)</formula>
    </cfRule>
    <cfRule type="expression" dxfId="285" priority="98">
      <formula>AND($AK7&gt;0,$W7&gt;44)</formula>
    </cfRule>
  </conditionalFormatting>
  <conditionalFormatting sqref="B61">
    <cfRule type="expression" dxfId="284" priority="93">
      <formula>AND($AK61&gt;0,$W61&gt;89)</formula>
    </cfRule>
    <cfRule type="expression" dxfId="283" priority="94">
      <formula>AND($AK61&gt;0,$W61&gt;59)</formula>
    </cfRule>
    <cfRule type="expression" dxfId="282" priority="95">
      <formula>AND($AK61&gt;0,$W61&gt;44)</formula>
    </cfRule>
  </conditionalFormatting>
  <conditionalFormatting sqref="B62">
    <cfRule type="expression" dxfId="281" priority="90">
      <formula>AND($AK62&gt;0,$W62&gt;89)</formula>
    </cfRule>
    <cfRule type="expression" dxfId="280" priority="91">
      <formula>AND($AK62&gt;0,$W62&gt;59)</formula>
    </cfRule>
    <cfRule type="expression" dxfId="279" priority="92">
      <formula>AND($AK62&gt;0,$W62&gt;44)</formula>
    </cfRule>
  </conditionalFormatting>
  <conditionalFormatting sqref="B63">
    <cfRule type="expression" dxfId="278" priority="87">
      <formula>AND($AK63&gt;0,$W63&gt;89)</formula>
    </cfRule>
    <cfRule type="expression" dxfId="277" priority="88">
      <formula>AND($AK63&gt;0,$W63&gt;59)</formula>
    </cfRule>
    <cfRule type="expression" dxfId="276" priority="89">
      <formula>AND($AK63&gt;0,$W63&gt;44)</formula>
    </cfRule>
  </conditionalFormatting>
  <conditionalFormatting sqref="B64">
    <cfRule type="expression" dxfId="275" priority="84">
      <formula>AND($AK64&gt;0,$W64&gt;89)</formula>
    </cfRule>
    <cfRule type="expression" dxfId="274" priority="85">
      <formula>AND($AK64&gt;0,$W64&gt;59)</formula>
    </cfRule>
    <cfRule type="expression" dxfId="273" priority="86">
      <formula>AND($AK64&gt;0,$W64&gt;44)</formula>
    </cfRule>
  </conditionalFormatting>
  <conditionalFormatting sqref="B65">
    <cfRule type="expression" dxfId="272" priority="81">
      <formula>AND($AK65&gt;0,$W65&gt;89)</formula>
    </cfRule>
    <cfRule type="expression" dxfId="271" priority="82">
      <formula>AND($AK65&gt;0,$W65&gt;59)</formula>
    </cfRule>
    <cfRule type="expression" dxfId="270" priority="83">
      <formula>AND($AK65&gt;0,$W65&gt;44)</formula>
    </cfRule>
  </conditionalFormatting>
  <conditionalFormatting sqref="B66">
    <cfRule type="expression" dxfId="269" priority="78">
      <formula>AND($AK66&gt;0,$W66&gt;89)</formula>
    </cfRule>
    <cfRule type="expression" dxfId="268" priority="79">
      <formula>AND($AK66&gt;0,$W66&gt;59)</formula>
    </cfRule>
    <cfRule type="expression" dxfId="267" priority="80">
      <formula>AND($AK66&gt;0,$W66&gt;44)</formula>
    </cfRule>
  </conditionalFormatting>
  <conditionalFormatting sqref="B67">
    <cfRule type="expression" dxfId="266" priority="75">
      <formula>AND($AK67&gt;0,$W67&gt;89)</formula>
    </cfRule>
    <cfRule type="expression" dxfId="265" priority="76">
      <formula>AND($AK67&gt;0,$W67&gt;59)</formula>
    </cfRule>
    <cfRule type="expression" dxfId="264" priority="77">
      <formula>AND($AK67&gt;0,$W67&gt;44)</formula>
    </cfRule>
  </conditionalFormatting>
  <conditionalFormatting sqref="B68">
    <cfRule type="expression" dxfId="263" priority="72">
      <formula>AND($AK68&gt;0,$W68&gt;89)</formula>
    </cfRule>
    <cfRule type="expression" dxfId="262" priority="73">
      <formula>AND($AK68&gt;0,$W68&gt;59)</formula>
    </cfRule>
    <cfRule type="expression" dxfId="261" priority="74">
      <formula>AND($AK68&gt;0,$W68&gt;44)</formula>
    </cfRule>
  </conditionalFormatting>
  <conditionalFormatting sqref="B69">
    <cfRule type="expression" dxfId="260" priority="69">
      <formula>AND($AK69&gt;0,$W69&gt;89)</formula>
    </cfRule>
    <cfRule type="expression" dxfId="259" priority="70">
      <formula>AND($AK69&gt;0,$W69&gt;59)</formula>
    </cfRule>
    <cfRule type="expression" dxfId="258" priority="71">
      <formula>AND($AK69&gt;0,$W69&gt;44)</formula>
    </cfRule>
  </conditionalFormatting>
  <conditionalFormatting sqref="B70">
    <cfRule type="expression" dxfId="257" priority="66">
      <formula>AND($AK70&gt;0,$W70&gt;89)</formula>
    </cfRule>
    <cfRule type="expression" dxfId="256" priority="67">
      <formula>AND($AK70&gt;0,$W70&gt;59)</formula>
    </cfRule>
    <cfRule type="expression" dxfId="255" priority="68">
      <formula>AND($AK70&gt;0,$W70&gt;44)</formula>
    </cfRule>
  </conditionalFormatting>
  <conditionalFormatting sqref="B71">
    <cfRule type="expression" dxfId="254" priority="63">
      <formula>AND($AK71&gt;0,$W71&gt;89)</formula>
    </cfRule>
    <cfRule type="expression" dxfId="253" priority="64">
      <formula>AND($AK71&gt;0,$W71&gt;59)</formula>
    </cfRule>
    <cfRule type="expression" dxfId="252" priority="65">
      <formula>AND($AK71&gt;0,$W71&gt;44)</formula>
    </cfRule>
  </conditionalFormatting>
  <conditionalFormatting sqref="B72">
    <cfRule type="expression" dxfId="251" priority="60">
      <formula>AND($AK72&gt;0,$W72&gt;89)</formula>
    </cfRule>
    <cfRule type="expression" dxfId="250" priority="61">
      <formula>AND($AK72&gt;0,$W72&gt;59)</formula>
    </cfRule>
    <cfRule type="expression" dxfId="249" priority="62">
      <formula>AND($AK72&gt;0,$W72&gt;44)</formula>
    </cfRule>
  </conditionalFormatting>
  <conditionalFormatting sqref="B73">
    <cfRule type="expression" dxfId="248" priority="57">
      <formula>AND($AK73&gt;0,$W73&gt;89)</formula>
    </cfRule>
    <cfRule type="expression" dxfId="247" priority="58">
      <formula>AND($AK73&gt;0,$W73&gt;59)</formula>
    </cfRule>
    <cfRule type="expression" dxfId="246" priority="59">
      <formula>AND($AK73&gt;0,$W73&gt;44)</formula>
    </cfRule>
  </conditionalFormatting>
  <conditionalFormatting sqref="B74">
    <cfRule type="expression" dxfId="245" priority="54">
      <formula>AND($AK74&gt;0,$W74&gt;89)</formula>
    </cfRule>
    <cfRule type="expression" dxfId="244" priority="55">
      <formula>AND($AK74&gt;0,$W74&gt;59)</formula>
    </cfRule>
    <cfRule type="expression" dxfId="243" priority="56">
      <formula>AND($AK74&gt;0,$W74&gt;44)</formula>
    </cfRule>
  </conditionalFormatting>
  <conditionalFormatting sqref="B75">
    <cfRule type="expression" dxfId="242" priority="51">
      <formula>AND($AK75&gt;0,$W75&gt;89)</formula>
    </cfRule>
    <cfRule type="expression" dxfId="241" priority="52">
      <formula>AND($AK75&gt;0,$W75&gt;59)</formula>
    </cfRule>
    <cfRule type="expression" dxfId="240" priority="53">
      <formula>AND($AK75&gt;0,$W75&gt;44)</formula>
    </cfRule>
  </conditionalFormatting>
  <conditionalFormatting sqref="B76">
    <cfRule type="expression" dxfId="239" priority="48">
      <formula>AND($AK76&gt;0,$W76&gt;89)</formula>
    </cfRule>
    <cfRule type="expression" dxfId="238" priority="49">
      <formula>AND($AK76&gt;0,$W76&gt;59)</formula>
    </cfRule>
    <cfRule type="expression" dxfId="237" priority="50">
      <formula>AND($AK76&gt;0,$W76&gt;44)</formula>
    </cfRule>
  </conditionalFormatting>
  <conditionalFormatting sqref="B77">
    <cfRule type="expression" dxfId="236" priority="45">
      <formula>AND($AK77&gt;0,$W77&gt;89)</formula>
    </cfRule>
    <cfRule type="expression" dxfId="235" priority="46">
      <formula>AND($AK77&gt;0,$W77&gt;59)</formula>
    </cfRule>
    <cfRule type="expression" dxfId="234" priority="47">
      <formula>AND($AK77&gt;0,$W77&gt;44)</formula>
    </cfRule>
  </conditionalFormatting>
  <conditionalFormatting sqref="B90">
    <cfRule type="expression" dxfId="233" priority="42">
      <formula>AND($AK90&gt;0,$W90&gt;89)</formula>
    </cfRule>
    <cfRule type="expression" dxfId="232" priority="43">
      <formula>AND($AK90&gt;0,$W90&gt;59)</formula>
    </cfRule>
    <cfRule type="expression" dxfId="231" priority="44">
      <formula>AND($AK90&gt;0,$W90&gt;44)</formula>
    </cfRule>
  </conditionalFormatting>
  <conditionalFormatting sqref="B78">
    <cfRule type="expression" dxfId="230" priority="39">
      <formula>AND($AK78&gt;0,$W78&gt;89)</formula>
    </cfRule>
    <cfRule type="expression" dxfId="229" priority="40">
      <formula>AND($AK78&gt;0,$W78&gt;59)</formula>
    </cfRule>
    <cfRule type="expression" dxfId="228" priority="41">
      <formula>AND($AK78&gt;0,$W78&gt;44)</formula>
    </cfRule>
  </conditionalFormatting>
  <conditionalFormatting sqref="B79">
    <cfRule type="expression" dxfId="227" priority="36">
      <formula>AND($AK79&gt;0,$W79&gt;89)</formula>
    </cfRule>
    <cfRule type="expression" dxfId="226" priority="37">
      <formula>AND($AK79&gt;0,$W79&gt;59)</formula>
    </cfRule>
    <cfRule type="expression" dxfId="225" priority="38">
      <formula>AND($AK79&gt;0,$W79&gt;44)</formula>
    </cfRule>
  </conditionalFormatting>
  <conditionalFormatting sqref="B80">
    <cfRule type="expression" dxfId="224" priority="33">
      <formula>AND($AK80&gt;0,$W80&gt;89)</formula>
    </cfRule>
    <cfRule type="expression" dxfId="223" priority="34">
      <formula>AND($AK80&gt;0,$W80&gt;59)</formula>
    </cfRule>
    <cfRule type="expression" dxfId="222" priority="35">
      <formula>AND($AK80&gt;0,$W80&gt;44)</formula>
    </cfRule>
  </conditionalFormatting>
  <conditionalFormatting sqref="C81:Q81">
    <cfRule type="containsText" dxfId="221" priority="30" operator="containsText" text="B">
      <formula>NOT(ISERROR(SEARCH("B",C81)))</formula>
    </cfRule>
    <cfRule type="containsText" dxfId="220" priority="31" operator="containsText" text="TB">
      <formula>NOT(ISERROR(SEARCH("TB",C81)))</formula>
    </cfRule>
    <cfRule type="containsText" dxfId="219" priority="32" operator="containsText" text="T">
      <formula>NOT(ISERROR(SEARCH("T",C81)))</formula>
    </cfRule>
  </conditionalFormatting>
  <conditionalFormatting sqref="C81:Q81">
    <cfRule type="containsText" dxfId="218" priority="29" operator="containsText" text="TB">
      <formula>NOT(ISERROR(SEARCH("TB",C81)))</formula>
    </cfRule>
  </conditionalFormatting>
  <conditionalFormatting sqref="B81">
    <cfRule type="expression" dxfId="217" priority="26">
      <formula>AND($AK81&gt;0,$W81&gt;89)</formula>
    </cfRule>
    <cfRule type="expression" dxfId="216" priority="27">
      <formula>AND($AK81&gt;0,$W81&gt;59)</formula>
    </cfRule>
    <cfRule type="expression" dxfId="215" priority="28">
      <formula>AND($AK81&gt;0,$W81&gt;44)</formula>
    </cfRule>
  </conditionalFormatting>
  <conditionalFormatting sqref="B82">
    <cfRule type="expression" dxfId="214" priority="23">
      <formula>AND($AK82&gt;0,$W82&gt;89)</formula>
    </cfRule>
    <cfRule type="expression" dxfId="213" priority="24">
      <formula>AND($AK82&gt;0,$W82&gt;59)</formula>
    </cfRule>
    <cfRule type="expression" dxfId="212" priority="25">
      <formula>AND($AK82&gt;0,$W82&gt;44)</formula>
    </cfRule>
  </conditionalFormatting>
  <conditionalFormatting sqref="B83">
    <cfRule type="expression" dxfId="211" priority="20">
      <formula>AND($AK83&gt;0,$W83&gt;89)</formula>
    </cfRule>
    <cfRule type="expression" dxfId="210" priority="21">
      <formula>AND($AK83&gt;0,$W83&gt;59)</formula>
    </cfRule>
    <cfRule type="expression" dxfId="209" priority="22">
      <formula>AND($AK83&gt;0,$W83&gt;44)</formula>
    </cfRule>
  </conditionalFormatting>
  <conditionalFormatting sqref="B84">
    <cfRule type="expression" dxfId="208" priority="17">
      <formula>AND($AK84&gt;0,$W84&gt;89)</formula>
    </cfRule>
    <cfRule type="expression" dxfId="207" priority="18">
      <formula>AND($AK84&gt;0,$W84&gt;59)</formula>
    </cfRule>
    <cfRule type="expression" dxfId="206" priority="19">
      <formula>AND($AK84&gt;0,$W84&gt;44)</formula>
    </cfRule>
  </conditionalFormatting>
  <conditionalFormatting sqref="B85">
    <cfRule type="expression" dxfId="205" priority="14">
      <formula>AND($AK85&gt;0,$W85&gt;89)</formula>
    </cfRule>
    <cfRule type="expression" dxfId="204" priority="15">
      <formula>AND($AK85&gt;0,$W85&gt;59)</formula>
    </cfRule>
    <cfRule type="expression" dxfId="203" priority="16">
      <formula>AND($AK85&gt;0,$W85&gt;44)</formula>
    </cfRule>
  </conditionalFormatting>
  <conditionalFormatting sqref="B86">
    <cfRule type="expression" dxfId="202" priority="11">
      <formula>AND($AK86&gt;0,$W86&gt;89)</formula>
    </cfRule>
    <cfRule type="expression" dxfId="201" priority="12">
      <formula>AND($AK86&gt;0,$W86&gt;59)</formula>
    </cfRule>
    <cfRule type="expression" dxfId="200" priority="13">
      <formula>AND($AK86&gt;0,$W86&gt;44)</formula>
    </cfRule>
  </conditionalFormatting>
  <conditionalFormatting sqref="B87">
    <cfRule type="expression" dxfId="199" priority="8">
      <formula>AND($AK87&gt;0,$W87&gt;89)</formula>
    </cfRule>
    <cfRule type="expression" dxfId="198" priority="9">
      <formula>AND($AK87&gt;0,$W87&gt;59)</formula>
    </cfRule>
    <cfRule type="expression" dxfId="197" priority="10">
      <formula>AND($AK87&gt;0,$W87&gt;44)</formula>
    </cfRule>
  </conditionalFormatting>
  <conditionalFormatting sqref="B88">
    <cfRule type="expression" dxfId="196" priority="5">
      <formula>AND($AK88&gt;0,$W88&gt;89)</formula>
    </cfRule>
    <cfRule type="expression" dxfId="195" priority="6">
      <formula>AND($AK88&gt;0,$W88&gt;59)</formula>
    </cfRule>
    <cfRule type="expression" dxfId="194" priority="7">
      <formula>AND($AK88&gt;0,$W88&gt;44)</formula>
    </cfRule>
  </conditionalFormatting>
  <conditionalFormatting sqref="AF69">
    <cfRule type="containsText" dxfId="193" priority="2" operator="containsText" text="B">
      <formula>NOT(ISERROR(SEARCH("B",AF69)))</formula>
    </cfRule>
    <cfRule type="containsText" dxfId="192" priority="3" operator="containsText" text="TB">
      <formula>NOT(ISERROR(SEARCH("TB",AF69)))</formula>
    </cfRule>
    <cfRule type="containsText" dxfId="191" priority="4" operator="containsText" text="T">
      <formula>NOT(ISERROR(SEARCH("T",AF69)))</formula>
    </cfRule>
  </conditionalFormatting>
  <conditionalFormatting sqref="AF69">
    <cfRule type="containsText" dxfId="190" priority="1" operator="containsText" text="TB">
      <formula>NOT(ISERROR(SEARCH("TB",AF69)))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Pencapaian OD &amp; BGTF</vt:lpstr>
      <vt:lpstr>Simulasi</vt:lpstr>
      <vt:lpstr>Kalender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farida f. farida</dc:creator>
  <cp:lastModifiedBy>farida f. farida</cp:lastModifiedBy>
  <dcterms:created xsi:type="dcterms:W3CDTF">2026-02-21T03:08:02Z</dcterms:created>
  <dcterms:modified xsi:type="dcterms:W3CDTF">2026-04-08T02:31:36Z</dcterms:modified>
</cp:coreProperties>
</file>